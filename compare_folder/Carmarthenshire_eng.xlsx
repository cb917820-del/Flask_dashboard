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3"/>
  <workbookPr/>
  <mc:AlternateContent xmlns:mc="http://schemas.openxmlformats.org/markup-compatibility/2006">
    <mc:Choice Requires="x15">
      <x15ac:absPath xmlns:x15ac="http://schemas.microsoft.com/office/spreadsheetml/2010/11/ac" url="https://dataunit-my.sharepoint.com/personal/hrandall_dataunitwales_gov_uk/Documents/Desktop/SportWales/Final/LA/English/"/>
    </mc:Choice>
  </mc:AlternateContent>
  <xr:revisionPtr revIDLastSave="0" documentId="8_{8473A56E-BD49-49B0-9A04-FE9E44A8A4F9}" xr6:coauthVersionLast="47" xr6:coauthVersionMax="47" xr10:uidLastSave="{00000000-0000-0000-0000-000000000000}"/>
  <bookViews>
    <workbookView xWindow="33375" yWindow="-9135" windowWidth="4860" windowHeight="2400" xr2:uid="{00000000-000D-0000-FFFF-FFFF00000000}"/>
  </bookViews>
  <sheets>
    <sheet name="Contents" sheetId="1" r:id="rId1"/>
    <sheet name="Technical Information" sheetId="2" r:id="rId2"/>
    <sheet name="Sample" sheetId="3" r:id="rId3"/>
    <sheet name="Table 1" sheetId="4" r:id="rId4"/>
    <sheet name="Table 2" sheetId="5" r:id="rId5"/>
    <sheet name="Table 3" sheetId="6" r:id="rId6"/>
    <sheet name="Table 4" sheetId="7" r:id="rId7"/>
    <sheet name="Table 5" sheetId="8" r:id="rId8"/>
    <sheet name="Table 6" sheetId="9" r:id="rId9"/>
    <sheet name="Table 7a" sheetId="10" r:id="rId10"/>
    <sheet name="Table 7b" sheetId="11" r:id="rId11"/>
    <sheet name="Table 7c" sheetId="12" r:id="rId12"/>
    <sheet name="Table 8a" sheetId="13" r:id="rId13"/>
    <sheet name="Table 8b" sheetId="14" r:id="rId14"/>
    <sheet name="Table 8c" sheetId="15" r:id="rId15"/>
    <sheet name="Table 9a" sheetId="16" r:id="rId16"/>
    <sheet name="Table 9b" sheetId="17" r:id="rId17"/>
    <sheet name="Table 9c" sheetId="18" r:id="rId18"/>
    <sheet name="Table 10a" sheetId="19" r:id="rId19"/>
    <sheet name="Table 10b" sheetId="20" r:id="rId20"/>
    <sheet name="Table 10c" sheetId="21" r:id="rId21"/>
    <sheet name="Table 11a" sheetId="22" r:id="rId22"/>
    <sheet name="Table 11b" sheetId="23" r:id="rId23"/>
    <sheet name="Table 11c" sheetId="24" r:id="rId24"/>
    <sheet name="Table 12a" sheetId="25" r:id="rId25"/>
    <sheet name="Table 12b" sheetId="26" r:id="rId26"/>
    <sheet name="Table 12c" sheetId="27" r:id="rId27"/>
    <sheet name="Table 13a" sheetId="28" r:id="rId28"/>
    <sheet name="Table 13b" sheetId="29" r:id="rId29"/>
    <sheet name="Table 13c" sheetId="30" r:id="rId30"/>
    <sheet name="Table 14a" sheetId="31" r:id="rId31"/>
    <sheet name="Table 14b" sheetId="32" r:id="rId32"/>
    <sheet name="Table 15a" sheetId="33" r:id="rId33"/>
    <sheet name="Table 15b" sheetId="34" r:id="rId34"/>
    <sheet name="Table 16a" sheetId="35" r:id="rId35"/>
    <sheet name="Table 16b" sheetId="36" r:id="rId36"/>
    <sheet name="Table P1" sheetId="37" r:id="rId37"/>
    <sheet name="Table P2" sheetId="38" r:id="rId38"/>
    <sheet name="Table P3" sheetId="39" r:id="rId39"/>
    <sheet name="Table P4" sheetId="40" r:id="rId40"/>
    <sheet name="Table P5" sheetId="41" r:id="rId41"/>
    <sheet name="Table P6" sheetId="42" r:id="rId42"/>
    <sheet name="Table P7" sheetId="43" r:id="rId43"/>
    <sheet name="Table P8" sheetId="44" r:id="rId44"/>
    <sheet name="Table P9" sheetId="45" r:id="rId45"/>
    <sheet name="Table S1" sheetId="46" r:id="rId46"/>
    <sheet name="Table S2" sheetId="47" r:id="rId47"/>
    <sheet name="Table S3" sheetId="48" r:id="rId48"/>
    <sheet name="Table S4" sheetId="49" r:id="rId49"/>
    <sheet name="Table S5" sheetId="50" r:id="rId50"/>
    <sheet name="Table S6" sheetId="51" r:id="rId51"/>
    <sheet name="Table S7" sheetId="52" r:id="rId52"/>
    <sheet name="Table S8" sheetId="53" r:id="rId53"/>
    <sheet name="Table S9" sheetId="54" r:id="rId5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54" l="1"/>
  <c r="A28" i="53"/>
  <c r="A32" i="52"/>
  <c r="A32" i="51"/>
  <c r="A25" i="50"/>
  <c r="A19" i="49"/>
  <c r="A61" i="48"/>
  <c r="A61" i="47"/>
  <c r="A22" i="46"/>
  <c r="A27" i="45"/>
  <c r="A28" i="44"/>
  <c r="A32" i="43"/>
  <c r="A32" i="42"/>
  <c r="A25" i="41"/>
  <c r="A19" i="40"/>
  <c r="A61" i="39"/>
  <c r="A61" i="38"/>
  <c r="A83" i="37"/>
  <c r="A14" i="36"/>
  <c r="A13" i="35"/>
  <c r="A29" i="34"/>
  <c r="A28" i="33"/>
  <c r="A44" i="32"/>
  <c r="A43" i="31"/>
  <c r="A71" i="30"/>
  <c r="A71" i="29"/>
  <c r="A70" i="28"/>
  <c r="A71" i="27"/>
  <c r="A71" i="26"/>
  <c r="A70" i="25"/>
  <c r="A70" i="24"/>
  <c r="A23" i="23"/>
  <c r="A71" i="22"/>
  <c r="A71" i="21"/>
  <c r="A70" i="20"/>
  <c r="A99" i="19"/>
  <c r="A71" i="18"/>
  <c r="A70" i="17"/>
  <c r="A99" i="16"/>
  <c r="A71" i="15"/>
  <c r="A70" i="14"/>
  <c r="A99" i="13"/>
  <c r="A71" i="12"/>
  <c r="A70" i="11"/>
  <c r="A99" i="10"/>
  <c r="A99" i="9"/>
  <c r="A99" i="8"/>
  <c r="A99" i="7"/>
  <c r="A99" i="6"/>
  <c r="A68" i="5"/>
  <c r="A68" i="4"/>
  <c r="A60" i="1"/>
  <c r="A59" i="1"/>
  <c r="A58" i="1"/>
  <c r="A57" i="1"/>
  <c r="A56" i="1"/>
  <c r="A55" i="1"/>
  <c r="A54" i="1"/>
  <c r="A53" i="1"/>
  <c r="A52" i="1"/>
  <c r="A51" i="1"/>
  <c r="A50" i="1"/>
  <c r="A49" i="1"/>
  <c r="A48" i="1"/>
  <c r="A47" i="1"/>
  <c r="A46" i="1"/>
  <c r="A45" i="1"/>
  <c r="A44" i="1"/>
  <c r="A43" i="1"/>
  <c r="A41" i="1"/>
  <c r="A40" i="1"/>
  <c r="A39" i="1"/>
  <c r="A38" i="1"/>
  <c r="A37" i="1"/>
  <c r="A36" i="1"/>
  <c r="A34" i="1"/>
  <c r="A33" i="1"/>
  <c r="A32" i="1"/>
  <c r="A31" i="1"/>
  <c r="A30" i="1"/>
  <c r="A29" i="1"/>
  <c r="A27" i="1"/>
  <c r="A26" i="1"/>
  <c r="A25" i="1"/>
  <c r="A23" i="1"/>
  <c r="A22" i="1"/>
  <c r="A21" i="1"/>
  <c r="A20" i="1"/>
  <c r="A19" i="1"/>
  <c r="A18" i="1"/>
  <c r="A17" i="1"/>
  <c r="A16" i="1"/>
  <c r="A15" i="1"/>
  <c r="A14" i="1"/>
  <c r="A13" i="1"/>
  <c r="A12" i="1"/>
  <c r="A10" i="1"/>
  <c r="A9" i="1"/>
  <c r="A8" i="1"/>
  <c r="A7" i="1"/>
  <c r="A6" i="1"/>
  <c r="A4" i="1"/>
</calcChain>
</file>

<file path=xl/sharedStrings.xml><?xml version="1.0" encoding="utf-8"?>
<sst xmlns="http://schemas.openxmlformats.org/spreadsheetml/2006/main" count="30921" uniqueCount="609">
  <si>
    <t>School Sport Survey 2022: Local authority results for Carmarthenshire - Years 3 to 11</t>
  </si>
  <si>
    <t>Table of Contents</t>
  </si>
  <si>
    <t>Key Performance Indicator summary</t>
  </si>
  <si>
    <t>Key Indicators</t>
  </si>
  <si>
    <t>Frequency of participation</t>
  </si>
  <si>
    <t>Number of occasions of participation per week by protected characteristic</t>
  </si>
  <si>
    <t>Three or more occasions of activity per week - by school, year groups and gender</t>
  </si>
  <si>
    <t>Number of occasions of participation per week by school</t>
  </si>
  <si>
    <t>Frequent participation in extracurricular sport (at least once a week)</t>
  </si>
  <si>
    <t>Frequent participation in community sport outside of school (at least once a week)</t>
  </si>
  <si>
    <t>Any participation in sport in the last year, by Setting</t>
  </si>
  <si>
    <t>Any setting</t>
  </si>
  <si>
    <t>- by sport</t>
  </si>
  <si>
    <t>- by sport, by school</t>
  </si>
  <si>
    <t>Extracurricular sport</t>
  </si>
  <si>
    <t>Community club outside of school</t>
  </si>
  <si>
    <t>Other settings outside of school</t>
  </si>
  <si>
    <t>Participation support for those with a disability or impairment</t>
  </si>
  <si>
    <t>Any participation, by sport</t>
  </si>
  <si>
    <t>Support required when participating</t>
  </si>
  <si>
    <t>Method of participation</t>
  </si>
  <si>
    <t>Demand</t>
  </si>
  <si>
    <t>Latent demand, by sport</t>
  </si>
  <si>
    <t>- has a disability, impairment or learning difficulty</t>
  </si>
  <si>
    <t>Unmet demand, by sport</t>
  </si>
  <si>
    <t>Motivation, Attitudes, Membership and Volunteering</t>
  </si>
  <si>
    <t>Motivation and attitudes, by age and gender</t>
  </si>
  <si>
    <t>- by school</t>
  </si>
  <si>
    <t>I would do more sport if…', by age and gender</t>
  </si>
  <si>
    <t>Membership and volunteering, by age and gender</t>
  </si>
  <si>
    <t>School Provision statistics</t>
  </si>
  <si>
    <t>Time allocated for curricular Physical Education (PE) in primary schools (school years 3 to 6)</t>
  </si>
  <si>
    <t>Curricular provision to pupils in school years 3 to 6, by sport</t>
  </si>
  <si>
    <t>Extracurricular provision to pupils in school years 3 to 6, by sport</t>
  </si>
  <si>
    <t>Factors affecting curricular sport provision in primary schools</t>
  </si>
  <si>
    <t>Provision for pupils with a Disability or Additional Learning Need in primary schools</t>
  </si>
  <si>
    <t>Opinions of PE provision, resources and support in primary schools</t>
  </si>
  <si>
    <t>Facilities in Primary Schools</t>
  </si>
  <si>
    <t>Life Skills in Primary Schools - Swimming</t>
  </si>
  <si>
    <t>Life Skills in Primary Schools - Cycling</t>
  </si>
  <si>
    <t>Time allocated for curricular Physical Education (PE) in secondary schools (school years 7 to 11)</t>
  </si>
  <si>
    <t>Curricular provision to pupils in school years 7 to 11, by sport</t>
  </si>
  <si>
    <t>Extracurricular provision to pupils in school years 7  to 11, by sport</t>
  </si>
  <si>
    <t>Factors affecting curricular sport provision in secondary schools</t>
  </si>
  <si>
    <t>Provision for pupils with a Disability or Additional Learning Need in secondary schools</t>
  </si>
  <si>
    <t>Opinions of PE provision, resources and support in secondary schools</t>
  </si>
  <si>
    <t>Facilities in Secondary Schools</t>
  </si>
  <si>
    <t>Life Skills in Secondary Schools - Swimming</t>
  </si>
  <si>
    <t>Life Skills in Secondary Schools - Cycling</t>
  </si>
  <si>
    <t>Release date: November 2022</t>
  </si>
  <si>
    <t>Technical notes about these tables</t>
  </si>
  <si>
    <t>Notes</t>
  </si>
  <si>
    <t xml:space="preserve"> </t>
  </si>
  <si>
    <t>Time period</t>
  </si>
  <si>
    <t>Unless otherwise stated, all measures refer to participation undertaken in the school year of September 2021 to July 2022.</t>
  </si>
  <si>
    <t>Areas</t>
  </si>
  <si>
    <t>Geographical areas reported in these tables combine the following local authority areas:
Regional Sports Partnership: North Wales - Isle of Anglesey, Gwynedd, Conwy, Denbighshire, Flintshire and Wrexham
Regional Sports Partnership: Mid Wales - Powys and Ceredigion
Regional Sports Partnership: West Wales - Pembrokeshire, Carmarthenshire, Swansea and Neath Port Talbot
Regional Sports Partnership: Central South - Bridgend, The Vale of Glamorgan, Cardiff, Rhondda Cynon Taf and Merthyr Tydfil
Regional Sports Partnership: Gwent - Caerphilly, Blaenau Gwent, Torfaen, Monmouthshire and Newport</t>
  </si>
  <si>
    <t>Margin of error</t>
  </si>
  <si>
    <t>The margin of error is one way to show how close a sample statistic is to the population statistic, meaning it is possible to estimate how well the sample represents the entire population of the survey. 
Specifically, the margin of error statistic represents the range of values within which the population statistic is estimated to lie. For example, a margin of error of 2% around an estimated result of 10 means that we expect the population statistic to be between 9.8 and 10.2. 
The higher the margin of error the further the observed (sample) result is likely to be from the estimated population result. A margin of error of 0 refers to a sample size equal to the size of the population. 
The margin of error is calculated using the unweighted sample size and has only been calculated when both the sample and population sizes are available.
It is generally acceped that a sample with a margin of error below 5% will produce statistics quite close to those of the population. A sample with a margin of error below 1% will produce statistics very close to those of the population.</t>
  </si>
  <si>
    <t>Robustness of estimates</t>
  </si>
  <si>
    <t>To ensure that the School Sport Survey estimates quoted in this bulletin are robust, we have calculated the margin of error for each demographic and geographic breakdown. The margin of error has been calculated for each breakdown using the respective sample size and population size, using data from the Pupil Level Annual School Census (PLASC).</t>
  </si>
  <si>
    <t>Data cleaning</t>
  </si>
  <si>
    <t>Pupils were asked their year group and their age and in some cases the age group and age of a respondent didn't align. In these cases supporting data was used to determine whether the year group or age group was incorrect. If the correct year group could not be found then the response was removed.
Due to there not being a Special Education Needs (SEN) school within each local authority, the responses from pupils who attend SEN schools have been removed from any sub-national breakdown. These responses are included in Wales level statistics.</t>
  </si>
  <si>
    <t>Sample statistics</t>
  </si>
  <si>
    <t>Breakdown</t>
  </si>
  <si>
    <t>Unweighted sample size</t>
  </si>
  <si>
    <t>Population size</t>
  </si>
  <si>
    <t>Response rate</t>
  </si>
  <si>
    <t>Wales</t>
  </si>
  <si>
    <t>Regional Sport Partnership: West Wales</t>
  </si>
  <si>
    <t>Carmarthenshire</t>
  </si>
  <si>
    <t>Carmarthenshire demographic breakdown:</t>
  </si>
  <si>
    <t>Gender</t>
  </si>
  <si>
    <t>Boy</t>
  </si>
  <si>
    <t>Girl</t>
  </si>
  <si>
    <t>Pupils identifying as 'Other'</t>
  </si>
  <si>
    <t>-</t>
  </si>
  <si>
    <t>I do not want to say</t>
  </si>
  <si>
    <t>Year group</t>
  </si>
  <si>
    <t>Years 3 and 4</t>
  </si>
  <si>
    <t>Years 5 and 6</t>
  </si>
  <si>
    <t>Years 7 to 9</t>
  </si>
  <si>
    <t>Years 10 and 11</t>
  </si>
  <si>
    <t>Broad year groups</t>
  </si>
  <si>
    <t>Years 3 to 6</t>
  </si>
  <si>
    <t>Years 7 to 11</t>
  </si>
  <si>
    <t>Ethnicity</t>
  </si>
  <si>
    <t>White</t>
  </si>
  <si>
    <t xml:space="preserve"> - Welsh, English, Scottish, Northern Irish or British</t>
  </si>
  <si>
    <t xml:space="preserve"> - Irish</t>
  </si>
  <si>
    <t xml:space="preserve"> - Gypsy or Irish Traveller</t>
  </si>
  <si>
    <t xml:space="preserve"> - Roma</t>
  </si>
  <si>
    <t xml:space="preserve"> - Any other White background</t>
  </si>
  <si>
    <t>Mixed / Multiple ethnic group</t>
  </si>
  <si>
    <t xml:space="preserve"> - White and Black Caribbean</t>
  </si>
  <si>
    <t xml:space="preserve"> - White and Black African</t>
  </si>
  <si>
    <t xml:space="preserve"> - White and Asian</t>
  </si>
  <si>
    <t xml:space="preserve"> - Any other Mixed or Multiple background</t>
  </si>
  <si>
    <t>Asian / Asian Welsh / Asian British</t>
  </si>
  <si>
    <t xml:space="preserve"> - Indian</t>
  </si>
  <si>
    <t xml:space="preserve"> - Pakistani</t>
  </si>
  <si>
    <t xml:space="preserve"> - Bangladeshi</t>
  </si>
  <si>
    <t xml:space="preserve"> - Chinese</t>
  </si>
  <si>
    <t xml:space="preserve"> - Any other Asian background</t>
  </si>
  <si>
    <t>Black / Black Welsh / Black British / Caribbean / African</t>
  </si>
  <si>
    <t xml:space="preserve"> - Caribbean</t>
  </si>
  <si>
    <t xml:space="preserve"> - African background</t>
  </si>
  <si>
    <t xml:space="preserve"> - Any other Black, Black British or Caribbean background</t>
  </si>
  <si>
    <t>Other ethnic group</t>
  </si>
  <si>
    <t xml:space="preserve"> - Arab</t>
  </si>
  <si>
    <t xml:space="preserve"> - Any other ethnic group</t>
  </si>
  <si>
    <t>I don't want to say</t>
  </si>
  <si>
    <t>Disability or impairment</t>
  </si>
  <si>
    <t>Any disability or impairment</t>
  </si>
  <si>
    <t>No disability or impairment</t>
  </si>
  <si>
    <t>Learning difficulty</t>
  </si>
  <si>
    <t>Any learning difficulty</t>
  </si>
  <si>
    <t>No learning difficulty</t>
  </si>
  <si>
    <t>Free School Meal (FSM) quartile</t>
  </si>
  <si>
    <t>FSM 1 - (low level of free school meal eligibility)</t>
  </si>
  <si>
    <t>FSM 2</t>
  </si>
  <si>
    <t>FSM 3</t>
  </si>
  <si>
    <t>FSM 4 - (high level of free school meal eligibility)</t>
  </si>
  <si>
    <t>Welsh speaker</t>
  </si>
  <si>
    <t>Speaks Welsh</t>
  </si>
  <si>
    <t>Does not speak Welsh</t>
  </si>
  <si>
    <t>Gender by broad year groups</t>
  </si>
  <si>
    <t>Boy: Years 3 to 6</t>
  </si>
  <si>
    <t>Boy: Years 7 to 11</t>
  </si>
  <si>
    <t>Girl: Years 3 to 6</t>
  </si>
  <si>
    <t>Girl: Years 7 to 11</t>
  </si>
  <si>
    <t>Population figures for ethnicities are rounded to the nearest 5. Numbers less than 5 are suppressed.</t>
  </si>
  <si>
    <t>Table 1: Key Indicators in Carmarthenshire - by protected characteristic (percentage of pupils)</t>
  </si>
  <si>
    <t>% of pupils who participate in at least three occasions of sport per week</t>
  </si>
  <si>
    <t>% of pupils who enjoy PE lessons 'a lot'</t>
  </si>
  <si>
    <t>% of pupils who are confident in trying new sports</t>
  </si>
  <si>
    <t>% of pupils who think PE lessons and school sport help them 'a lot' to have a healthy lifestyle</t>
  </si>
  <si>
    <t>% of pupils who think that pupils' ideas about PE and school sport are listened to 'always'</t>
  </si>
  <si>
    <t>% of pupils who participate in sport in a community club at least once per week</t>
  </si>
  <si>
    <t>FSM 1</t>
  </si>
  <si>
    <t>FSM 4</t>
  </si>
  <si>
    <r>
      <t>Speaks Welsh</t>
    </r>
    <r>
      <rPr>
        <vertAlign val="superscript"/>
        <sz val="12"/>
        <rFont val="Arial"/>
      </rPr>
      <t>i</t>
    </r>
    <r>
      <rPr>
        <sz val="12"/>
        <color rgb="FF000000"/>
        <rFont val="Arial"/>
      </rPr>
      <t/>
    </r>
  </si>
  <si>
    <r>
      <rPr>
        <vertAlign val="superscript"/>
        <sz val="12"/>
        <rFont val="Arial"/>
      </rPr>
      <t>i</t>
    </r>
    <r>
      <rPr>
        <sz val="12"/>
        <color rgb="FF000000"/>
        <rFont val="Arial"/>
      </rPr>
      <t>Speaks Welsh - Includes being a fluent Welsh speaker, or can chat confidently or simply in Welsh.</t>
    </r>
  </si>
  <si>
    <t>- School level data are suppressed below 5 responses, all other data are suppressed below 30 responses.</t>
  </si>
  <si>
    <t>Source: School Sport Survey 2022</t>
  </si>
  <si>
    <t>Base: total number of survey responses in Wales is  115,167</t>
  </si>
  <si>
    <t>Base: total number of survey responses in Regional Sport Partnership: West Wales is  24,572</t>
  </si>
  <si>
    <t>Base: total number of survey responses in Carmarthenshire is  8,625</t>
  </si>
  <si>
    <t>Table 2: Number of occasions of participation per week in Carmarthenshire by protected characteristic</t>
  </si>
  <si>
    <t>No frequent activity</t>
  </si>
  <si>
    <t>Once per week</t>
  </si>
  <si>
    <t>Twice per week</t>
  </si>
  <si>
    <t>Three times a week or more</t>
  </si>
  <si>
    <t>Table 3: Three or more occasions of activity per week in Carmarthenshire (FG Indicator 38) - by school, year groups and gender (percentage of pupils)</t>
  </si>
  <si>
    <t>All</t>
  </si>
  <si>
    <t>All:
Years 3 to 6</t>
  </si>
  <si>
    <t>All:
Years 7 to 11</t>
  </si>
  <si>
    <t>Boy:
Years 3 to 6</t>
  </si>
  <si>
    <t>Boy:
Years 7 to 11</t>
  </si>
  <si>
    <t>Girl:
Years 3 to 6</t>
  </si>
  <si>
    <t>Girl:
Years 7 to 11</t>
  </si>
  <si>
    <t>Pupils identifying as 'Other':
Years 3 to 6</t>
  </si>
  <si>
    <t>Pupils identifying as 'Other':
Years 7 to 11</t>
  </si>
  <si>
    <t>I do not want to say:
Years 3 to 6</t>
  </si>
  <si>
    <t>I do not want to say:
Years 7 to 11</t>
  </si>
  <si>
    <t>Primary in Carmarthenshire: 
Years 3 to 6</t>
  </si>
  <si>
    <t>Abergwili</t>
  </si>
  <si>
    <t>Bancffosfelen</t>
  </si>
  <si>
    <t>Betws</t>
  </si>
  <si>
    <t>Blaenau</t>
  </si>
  <si>
    <t>Bro Banw</t>
  </si>
  <si>
    <t>Bro Brynach</t>
  </si>
  <si>
    <t>Bryn</t>
  </si>
  <si>
    <t>Bryn Teg</t>
  </si>
  <si>
    <t>Brynaman</t>
  </si>
  <si>
    <t>Brynsierfel</t>
  </si>
  <si>
    <t>Burry Port</t>
  </si>
  <si>
    <t>Bynea</t>
  </si>
  <si>
    <t>Carway</t>
  </si>
  <si>
    <t>Cefneithin</t>
  </si>
  <si>
    <t>Cross Hands</t>
  </si>
  <si>
    <t>Cwrt Henri</t>
  </si>
  <si>
    <t>Cynwyl Elfed</t>
  </si>
  <si>
    <t>Dafen</t>
  </si>
  <si>
    <t>Drefach</t>
  </si>
  <si>
    <t>Ferryside</t>
  </si>
  <si>
    <t>Ffairfach</t>
  </si>
  <si>
    <t>Ffwrnes</t>
  </si>
  <si>
    <t>Gorslas</t>
  </si>
  <si>
    <t>Griffith Jones</t>
  </si>
  <si>
    <t>Gwenllian</t>
  </si>
  <si>
    <t>Gwynfryn</t>
  </si>
  <si>
    <t>Hafodwenog</t>
  </si>
  <si>
    <t>Halfway</t>
  </si>
  <si>
    <t>Hendy</t>
  </si>
  <si>
    <t>Heol Goffa (years 3 to 6)</t>
  </si>
  <si>
    <t>Johnstown</t>
  </si>
  <si>
    <t>Llanddarog</t>
  </si>
  <si>
    <t>Llandeilo</t>
  </si>
  <si>
    <t>Llandybie</t>
  </si>
  <si>
    <t>Llanedi</t>
  </si>
  <si>
    <t>Llangadog</t>
  </si>
  <si>
    <t>Llangunnor</t>
  </si>
  <si>
    <t>Llanmiloe</t>
  </si>
  <si>
    <t>Llannon</t>
  </si>
  <si>
    <t>Llanpumsaint</t>
  </si>
  <si>
    <t>Llechyfedach</t>
  </si>
  <si>
    <t>Llys Hywel</t>
  </si>
  <si>
    <t>Maes y Morfa</t>
  </si>
  <si>
    <t>Model</t>
  </si>
  <si>
    <t>Mynyddygarreg</t>
  </si>
  <si>
    <t>Myrddin</t>
  </si>
  <si>
    <t>Nantgaredig</t>
  </si>
  <si>
    <t>Old Road</t>
  </si>
  <si>
    <t>Parc y Tywyn</t>
  </si>
  <si>
    <t>Parcyrhun</t>
  </si>
  <si>
    <t>Pembrey</t>
  </si>
  <si>
    <t>Peniel</t>
  </si>
  <si>
    <t>Penygaer</t>
  </si>
  <si>
    <t>Penygroes</t>
  </si>
  <si>
    <t>Ponthenri</t>
  </si>
  <si>
    <t>Pontiets</t>
  </si>
  <si>
    <t>Pontyberem</t>
  </si>
  <si>
    <t>Pum Heol</t>
  </si>
  <si>
    <t>Rhydaman</t>
  </si>
  <si>
    <t>Rhys Prichard</t>
  </si>
  <si>
    <t>Saron</t>
  </si>
  <si>
    <t>St Mary's (Llanelli)</t>
  </si>
  <si>
    <t>Talley</t>
  </si>
  <si>
    <t>Teilo Sant</t>
  </si>
  <si>
    <t>Trimsaran</t>
  </si>
  <si>
    <t>Ty-Croes</t>
  </si>
  <si>
    <t>Y Bedol</t>
  </si>
  <si>
    <t>Y Castell</t>
  </si>
  <si>
    <t>Y Dderwen</t>
  </si>
  <si>
    <t>Y Felin</t>
  </si>
  <si>
    <t>Y Fro</t>
  </si>
  <si>
    <t>Y Tymbl</t>
  </si>
  <si>
    <t>Ysgol Gymraeg Llangennech</t>
  </si>
  <si>
    <t>Secondary in Carmarthenshire: 
Years 7 to 11</t>
  </si>
  <si>
    <t>Bryngwyn School</t>
  </si>
  <si>
    <t>Coedcae School</t>
  </si>
  <si>
    <t>Glan-y-Mor School</t>
  </si>
  <si>
    <t>Heol Goffa (years 7 to 11)</t>
  </si>
  <si>
    <t>Queen Elizabeth High School</t>
  </si>
  <si>
    <t>St John Lloyd Catholic Comprehensive School</t>
  </si>
  <si>
    <t>Ysgol Bro Dinefwr</t>
  </si>
  <si>
    <t>Ysgol Dyffryn Aman</t>
  </si>
  <si>
    <t>Ysgol Gyfun Emlyn</t>
  </si>
  <si>
    <t>Ysgol Gyfun Gymraeg Bro Myrddin</t>
  </si>
  <si>
    <t>Ysgol Gyfun y Strade</t>
  </si>
  <si>
    <t>Ysgol Maes y Gwendraeth</t>
  </si>
  <si>
    <t>Schools that did not have a representative number of boys and girls from each year group complete the survey have not been included.</t>
  </si>
  <si>
    <t>Table 4: Number of occasions of participation per week in Carmarthenshire (percentage of pupils)</t>
  </si>
  <si>
    <t>Table 5: Frequent participation in extracurricular sport in Carmarthenshire - at least once a week (percentage of pupils)</t>
  </si>
  <si>
    <t>Table 6: Frequent participation in community sport outside of school in Carmarthenshire - at least once a week (percentage of pupils)</t>
  </si>
  <si>
    <t>Table 7a: Any participation in sport in the last year in Carmarthenshire - any setting (percentage of pupils)</t>
  </si>
  <si>
    <t>Table 7b: Any participation in sport in the last year in Carmarthenshire - any setting - by sport (percentage of pupils)</t>
  </si>
  <si>
    <t>Archery</t>
  </si>
  <si>
    <t>Athletics</t>
  </si>
  <si>
    <t>Badminton</t>
  </si>
  <si>
    <t>Basketball</t>
  </si>
  <si>
    <t>BMX</t>
  </si>
  <si>
    <t>Boccia</t>
  </si>
  <si>
    <t>Bowls (not ten-pin bowling)</t>
  </si>
  <si>
    <t>Boxing</t>
  </si>
  <si>
    <t>Canoeing or Kayaking</t>
  </si>
  <si>
    <t>Caving</t>
  </si>
  <si>
    <t>Cheerleading</t>
  </si>
  <si>
    <t>Climbing</t>
  </si>
  <si>
    <t>Cricket</t>
  </si>
  <si>
    <t>Curling</t>
  </si>
  <si>
    <t>Cycling</t>
  </si>
  <si>
    <t>Dance</t>
  </si>
  <si>
    <t>Dodgeball</t>
  </si>
  <si>
    <t>Fencing</t>
  </si>
  <si>
    <t>Field Hockey</t>
  </si>
  <si>
    <t>Fishing or Angling</t>
  </si>
  <si>
    <t>Fitness classes (e.g. aerobics, yoga, circuits)</t>
  </si>
  <si>
    <t>Football</t>
  </si>
  <si>
    <t>Goalball</t>
  </si>
  <si>
    <t>Golf</t>
  </si>
  <si>
    <t>Gymnastics</t>
  </si>
  <si>
    <t>Horse Riding</t>
  </si>
  <si>
    <t>Ice Hockey</t>
  </si>
  <si>
    <t>Judo</t>
  </si>
  <si>
    <t>Karate</t>
  </si>
  <si>
    <t>Lacrosse</t>
  </si>
  <si>
    <t>Lifesaving</t>
  </si>
  <si>
    <t>Motor sports</t>
  </si>
  <si>
    <t>Mountain biking</t>
  </si>
  <si>
    <t>Netball</t>
  </si>
  <si>
    <t>Paddleboarding</t>
  </si>
  <si>
    <t>Parkour</t>
  </si>
  <si>
    <t>Pool or Snooker</t>
  </si>
  <si>
    <t>Roller sports</t>
  </si>
  <si>
    <t>Rounders or Baseball or Softball</t>
  </si>
  <si>
    <t>Rowing</t>
  </si>
  <si>
    <t>Rugby</t>
  </si>
  <si>
    <t>Running or jogging</t>
  </si>
  <si>
    <t>Sailing</t>
  </si>
  <si>
    <t>Skateboarding</t>
  </si>
  <si>
    <t>Snowsports</t>
  </si>
  <si>
    <t>Squash</t>
  </si>
  <si>
    <t>Surfing</t>
  </si>
  <si>
    <t>Swimming</t>
  </si>
  <si>
    <t>Table tennis</t>
  </si>
  <si>
    <t>Target shooting</t>
  </si>
  <si>
    <t>Tennis or short tennis</t>
  </si>
  <si>
    <t>Trampolining</t>
  </si>
  <si>
    <t>Triathlon</t>
  </si>
  <si>
    <t>Volleyball</t>
  </si>
  <si>
    <t>Water Polo</t>
  </si>
  <si>
    <t>Weightlifting</t>
  </si>
  <si>
    <t>Wheelchair Basketball</t>
  </si>
  <si>
    <t>Wheelchair Rugby</t>
  </si>
  <si>
    <t>Wheelchair Tennis</t>
  </si>
  <si>
    <t>Windsurfing</t>
  </si>
  <si>
    <t>Wrestling</t>
  </si>
  <si>
    <t>Other sports</t>
  </si>
  <si>
    <t>Table 7c: Any participation in sport in the last year in Carmarthenshire - any setting - by sport, by school (percentage of pupils)</t>
  </si>
  <si>
    <t>Table 8a: Any participation in sport in the last year in Carmarthenshire - Extracurricular sport (percentage of pupils)</t>
  </si>
  <si>
    <t>Table 8b: Any participation in sport in the last year in Carmarthenshire - Extracurricular sport - by sport (percentage of pupils)</t>
  </si>
  <si>
    <t>Table 8c: Any participation in sport in the last year in Carmarthenshire - Extracurricular sport - by sport, by school (percentage of pupils)</t>
  </si>
  <si>
    <t>Table 9a: Any participation in sport in the last year in Carmarthenshire - Community club outside of school (percentage of pupils)</t>
  </si>
  <si>
    <t>Table 9b: Any participation in sport in the last year in Carmarthenshire - Community club outside of school - by sport (percentage of pupils)</t>
  </si>
  <si>
    <t>Table 9c: Any participation in sport in the last year in Carmarthenshire - Community club outside of school - by sport, by school (percentage of pupils)</t>
  </si>
  <si>
    <t>Table 10a: Any participation in sport in the last year in Carmarthenshire - Other settings outside of school (percentage of pupils)</t>
  </si>
  <si>
    <t>Table 10b: Any participation in sport in the last year in Carmarthenshire - Other settings outside of school - by sport (percentage of pupils)</t>
  </si>
  <si>
    <t>Table 10c: Any participation in sport in the last year in Carmarthenshire - Other settings outside of school - by sport, by school (percentage of pupils)</t>
  </si>
  <si>
    <t>Table 11a: Any participation - pupil has a disability or impairment (percentage of pupils)</t>
  </si>
  <si>
    <t>Table 11b: Any participation - pupil has a disability or impairment (percentage of pupils)</t>
  </si>
  <si>
    <t>For the sports I do, I normally take part in them.</t>
  </si>
  <si>
    <t>Using a wheelchair (only for sport)</t>
  </si>
  <si>
    <t>Using a wheelchair (for sport and at school)</t>
  </si>
  <si>
    <t>Using a power chair</t>
  </si>
  <si>
    <t xml:space="preserve">Seated on the floor or on a chair </t>
  </si>
  <si>
    <t>Standing</t>
  </si>
  <si>
    <t>With support from another person</t>
  </si>
  <si>
    <t>With a person who is my guide</t>
  </si>
  <si>
    <t xml:space="preserve">Using British Sign Language (BSL) for communication </t>
  </si>
  <si>
    <t>Using Makaton for communication</t>
  </si>
  <si>
    <t>Using a prosthetic, like a blade or arm</t>
  </si>
  <si>
    <t>Using equipment, like a frame or walking aid</t>
  </si>
  <si>
    <t>Other</t>
  </si>
  <si>
    <t xml:space="preserve">Prefer not to say </t>
  </si>
  <si>
    <t>Table 11c: Any particpation - pupil has a disability or impairment (percentage of pupils)</t>
  </si>
  <si>
    <t>Seated (using a chair or on the floor)</t>
  </si>
  <si>
    <t>Supported by a person who is my guide/another person</t>
  </si>
  <si>
    <t>Using Makaton/British Sign Language</t>
  </si>
  <si>
    <t>Prefer not to say</t>
  </si>
  <si>
    <t>Table 12a: Latent demand in Carmarthenshire, by sport (percentage of pupils)</t>
  </si>
  <si>
    <t>Table 12b: Latent demand in Carmarthenshire - by sport, by school (percentage of pupils)</t>
  </si>
  <si>
    <t>Table 12c: Latent demand - pupil has a disability or impairment (percentage of pupils)</t>
  </si>
  <si>
    <t>Table 13a: Unmet demand in Carmarthenshire, by sport (percentage of pupils)</t>
  </si>
  <si>
    <t>Table 13b: Unmet demand in Carmarthenshire - by sport, by school (percentage of pupils)</t>
  </si>
  <si>
    <t>Table 13c: Unmet demand - pupil has a disability or impairment (percentage of pupils)</t>
  </si>
  <si>
    <t>Table 14a: Motivation and attitudes in Carmarthenshire (percentage of pupils)</t>
  </si>
  <si>
    <t>How much do you think PE lessons and sport help you to have a healthy lifestyle?  </t>
  </si>
  <si>
    <t>A lot    </t>
  </si>
  <si>
    <t>A little    </t>
  </si>
  <si>
    <t>Not at all    </t>
  </si>
  <si>
    <t>I do not know</t>
  </si>
  <si>
    <t>How often do you feel your ideas about PE and school sport are listened to?</t>
  </si>
  <si>
    <t>Always    </t>
  </si>
  <si>
    <t>Sometimes    </t>
  </si>
  <si>
    <t>Never   </t>
  </si>
  <si>
    <t>I do not have ideas that I want to share  </t>
  </si>
  <si>
    <t>I do not know how to share my ideas</t>
  </si>
  <si>
    <t>How much do you enjoy PE lessons?   </t>
  </si>
  <si>
    <t>A lot  </t>
  </si>
  <si>
    <t>A little  </t>
  </si>
  <si>
    <t>Not at all  </t>
  </si>
  <si>
    <t>How much do you enjoy doing sport at after-school or lunchtime clubs?   </t>
  </si>
  <si>
    <t>A little </t>
  </si>
  <si>
    <t>I do not do sport after-school or in lunchtime clubs </t>
  </si>
  <si>
    <t>How much do you enjoy doing sport in a community club, when you are not at school?   </t>
  </si>
  <si>
    <t>I do not do sport when I am not at school </t>
  </si>
  <si>
    <t>How much do you enjoy doing sport somewhere else that is outside of school and community clubs?</t>
  </si>
  <si>
    <t>I do not do sport when I am not at school   </t>
  </si>
  <si>
    <t>How confident are you in trying new sports?  </t>
  </si>
  <si>
    <t>Very confident    </t>
  </si>
  <si>
    <t>Quite confident    </t>
  </si>
  <si>
    <t>Not very confident    </t>
  </si>
  <si>
    <t>Not confident at all</t>
  </si>
  <si>
    <t>Table 14b: Motivation and attitudes in Carmarthenshire (percentage of pupils)</t>
  </si>
  <si>
    <t>Table 15a: Motivation and attitudes in Carmarthenshire (percentage of pupils)</t>
  </si>
  <si>
    <t>I would do more sport if... (tick all that apply)</t>
  </si>
  <si>
    <t>There were more sport opportunities that suited me</t>
  </si>
  <si>
    <t>If I didn't have to get the school bus home</t>
  </si>
  <si>
    <t>If I had more time</t>
  </si>
  <si>
    <t>If it was cheaper</t>
  </si>
  <si>
    <t>If it was easier to get to</t>
  </si>
  <si>
    <t>If I had the equipment I need</t>
  </si>
  <si>
    <t>If the places I played sport in were better</t>
  </si>
  <si>
    <t>If boys and girls did sport or PE seperately</t>
  </si>
  <si>
    <t>If boys and girls did sport or PE together</t>
  </si>
  <si>
    <t>If I enjoyed PE more</t>
  </si>
  <si>
    <t>If I enjoyed sport more</t>
  </si>
  <si>
    <t>If more people in sport looked like me</t>
  </si>
  <si>
    <t>If I was more confident</t>
  </si>
  <si>
    <t>If I was better at sports</t>
  </si>
  <si>
    <r>
      <t>If I could manage my period better</t>
    </r>
    <r>
      <rPr>
        <vertAlign val="superscript"/>
        <sz val="12"/>
        <rFont val="Arial"/>
      </rPr>
      <t>i</t>
    </r>
    <r>
      <rPr>
        <sz val="12"/>
        <color rgb="FF000000"/>
        <rFont val="Arial"/>
      </rPr>
      <t/>
    </r>
  </si>
  <si>
    <t>Someone else went with me</t>
  </si>
  <si>
    <t>I do not need or want to play more sport</t>
  </si>
  <si>
    <t>Something else</t>
  </si>
  <si>
    <r>
      <rPr>
        <vertAlign val="superscript"/>
        <sz val="12"/>
        <rFont val="Arial"/>
      </rPr>
      <t>i</t>
    </r>
    <r>
      <rPr>
        <sz val="12"/>
        <color rgb="FF000000"/>
        <rFont val="Arial"/>
      </rPr>
      <t>If I could manage my period better - This response option was only available to those in Year 5 and above.</t>
    </r>
  </si>
  <si>
    <t>Table 15b: Motivation and attitudes in Carmarthenshire (percentage of pupils)</t>
  </si>
  <si>
    <t>Table 16a: Membership and volunteering in Carmarthenshire (percentage of pupils)</t>
  </si>
  <si>
    <t>Sport club membership</t>
  </si>
  <si>
    <t>Member of a sports club</t>
  </si>
  <si>
    <t>Coaching and Volunteering</t>
  </si>
  <si>
    <t>Receives coaching or training in Welsh in a club outside of school</t>
  </si>
  <si>
    <t>Volunteers or helps with a sport at school or in your community</t>
  </si>
  <si>
    <t>Table 16b: Membership and volunteering in Carmarthenshire (percentage of pupils)</t>
  </si>
  <si>
    <t>Table P1: Time allocated for curricular Physical Education (PE) in Carmarthenshire - Years 3 to 6</t>
  </si>
  <si>
    <t>Average (mean) total number of minutes dedicated to PE per week</t>
  </si>
  <si>
    <t xml:space="preserve">Percentage of schools who said some of their allocated PE time is spent elsewhere (E.g. for pupils to get changed, setting up the session, for example) </t>
  </si>
  <si>
    <t>Base: total number of survey responses in Wales is 773</t>
  </si>
  <si>
    <t>Base: total number of survey responses in Regional Sport Partnership: West Wales is 173</t>
  </si>
  <si>
    <t>Base: total number of survey responses in Carmarthenshire is 75</t>
  </si>
  <si>
    <t>Table P2: Curricular (PE) provision to pupils in school years 3 to 6 in Carmarthenshire, by sport (percentage of schools)</t>
  </si>
  <si>
    <t>Activity is provided for any of year groups 3-6</t>
  </si>
  <si>
    <t>Activity is provided for all year groups 3-6</t>
  </si>
  <si>
    <t>Activities provided: Year 3 groups</t>
  </si>
  <si>
    <t>Activities provided: Year 4 groups</t>
  </si>
  <si>
    <t>Activities provided: Year 5 groups</t>
  </si>
  <si>
    <t>Activities provided: Year 6 groups</t>
  </si>
  <si>
    <t>Health, Fitness and Well-Being Activities</t>
  </si>
  <si>
    <t>Aerobics</t>
  </si>
  <si>
    <t>Circuit activities</t>
  </si>
  <si>
    <t>Cross-country / Distance running</t>
  </si>
  <si>
    <t>Daily Active Offer / Daily Mile</t>
  </si>
  <si>
    <t>Judo / Martial Arts</t>
  </si>
  <si>
    <t>Skipping</t>
  </si>
  <si>
    <t>Step Aerobics</t>
  </si>
  <si>
    <t>Swimming (including competitive and play)</t>
  </si>
  <si>
    <t>Weight training</t>
  </si>
  <si>
    <t>Yoga</t>
  </si>
  <si>
    <t>Competitive Activities</t>
  </si>
  <si>
    <t>Baseball / Rounders / Softball</t>
  </si>
  <si>
    <t>Bowls</t>
  </si>
  <si>
    <t>Hockey</t>
  </si>
  <si>
    <t>Multi Skills</t>
  </si>
  <si>
    <t>Rugby League</t>
  </si>
  <si>
    <t>Rugby Union</t>
  </si>
  <si>
    <t>Table Tennis</t>
  </si>
  <si>
    <t>Tennis / Short Tennis</t>
  </si>
  <si>
    <t>Waterpolo</t>
  </si>
  <si>
    <t>Creative Activities</t>
  </si>
  <si>
    <t>Synchronized Swimming</t>
  </si>
  <si>
    <t>Adventurous Activities</t>
  </si>
  <si>
    <t>Canoeing</t>
  </si>
  <si>
    <t>Kayaking</t>
  </si>
  <si>
    <t>Orienteering</t>
  </si>
  <si>
    <t>Open Water Swimming</t>
  </si>
  <si>
    <t>Snow sports</t>
  </si>
  <si>
    <t>Table P3: Extracurricular provision to pupils in school years 3 to 6 in Carmarthenshire, by sport (percentage of schools)</t>
  </si>
  <si>
    <t>Mixed Sessions</t>
  </si>
  <si>
    <t>Male Only Sessions</t>
  </si>
  <si>
    <t>Female only Sessions</t>
  </si>
  <si>
    <t>Table P4: Factors affecting curricular sport provision in Carmarthenshire (percentage of schools)</t>
  </si>
  <si>
    <t>Which of the following factors influence which sports are offered at your school as part of curriculum P.E.?</t>
  </si>
  <si>
    <t>The sports facilities available at the school or in the community</t>
  </si>
  <si>
    <t>Access to the necessary sport equipment</t>
  </si>
  <si>
    <t>Staff skills</t>
  </si>
  <si>
    <t>Staff preference</t>
  </si>
  <si>
    <t>Previous staff training</t>
  </si>
  <si>
    <t>Pupil preference</t>
  </si>
  <si>
    <t>Historical precedence (i.e. we've always done it)</t>
  </si>
  <si>
    <t>Opportunities to compete locally</t>
  </si>
  <si>
    <t>Staff capacity</t>
  </si>
  <si>
    <t>Additional support</t>
  </si>
  <si>
    <t>Table P5: Provision for pupils with a Disability or Additional Learning Need in Carmarthenshire (percentage of schools)</t>
  </si>
  <si>
    <t>Is there the opportunity for disabled pupils/pupils with an impairment or Additional Learning Need (ALN) to participate in P.E. lessons</t>
  </si>
  <si>
    <t>Yes, all of the time</t>
  </si>
  <si>
    <t>Yes, some of the time</t>
  </si>
  <si>
    <t>No, but they attend specific sessions in that time (e.g. a physiotherapist attends the school)</t>
  </si>
  <si>
    <t>No, they do not participate in P.E. lessons at the school</t>
  </si>
  <si>
    <t>Do you have accessible space in school to deliver all activities inclusively for disabled pupils/pupils with an impairment or Additional Learning Need (ALN)?</t>
  </si>
  <si>
    <t>Yes</t>
  </si>
  <si>
    <t>No</t>
  </si>
  <si>
    <t>Are you confident in modifying planned task and activities to meaningfully include disabled pupils/pupils with impairment or Additional Learning Need (ALN)?</t>
  </si>
  <si>
    <t>Do you have the equipment in school which enables inclusion of disabled pupils/pupils with impairment or Additional Learning Need (ALN)?</t>
  </si>
  <si>
    <t>Do you use additional people to support inclusion of disabled pupils/pupils with impairment or Additional Learning Need (ALN) within PE sessions?</t>
  </si>
  <si>
    <t>Table P6: Opinions of PE provision, resources and support in Carmarthenshire (percentage of schools)</t>
  </si>
  <si>
    <t>Agree strongly</t>
  </si>
  <si>
    <t>Agree slightly</t>
  </si>
  <si>
    <t>Neither agree nor disagree</t>
  </si>
  <si>
    <t>Disagree slightly</t>
  </si>
  <si>
    <t>Disagree strongly</t>
  </si>
  <si>
    <t>Don't know</t>
  </si>
  <si>
    <t>Physical literacy</t>
  </si>
  <si>
    <t>The teachers at my school understand the term ‘physical literacy’</t>
  </si>
  <si>
    <t>My school regards physical literacy to be as important as numeracy and literacy</t>
  </si>
  <si>
    <t>The 2021-22 cohort of pupils at the school are motivated when they take part in P.E. and sport</t>
  </si>
  <si>
    <t>The 2021-22 cohort of pupils at the school are confident taking part in P.E.</t>
  </si>
  <si>
    <t>Resources for PE</t>
  </si>
  <si>
    <t>More time should be devoted to P.E at my school</t>
  </si>
  <si>
    <t>More time should be devoted to extracurricular sport at my school</t>
  </si>
  <si>
    <t>There are enough staff available to teach P.E. at my school</t>
  </si>
  <si>
    <t>There are enough staff available to teach extracurricular sport at my school</t>
  </si>
  <si>
    <t>There is sufficient financial support available for extracurricular sport at my school</t>
  </si>
  <si>
    <t>Training and CPD</t>
  </si>
  <si>
    <t>I am satisfied with the quality of continuous professional development (CPD) available to staff regarding P.E. provision at my school</t>
  </si>
  <si>
    <t>Our staff are released to undertake sufficient CPD for P.E. and sport</t>
  </si>
  <si>
    <t>Our staff are confident in delivery quality P.E. lessons</t>
  </si>
  <si>
    <t>Our staff are confident in their ability to teach P.E. within the new curriculum</t>
  </si>
  <si>
    <t>Our staff members have enough support/CPD to effectively engage with pupils with a disability and/or impairments, or additional learning needs (ALN) when delivering P.E. and sport</t>
  </si>
  <si>
    <t>Our staff have sufficient health and safety knowledge to safely deliver P.E. and sport</t>
  </si>
  <si>
    <t>Facilities and equipment</t>
  </si>
  <si>
    <t>The changing rooms at my school are of high-quality</t>
  </si>
  <si>
    <t>The schools’ sports facilities are of high-quality</t>
  </si>
  <si>
    <t>The school has access to sufficient facilities to provide quality P.E. and sport</t>
  </si>
  <si>
    <t>The school has access to sufficient equipment to provide quality P.E. and sport</t>
  </si>
  <si>
    <t>The quality of P.E. delivery at my school is high</t>
  </si>
  <si>
    <t>Table P7: Facilities at your School in Carmarthenshire (percentage of schools)</t>
  </si>
  <si>
    <t>Facilities used during previous 12 months by schools</t>
  </si>
  <si>
    <t>Facilities Owned by Schools</t>
  </si>
  <si>
    <t>School-owned facilities frequently used by pupils</t>
  </si>
  <si>
    <t>School-Owned facilities available for public use</t>
  </si>
  <si>
    <t>Indoor Sport Facilities</t>
  </si>
  <si>
    <t>Main sports hall (markings for at least 3 badminton courts)</t>
  </si>
  <si>
    <t>Activity hall (multi-purpose room e.g. assembly hall)</t>
  </si>
  <si>
    <t>Studio (often with mirrored wall and sprung floor)</t>
  </si>
  <si>
    <t>Gym/health and fitness suite</t>
  </si>
  <si>
    <t>Indoor tennis courts</t>
  </si>
  <si>
    <t>Squash courts</t>
  </si>
  <si>
    <t>Main swimming pool (at least 15m in length)</t>
  </si>
  <si>
    <t>Learner swimming pool (less than 15m in length)</t>
  </si>
  <si>
    <t>Changing rooms (indoor)</t>
  </si>
  <si>
    <t>Outdoor Sport Facilities</t>
  </si>
  <si>
    <t>Artificial pitch (3G/4G) with floodlights</t>
  </si>
  <si>
    <t>Artificial pitch (3G/4G) without floodlights</t>
  </si>
  <si>
    <t>Artificial pitch (sand based) with floodlights</t>
  </si>
  <si>
    <t>Artificial pitch (sand based) without floodlights</t>
  </si>
  <si>
    <t>Multi-use games area (MUGA) with floodlights</t>
  </si>
  <si>
    <t>Multi-use games area (MUGA) without floodlights</t>
  </si>
  <si>
    <t>Sports pitch with markings</t>
  </si>
  <si>
    <t>Playing field</t>
  </si>
  <si>
    <t>Outdoor tennis court(s)</t>
  </si>
  <si>
    <t>Running track (permanent)</t>
  </si>
  <si>
    <t>Cricket pitch</t>
  </si>
  <si>
    <t>Changing rooms (outdoor)</t>
  </si>
  <si>
    <t>Table P8: Life skills - Swimming in Carmarthenshire (percentage of schools)</t>
  </si>
  <si>
    <t>Years 3-6</t>
  </si>
  <si>
    <t>Who delivers your swimming lessons?</t>
  </si>
  <si>
    <t>Teachers from your school (P.E. specialists)</t>
  </si>
  <si>
    <t>Teachers from your school (not P.E. specialists)</t>
  </si>
  <si>
    <t>Learning Support Assistants from your school</t>
  </si>
  <si>
    <t>Lifeguards</t>
  </si>
  <si>
    <t>Qualified swimming teachers not based in school</t>
  </si>
  <si>
    <t>We did not deliver swimming in the current academic year at the school</t>
  </si>
  <si>
    <t>On average, on how many weeks do pupils get to experience curricular swimming during an academic year?</t>
  </si>
  <si>
    <t>0</t>
  </si>
  <si>
    <t>1 to 5</t>
  </si>
  <si>
    <t>6 to 10</t>
  </si>
  <si>
    <t>11 to 15</t>
  </si>
  <si>
    <t>16 to 20</t>
  </si>
  <si>
    <t>20+</t>
  </si>
  <si>
    <t>Generally, how is swimming delivered to pupils at the school?</t>
  </si>
  <si>
    <t>A series of intensive lessons (pupils attend swimming more than twice in one week)</t>
  </si>
  <si>
    <t>Weekly lessons as part of curricular P.E.</t>
  </si>
  <si>
    <t>Less frequent lessons</t>
  </si>
  <si>
    <t>There is not a set pattern of delivery</t>
  </si>
  <si>
    <t>Table P9: Life skills - Cycling in Carmarthenshire (percentage of schools)</t>
  </si>
  <si>
    <t>Year 3</t>
  </si>
  <si>
    <t>Year 4</t>
  </si>
  <si>
    <t>Year 5</t>
  </si>
  <si>
    <t>Year 6</t>
  </si>
  <si>
    <t>National Standards Cycle Training</t>
  </si>
  <si>
    <t>Pupils able to access National Standards Cycle Training - Level 1 &amp; Level 2 Combined</t>
  </si>
  <si>
    <t>Pupils able to access National Standards Cycle Training - Level 1</t>
  </si>
  <si>
    <t>Pupils able to access National Standards Cycle Training - Level 2</t>
  </si>
  <si>
    <t>Were there sufficient National Cycle Training Places available to meet the demand at your school?</t>
  </si>
  <si>
    <t>NA</t>
  </si>
  <si>
    <t>Was there sufficient cycling equipment to meet training demand?</t>
  </si>
  <si>
    <t>Who Provided the required equipment for National Standards Cycle Training? (Tick all that apply)</t>
  </si>
  <si>
    <t>Pupils provide their own</t>
  </si>
  <si>
    <t>School</t>
  </si>
  <si>
    <t>Charity Group</t>
  </si>
  <si>
    <t>Local Authority</t>
  </si>
  <si>
    <t>National Governing Body</t>
  </si>
  <si>
    <t>NA - Question was not asked for each year group.</t>
  </si>
  <si>
    <t>Table S1: Time allocated for curricular Physical Education (PE) in Carmarthenshire - Years 7 to 11</t>
  </si>
  <si>
    <t>Base: total number of survey responses in Wales is 182</t>
  </si>
  <si>
    <t>Base: total number of survey responses in Regional Sport Partnership: West Wales is 37</t>
  </si>
  <si>
    <t>Base: total number of survey responses in Carmarthenshire is 12</t>
  </si>
  <si>
    <t>Table S2: Curricular (PE) provision to pupils in school years 7 to 11 in Carmarthenshire, by sport (percentage of schools)</t>
  </si>
  <si>
    <t>Activity is provided for any of year groups 7-11</t>
  </si>
  <si>
    <t>Activity is provided for all year groups 7-11</t>
  </si>
  <si>
    <t>Activities provided: Year 7 groups</t>
  </si>
  <si>
    <t>Activities provided: Year 8 groups</t>
  </si>
  <si>
    <t>Activities provided: Year 9 groups</t>
  </si>
  <si>
    <t>Activities provided: Year 10 groups</t>
  </si>
  <si>
    <t>Activities provided: Year 11 groups</t>
  </si>
  <si>
    <t>Table S3: Extracurricular provision to pupils in school years 7 to 11 in Carmarthenshire, by sport (percentage of schools)</t>
  </si>
  <si>
    <t>Table S4: Factors affecting curricular sport provision in Carmarthenshire (percentage of schools)</t>
  </si>
  <si>
    <t>Table S5: Provision for pupils with a Disability or Additional Learning Need in Carmarthenshire (percentage of schools)</t>
  </si>
  <si>
    <t>Table S6: Opinions of PE provision, resources and support in Carmarthenshire (percentage of schools)</t>
  </si>
  <si>
    <t>Table S7: Facilities at your School in Carmarthenshire (percentage of schools)</t>
  </si>
  <si>
    <t>Table S8: Life skills - Swimming in Carmarthenshire (percentage of schools)</t>
  </si>
  <si>
    <t>Years 7-11</t>
  </si>
  <si>
    <t>Table S9: Life skills - Cycling in Carmarthenshire (percentage of schools)</t>
  </si>
  <si>
    <t>Year 7</t>
  </si>
  <si>
    <t>Year 8</t>
  </si>
  <si>
    <t>Year 9</t>
  </si>
  <si>
    <t>Year 10</t>
  </si>
  <si>
    <t>Year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</si>
</sst>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font>
      <sz val="12"/>
      <color rgb="FF000000"/>
      <name val="Arial"/>
    </font>
    <font>
      <b/>
      <sz val="16"/>
      <color rgb="FF000000"/>
      <name val="Arial"/>
    </font>
    <font>
      <b/>
      <sz val="12"/>
      <color rgb="FF000000"/>
      <name val="Arial"/>
    </font>
    <font>
      <i/>
      <sz val="12"/>
      <color rgb="FF000000"/>
      <name val="Arial"/>
    </font>
    <font>
      <u/>
      <sz val="12"/>
      <color theme="10"/>
      <name val="Arial"/>
    </font>
    <font>
      <vertAlign val="superscript"/>
      <sz val="12"/>
      <name val="Arial"/>
    </font>
  </fonts>
  <fills count="4">
    <fill>
      <patternFill patternType="none"/>
    </fill>
    <fill>
      <patternFill patternType="gray125"/>
    </fill>
    <fill>
      <patternFill patternType="solid">
        <fgColor rgb="FFD9D9D9"/>
      </patternFill>
    </fill>
    <fill>
      <patternFill patternType="solid">
        <fgColor rgb="FFFFFFFF"/>
      </patternFill>
    </fill>
  </fills>
  <borders count="8">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0">
    <xf numFmtId="0" fontId="0" fillId="0" borderId="0" xfId="0"/>
    <xf numFmtId="0" fontId="1" fillId="0" borderId="0" xfId="0" applyFont="1" applyAlignment="1">
      <alignment horizontal="left" vertical="center"/>
    </xf>
    <xf numFmtId="0" fontId="0" fillId="2" borderId="0" xfId="0" applyFill="1"/>
    <xf numFmtId="0" fontId="2" fillId="2" borderId="0" xfId="0" applyFont="1" applyFill="1"/>
    <xf numFmtId="0" fontId="2" fillId="0" borderId="0" xfId="0" applyFont="1" applyAlignment="1">
      <alignment wrapText="1"/>
    </xf>
    <xf numFmtId="0" fontId="0" fillId="0" borderId="0" xfId="0" applyAlignment="1">
      <alignment wrapText="1"/>
    </xf>
    <xf numFmtId="0" fontId="2" fillId="0" borderId="0" xfId="0" applyFont="1" applyAlignment="1">
      <alignment horizontal="center" wrapText="1"/>
    </xf>
    <xf numFmtId="0" fontId="2" fillId="0" borderId="1" xfId="0" applyFont="1" applyBorder="1" applyAlignment="1">
      <alignment horizontal="left" wrapText="1"/>
    </xf>
    <xf numFmtId="0" fontId="2" fillId="0" borderId="1" xfId="0" applyFont="1" applyBorder="1" applyAlignment="1">
      <alignment horizontal="center" wrapText="1"/>
    </xf>
    <xf numFmtId="0" fontId="0" fillId="0" borderId="1" xfId="0" applyBorder="1"/>
    <xf numFmtId="0" fontId="1" fillId="0" borderId="2" xfId="0" applyFont="1" applyBorder="1" applyAlignment="1">
      <alignment horizontal="left" vertical="center"/>
    </xf>
    <xf numFmtId="0" fontId="0" fillId="0" borderId="3" xfId="0" applyBorder="1"/>
    <xf numFmtId="0" fontId="0" fillId="0" borderId="2" xfId="0" applyBorder="1"/>
    <xf numFmtId="3" fontId="0" fillId="0" borderId="0" xfId="0" applyNumberFormat="1"/>
    <xf numFmtId="3" fontId="0" fillId="0" borderId="2" xfId="0" applyNumberFormat="1" applyBorder="1"/>
    <xf numFmtId="164" fontId="0" fillId="0" borderId="0" xfId="0" applyNumberFormat="1"/>
    <xf numFmtId="164" fontId="0" fillId="0" borderId="2" xfId="0" applyNumberFormat="1" applyBorder="1"/>
    <xf numFmtId="165" fontId="0" fillId="0" borderId="1" xfId="0" applyNumberFormat="1" applyBorder="1"/>
    <xf numFmtId="165" fontId="0" fillId="0" borderId="3" xfId="0" applyNumberFormat="1" applyBorder="1"/>
    <xf numFmtId="3" fontId="0" fillId="0" borderId="0" xfId="0" applyNumberFormat="1" applyAlignment="1">
      <alignment horizontal="right"/>
    </xf>
    <xf numFmtId="164" fontId="0" fillId="0" borderId="0" xfId="0" applyNumberFormat="1" applyAlignment="1">
      <alignment horizontal="right"/>
    </xf>
    <xf numFmtId="165" fontId="0" fillId="0" borderId="1" xfId="0" applyNumberFormat="1" applyBorder="1" applyAlignment="1">
      <alignment horizontal="right"/>
    </xf>
    <xf numFmtId="0" fontId="2" fillId="0" borderId="1" xfId="0" applyFont="1" applyBorder="1"/>
    <xf numFmtId="0" fontId="3" fillId="0" borderId="1" xfId="0" applyFont="1" applyBorder="1"/>
    <xf numFmtId="164" fontId="0" fillId="0" borderId="1" xfId="0" applyNumberFormat="1" applyBorder="1"/>
    <xf numFmtId="164" fontId="0" fillId="0" borderId="3" xfId="0" applyNumberFormat="1" applyBorder="1"/>
    <xf numFmtId="164" fontId="0" fillId="0" borderId="1" xfId="0" applyNumberFormat="1" applyBorder="1" applyAlignment="1">
      <alignment horizontal="right"/>
    </xf>
    <xf numFmtId="0" fontId="4" fillId="0" borderId="0" xfId="0" applyFont="1"/>
    <xf numFmtId="164" fontId="0" fillId="0" borderId="2" xfId="0" applyNumberFormat="1" applyBorder="1" applyAlignment="1">
      <alignment horizontal="right"/>
    </xf>
    <xf numFmtId="164" fontId="0" fillId="0" borderId="3" xfId="0" applyNumberFormat="1" applyBorder="1" applyAlignment="1">
      <alignment horizontal="right"/>
    </xf>
    <xf numFmtId="0" fontId="0" fillId="0" borderId="0" xfId="0" applyAlignment="1">
      <alignment horizontal="center" wrapText="1"/>
    </xf>
    <xf numFmtId="0" fontId="2" fillId="0" borderId="4" xfId="0" applyFont="1" applyBorder="1" applyAlignment="1">
      <alignment horizontal="center" wrapText="1"/>
    </xf>
    <xf numFmtId="164" fontId="0" fillId="0" borderId="4" xfId="0" applyNumberFormat="1" applyBorder="1"/>
    <xf numFmtId="164" fontId="0" fillId="0" borderId="5" xfId="0" applyNumberFormat="1" applyBorder="1"/>
    <xf numFmtId="0" fontId="2" fillId="0" borderId="6" xfId="0" applyFont="1" applyBorder="1" applyAlignment="1">
      <alignment horizontal="center" wrapText="1"/>
    </xf>
    <xf numFmtId="164" fontId="0" fillId="0" borderId="6" xfId="0" applyNumberFormat="1" applyBorder="1"/>
    <xf numFmtId="164" fontId="0" fillId="0" borderId="7" xfId="0" applyNumberFormat="1" applyBorder="1"/>
    <xf numFmtId="0" fontId="0" fillId="0" borderId="4" xfId="0" applyBorder="1"/>
    <xf numFmtId="164" fontId="0" fillId="0" borderId="4" xfId="0" applyNumberFormat="1" applyBorder="1" applyAlignment="1">
      <alignment horizontal="right"/>
    </xf>
    <xf numFmtId="0" fontId="2" fillId="0" borderId="1" xfId="0" applyFont="1" applyBorder="1" applyAlignment="1">
      <alignment wrapText="1"/>
    </xf>
    <xf numFmtId="0" fontId="1" fillId="3" borderId="0" xfId="0" applyFont="1" applyFill="1" applyAlignment="1">
      <alignment horizontal="left" vertical="center"/>
    </xf>
    <xf numFmtId="0" fontId="2" fillId="3" borderId="0" xfId="0" applyFont="1" applyFill="1" applyAlignment="1">
      <alignment horizontal="left" vertical="top"/>
    </xf>
    <xf numFmtId="0" fontId="4" fillId="3" borderId="0" xfId="0" applyFont="1" applyFill="1" applyAlignment="1">
      <alignment vertical="top"/>
    </xf>
    <xf numFmtId="0" fontId="0" fillId="3" borderId="1" xfId="0" applyFill="1" applyBorder="1"/>
    <xf numFmtId="0" fontId="0" fillId="2" borderId="1" xfId="0" applyFill="1" applyBorder="1"/>
    <xf numFmtId="0" fontId="0" fillId="3" borderId="1" xfId="0" applyFill="1" applyBorder="1" applyAlignment="1">
      <alignment vertical="top"/>
    </xf>
    <xf numFmtId="0" fontId="4" fillId="3" borderId="2" xfId="0" applyFont="1" applyFill="1" applyBorder="1" applyAlignment="1">
      <alignment vertical="top"/>
    </xf>
    <xf numFmtId="0" fontId="0" fillId="3" borderId="3" xfId="0" applyFill="1" applyBorder="1"/>
    <xf numFmtId="0" fontId="0" fillId="3" borderId="3" xfId="0" applyFill="1" applyBorder="1" applyAlignment="1">
      <alignment vertical="top"/>
    </xf>
    <xf numFmtId="0" fontId="2" fillId="3"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echnicalinformation" displayName="technicalinformation" ref="A2:B7" totalsRowShown="0">
  <tableColumns count="2">
    <tableColumn id="1" xr3:uid="{00000000-0010-0000-0000-000001000000}" name="Notes"/>
    <tableColumn id="2" xr3:uid="{00000000-0010-0000-0000-000002000000}" name=" "/>
  </tableColumns>
  <tableStyleInfo name="none" showFirstColumn="0" showLastColumn="0" showRowStripes="1" showColumnStripes="0"/>
  <extLst>
    <ext xmlns:x14="http://schemas.microsoft.com/office/spreadsheetml/2009/9/main" uri="{504A1905-F514-4f6f-8877-14C23A59335A}">
      <x14:table altText="Technical Information" altTextSummary="Table with 2 columns._x000d__x000a__x000d__x000a_Column A shows a list of headings._x000d__x000a__x000d__x000a_Column B shows a description of each heading in column A._x000d__x000a__x000d__x000a_Two tables that describe the quality of the dat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sample" displayName="sample" ref="A2:E66" totalsRowShown="0">
  <tableColumns count="5">
    <tableColumn id="1" xr3:uid="{00000000-0010-0000-0100-000001000000}" name="Breakdown"/>
    <tableColumn id="2" xr3:uid="{00000000-0010-0000-0100-000002000000}" name="Unweighted sample size"/>
    <tableColumn id="3" xr3:uid="{00000000-0010-0000-0100-000003000000}" name="Population size"/>
    <tableColumn id="4" xr3:uid="{00000000-0010-0000-0100-000004000000}" name="Response rate"/>
    <tableColumn id="5" xr3:uid="{00000000-0010-0000-0100-000005000000}" name="Margin of error"/>
  </tableColumns>
  <tableStyleInfo name="none" showFirstColumn="0" showLastColumn="0" showRowStripes="1" showColumnStripes="0"/>
  <extLst>
    <ext xmlns:x14="http://schemas.microsoft.com/office/spreadsheetml/2009/9/main" uri="{504A1905-F514-4f6f-8877-14C23A59335A}">
      <x14:table altText="Sample" altTextSummary="Two tables that describe the quality of the data._x000d__x000a__x000d__x000a_Table 1 shows data indicating the quality of the data. Table 1 has 5 columns._x000d__x000a__x000d__x000a_Column A shows a list of demographic groups._x000d__x000a__x000d__x000a_Columns B to D show different population sizes. Column E shows the Margin of Error within the data._x000d__x000a__x000d__x000a_Table 2 shows a key for the quality of the data throughout the document._x000d__x000a__x000d__x000a_Column A shows a list of letters._x000d__x000a__x000d__x000a_Column B shows the corresponding categories of data quality._x000d__x000a_Table with 6 column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1" displayName="table1" ref="A2:G61" totalsRowShown="0">
  <tableColumns count="7">
    <tableColumn id="1" xr3:uid="{00000000-0010-0000-0200-000001000000}" name=" "/>
    <tableColumn id="2" xr3:uid="{00000000-0010-0000-0200-000002000000}" name="% of pupils who participate in at least three occasions of sport per week"/>
    <tableColumn id="3" xr3:uid="{00000000-0010-0000-0200-000003000000}" name="% of pupils who enjoy PE lessons 'a lot'"/>
    <tableColumn id="4" xr3:uid="{00000000-0010-0000-0200-000004000000}" name="% of pupils who are confident in trying new sports"/>
    <tableColumn id="5" xr3:uid="{00000000-0010-0000-0200-000005000000}" name="% of pupils who think PE lessons and school sport help them 'a lot' to have a healthy lifestyle"/>
    <tableColumn id="6" xr3:uid="{00000000-0010-0000-0200-000006000000}" name="% of pupils who think that pupils' ideas about PE and school sport are listened to 'always'"/>
    <tableColumn id="7" xr3:uid="{00000000-0010-0000-0200-000007000000}" name="% of pupils who participate in sport in a community club at least once per week"/>
  </tableColumns>
  <tableStyleInfo name="none" showFirstColumn="0" showLastColumn="0" showRowStripes="1" showColumnStripes="0"/>
  <extLst>
    <ext xmlns:x14="http://schemas.microsoft.com/office/spreadsheetml/2009/9/main" uri="{504A1905-F514-4f6f-8877-14C23A59335A}">
      <x14:table altText="Table 1" altTextSummary="Table with 6 columns._x000d__x000a__x000d__x000a_Column A shows a list of demographic groups._x000d__x000a__x000d__x000a_Columns B to G show data from key questions from the survey._x000d__x000a__x000d__x000a_Additional technical notes and a link to the contents page sit beneath the table._x000d__x000a_Table with 5 column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2" displayName="table2" ref="A2:E61" totalsRowShown="0">
  <tableColumns count="5">
    <tableColumn id="1" xr3:uid="{00000000-0010-0000-0300-000001000000}" name=" "/>
    <tableColumn id="2" xr3:uid="{00000000-0010-0000-0300-000002000000}" name="No frequent activity"/>
    <tableColumn id="3" xr3:uid="{00000000-0010-0000-0300-000003000000}" name="Once per week"/>
    <tableColumn id="4" xr3:uid="{00000000-0010-0000-0300-000004000000}" name="Twice per week"/>
    <tableColumn id="5" xr3:uid="{00000000-0010-0000-0300-000005000000}" name="Three times a week or more"/>
  </tableColumns>
  <tableStyleInfo name="none" showFirstColumn="0" showLastColumn="0" showRowStripes="1" showColumnStripes="0"/>
  <extLst>
    <ext xmlns:x14="http://schemas.microsoft.com/office/spreadsheetml/2009/9/main" uri="{504A1905-F514-4f6f-8877-14C23A59335A}">
      <x14:table altText="Table 2" altTextSummary="Table with 5 columns._x000d__x000a__x000d__x000a_Column A shows a list of demographic groups._x000d__x000a__x000d__x000a_Columns B to E show the proportion of pupils participating in sport or activity across 4 levels of frequency. The levels are No frequent activity, participation once per week, participation twice per week and participation three or more times per week._x000d__x000a__x000d__x000a_Additional technical notes and a link to the contents page sit beneath the table._x000d__x000a_Table with 16 column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3" displayName="table3" ref="A2:P92" totalsRowShown="0">
  <tableColumns count="16">
    <tableColumn id="1" xr3:uid="{00000000-0010-0000-0400-000001000000}" name=" "/>
    <tableColumn id="2" xr3:uid="{00000000-0010-0000-0400-000002000000}" name="All"/>
    <tableColumn id="3" xr3:uid="{00000000-0010-0000-0400-000003000000}" name="All:_x000a_Years 3 to 6"/>
    <tableColumn id="4" xr3:uid="{00000000-0010-0000-0400-000004000000}" name="All:_x000a_Years 7 to 11"/>
    <tableColumn id="5" xr3:uid="{00000000-0010-0000-0400-000005000000}" name="Boy"/>
    <tableColumn id="6" xr3:uid="{00000000-0010-0000-0400-000006000000}" name="Boy:_x000a_Years 3 to 6"/>
    <tableColumn id="7" xr3:uid="{00000000-0010-0000-0400-000007000000}" name="Boy:_x000a_Years 7 to 11"/>
    <tableColumn id="8" xr3:uid="{00000000-0010-0000-0400-000008000000}" name="Girl"/>
    <tableColumn id="9" xr3:uid="{00000000-0010-0000-0400-000009000000}" name="Girl:_x000a_Years 3 to 6"/>
    <tableColumn id="10" xr3:uid="{00000000-0010-0000-0400-00000A000000}" name="Girl:_x000a_Years 7 to 11"/>
    <tableColumn id="11" xr3:uid="{00000000-0010-0000-0400-00000B000000}" name="Pupils identifying as 'Other'"/>
    <tableColumn id="12" xr3:uid="{00000000-0010-0000-0400-00000C000000}" name="Pupils identifying as 'Other':_x000a_Years 3 to 6"/>
    <tableColumn id="13" xr3:uid="{00000000-0010-0000-0400-00000D000000}" name="Pupils identifying as 'Other':_x000a_Years 7 to 11"/>
    <tableColumn id="14" xr3:uid="{00000000-0010-0000-0400-00000E000000}" name="I do not want to say"/>
    <tableColumn id="15" xr3:uid="{00000000-0010-0000-0400-00000F000000}" name="I do not want to say:_x000a_Years 3 to 6"/>
    <tableColumn id="16" xr3:uid="{00000000-0010-0000-04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3"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5 column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4" displayName="table4" ref="A2:E92" totalsRowShown="0">
  <tableColumns count="5">
    <tableColumn id="1" xr3:uid="{00000000-0010-0000-0500-000001000000}" name=" "/>
    <tableColumn id="2" xr3:uid="{00000000-0010-0000-0500-000002000000}" name="No frequent activity"/>
    <tableColumn id="3" xr3:uid="{00000000-0010-0000-0500-000003000000}" name="Once per week"/>
    <tableColumn id="4" xr3:uid="{00000000-0010-0000-0500-000004000000}" name="Twice per week"/>
    <tableColumn id="5" xr3:uid="{00000000-0010-0000-0500-000005000000}" name="Three times a week or more"/>
  </tableColumns>
  <tableStyleInfo name="none" showFirstColumn="0" showLastColumn="0" showRowStripes="1" showColumnStripes="0"/>
  <extLst>
    <ext xmlns:x14="http://schemas.microsoft.com/office/spreadsheetml/2009/9/main" uri="{504A1905-F514-4f6f-8877-14C23A59335A}">
      <x14:table altText="Table 4" altTextSummary="Table with 5 columns._x000d__x000a__x000d__x000a_Column A shows a list of geographic levels. These levels are National, Regional Sport Partnership Areas, Local Authority and Schools._x000d__x000a__x000d__x000a_Column B, Column C, Column D and Column E show the proportion of pupils participating at each level of frequency. The levels are No frequent activity, participation once per week, twice per week and three or more times per week._x000d__x000a__x000d__x000a_Additional technical notes and a link to the contents page sit beneath the table._x000d__x000a__x000d__x000a_Table with 16 column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5" displayName="table5" ref="A2:P92" totalsRowShown="0">
  <tableColumns count="16">
    <tableColumn id="1" xr3:uid="{00000000-0010-0000-0600-000001000000}" name=" "/>
    <tableColumn id="2" xr3:uid="{00000000-0010-0000-0600-000002000000}" name="All"/>
    <tableColumn id="3" xr3:uid="{00000000-0010-0000-0600-000003000000}" name="All:_x000a_Years 3 to 6"/>
    <tableColumn id="4" xr3:uid="{00000000-0010-0000-0600-000004000000}" name="All:_x000a_Years 7 to 11"/>
    <tableColumn id="5" xr3:uid="{00000000-0010-0000-0600-000005000000}" name="Boy"/>
    <tableColumn id="6" xr3:uid="{00000000-0010-0000-0600-000006000000}" name="Boy:_x000a_Years 3 to 6"/>
    <tableColumn id="7" xr3:uid="{00000000-0010-0000-0600-000007000000}" name="Boy:_x000a_Years 7 to 11"/>
    <tableColumn id="8" xr3:uid="{00000000-0010-0000-0600-000008000000}" name="Girl"/>
    <tableColumn id="9" xr3:uid="{00000000-0010-0000-0600-000009000000}" name="Girl:_x000a_Years 3 to 6"/>
    <tableColumn id="10" xr3:uid="{00000000-0010-0000-0600-00000A000000}" name="Girl:_x000a_Years 7 to 11"/>
    <tableColumn id="11" xr3:uid="{00000000-0010-0000-0600-00000B000000}" name="Pupils identifying as 'Other'"/>
    <tableColumn id="12" xr3:uid="{00000000-0010-0000-0600-00000C000000}" name="Pupils identifying as 'Other':_x000a_Years 3 to 6"/>
    <tableColumn id="13" xr3:uid="{00000000-0010-0000-0600-00000D000000}" name="Pupils identifying as 'Other':_x000a_Years 7 to 11"/>
    <tableColumn id="14" xr3:uid="{00000000-0010-0000-0600-00000E000000}" name="I do not want to say"/>
    <tableColumn id="15" xr3:uid="{00000000-0010-0000-0600-00000F000000}" name="I do not want to say:_x000a_Years 3 to 6"/>
    <tableColumn id="16" xr3:uid="{00000000-0010-0000-06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5"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6" displayName="table6" ref="A2:P92" totalsRowShown="0">
  <tableColumns count="16">
    <tableColumn id="1" xr3:uid="{00000000-0010-0000-0700-000001000000}" name=" "/>
    <tableColumn id="2" xr3:uid="{00000000-0010-0000-0700-000002000000}" name="All"/>
    <tableColumn id="3" xr3:uid="{00000000-0010-0000-0700-000003000000}" name="All:_x000a_Years 3 to 6"/>
    <tableColumn id="4" xr3:uid="{00000000-0010-0000-0700-000004000000}" name="All:_x000a_Years 7 to 11"/>
    <tableColumn id="5" xr3:uid="{00000000-0010-0000-0700-000005000000}" name="Boy"/>
    <tableColumn id="6" xr3:uid="{00000000-0010-0000-0700-000006000000}" name="Boy:_x000a_Years 3 to 6"/>
    <tableColumn id="7" xr3:uid="{00000000-0010-0000-0700-000007000000}" name="Boy:_x000a_Years 7 to 11"/>
    <tableColumn id="8" xr3:uid="{00000000-0010-0000-0700-000008000000}" name="Girl"/>
    <tableColumn id="9" xr3:uid="{00000000-0010-0000-0700-000009000000}" name="Girl:_x000a_Years 3 to 6"/>
    <tableColumn id="10" xr3:uid="{00000000-0010-0000-0700-00000A000000}" name="Girl:_x000a_Years 7 to 11"/>
    <tableColumn id="11" xr3:uid="{00000000-0010-0000-0700-00000B000000}" name="Pupils identifying as 'Other'"/>
    <tableColumn id="12" xr3:uid="{00000000-0010-0000-0700-00000C000000}" name="Pupils identifying as 'Other':_x000a_Years 3 to 6"/>
    <tableColumn id="13" xr3:uid="{00000000-0010-0000-0700-00000D000000}" name="Pupils identifying as 'Other':_x000a_Years 7 to 11"/>
    <tableColumn id="14" xr3:uid="{00000000-0010-0000-0700-00000E000000}" name="I do not want to say"/>
    <tableColumn id="15" xr3:uid="{00000000-0010-0000-0700-00000F000000}" name="I do not want to say:_x000a_Years 3 to 6"/>
    <tableColumn id="16" xr3:uid="{00000000-0010-0000-07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6"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7a" displayName="table7a" ref="A2:P92" totalsRowShown="0">
  <tableColumns count="16">
    <tableColumn id="1" xr3:uid="{00000000-0010-0000-0800-000001000000}" name=" "/>
    <tableColumn id="2" xr3:uid="{00000000-0010-0000-0800-000002000000}" name="All"/>
    <tableColumn id="3" xr3:uid="{00000000-0010-0000-0800-000003000000}" name="All:_x000a_Years 3 to 6"/>
    <tableColumn id="4" xr3:uid="{00000000-0010-0000-0800-000004000000}" name="All:_x000a_Years 7 to 11"/>
    <tableColumn id="5" xr3:uid="{00000000-0010-0000-0800-000005000000}" name="Boy"/>
    <tableColumn id="6" xr3:uid="{00000000-0010-0000-0800-000006000000}" name="Boy:_x000a_Years 3 to 6"/>
    <tableColumn id="7" xr3:uid="{00000000-0010-0000-0800-000007000000}" name="Boy:_x000a_Years 7 to 11"/>
    <tableColumn id="8" xr3:uid="{00000000-0010-0000-0800-000008000000}" name="Girl"/>
    <tableColumn id="9" xr3:uid="{00000000-0010-0000-0800-000009000000}" name="Girl:_x000a_Years 3 to 6"/>
    <tableColumn id="10" xr3:uid="{00000000-0010-0000-0800-00000A000000}" name="Girl:_x000a_Years 7 to 11"/>
    <tableColumn id="11" xr3:uid="{00000000-0010-0000-0800-00000B000000}" name="Pupils identifying as 'Other'"/>
    <tableColumn id="12" xr3:uid="{00000000-0010-0000-0800-00000C000000}" name="Pupils identifying as 'Other':_x000a_Years 3 to 6"/>
    <tableColumn id="13" xr3:uid="{00000000-0010-0000-0800-00000D000000}" name="Pupils identifying as 'Other':_x000a_Years 7 to 11"/>
    <tableColumn id="14" xr3:uid="{00000000-0010-0000-0800-00000E000000}" name="I do not want to say"/>
    <tableColumn id="15" xr3:uid="{00000000-0010-0000-0800-00000F000000}" name="I do not want to say:_x000a_Years 3 to 6"/>
    <tableColumn id="16" xr3:uid="{00000000-0010-0000-08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7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7b" displayName="table7b" ref="A2:P64" totalsRowShown="0">
  <tableColumns count="16">
    <tableColumn id="1" xr3:uid="{00000000-0010-0000-0900-000001000000}" name=" "/>
    <tableColumn id="2" xr3:uid="{00000000-0010-0000-0900-000002000000}" name="All"/>
    <tableColumn id="3" xr3:uid="{00000000-0010-0000-0900-000003000000}" name="All:_x000a_Years 3 to 6"/>
    <tableColumn id="4" xr3:uid="{00000000-0010-0000-0900-000004000000}" name="All:_x000a_Years 7 to 11"/>
    <tableColumn id="5" xr3:uid="{00000000-0010-0000-0900-000005000000}" name="Boy"/>
    <tableColumn id="6" xr3:uid="{00000000-0010-0000-0900-000006000000}" name="Boy:_x000a_Years 3 to 6"/>
    <tableColumn id="7" xr3:uid="{00000000-0010-0000-0900-000007000000}" name="Boy:_x000a_Years 7 to 11"/>
    <tableColumn id="8" xr3:uid="{00000000-0010-0000-0900-000008000000}" name="Girl"/>
    <tableColumn id="9" xr3:uid="{00000000-0010-0000-0900-000009000000}" name="Girl:_x000a_Years 3 to 6"/>
    <tableColumn id="10" xr3:uid="{00000000-0010-0000-0900-00000A000000}" name="Girl:_x000a_Years 7 to 11"/>
    <tableColumn id="11" xr3:uid="{00000000-0010-0000-0900-00000B000000}" name="Pupils identifying as 'Other'"/>
    <tableColumn id="12" xr3:uid="{00000000-0010-0000-0900-00000C000000}" name="Pupils identifying as 'Other':_x000a_Years 3 to 6"/>
    <tableColumn id="13" xr3:uid="{00000000-0010-0000-0900-00000D000000}" name="Pupils identifying as 'Other':_x000a_Years 7 to 11"/>
    <tableColumn id="14" xr3:uid="{00000000-0010-0000-0900-00000E000000}" name="I do not want to say"/>
    <tableColumn id="15" xr3:uid="{00000000-0010-0000-0900-00000F000000}" name="I do not want to say:_x000a_Years 3 to 6"/>
    <tableColumn id="16" xr3:uid="{00000000-0010-0000-09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7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7 column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7c" displayName="table7c" ref="A2:CM64" totalsRowShown="0">
  <tableColumns count="91">
    <tableColumn id="1" xr3:uid="{00000000-0010-0000-0A00-000001000000}" name=" "/>
    <tableColumn id="2" xr3:uid="{00000000-0010-0000-0A00-000002000000}" name="Wales"/>
    <tableColumn id="3" xr3:uid="{00000000-0010-0000-0A00-000003000000}" name="Regional Sport Partnership: West Wales"/>
    <tableColumn id="4" xr3:uid="{00000000-0010-0000-0A00-000004000000}" name="Carmarthenshire"/>
    <tableColumn id="5" xr3:uid="{00000000-0010-0000-0A00-000005000000}" name="Primary in Carmarthenshire: _x000a_Years 3 to 6"/>
    <tableColumn id="6" xr3:uid="{00000000-0010-0000-0A00-000006000000}" name="Abergwili"/>
    <tableColumn id="7" xr3:uid="{00000000-0010-0000-0A00-000007000000}" name="Bancffosfelen"/>
    <tableColumn id="8" xr3:uid="{00000000-0010-0000-0A00-000008000000}" name="Betws"/>
    <tableColumn id="9" xr3:uid="{00000000-0010-0000-0A00-000009000000}" name="Blaenau"/>
    <tableColumn id="10" xr3:uid="{00000000-0010-0000-0A00-00000A000000}" name="Bro Banw"/>
    <tableColumn id="11" xr3:uid="{00000000-0010-0000-0A00-00000B000000}" name="Bro Brynach"/>
    <tableColumn id="12" xr3:uid="{00000000-0010-0000-0A00-00000C000000}" name="Bryn"/>
    <tableColumn id="13" xr3:uid="{00000000-0010-0000-0A00-00000D000000}" name="Bryn Teg"/>
    <tableColumn id="14" xr3:uid="{00000000-0010-0000-0A00-00000E000000}" name="Brynaman"/>
    <tableColumn id="15" xr3:uid="{00000000-0010-0000-0A00-00000F000000}" name="Brynsierfel"/>
    <tableColumn id="16" xr3:uid="{00000000-0010-0000-0A00-000010000000}" name="Burry Port"/>
    <tableColumn id="17" xr3:uid="{00000000-0010-0000-0A00-000011000000}" name="Bynea"/>
    <tableColumn id="18" xr3:uid="{00000000-0010-0000-0A00-000012000000}" name="Carway"/>
    <tableColumn id="19" xr3:uid="{00000000-0010-0000-0A00-000013000000}" name="Cefneithin"/>
    <tableColumn id="20" xr3:uid="{00000000-0010-0000-0A00-000014000000}" name="Cross Hands"/>
    <tableColumn id="21" xr3:uid="{00000000-0010-0000-0A00-000015000000}" name="Cwrt Henri"/>
    <tableColumn id="22" xr3:uid="{00000000-0010-0000-0A00-000016000000}" name="Cynwyl Elfed"/>
    <tableColumn id="23" xr3:uid="{00000000-0010-0000-0A00-000017000000}" name="Dafen"/>
    <tableColumn id="24" xr3:uid="{00000000-0010-0000-0A00-000018000000}" name="Drefach"/>
    <tableColumn id="25" xr3:uid="{00000000-0010-0000-0A00-000019000000}" name="Ferryside"/>
    <tableColumn id="26" xr3:uid="{00000000-0010-0000-0A00-00001A000000}" name="Ffairfach"/>
    <tableColumn id="27" xr3:uid="{00000000-0010-0000-0A00-00001B000000}" name="Ffwrnes"/>
    <tableColumn id="28" xr3:uid="{00000000-0010-0000-0A00-00001C000000}" name="Gorslas"/>
    <tableColumn id="29" xr3:uid="{00000000-0010-0000-0A00-00001D000000}" name="Griffith Jones"/>
    <tableColumn id="30" xr3:uid="{00000000-0010-0000-0A00-00001E000000}" name="Gwenllian"/>
    <tableColumn id="31" xr3:uid="{00000000-0010-0000-0A00-00001F000000}" name="Gwynfryn"/>
    <tableColumn id="32" xr3:uid="{00000000-0010-0000-0A00-000020000000}" name="Hafodwenog"/>
    <tableColumn id="33" xr3:uid="{00000000-0010-0000-0A00-000021000000}" name="Halfway"/>
    <tableColumn id="34" xr3:uid="{00000000-0010-0000-0A00-000022000000}" name="Hendy"/>
    <tableColumn id="35" xr3:uid="{00000000-0010-0000-0A00-000023000000}" name="Heol Goffa (years 3 to 6)"/>
    <tableColumn id="36" xr3:uid="{00000000-0010-0000-0A00-000024000000}" name="Johnstown"/>
    <tableColumn id="37" xr3:uid="{00000000-0010-0000-0A00-000025000000}" name="Llanddarog"/>
    <tableColumn id="38" xr3:uid="{00000000-0010-0000-0A00-000026000000}" name="Llandeilo"/>
    <tableColumn id="39" xr3:uid="{00000000-0010-0000-0A00-000027000000}" name="Llandybie"/>
    <tableColumn id="40" xr3:uid="{00000000-0010-0000-0A00-000028000000}" name="Llanedi"/>
    <tableColumn id="41" xr3:uid="{00000000-0010-0000-0A00-000029000000}" name="Llangadog"/>
    <tableColumn id="42" xr3:uid="{00000000-0010-0000-0A00-00002A000000}" name="Llangunnor"/>
    <tableColumn id="43" xr3:uid="{00000000-0010-0000-0A00-00002B000000}" name="Llanmiloe"/>
    <tableColumn id="44" xr3:uid="{00000000-0010-0000-0A00-00002C000000}" name="Llannon"/>
    <tableColumn id="45" xr3:uid="{00000000-0010-0000-0A00-00002D000000}" name="Llanpumsaint"/>
    <tableColumn id="46" xr3:uid="{00000000-0010-0000-0A00-00002E000000}" name="Llechyfedach"/>
    <tableColumn id="47" xr3:uid="{00000000-0010-0000-0A00-00002F000000}" name="Llys Hywel"/>
    <tableColumn id="48" xr3:uid="{00000000-0010-0000-0A00-000030000000}" name="Maes y Morfa"/>
    <tableColumn id="49" xr3:uid="{00000000-0010-0000-0A00-000031000000}" name="Model"/>
    <tableColumn id="50" xr3:uid="{00000000-0010-0000-0A00-000032000000}" name="Mynyddygarreg"/>
    <tableColumn id="51" xr3:uid="{00000000-0010-0000-0A00-000033000000}" name="Myrddin"/>
    <tableColumn id="52" xr3:uid="{00000000-0010-0000-0A00-000034000000}" name="Nantgaredig"/>
    <tableColumn id="53" xr3:uid="{00000000-0010-0000-0A00-000035000000}" name="Old Road"/>
    <tableColumn id="54" xr3:uid="{00000000-0010-0000-0A00-000036000000}" name="Parc y Tywyn"/>
    <tableColumn id="55" xr3:uid="{00000000-0010-0000-0A00-000037000000}" name="Parcyrhun"/>
    <tableColumn id="56" xr3:uid="{00000000-0010-0000-0A00-000038000000}" name="Pembrey"/>
    <tableColumn id="57" xr3:uid="{00000000-0010-0000-0A00-000039000000}" name="Peniel"/>
    <tableColumn id="58" xr3:uid="{00000000-0010-0000-0A00-00003A000000}" name="Penygaer"/>
    <tableColumn id="59" xr3:uid="{00000000-0010-0000-0A00-00003B000000}" name="Penygroes"/>
    <tableColumn id="60" xr3:uid="{00000000-0010-0000-0A00-00003C000000}" name="Ponthenri"/>
    <tableColumn id="61" xr3:uid="{00000000-0010-0000-0A00-00003D000000}" name="Pontiets"/>
    <tableColumn id="62" xr3:uid="{00000000-0010-0000-0A00-00003E000000}" name="Pontyberem"/>
    <tableColumn id="63" xr3:uid="{00000000-0010-0000-0A00-00003F000000}" name="Pum Heol"/>
    <tableColumn id="64" xr3:uid="{00000000-0010-0000-0A00-000040000000}" name="Rhydaman"/>
    <tableColumn id="65" xr3:uid="{00000000-0010-0000-0A00-000041000000}" name="Rhys Prichard"/>
    <tableColumn id="66" xr3:uid="{00000000-0010-0000-0A00-000042000000}" name="Saron"/>
    <tableColumn id="67" xr3:uid="{00000000-0010-0000-0A00-000043000000}" name="St Mary's (Llanelli)"/>
    <tableColumn id="68" xr3:uid="{00000000-0010-0000-0A00-000044000000}" name="Talley"/>
    <tableColumn id="69" xr3:uid="{00000000-0010-0000-0A00-000045000000}" name="Teilo Sant"/>
    <tableColumn id="70" xr3:uid="{00000000-0010-0000-0A00-000046000000}" name="Trimsaran"/>
    <tableColumn id="71" xr3:uid="{00000000-0010-0000-0A00-000047000000}" name="Ty-Croes"/>
    <tableColumn id="72" xr3:uid="{00000000-0010-0000-0A00-000048000000}" name="Y Bedol"/>
    <tableColumn id="73" xr3:uid="{00000000-0010-0000-0A00-000049000000}" name="Y Castell"/>
    <tableColumn id="74" xr3:uid="{00000000-0010-0000-0A00-00004A000000}" name="Y Dderwen"/>
    <tableColumn id="75" xr3:uid="{00000000-0010-0000-0A00-00004B000000}" name="Y Felin"/>
    <tableColumn id="76" xr3:uid="{00000000-0010-0000-0A00-00004C000000}" name="Y Fro"/>
    <tableColumn id="77" xr3:uid="{00000000-0010-0000-0A00-00004D000000}" name="Y Tymbl"/>
    <tableColumn id="78" xr3:uid="{00000000-0010-0000-0A00-00004E000000}" name="Ysgol Gymraeg Llangennech"/>
    <tableColumn id="79" xr3:uid="{00000000-0010-0000-0A00-00004F000000}" name="Secondary in Carmarthenshire: _x000a_Years 7 to 11"/>
    <tableColumn id="80" xr3:uid="{00000000-0010-0000-0A00-000050000000}" name="Bryngwyn School"/>
    <tableColumn id="81" xr3:uid="{00000000-0010-0000-0A00-000051000000}" name="Coedcae School"/>
    <tableColumn id="82" xr3:uid="{00000000-0010-0000-0A00-000052000000}" name="Glan-y-Mor School"/>
    <tableColumn id="83" xr3:uid="{00000000-0010-0000-0A00-000053000000}" name="Heol Goffa (years 7 to 11)"/>
    <tableColumn id="84" xr3:uid="{00000000-0010-0000-0A00-000054000000}" name="Queen Elizabeth High School"/>
    <tableColumn id="85" xr3:uid="{00000000-0010-0000-0A00-000055000000}" name="St John Lloyd Catholic Comprehensive School"/>
    <tableColumn id="86" xr3:uid="{00000000-0010-0000-0A00-000056000000}" name="Ysgol Bro Dinefwr"/>
    <tableColumn id="87" xr3:uid="{00000000-0010-0000-0A00-000057000000}" name="Ysgol Dyffryn Aman"/>
    <tableColumn id="88" xr3:uid="{00000000-0010-0000-0A00-000058000000}" name="Ysgol Gyfun Emlyn"/>
    <tableColumn id="89" xr3:uid="{00000000-0010-0000-0A00-000059000000}" name="Ysgol Gyfun Gymraeg Bro Myrddin"/>
    <tableColumn id="90" xr3:uid="{00000000-0010-0000-0A00-00005A000000}" name="Ysgol Gyfun y Strade"/>
    <tableColumn id="91" xr3:uid="{00000000-0010-0000-0A00-00005B000000}" name="Ysgol Maes y Gwendraeth"/>
  </tableColumns>
  <tableStyleInfo name="none" showFirstColumn="0" showLastColumn="0" showRowStripes="1" showColumnStripes="0"/>
  <extLst>
    <ext xmlns:x14="http://schemas.microsoft.com/office/spreadsheetml/2009/9/main" uri="{504A1905-F514-4f6f-8877-14C23A59335A}">
      <x14:table altText="Table 7c" altTextSummary="Table with 27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8a" displayName="table8a" ref="A2:P92" totalsRowShown="0">
  <tableColumns count="16">
    <tableColumn id="1" xr3:uid="{00000000-0010-0000-0B00-000001000000}" name=" "/>
    <tableColumn id="2" xr3:uid="{00000000-0010-0000-0B00-000002000000}" name="All"/>
    <tableColumn id="3" xr3:uid="{00000000-0010-0000-0B00-000003000000}" name="All:_x000a_Years 3 to 6"/>
    <tableColumn id="4" xr3:uid="{00000000-0010-0000-0B00-000004000000}" name="All:_x000a_Years 7 to 11"/>
    <tableColumn id="5" xr3:uid="{00000000-0010-0000-0B00-000005000000}" name="Boy"/>
    <tableColumn id="6" xr3:uid="{00000000-0010-0000-0B00-000006000000}" name="Boy:_x000a_Years 3 to 6"/>
    <tableColumn id="7" xr3:uid="{00000000-0010-0000-0B00-000007000000}" name="Boy:_x000a_Years 7 to 11"/>
    <tableColumn id="8" xr3:uid="{00000000-0010-0000-0B00-000008000000}" name="Girl"/>
    <tableColumn id="9" xr3:uid="{00000000-0010-0000-0B00-000009000000}" name="Girl:_x000a_Years 3 to 6"/>
    <tableColumn id="10" xr3:uid="{00000000-0010-0000-0B00-00000A000000}" name="Girl:_x000a_Years 7 to 11"/>
    <tableColumn id="11" xr3:uid="{00000000-0010-0000-0B00-00000B000000}" name="Pupils identifying as 'Other'"/>
    <tableColumn id="12" xr3:uid="{00000000-0010-0000-0B00-00000C000000}" name="Pupils identifying as 'Other':_x000a_Years 3 to 6"/>
    <tableColumn id="13" xr3:uid="{00000000-0010-0000-0B00-00000D000000}" name="Pupils identifying as 'Other':_x000a_Years 7 to 11"/>
    <tableColumn id="14" xr3:uid="{00000000-0010-0000-0B00-00000E000000}" name="I do not want to say"/>
    <tableColumn id="15" xr3:uid="{00000000-0010-0000-0B00-00000F000000}" name="I do not want to say:_x000a_Years 3 to 6"/>
    <tableColumn id="16" xr3:uid="{00000000-0010-0000-0B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8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8b" displayName="table8b" ref="A2:P64" totalsRowShown="0">
  <tableColumns count="16">
    <tableColumn id="1" xr3:uid="{00000000-0010-0000-0C00-000001000000}" name=" "/>
    <tableColumn id="2" xr3:uid="{00000000-0010-0000-0C00-000002000000}" name="All"/>
    <tableColumn id="3" xr3:uid="{00000000-0010-0000-0C00-000003000000}" name="All:_x000a_Years 3 to 6"/>
    <tableColumn id="4" xr3:uid="{00000000-0010-0000-0C00-000004000000}" name="All:_x000a_Years 7 to 11"/>
    <tableColumn id="5" xr3:uid="{00000000-0010-0000-0C00-000005000000}" name="Boy"/>
    <tableColumn id="6" xr3:uid="{00000000-0010-0000-0C00-000006000000}" name="Boy:_x000a_Years 3 to 6"/>
    <tableColumn id="7" xr3:uid="{00000000-0010-0000-0C00-000007000000}" name="Boy:_x000a_Years 7 to 11"/>
    <tableColumn id="8" xr3:uid="{00000000-0010-0000-0C00-000008000000}" name="Girl"/>
    <tableColumn id="9" xr3:uid="{00000000-0010-0000-0C00-000009000000}" name="Girl:_x000a_Years 3 to 6"/>
    <tableColumn id="10" xr3:uid="{00000000-0010-0000-0C00-00000A000000}" name="Girl:_x000a_Years 7 to 11"/>
    <tableColumn id="11" xr3:uid="{00000000-0010-0000-0C00-00000B000000}" name="Pupils identifying as 'Other'"/>
    <tableColumn id="12" xr3:uid="{00000000-0010-0000-0C00-00000C000000}" name="Pupils identifying as 'Other':_x000a_Years 3 to 6"/>
    <tableColumn id="13" xr3:uid="{00000000-0010-0000-0C00-00000D000000}" name="Pupils identifying as 'Other':_x000a_Years 7 to 11"/>
    <tableColumn id="14" xr3:uid="{00000000-0010-0000-0C00-00000E000000}" name="I do not want to say"/>
    <tableColumn id="15" xr3:uid="{00000000-0010-0000-0C00-00000F000000}" name="I do not want to say:_x000a_Years 3 to 6"/>
    <tableColumn id="16" xr3:uid="{00000000-0010-0000-0C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8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8c" displayName="table8c" ref="A2:CM64" totalsRowShown="0">
  <tableColumns count="91">
    <tableColumn id="1" xr3:uid="{00000000-0010-0000-0D00-000001000000}" name=" "/>
    <tableColumn id="2" xr3:uid="{00000000-0010-0000-0D00-000002000000}" name="Wales"/>
    <tableColumn id="3" xr3:uid="{00000000-0010-0000-0D00-000003000000}" name="Regional Sport Partnership: West Wales"/>
    <tableColumn id="4" xr3:uid="{00000000-0010-0000-0D00-000004000000}" name="Carmarthenshire"/>
    <tableColumn id="5" xr3:uid="{00000000-0010-0000-0D00-000005000000}" name="Primary in Carmarthenshire: _x000a_Years 3 to 6"/>
    <tableColumn id="6" xr3:uid="{00000000-0010-0000-0D00-000006000000}" name="Abergwili"/>
    <tableColumn id="7" xr3:uid="{00000000-0010-0000-0D00-000007000000}" name="Bancffosfelen"/>
    <tableColumn id="8" xr3:uid="{00000000-0010-0000-0D00-000008000000}" name="Betws"/>
    <tableColumn id="9" xr3:uid="{00000000-0010-0000-0D00-000009000000}" name="Blaenau"/>
    <tableColumn id="10" xr3:uid="{00000000-0010-0000-0D00-00000A000000}" name="Bro Banw"/>
    <tableColumn id="11" xr3:uid="{00000000-0010-0000-0D00-00000B000000}" name="Bro Brynach"/>
    <tableColumn id="12" xr3:uid="{00000000-0010-0000-0D00-00000C000000}" name="Bryn"/>
    <tableColumn id="13" xr3:uid="{00000000-0010-0000-0D00-00000D000000}" name="Bryn Teg"/>
    <tableColumn id="14" xr3:uid="{00000000-0010-0000-0D00-00000E000000}" name="Brynaman"/>
    <tableColumn id="15" xr3:uid="{00000000-0010-0000-0D00-00000F000000}" name="Brynsierfel"/>
    <tableColumn id="16" xr3:uid="{00000000-0010-0000-0D00-000010000000}" name="Burry Port"/>
    <tableColumn id="17" xr3:uid="{00000000-0010-0000-0D00-000011000000}" name="Bynea"/>
    <tableColumn id="18" xr3:uid="{00000000-0010-0000-0D00-000012000000}" name="Carway"/>
    <tableColumn id="19" xr3:uid="{00000000-0010-0000-0D00-000013000000}" name="Cefneithin"/>
    <tableColumn id="20" xr3:uid="{00000000-0010-0000-0D00-000014000000}" name="Cross Hands"/>
    <tableColumn id="21" xr3:uid="{00000000-0010-0000-0D00-000015000000}" name="Cwrt Henri"/>
    <tableColumn id="22" xr3:uid="{00000000-0010-0000-0D00-000016000000}" name="Cynwyl Elfed"/>
    <tableColumn id="23" xr3:uid="{00000000-0010-0000-0D00-000017000000}" name="Dafen"/>
    <tableColumn id="24" xr3:uid="{00000000-0010-0000-0D00-000018000000}" name="Drefach"/>
    <tableColumn id="25" xr3:uid="{00000000-0010-0000-0D00-000019000000}" name="Ferryside"/>
    <tableColumn id="26" xr3:uid="{00000000-0010-0000-0D00-00001A000000}" name="Ffairfach"/>
    <tableColumn id="27" xr3:uid="{00000000-0010-0000-0D00-00001B000000}" name="Ffwrnes"/>
    <tableColumn id="28" xr3:uid="{00000000-0010-0000-0D00-00001C000000}" name="Gorslas"/>
    <tableColumn id="29" xr3:uid="{00000000-0010-0000-0D00-00001D000000}" name="Griffith Jones"/>
    <tableColumn id="30" xr3:uid="{00000000-0010-0000-0D00-00001E000000}" name="Gwenllian"/>
    <tableColumn id="31" xr3:uid="{00000000-0010-0000-0D00-00001F000000}" name="Gwynfryn"/>
    <tableColumn id="32" xr3:uid="{00000000-0010-0000-0D00-000020000000}" name="Hafodwenog"/>
    <tableColumn id="33" xr3:uid="{00000000-0010-0000-0D00-000021000000}" name="Halfway"/>
    <tableColumn id="34" xr3:uid="{00000000-0010-0000-0D00-000022000000}" name="Hendy"/>
    <tableColumn id="35" xr3:uid="{00000000-0010-0000-0D00-000023000000}" name="Heol Goffa (years 3 to 6)"/>
    <tableColumn id="36" xr3:uid="{00000000-0010-0000-0D00-000024000000}" name="Johnstown"/>
    <tableColumn id="37" xr3:uid="{00000000-0010-0000-0D00-000025000000}" name="Llanddarog"/>
    <tableColumn id="38" xr3:uid="{00000000-0010-0000-0D00-000026000000}" name="Llandeilo"/>
    <tableColumn id="39" xr3:uid="{00000000-0010-0000-0D00-000027000000}" name="Llandybie"/>
    <tableColumn id="40" xr3:uid="{00000000-0010-0000-0D00-000028000000}" name="Llanedi"/>
    <tableColumn id="41" xr3:uid="{00000000-0010-0000-0D00-000029000000}" name="Llangadog"/>
    <tableColumn id="42" xr3:uid="{00000000-0010-0000-0D00-00002A000000}" name="Llangunnor"/>
    <tableColumn id="43" xr3:uid="{00000000-0010-0000-0D00-00002B000000}" name="Llanmiloe"/>
    <tableColumn id="44" xr3:uid="{00000000-0010-0000-0D00-00002C000000}" name="Llannon"/>
    <tableColumn id="45" xr3:uid="{00000000-0010-0000-0D00-00002D000000}" name="Llanpumsaint"/>
    <tableColumn id="46" xr3:uid="{00000000-0010-0000-0D00-00002E000000}" name="Llechyfedach"/>
    <tableColumn id="47" xr3:uid="{00000000-0010-0000-0D00-00002F000000}" name="Llys Hywel"/>
    <tableColumn id="48" xr3:uid="{00000000-0010-0000-0D00-000030000000}" name="Maes y Morfa"/>
    <tableColumn id="49" xr3:uid="{00000000-0010-0000-0D00-000031000000}" name="Model"/>
    <tableColumn id="50" xr3:uid="{00000000-0010-0000-0D00-000032000000}" name="Mynyddygarreg"/>
    <tableColumn id="51" xr3:uid="{00000000-0010-0000-0D00-000033000000}" name="Myrddin"/>
    <tableColumn id="52" xr3:uid="{00000000-0010-0000-0D00-000034000000}" name="Nantgaredig"/>
    <tableColumn id="53" xr3:uid="{00000000-0010-0000-0D00-000035000000}" name="Old Road"/>
    <tableColumn id="54" xr3:uid="{00000000-0010-0000-0D00-000036000000}" name="Parc y Tywyn"/>
    <tableColumn id="55" xr3:uid="{00000000-0010-0000-0D00-000037000000}" name="Parcyrhun"/>
    <tableColumn id="56" xr3:uid="{00000000-0010-0000-0D00-000038000000}" name="Pembrey"/>
    <tableColumn id="57" xr3:uid="{00000000-0010-0000-0D00-000039000000}" name="Peniel"/>
    <tableColumn id="58" xr3:uid="{00000000-0010-0000-0D00-00003A000000}" name="Penygaer"/>
    <tableColumn id="59" xr3:uid="{00000000-0010-0000-0D00-00003B000000}" name="Penygroes"/>
    <tableColumn id="60" xr3:uid="{00000000-0010-0000-0D00-00003C000000}" name="Ponthenri"/>
    <tableColumn id="61" xr3:uid="{00000000-0010-0000-0D00-00003D000000}" name="Pontiets"/>
    <tableColumn id="62" xr3:uid="{00000000-0010-0000-0D00-00003E000000}" name="Pontyberem"/>
    <tableColumn id="63" xr3:uid="{00000000-0010-0000-0D00-00003F000000}" name="Pum Heol"/>
    <tableColumn id="64" xr3:uid="{00000000-0010-0000-0D00-000040000000}" name="Rhydaman"/>
    <tableColumn id="65" xr3:uid="{00000000-0010-0000-0D00-000041000000}" name="Rhys Prichard"/>
    <tableColumn id="66" xr3:uid="{00000000-0010-0000-0D00-000042000000}" name="Saron"/>
    <tableColumn id="67" xr3:uid="{00000000-0010-0000-0D00-000043000000}" name="St Mary's (Llanelli)"/>
    <tableColumn id="68" xr3:uid="{00000000-0010-0000-0D00-000044000000}" name="Talley"/>
    <tableColumn id="69" xr3:uid="{00000000-0010-0000-0D00-000045000000}" name="Teilo Sant"/>
    <tableColumn id="70" xr3:uid="{00000000-0010-0000-0D00-000046000000}" name="Trimsaran"/>
    <tableColumn id="71" xr3:uid="{00000000-0010-0000-0D00-000047000000}" name="Ty-Croes"/>
    <tableColumn id="72" xr3:uid="{00000000-0010-0000-0D00-000048000000}" name="Y Bedol"/>
    <tableColumn id="73" xr3:uid="{00000000-0010-0000-0D00-000049000000}" name="Y Castell"/>
    <tableColumn id="74" xr3:uid="{00000000-0010-0000-0D00-00004A000000}" name="Y Dderwen"/>
    <tableColumn id="75" xr3:uid="{00000000-0010-0000-0D00-00004B000000}" name="Y Felin"/>
    <tableColumn id="76" xr3:uid="{00000000-0010-0000-0D00-00004C000000}" name="Y Fro"/>
    <tableColumn id="77" xr3:uid="{00000000-0010-0000-0D00-00004D000000}" name="Y Tymbl"/>
    <tableColumn id="78" xr3:uid="{00000000-0010-0000-0D00-00004E000000}" name="Ysgol Gymraeg Llangennech"/>
    <tableColumn id="79" xr3:uid="{00000000-0010-0000-0D00-00004F000000}" name="Secondary in Carmarthenshire: _x000a_Years 7 to 11"/>
    <tableColumn id="80" xr3:uid="{00000000-0010-0000-0D00-000050000000}" name="Bryngwyn School"/>
    <tableColumn id="81" xr3:uid="{00000000-0010-0000-0D00-000051000000}" name="Coedcae School"/>
    <tableColumn id="82" xr3:uid="{00000000-0010-0000-0D00-000052000000}" name="Glan-y-Mor School"/>
    <tableColumn id="83" xr3:uid="{00000000-0010-0000-0D00-000053000000}" name="Heol Goffa (years 7 to 11)"/>
    <tableColumn id="84" xr3:uid="{00000000-0010-0000-0D00-000054000000}" name="Queen Elizabeth High School"/>
    <tableColumn id="85" xr3:uid="{00000000-0010-0000-0D00-000055000000}" name="St John Lloyd Catholic Comprehensive School"/>
    <tableColumn id="86" xr3:uid="{00000000-0010-0000-0D00-000056000000}" name="Ysgol Bro Dinefwr"/>
    <tableColumn id="87" xr3:uid="{00000000-0010-0000-0D00-000057000000}" name="Ysgol Dyffryn Aman"/>
    <tableColumn id="88" xr3:uid="{00000000-0010-0000-0D00-000058000000}" name="Ysgol Gyfun Emlyn"/>
    <tableColumn id="89" xr3:uid="{00000000-0010-0000-0D00-000059000000}" name="Ysgol Gyfun Gymraeg Bro Myrddin"/>
    <tableColumn id="90" xr3:uid="{00000000-0010-0000-0D00-00005A000000}" name="Ysgol Gyfun y Strade"/>
    <tableColumn id="91" xr3:uid="{00000000-0010-0000-0D00-00005B000000}" name="Ysgol Maes y Gwendraeth"/>
  </tableColumns>
  <tableStyleInfo name="none" showFirstColumn="0" showLastColumn="0" showRowStripes="1" showColumnStripes="0"/>
  <extLst>
    <ext xmlns:x14="http://schemas.microsoft.com/office/spreadsheetml/2009/9/main" uri="{504A1905-F514-4f6f-8877-14C23A59335A}">
      <x14:table altText="Table 8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9a" displayName="table9a" ref="A2:P92" totalsRowShown="0">
  <tableColumns count="16">
    <tableColumn id="1" xr3:uid="{00000000-0010-0000-0E00-000001000000}" name=" "/>
    <tableColumn id="2" xr3:uid="{00000000-0010-0000-0E00-000002000000}" name="All"/>
    <tableColumn id="3" xr3:uid="{00000000-0010-0000-0E00-000003000000}" name="All:_x000a_Years 3 to 6"/>
    <tableColumn id="4" xr3:uid="{00000000-0010-0000-0E00-000004000000}" name="All:_x000a_Years 7 to 11"/>
    <tableColumn id="5" xr3:uid="{00000000-0010-0000-0E00-000005000000}" name="Boy"/>
    <tableColumn id="6" xr3:uid="{00000000-0010-0000-0E00-000006000000}" name="Boy:_x000a_Years 3 to 6"/>
    <tableColumn id="7" xr3:uid="{00000000-0010-0000-0E00-000007000000}" name="Boy:_x000a_Years 7 to 11"/>
    <tableColumn id="8" xr3:uid="{00000000-0010-0000-0E00-000008000000}" name="Girl"/>
    <tableColumn id="9" xr3:uid="{00000000-0010-0000-0E00-000009000000}" name="Girl:_x000a_Years 3 to 6"/>
    <tableColumn id="10" xr3:uid="{00000000-0010-0000-0E00-00000A000000}" name="Girl:_x000a_Years 7 to 11"/>
    <tableColumn id="11" xr3:uid="{00000000-0010-0000-0E00-00000B000000}" name="Pupils identifying as 'Other'"/>
    <tableColumn id="12" xr3:uid="{00000000-0010-0000-0E00-00000C000000}" name="Pupils identifying as 'Other':_x000a_Years 3 to 6"/>
    <tableColumn id="13" xr3:uid="{00000000-0010-0000-0E00-00000D000000}" name="Pupils identifying as 'Other':_x000a_Years 7 to 11"/>
    <tableColumn id="14" xr3:uid="{00000000-0010-0000-0E00-00000E000000}" name="I do not want to say"/>
    <tableColumn id="15" xr3:uid="{00000000-0010-0000-0E00-00000F000000}" name="I do not want to say:_x000a_Years 3 to 6"/>
    <tableColumn id="16" xr3:uid="{00000000-0010-0000-0E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9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9b" displayName="table9b" ref="A2:P64" totalsRowShown="0">
  <tableColumns count="16">
    <tableColumn id="1" xr3:uid="{00000000-0010-0000-0F00-000001000000}" name=" "/>
    <tableColumn id="2" xr3:uid="{00000000-0010-0000-0F00-000002000000}" name="All"/>
    <tableColumn id="3" xr3:uid="{00000000-0010-0000-0F00-000003000000}" name="All:_x000a_Years 3 to 6"/>
    <tableColumn id="4" xr3:uid="{00000000-0010-0000-0F00-000004000000}" name="All:_x000a_Years 7 to 11"/>
    <tableColumn id="5" xr3:uid="{00000000-0010-0000-0F00-000005000000}" name="Boy"/>
    <tableColumn id="6" xr3:uid="{00000000-0010-0000-0F00-000006000000}" name="Boy:_x000a_Years 3 to 6"/>
    <tableColumn id="7" xr3:uid="{00000000-0010-0000-0F00-000007000000}" name="Boy:_x000a_Years 7 to 11"/>
    <tableColumn id="8" xr3:uid="{00000000-0010-0000-0F00-000008000000}" name="Girl"/>
    <tableColumn id="9" xr3:uid="{00000000-0010-0000-0F00-000009000000}" name="Girl:_x000a_Years 3 to 6"/>
    <tableColumn id="10" xr3:uid="{00000000-0010-0000-0F00-00000A000000}" name="Girl:_x000a_Years 7 to 11"/>
    <tableColumn id="11" xr3:uid="{00000000-0010-0000-0F00-00000B000000}" name="Pupils identifying as 'Other'"/>
    <tableColumn id="12" xr3:uid="{00000000-0010-0000-0F00-00000C000000}" name="Pupils identifying as 'Other':_x000a_Years 3 to 6"/>
    <tableColumn id="13" xr3:uid="{00000000-0010-0000-0F00-00000D000000}" name="Pupils identifying as 'Other':_x000a_Years 7 to 11"/>
    <tableColumn id="14" xr3:uid="{00000000-0010-0000-0F00-00000E000000}" name="I do not want to say"/>
    <tableColumn id="15" xr3:uid="{00000000-0010-0000-0F00-00000F000000}" name="I do not want to say:_x000a_Years 3 to 6"/>
    <tableColumn id="16" xr3:uid="{00000000-0010-0000-0F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9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9c" displayName="table9c" ref="A2:CM64" totalsRowShown="0">
  <tableColumns count="91">
    <tableColumn id="1" xr3:uid="{00000000-0010-0000-1000-000001000000}" name=" "/>
    <tableColumn id="2" xr3:uid="{00000000-0010-0000-1000-000002000000}" name="Wales"/>
    <tableColumn id="3" xr3:uid="{00000000-0010-0000-1000-000003000000}" name="Regional Sport Partnership: West Wales"/>
    <tableColumn id="4" xr3:uid="{00000000-0010-0000-1000-000004000000}" name="Carmarthenshire"/>
    <tableColumn id="5" xr3:uid="{00000000-0010-0000-1000-000005000000}" name="Primary in Carmarthenshire: _x000a_Years 3 to 6"/>
    <tableColumn id="6" xr3:uid="{00000000-0010-0000-1000-000006000000}" name="Abergwili"/>
    <tableColumn id="7" xr3:uid="{00000000-0010-0000-1000-000007000000}" name="Bancffosfelen"/>
    <tableColumn id="8" xr3:uid="{00000000-0010-0000-1000-000008000000}" name="Betws"/>
    <tableColumn id="9" xr3:uid="{00000000-0010-0000-1000-000009000000}" name="Blaenau"/>
    <tableColumn id="10" xr3:uid="{00000000-0010-0000-1000-00000A000000}" name="Bro Banw"/>
    <tableColumn id="11" xr3:uid="{00000000-0010-0000-1000-00000B000000}" name="Bro Brynach"/>
    <tableColumn id="12" xr3:uid="{00000000-0010-0000-1000-00000C000000}" name="Bryn"/>
    <tableColumn id="13" xr3:uid="{00000000-0010-0000-1000-00000D000000}" name="Bryn Teg"/>
    <tableColumn id="14" xr3:uid="{00000000-0010-0000-1000-00000E000000}" name="Brynaman"/>
    <tableColumn id="15" xr3:uid="{00000000-0010-0000-1000-00000F000000}" name="Brynsierfel"/>
    <tableColumn id="16" xr3:uid="{00000000-0010-0000-1000-000010000000}" name="Burry Port"/>
    <tableColumn id="17" xr3:uid="{00000000-0010-0000-1000-000011000000}" name="Bynea"/>
    <tableColumn id="18" xr3:uid="{00000000-0010-0000-1000-000012000000}" name="Carway"/>
    <tableColumn id="19" xr3:uid="{00000000-0010-0000-1000-000013000000}" name="Cefneithin"/>
    <tableColumn id="20" xr3:uid="{00000000-0010-0000-1000-000014000000}" name="Cross Hands"/>
    <tableColumn id="21" xr3:uid="{00000000-0010-0000-1000-000015000000}" name="Cwrt Henri"/>
    <tableColumn id="22" xr3:uid="{00000000-0010-0000-1000-000016000000}" name="Cynwyl Elfed"/>
    <tableColumn id="23" xr3:uid="{00000000-0010-0000-1000-000017000000}" name="Dafen"/>
    <tableColumn id="24" xr3:uid="{00000000-0010-0000-1000-000018000000}" name="Drefach"/>
    <tableColumn id="25" xr3:uid="{00000000-0010-0000-1000-000019000000}" name="Ferryside"/>
    <tableColumn id="26" xr3:uid="{00000000-0010-0000-1000-00001A000000}" name="Ffairfach"/>
    <tableColumn id="27" xr3:uid="{00000000-0010-0000-1000-00001B000000}" name="Ffwrnes"/>
    <tableColumn id="28" xr3:uid="{00000000-0010-0000-1000-00001C000000}" name="Gorslas"/>
    <tableColumn id="29" xr3:uid="{00000000-0010-0000-1000-00001D000000}" name="Griffith Jones"/>
    <tableColumn id="30" xr3:uid="{00000000-0010-0000-1000-00001E000000}" name="Gwenllian"/>
    <tableColumn id="31" xr3:uid="{00000000-0010-0000-1000-00001F000000}" name="Gwynfryn"/>
    <tableColumn id="32" xr3:uid="{00000000-0010-0000-1000-000020000000}" name="Hafodwenog"/>
    <tableColumn id="33" xr3:uid="{00000000-0010-0000-1000-000021000000}" name="Halfway"/>
    <tableColumn id="34" xr3:uid="{00000000-0010-0000-1000-000022000000}" name="Hendy"/>
    <tableColumn id="35" xr3:uid="{00000000-0010-0000-1000-000023000000}" name="Heol Goffa (years 3 to 6)"/>
    <tableColumn id="36" xr3:uid="{00000000-0010-0000-1000-000024000000}" name="Johnstown"/>
    <tableColumn id="37" xr3:uid="{00000000-0010-0000-1000-000025000000}" name="Llanddarog"/>
    <tableColumn id="38" xr3:uid="{00000000-0010-0000-1000-000026000000}" name="Llandeilo"/>
    <tableColumn id="39" xr3:uid="{00000000-0010-0000-1000-000027000000}" name="Llandybie"/>
    <tableColumn id="40" xr3:uid="{00000000-0010-0000-1000-000028000000}" name="Llanedi"/>
    <tableColumn id="41" xr3:uid="{00000000-0010-0000-1000-000029000000}" name="Llangadog"/>
    <tableColumn id="42" xr3:uid="{00000000-0010-0000-1000-00002A000000}" name="Llangunnor"/>
    <tableColumn id="43" xr3:uid="{00000000-0010-0000-1000-00002B000000}" name="Llanmiloe"/>
    <tableColumn id="44" xr3:uid="{00000000-0010-0000-1000-00002C000000}" name="Llannon"/>
    <tableColumn id="45" xr3:uid="{00000000-0010-0000-1000-00002D000000}" name="Llanpumsaint"/>
    <tableColumn id="46" xr3:uid="{00000000-0010-0000-1000-00002E000000}" name="Llechyfedach"/>
    <tableColumn id="47" xr3:uid="{00000000-0010-0000-1000-00002F000000}" name="Llys Hywel"/>
    <tableColumn id="48" xr3:uid="{00000000-0010-0000-1000-000030000000}" name="Maes y Morfa"/>
    <tableColumn id="49" xr3:uid="{00000000-0010-0000-1000-000031000000}" name="Model"/>
    <tableColumn id="50" xr3:uid="{00000000-0010-0000-1000-000032000000}" name="Mynyddygarreg"/>
    <tableColumn id="51" xr3:uid="{00000000-0010-0000-1000-000033000000}" name="Myrddin"/>
    <tableColumn id="52" xr3:uid="{00000000-0010-0000-1000-000034000000}" name="Nantgaredig"/>
    <tableColumn id="53" xr3:uid="{00000000-0010-0000-1000-000035000000}" name="Old Road"/>
    <tableColumn id="54" xr3:uid="{00000000-0010-0000-1000-000036000000}" name="Parc y Tywyn"/>
    <tableColumn id="55" xr3:uid="{00000000-0010-0000-1000-000037000000}" name="Parcyrhun"/>
    <tableColumn id="56" xr3:uid="{00000000-0010-0000-1000-000038000000}" name="Pembrey"/>
    <tableColumn id="57" xr3:uid="{00000000-0010-0000-1000-000039000000}" name="Peniel"/>
    <tableColumn id="58" xr3:uid="{00000000-0010-0000-1000-00003A000000}" name="Penygaer"/>
    <tableColumn id="59" xr3:uid="{00000000-0010-0000-1000-00003B000000}" name="Penygroes"/>
    <tableColumn id="60" xr3:uid="{00000000-0010-0000-1000-00003C000000}" name="Ponthenri"/>
    <tableColumn id="61" xr3:uid="{00000000-0010-0000-1000-00003D000000}" name="Pontiets"/>
    <tableColumn id="62" xr3:uid="{00000000-0010-0000-1000-00003E000000}" name="Pontyberem"/>
    <tableColumn id="63" xr3:uid="{00000000-0010-0000-1000-00003F000000}" name="Pum Heol"/>
    <tableColumn id="64" xr3:uid="{00000000-0010-0000-1000-000040000000}" name="Rhydaman"/>
    <tableColumn id="65" xr3:uid="{00000000-0010-0000-1000-000041000000}" name="Rhys Prichard"/>
    <tableColumn id="66" xr3:uid="{00000000-0010-0000-1000-000042000000}" name="Saron"/>
    <tableColumn id="67" xr3:uid="{00000000-0010-0000-1000-000043000000}" name="St Mary's (Llanelli)"/>
    <tableColumn id="68" xr3:uid="{00000000-0010-0000-1000-000044000000}" name="Talley"/>
    <tableColumn id="69" xr3:uid="{00000000-0010-0000-1000-000045000000}" name="Teilo Sant"/>
    <tableColumn id="70" xr3:uid="{00000000-0010-0000-1000-000046000000}" name="Trimsaran"/>
    <tableColumn id="71" xr3:uid="{00000000-0010-0000-1000-000047000000}" name="Ty-Croes"/>
    <tableColumn id="72" xr3:uid="{00000000-0010-0000-1000-000048000000}" name="Y Bedol"/>
    <tableColumn id="73" xr3:uid="{00000000-0010-0000-1000-000049000000}" name="Y Castell"/>
    <tableColumn id="74" xr3:uid="{00000000-0010-0000-1000-00004A000000}" name="Y Dderwen"/>
    <tableColumn id="75" xr3:uid="{00000000-0010-0000-1000-00004B000000}" name="Y Felin"/>
    <tableColumn id="76" xr3:uid="{00000000-0010-0000-1000-00004C000000}" name="Y Fro"/>
    <tableColumn id="77" xr3:uid="{00000000-0010-0000-1000-00004D000000}" name="Y Tymbl"/>
    <tableColumn id="78" xr3:uid="{00000000-0010-0000-1000-00004E000000}" name="Ysgol Gymraeg Llangennech"/>
    <tableColumn id="79" xr3:uid="{00000000-0010-0000-1000-00004F000000}" name="Secondary in Carmarthenshire: _x000a_Years 7 to 11"/>
    <tableColumn id="80" xr3:uid="{00000000-0010-0000-1000-000050000000}" name="Bryngwyn School"/>
    <tableColumn id="81" xr3:uid="{00000000-0010-0000-1000-000051000000}" name="Coedcae School"/>
    <tableColumn id="82" xr3:uid="{00000000-0010-0000-1000-000052000000}" name="Glan-y-Mor School"/>
    <tableColumn id="83" xr3:uid="{00000000-0010-0000-1000-000053000000}" name="Heol Goffa (years 7 to 11)"/>
    <tableColumn id="84" xr3:uid="{00000000-0010-0000-1000-000054000000}" name="Queen Elizabeth High School"/>
    <tableColumn id="85" xr3:uid="{00000000-0010-0000-1000-000055000000}" name="St John Lloyd Catholic Comprehensive School"/>
    <tableColumn id="86" xr3:uid="{00000000-0010-0000-1000-000056000000}" name="Ysgol Bro Dinefwr"/>
    <tableColumn id="87" xr3:uid="{00000000-0010-0000-1000-000057000000}" name="Ysgol Dyffryn Aman"/>
    <tableColumn id="88" xr3:uid="{00000000-0010-0000-1000-000058000000}" name="Ysgol Gyfun Emlyn"/>
    <tableColumn id="89" xr3:uid="{00000000-0010-0000-1000-000059000000}" name="Ysgol Gyfun Gymraeg Bro Myrddin"/>
    <tableColumn id="90" xr3:uid="{00000000-0010-0000-1000-00005A000000}" name="Ysgol Gyfun y Strade"/>
    <tableColumn id="91" xr3:uid="{00000000-0010-0000-1000-00005B000000}" name="Ysgol Maes y Gwendraeth"/>
  </tableColumns>
  <tableStyleInfo name="none" showFirstColumn="0" showLastColumn="0" showRowStripes="1" showColumnStripes="0"/>
  <extLst>
    <ext xmlns:x14="http://schemas.microsoft.com/office/spreadsheetml/2009/9/main" uri="{504A1905-F514-4f6f-8877-14C23A59335A}">
      <x14:table altText="Table 9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10a" displayName="table10a" ref="A2:P92" totalsRowShown="0">
  <tableColumns count="16">
    <tableColumn id="1" xr3:uid="{00000000-0010-0000-1100-000001000000}" name=" "/>
    <tableColumn id="2" xr3:uid="{00000000-0010-0000-1100-000002000000}" name="All"/>
    <tableColumn id="3" xr3:uid="{00000000-0010-0000-1100-000003000000}" name="All:_x000a_Years 3 to 6"/>
    <tableColumn id="4" xr3:uid="{00000000-0010-0000-1100-000004000000}" name="All:_x000a_Years 7 to 11"/>
    <tableColumn id="5" xr3:uid="{00000000-0010-0000-1100-000005000000}" name="Boy"/>
    <tableColumn id="6" xr3:uid="{00000000-0010-0000-1100-000006000000}" name="Boy:_x000a_Years 3 to 6"/>
    <tableColumn id="7" xr3:uid="{00000000-0010-0000-1100-000007000000}" name="Boy:_x000a_Years 7 to 11"/>
    <tableColumn id="8" xr3:uid="{00000000-0010-0000-1100-000008000000}" name="Girl"/>
    <tableColumn id="9" xr3:uid="{00000000-0010-0000-1100-000009000000}" name="Girl:_x000a_Years 3 to 6"/>
    <tableColumn id="10" xr3:uid="{00000000-0010-0000-1100-00000A000000}" name="Girl:_x000a_Years 7 to 11"/>
    <tableColumn id="11" xr3:uid="{00000000-0010-0000-1100-00000B000000}" name="Pupils identifying as 'Other'"/>
    <tableColumn id="12" xr3:uid="{00000000-0010-0000-1100-00000C000000}" name="Pupils identifying as 'Other':_x000a_Years 3 to 6"/>
    <tableColumn id="13" xr3:uid="{00000000-0010-0000-1100-00000D000000}" name="Pupils identifying as 'Other':_x000a_Years 7 to 11"/>
    <tableColumn id="14" xr3:uid="{00000000-0010-0000-1100-00000E000000}" name="I do not want to say"/>
    <tableColumn id="15" xr3:uid="{00000000-0010-0000-1100-00000F000000}" name="I do not want to say:_x000a_Years 3 to 6"/>
    <tableColumn id="16" xr3:uid="{00000000-0010-0000-11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table10b" displayName="table10b" ref="A2:P64" totalsRowShown="0">
  <tableColumns count="16">
    <tableColumn id="1" xr3:uid="{00000000-0010-0000-1200-000001000000}" name=" "/>
    <tableColumn id="2" xr3:uid="{00000000-0010-0000-1200-000002000000}" name="All"/>
    <tableColumn id="3" xr3:uid="{00000000-0010-0000-1200-000003000000}" name="All:_x000a_Years 3 to 6"/>
    <tableColumn id="4" xr3:uid="{00000000-0010-0000-1200-000004000000}" name="All:_x000a_Years 7 to 11"/>
    <tableColumn id="5" xr3:uid="{00000000-0010-0000-1200-000005000000}" name="Boy"/>
    <tableColumn id="6" xr3:uid="{00000000-0010-0000-1200-000006000000}" name="Boy:_x000a_Years 3 to 6"/>
    <tableColumn id="7" xr3:uid="{00000000-0010-0000-1200-000007000000}" name="Boy:_x000a_Years 7 to 11"/>
    <tableColumn id="8" xr3:uid="{00000000-0010-0000-1200-000008000000}" name="Girl"/>
    <tableColumn id="9" xr3:uid="{00000000-0010-0000-1200-000009000000}" name="Girl:_x000a_Years 3 to 6"/>
    <tableColumn id="10" xr3:uid="{00000000-0010-0000-1200-00000A000000}" name="Girl:_x000a_Years 7 to 11"/>
    <tableColumn id="11" xr3:uid="{00000000-0010-0000-1200-00000B000000}" name="Pupils identifying as 'Other'"/>
    <tableColumn id="12" xr3:uid="{00000000-0010-0000-1200-00000C000000}" name="Pupils identifying as 'Other':_x000a_Years 3 to 6"/>
    <tableColumn id="13" xr3:uid="{00000000-0010-0000-1200-00000D000000}" name="Pupils identifying as 'Other':_x000a_Years 7 to 11"/>
    <tableColumn id="14" xr3:uid="{00000000-0010-0000-1200-00000E000000}" name="I do not want to say"/>
    <tableColumn id="15" xr3:uid="{00000000-0010-0000-1200-00000F000000}" name="I do not want to say:_x000a_Years 3 to 6"/>
    <tableColumn id="16" xr3:uid="{00000000-0010-0000-12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10c" displayName="table10c" ref="A2:CM64" totalsRowShown="0">
  <tableColumns count="91">
    <tableColumn id="1" xr3:uid="{00000000-0010-0000-1300-000001000000}" name=" "/>
    <tableColumn id="2" xr3:uid="{00000000-0010-0000-1300-000002000000}" name="Wales"/>
    <tableColumn id="3" xr3:uid="{00000000-0010-0000-1300-000003000000}" name="Regional Sport Partnership: West Wales"/>
    <tableColumn id="4" xr3:uid="{00000000-0010-0000-1300-000004000000}" name="Carmarthenshire"/>
    <tableColumn id="5" xr3:uid="{00000000-0010-0000-1300-000005000000}" name="Primary in Carmarthenshire: _x000a_Years 3 to 6"/>
    <tableColumn id="6" xr3:uid="{00000000-0010-0000-1300-000006000000}" name="Abergwili"/>
    <tableColumn id="7" xr3:uid="{00000000-0010-0000-1300-000007000000}" name="Bancffosfelen"/>
    <tableColumn id="8" xr3:uid="{00000000-0010-0000-1300-000008000000}" name="Betws"/>
    <tableColumn id="9" xr3:uid="{00000000-0010-0000-1300-000009000000}" name="Blaenau"/>
    <tableColumn id="10" xr3:uid="{00000000-0010-0000-1300-00000A000000}" name="Bro Banw"/>
    <tableColumn id="11" xr3:uid="{00000000-0010-0000-1300-00000B000000}" name="Bro Brynach"/>
    <tableColumn id="12" xr3:uid="{00000000-0010-0000-1300-00000C000000}" name="Bryn"/>
    <tableColumn id="13" xr3:uid="{00000000-0010-0000-1300-00000D000000}" name="Bryn Teg"/>
    <tableColumn id="14" xr3:uid="{00000000-0010-0000-1300-00000E000000}" name="Brynaman"/>
    <tableColumn id="15" xr3:uid="{00000000-0010-0000-1300-00000F000000}" name="Brynsierfel"/>
    <tableColumn id="16" xr3:uid="{00000000-0010-0000-1300-000010000000}" name="Burry Port"/>
    <tableColumn id="17" xr3:uid="{00000000-0010-0000-1300-000011000000}" name="Bynea"/>
    <tableColumn id="18" xr3:uid="{00000000-0010-0000-1300-000012000000}" name="Carway"/>
    <tableColumn id="19" xr3:uid="{00000000-0010-0000-1300-000013000000}" name="Cefneithin"/>
    <tableColumn id="20" xr3:uid="{00000000-0010-0000-1300-000014000000}" name="Cross Hands"/>
    <tableColumn id="21" xr3:uid="{00000000-0010-0000-1300-000015000000}" name="Cwrt Henri"/>
    <tableColumn id="22" xr3:uid="{00000000-0010-0000-1300-000016000000}" name="Cynwyl Elfed"/>
    <tableColumn id="23" xr3:uid="{00000000-0010-0000-1300-000017000000}" name="Dafen"/>
    <tableColumn id="24" xr3:uid="{00000000-0010-0000-1300-000018000000}" name="Drefach"/>
    <tableColumn id="25" xr3:uid="{00000000-0010-0000-1300-000019000000}" name="Ferryside"/>
    <tableColumn id="26" xr3:uid="{00000000-0010-0000-1300-00001A000000}" name="Ffairfach"/>
    <tableColumn id="27" xr3:uid="{00000000-0010-0000-1300-00001B000000}" name="Ffwrnes"/>
    <tableColumn id="28" xr3:uid="{00000000-0010-0000-1300-00001C000000}" name="Gorslas"/>
    <tableColumn id="29" xr3:uid="{00000000-0010-0000-1300-00001D000000}" name="Griffith Jones"/>
    <tableColumn id="30" xr3:uid="{00000000-0010-0000-1300-00001E000000}" name="Gwenllian"/>
    <tableColumn id="31" xr3:uid="{00000000-0010-0000-1300-00001F000000}" name="Gwynfryn"/>
    <tableColumn id="32" xr3:uid="{00000000-0010-0000-1300-000020000000}" name="Hafodwenog"/>
    <tableColumn id="33" xr3:uid="{00000000-0010-0000-1300-000021000000}" name="Halfway"/>
    <tableColumn id="34" xr3:uid="{00000000-0010-0000-1300-000022000000}" name="Hendy"/>
    <tableColumn id="35" xr3:uid="{00000000-0010-0000-1300-000023000000}" name="Heol Goffa (years 3 to 6)"/>
    <tableColumn id="36" xr3:uid="{00000000-0010-0000-1300-000024000000}" name="Johnstown"/>
    <tableColumn id="37" xr3:uid="{00000000-0010-0000-1300-000025000000}" name="Llanddarog"/>
    <tableColumn id="38" xr3:uid="{00000000-0010-0000-1300-000026000000}" name="Llandeilo"/>
    <tableColumn id="39" xr3:uid="{00000000-0010-0000-1300-000027000000}" name="Llandybie"/>
    <tableColumn id="40" xr3:uid="{00000000-0010-0000-1300-000028000000}" name="Llanedi"/>
    <tableColumn id="41" xr3:uid="{00000000-0010-0000-1300-000029000000}" name="Llangadog"/>
    <tableColumn id="42" xr3:uid="{00000000-0010-0000-1300-00002A000000}" name="Llangunnor"/>
    <tableColumn id="43" xr3:uid="{00000000-0010-0000-1300-00002B000000}" name="Llanmiloe"/>
    <tableColumn id="44" xr3:uid="{00000000-0010-0000-1300-00002C000000}" name="Llannon"/>
    <tableColumn id="45" xr3:uid="{00000000-0010-0000-1300-00002D000000}" name="Llanpumsaint"/>
    <tableColumn id="46" xr3:uid="{00000000-0010-0000-1300-00002E000000}" name="Llechyfedach"/>
    <tableColumn id="47" xr3:uid="{00000000-0010-0000-1300-00002F000000}" name="Llys Hywel"/>
    <tableColumn id="48" xr3:uid="{00000000-0010-0000-1300-000030000000}" name="Maes y Morfa"/>
    <tableColumn id="49" xr3:uid="{00000000-0010-0000-1300-000031000000}" name="Model"/>
    <tableColumn id="50" xr3:uid="{00000000-0010-0000-1300-000032000000}" name="Mynyddygarreg"/>
    <tableColumn id="51" xr3:uid="{00000000-0010-0000-1300-000033000000}" name="Myrddin"/>
    <tableColumn id="52" xr3:uid="{00000000-0010-0000-1300-000034000000}" name="Nantgaredig"/>
    <tableColumn id="53" xr3:uid="{00000000-0010-0000-1300-000035000000}" name="Old Road"/>
    <tableColumn id="54" xr3:uid="{00000000-0010-0000-1300-000036000000}" name="Parc y Tywyn"/>
    <tableColumn id="55" xr3:uid="{00000000-0010-0000-1300-000037000000}" name="Parcyrhun"/>
    <tableColumn id="56" xr3:uid="{00000000-0010-0000-1300-000038000000}" name="Pembrey"/>
    <tableColumn id="57" xr3:uid="{00000000-0010-0000-1300-000039000000}" name="Peniel"/>
    <tableColumn id="58" xr3:uid="{00000000-0010-0000-1300-00003A000000}" name="Penygaer"/>
    <tableColumn id="59" xr3:uid="{00000000-0010-0000-1300-00003B000000}" name="Penygroes"/>
    <tableColumn id="60" xr3:uid="{00000000-0010-0000-1300-00003C000000}" name="Ponthenri"/>
    <tableColumn id="61" xr3:uid="{00000000-0010-0000-1300-00003D000000}" name="Pontiets"/>
    <tableColumn id="62" xr3:uid="{00000000-0010-0000-1300-00003E000000}" name="Pontyberem"/>
    <tableColumn id="63" xr3:uid="{00000000-0010-0000-1300-00003F000000}" name="Pum Heol"/>
    <tableColumn id="64" xr3:uid="{00000000-0010-0000-1300-000040000000}" name="Rhydaman"/>
    <tableColumn id="65" xr3:uid="{00000000-0010-0000-1300-000041000000}" name="Rhys Prichard"/>
    <tableColumn id="66" xr3:uid="{00000000-0010-0000-1300-000042000000}" name="Saron"/>
    <tableColumn id="67" xr3:uid="{00000000-0010-0000-1300-000043000000}" name="St Mary's (Llanelli)"/>
    <tableColumn id="68" xr3:uid="{00000000-0010-0000-1300-000044000000}" name="Talley"/>
    <tableColumn id="69" xr3:uid="{00000000-0010-0000-1300-000045000000}" name="Teilo Sant"/>
    <tableColumn id="70" xr3:uid="{00000000-0010-0000-1300-000046000000}" name="Trimsaran"/>
    <tableColumn id="71" xr3:uid="{00000000-0010-0000-1300-000047000000}" name="Ty-Croes"/>
    <tableColumn id="72" xr3:uid="{00000000-0010-0000-1300-000048000000}" name="Y Bedol"/>
    <tableColumn id="73" xr3:uid="{00000000-0010-0000-1300-000049000000}" name="Y Castell"/>
    <tableColumn id="74" xr3:uid="{00000000-0010-0000-1300-00004A000000}" name="Y Dderwen"/>
    <tableColumn id="75" xr3:uid="{00000000-0010-0000-1300-00004B000000}" name="Y Felin"/>
    <tableColumn id="76" xr3:uid="{00000000-0010-0000-1300-00004C000000}" name="Y Fro"/>
    <tableColumn id="77" xr3:uid="{00000000-0010-0000-1300-00004D000000}" name="Y Tymbl"/>
    <tableColumn id="78" xr3:uid="{00000000-0010-0000-1300-00004E000000}" name="Ysgol Gymraeg Llangennech"/>
    <tableColumn id="79" xr3:uid="{00000000-0010-0000-1300-00004F000000}" name="Secondary in Carmarthenshire: _x000a_Years 7 to 11"/>
    <tableColumn id="80" xr3:uid="{00000000-0010-0000-1300-000050000000}" name="Bryngwyn School"/>
    <tableColumn id="81" xr3:uid="{00000000-0010-0000-1300-000051000000}" name="Coedcae School"/>
    <tableColumn id="82" xr3:uid="{00000000-0010-0000-1300-000052000000}" name="Glan-y-Mor School"/>
    <tableColumn id="83" xr3:uid="{00000000-0010-0000-1300-000053000000}" name="Heol Goffa (years 7 to 11)"/>
    <tableColumn id="84" xr3:uid="{00000000-0010-0000-1300-000054000000}" name="Queen Elizabeth High School"/>
    <tableColumn id="85" xr3:uid="{00000000-0010-0000-1300-000055000000}" name="St John Lloyd Catholic Comprehensive School"/>
    <tableColumn id="86" xr3:uid="{00000000-0010-0000-1300-000056000000}" name="Ysgol Bro Dinefwr"/>
    <tableColumn id="87" xr3:uid="{00000000-0010-0000-1300-000057000000}" name="Ysgol Dyffryn Aman"/>
    <tableColumn id="88" xr3:uid="{00000000-0010-0000-1300-000058000000}" name="Ysgol Gyfun Emlyn"/>
    <tableColumn id="89" xr3:uid="{00000000-0010-0000-1300-000059000000}" name="Ysgol Gyfun Gymraeg Bro Myrddin"/>
    <tableColumn id="90" xr3:uid="{00000000-0010-0000-1300-00005A000000}" name="Ysgol Gyfun y Strade"/>
    <tableColumn id="91" xr3:uid="{00000000-0010-0000-1300-00005B000000}" name="Ysgol Maes y Gwendraeth"/>
  </tableColumns>
  <tableStyleInfo name="none" showFirstColumn="0" showLastColumn="0" showRowStripes="1" showColumnStripes="0"/>
  <extLst>
    <ext xmlns:x14="http://schemas.microsoft.com/office/spreadsheetml/2009/9/main" uri="{504A1905-F514-4f6f-8877-14C23A59335A}">
      <x14:table altText="Table 10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4 columns"/>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table11a" displayName="table11a" ref="A2:D64" totalsRowShown="0">
  <tableColumns count="4">
    <tableColumn id="1" xr3:uid="{00000000-0010-0000-1400-000001000000}" name=" "/>
    <tableColumn id="2" xr3:uid="{00000000-0010-0000-1400-000002000000}" name="Wales"/>
    <tableColumn id="3" xr3:uid="{00000000-0010-0000-1400-000003000000}" name="Regional Sport Partnership: West Wales"/>
    <tableColumn id="4" xr3:uid="{00000000-0010-0000-1400-000004000000}" name="Carmarthenshire"/>
  </tableColumns>
  <tableStyleInfo name="none" showFirstColumn="0" showLastColumn="0" showRowStripes="1" showColumnStripes="0"/>
  <extLst>
    <ext xmlns:x14="http://schemas.microsoft.com/office/spreadsheetml/2009/9/main" uri="{504A1905-F514-4f6f-8877-14C23A59335A}">
      <x14:table altText="Table 11a" altTextSummary="Table with 4 columns_x000d__x000a__x000d__x000a_Column A shows a list of sports._x000d__x000a__x000d__x000a_Column B to D shows the National, Regional Sport Partnership and Local Authority proportion of pupils participating in each sport with a disability or impairment_x000d__x000a__x000d__x000a_Additional technical notes and a link to the contents page sit beneath the table._x000d__x000a__x000d__x000a__x000d__x000a_Table with 4 columns"/>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11b" displayName="table11b" ref="A2:D16" totalsRowShown="0">
  <tableColumns count="4">
    <tableColumn id="1" xr3:uid="{00000000-0010-0000-1500-000001000000}" name=" "/>
    <tableColumn id="2" xr3:uid="{00000000-0010-0000-1500-000002000000}" name="Wales"/>
    <tableColumn id="3" xr3:uid="{00000000-0010-0000-1500-000003000000}" name="Regional Sport Partnership: West Wales"/>
    <tableColumn id="4" xr3:uid="{00000000-0010-0000-1500-000004000000}" name="Carmarthenshire"/>
  </tableColumns>
  <tableStyleInfo name="none" showFirstColumn="0" showLastColumn="0" showRowStripes="1" showColumnStripes="0"/>
  <extLst>
    <ext xmlns:x14="http://schemas.microsoft.com/office/spreadsheetml/2009/9/main" uri="{504A1905-F514-4f6f-8877-14C23A59335A}">
      <x14:table altText="Table 11b" altTextSummary="Table with 4 columns_x000d__x000a__x000d__x000a_Column A shows a list of ways that pupils with a disability or impairment participate in sport._x000d__x000a__x000d__x000a_Column B to D shows the the National, Regional Sport Partnership and Local Authority proportion of pupils who use these methods to participate._x000d__x000a__x000d__x000a_Additional technical notes and a link to the contents page sit beneath the table._x000d__x000a__x000d__x000a_Table with 9 columns."/>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table11c" displayName="table11c" ref="A2:I64" totalsRowShown="0">
  <tableColumns count="9">
    <tableColumn id="1" xr3:uid="{00000000-0010-0000-1600-000001000000}" name=" "/>
    <tableColumn id="2" xr3:uid="{00000000-0010-0000-1600-000002000000}" name="Seated (using a chair or on the floor)"/>
    <tableColumn id="3" xr3:uid="{00000000-0010-0000-1600-000003000000}" name="Standing"/>
    <tableColumn id="4" xr3:uid="{00000000-0010-0000-1600-000004000000}" name="Supported by a person who is my guide/another person"/>
    <tableColumn id="5" xr3:uid="{00000000-0010-0000-1600-000005000000}" name="Using Makaton/British Sign Language"/>
    <tableColumn id="6" xr3:uid="{00000000-0010-0000-1600-000006000000}" name="Using a prosthetic, like a blade or arm"/>
    <tableColumn id="7" xr3:uid="{00000000-0010-0000-1600-000007000000}" name="Using equipment, like a frame or walking aid"/>
    <tableColumn id="8" xr3:uid="{00000000-0010-0000-1600-000008000000}" name="Other"/>
    <tableColumn id="9" xr3:uid="{00000000-0010-0000-1600-000009000000}" name="Prefer not to say"/>
  </tableColumns>
  <tableStyleInfo name="none" showFirstColumn="0" showLastColumn="0" showRowStripes="1" showColumnStripes="0"/>
  <extLst>
    <ext xmlns:x14="http://schemas.microsoft.com/office/spreadsheetml/2009/9/main" uri="{504A1905-F514-4f6f-8877-14C23A59335A}">
      <x14:table altText="Table 11c" altTextSummary="Table with 9 columns._x000d__x000a__x000d__x000a_Column A shows a list of sports_x000d__x000a__x000d__x000a_Columns B to I shows different ways that pupils with a disability or impairment may use to participate in sport._x000d__x000a_Table with 16 columns."/>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7000000}" name="table12a" displayName="table12a" ref="A2:P64" totalsRowShown="0">
  <tableColumns count="16">
    <tableColumn id="1" xr3:uid="{00000000-0010-0000-1700-000001000000}" name=" "/>
    <tableColumn id="2" xr3:uid="{00000000-0010-0000-1700-000002000000}" name="All"/>
    <tableColumn id="3" xr3:uid="{00000000-0010-0000-1700-000003000000}" name="All:_x000a_Years 3 to 6"/>
    <tableColumn id="4" xr3:uid="{00000000-0010-0000-1700-000004000000}" name="All:_x000a_Years 7 to 11"/>
    <tableColumn id="5" xr3:uid="{00000000-0010-0000-1700-000005000000}" name="Boy"/>
    <tableColumn id="6" xr3:uid="{00000000-0010-0000-1700-000006000000}" name="Boy:_x000a_Years 3 to 6"/>
    <tableColumn id="7" xr3:uid="{00000000-0010-0000-1700-000007000000}" name="Boy:_x000a_Years 7 to 11"/>
    <tableColumn id="8" xr3:uid="{00000000-0010-0000-1700-000008000000}" name="Girl"/>
    <tableColumn id="9" xr3:uid="{00000000-0010-0000-1700-000009000000}" name="Girl:_x000a_Years 3 to 6"/>
    <tableColumn id="10" xr3:uid="{00000000-0010-0000-1700-00000A000000}" name="Girl:_x000a_Years 7 to 11"/>
    <tableColumn id="11" xr3:uid="{00000000-0010-0000-1700-00000B000000}" name="Pupils identifying as 'Other'"/>
    <tableColumn id="12" xr3:uid="{00000000-0010-0000-1700-00000C000000}" name="Pupils identifying as 'Other':_x000a_Years 3 to 6"/>
    <tableColumn id="13" xr3:uid="{00000000-0010-0000-1700-00000D000000}" name="Pupils identifying as 'Other':_x000a_Years 7 to 11"/>
    <tableColumn id="14" xr3:uid="{00000000-0010-0000-1700-00000E000000}" name="I do not want to say"/>
    <tableColumn id="15" xr3:uid="{00000000-0010-0000-1700-00000F000000}" name="I do not want to say:_x000a_Years 3 to 6"/>
    <tableColumn id="16" xr3:uid="{00000000-0010-0000-17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2a"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8000000}" name="table12b" displayName="table12b" ref="A2:CM64" totalsRowShown="0">
  <tableColumns count="91">
    <tableColumn id="1" xr3:uid="{00000000-0010-0000-1800-000001000000}" name=" "/>
    <tableColumn id="2" xr3:uid="{00000000-0010-0000-1800-000002000000}" name="Wales"/>
    <tableColumn id="3" xr3:uid="{00000000-0010-0000-1800-000003000000}" name="Regional Sport Partnership: West Wales"/>
    <tableColumn id="4" xr3:uid="{00000000-0010-0000-1800-000004000000}" name="Carmarthenshire"/>
    <tableColumn id="5" xr3:uid="{00000000-0010-0000-1800-000005000000}" name="Primary in Carmarthenshire: _x000a_Years 3 to 6"/>
    <tableColumn id="6" xr3:uid="{00000000-0010-0000-1800-000006000000}" name="Abergwili"/>
    <tableColumn id="7" xr3:uid="{00000000-0010-0000-1800-000007000000}" name="Bancffosfelen"/>
    <tableColumn id="8" xr3:uid="{00000000-0010-0000-1800-000008000000}" name="Betws"/>
    <tableColumn id="9" xr3:uid="{00000000-0010-0000-1800-000009000000}" name="Blaenau"/>
    <tableColumn id="10" xr3:uid="{00000000-0010-0000-1800-00000A000000}" name="Bro Banw"/>
    <tableColumn id="11" xr3:uid="{00000000-0010-0000-1800-00000B000000}" name="Bro Brynach"/>
    <tableColumn id="12" xr3:uid="{00000000-0010-0000-1800-00000C000000}" name="Bryn"/>
    <tableColumn id="13" xr3:uid="{00000000-0010-0000-1800-00000D000000}" name="Bryn Teg"/>
    <tableColumn id="14" xr3:uid="{00000000-0010-0000-1800-00000E000000}" name="Brynaman"/>
    <tableColumn id="15" xr3:uid="{00000000-0010-0000-1800-00000F000000}" name="Brynsierfel"/>
    <tableColumn id="16" xr3:uid="{00000000-0010-0000-1800-000010000000}" name="Burry Port"/>
    <tableColumn id="17" xr3:uid="{00000000-0010-0000-1800-000011000000}" name="Bynea"/>
    <tableColumn id="18" xr3:uid="{00000000-0010-0000-1800-000012000000}" name="Carway"/>
    <tableColumn id="19" xr3:uid="{00000000-0010-0000-1800-000013000000}" name="Cefneithin"/>
    <tableColumn id="20" xr3:uid="{00000000-0010-0000-1800-000014000000}" name="Cross Hands"/>
    <tableColumn id="21" xr3:uid="{00000000-0010-0000-1800-000015000000}" name="Cwrt Henri"/>
    <tableColumn id="22" xr3:uid="{00000000-0010-0000-1800-000016000000}" name="Cynwyl Elfed"/>
    <tableColumn id="23" xr3:uid="{00000000-0010-0000-1800-000017000000}" name="Dafen"/>
    <tableColumn id="24" xr3:uid="{00000000-0010-0000-1800-000018000000}" name="Drefach"/>
    <tableColumn id="25" xr3:uid="{00000000-0010-0000-1800-000019000000}" name="Ferryside"/>
    <tableColumn id="26" xr3:uid="{00000000-0010-0000-1800-00001A000000}" name="Ffairfach"/>
    <tableColumn id="27" xr3:uid="{00000000-0010-0000-1800-00001B000000}" name="Ffwrnes"/>
    <tableColumn id="28" xr3:uid="{00000000-0010-0000-1800-00001C000000}" name="Gorslas"/>
    <tableColumn id="29" xr3:uid="{00000000-0010-0000-1800-00001D000000}" name="Griffith Jones"/>
    <tableColumn id="30" xr3:uid="{00000000-0010-0000-1800-00001E000000}" name="Gwenllian"/>
    <tableColumn id="31" xr3:uid="{00000000-0010-0000-1800-00001F000000}" name="Gwynfryn"/>
    <tableColumn id="32" xr3:uid="{00000000-0010-0000-1800-000020000000}" name="Hafodwenog"/>
    <tableColumn id="33" xr3:uid="{00000000-0010-0000-1800-000021000000}" name="Halfway"/>
    <tableColumn id="34" xr3:uid="{00000000-0010-0000-1800-000022000000}" name="Hendy"/>
    <tableColumn id="35" xr3:uid="{00000000-0010-0000-1800-000023000000}" name="Heol Goffa (years 3 to 6)"/>
    <tableColumn id="36" xr3:uid="{00000000-0010-0000-1800-000024000000}" name="Johnstown"/>
    <tableColumn id="37" xr3:uid="{00000000-0010-0000-1800-000025000000}" name="Llanddarog"/>
    <tableColumn id="38" xr3:uid="{00000000-0010-0000-1800-000026000000}" name="Llandeilo"/>
    <tableColumn id="39" xr3:uid="{00000000-0010-0000-1800-000027000000}" name="Llandybie"/>
    <tableColumn id="40" xr3:uid="{00000000-0010-0000-1800-000028000000}" name="Llanedi"/>
    <tableColumn id="41" xr3:uid="{00000000-0010-0000-1800-000029000000}" name="Llangadog"/>
    <tableColumn id="42" xr3:uid="{00000000-0010-0000-1800-00002A000000}" name="Llangunnor"/>
    <tableColumn id="43" xr3:uid="{00000000-0010-0000-1800-00002B000000}" name="Llanmiloe"/>
    <tableColumn id="44" xr3:uid="{00000000-0010-0000-1800-00002C000000}" name="Llannon"/>
    <tableColumn id="45" xr3:uid="{00000000-0010-0000-1800-00002D000000}" name="Llanpumsaint"/>
    <tableColumn id="46" xr3:uid="{00000000-0010-0000-1800-00002E000000}" name="Llechyfedach"/>
    <tableColumn id="47" xr3:uid="{00000000-0010-0000-1800-00002F000000}" name="Llys Hywel"/>
    <tableColumn id="48" xr3:uid="{00000000-0010-0000-1800-000030000000}" name="Maes y Morfa"/>
    <tableColumn id="49" xr3:uid="{00000000-0010-0000-1800-000031000000}" name="Model"/>
    <tableColumn id="50" xr3:uid="{00000000-0010-0000-1800-000032000000}" name="Mynyddygarreg"/>
    <tableColumn id="51" xr3:uid="{00000000-0010-0000-1800-000033000000}" name="Myrddin"/>
    <tableColumn id="52" xr3:uid="{00000000-0010-0000-1800-000034000000}" name="Nantgaredig"/>
    <tableColumn id="53" xr3:uid="{00000000-0010-0000-1800-000035000000}" name="Old Road"/>
    <tableColumn id="54" xr3:uid="{00000000-0010-0000-1800-000036000000}" name="Parc y Tywyn"/>
    <tableColumn id="55" xr3:uid="{00000000-0010-0000-1800-000037000000}" name="Parcyrhun"/>
    <tableColumn id="56" xr3:uid="{00000000-0010-0000-1800-000038000000}" name="Pembrey"/>
    <tableColumn id="57" xr3:uid="{00000000-0010-0000-1800-000039000000}" name="Peniel"/>
    <tableColumn id="58" xr3:uid="{00000000-0010-0000-1800-00003A000000}" name="Penygaer"/>
    <tableColumn id="59" xr3:uid="{00000000-0010-0000-1800-00003B000000}" name="Penygroes"/>
    <tableColumn id="60" xr3:uid="{00000000-0010-0000-1800-00003C000000}" name="Ponthenri"/>
    <tableColumn id="61" xr3:uid="{00000000-0010-0000-1800-00003D000000}" name="Pontiets"/>
    <tableColumn id="62" xr3:uid="{00000000-0010-0000-1800-00003E000000}" name="Pontyberem"/>
    <tableColumn id="63" xr3:uid="{00000000-0010-0000-1800-00003F000000}" name="Pum Heol"/>
    <tableColumn id="64" xr3:uid="{00000000-0010-0000-1800-000040000000}" name="Rhydaman"/>
    <tableColumn id="65" xr3:uid="{00000000-0010-0000-1800-000041000000}" name="Rhys Prichard"/>
    <tableColumn id="66" xr3:uid="{00000000-0010-0000-1800-000042000000}" name="Saron"/>
    <tableColumn id="67" xr3:uid="{00000000-0010-0000-1800-000043000000}" name="St Mary's (Llanelli)"/>
    <tableColumn id="68" xr3:uid="{00000000-0010-0000-1800-000044000000}" name="Talley"/>
    <tableColumn id="69" xr3:uid="{00000000-0010-0000-1800-000045000000}" name="Teilo Sant"/>
    <tableColumn id="70" xr3:uid="{00000000-0010-0000-1800-000046000000}" name="Trimsaran"/>
    <tableColumn id="71" xr3:uid="{00000000-0010-0000-1800-000047000000}" name="Ty-Croes"/>
    <tableColumn id="72" xr3:uid="{00000000-0010-0000-1800-000048000000}" name="Y Bedol"/>
    <tableColumn id="73" xr3:uid="{00000000-0010-0000-1800-000049000000}" name="Y Castell"/>
    <tableColumn id="74" xr3:uid="{00000000-0010-0000-1800-00004A000000}" name="Y Dderwen"/>
    <tableColumn id="75" xr3:uid="{00000000-0010-0000-1800-00004B000000}" name="Y Felin"/>
    <tableColumn id="76" xr3:uid="{00000000-0010-0000-1800-00004C000000}" name="Y Fro"/>
    <tableColumn id="77" xr3:uid="{00000000-0010-0000-1800-00004D000000}" name="Y Tymbl"/>
    <tableColumn id="78" xr3:uid="{00000000-0010-0000-1800-00004E000000}" name="Ysgol Gymraeg Llangennech"/>
    <tableColumn id="79" xr3:uid="{00000000-0010-0000-1800-00004F000000}" name="Secondary in Carmarthenshire: _x000a_Years 7 to 11"/>
    <tableColumn id="80" xr3:uid="{00000000-0010-0000-1800-000050000000}" name="Bryngwyn School"/>
    <tableColumn id="81" xr3:uid="{00000000-0010-0000-1800-000051000000}" name="Coedcae School"/>
    <tableColumn id="82" xr3:uid="{00000000-0010-0000-1800-000052000000}" name="Glan-y-Mor School"/>
    <tableColumn id="83" xr3:uid="{00000000-0010-0000-1800-000053000000}" name="Heol Goffa (years 7 to 11)"/>
    <tableColumn id="84" xr3:uid="{00000000-0010-0000-1800-000054000000}" name="Queen Elizabeth High School"/>
    <tableColumn id="85" xr3:uid="{00000000-0010-0000-1800-000055000000}" name="St John Lloyd Catholic Comprehensive School"/>
    <tableColumn id="86" xr3:uid="{00000000-0010-0000-1800-000056000000}" name="Ysgol Bro Dinefwr"/>
    <tableColumn id="87" xr3:uid="{00000000-0010-0000-1800-000057000000}" name="Ysgol Dyffryn Aman"/>
    <tableColumn id="88" xr3:uid="{00000000-0010-0000-1800-000058000000}" name="Ysgol Gyfun Emlyn"/>
    <tableColumn id="89" xr3:uid="{00000000-0010-0000-1800-000059000000}" name="Ysgol Gyfun Gymraeg Bro Myrddin"/>
    <tableColumn id="90" xr3:uid="{00000000-0010-0000-1800-00005A000000}" name="Ysgol Gyfun y Strade"/>
    <tableColumn id="91" xr3:uid="{00000000-0010-0000-1800-00005B000000}" name="Ysgol Maes y Gwendraeth"/>
  </tableColumns>
  <tableStyleInfo name="none" showFirstColumn="0" showLastColumn="0" showRowStripes="1" showColumnStripes="0"/>
  <extLst>
    <ext xmlns:x14="http://schemas.microsoft.com/office/spreadsheetml/2009/9/main" uri="{504A1905-F514-4f6f-8877-14C23A59335A}">
      <x14:table altText="Table 12b" altTextSummary="Table with 29 columns_x000d__x000a__x000d__x000a_Column A shows a list of sports_x000d__x000a__x000d__x000a_Columns B to AC are grouped into geographic levels. These levels are National, Regional Sport Partnership Areas, Local Authority and Schools._x000d__x000a__x000d__x000a_Additional technical notes and a link to the contents page sit beneath the table._x000d__x000a__x000d__x000a_Table with 4 columns."/>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9000000}" name="table12c" displayName="table12c" ref="A2:D64" totalsRowShown="0">
  <tableColumns count="4">
    <tableColumn id="1" xr3:uid="{00000000-0010-0000-1900-000001000000}" name=" "/>
    <tableColumn id="2" xr3:uid="{00000000-0010-0000-1900-000002000000}" name="Wales"/>
    <tableColumn id="3" xr3:uid="{00000000-0010-0000-1900-000003000000}" name="Regional Sport Partnership: West Wales"/>
    <tableColumn id="4" xr3:uid="{00000000-0010-0000-1900-000004000000}" name="Carmarthenshire"/>
  </tableColumns>
  <tableStyleInfo name="none" showFirstColumn="0" showLastColumn="0" showRowStripes="1" showColumnStripes="0"/>
  <extLst>
    <ext xmlns:x14="http://schemas.microsoft.com/office/spreadsheetml/2009/9/main" uri="{504A1905-F514-4f6f-8877-14C23A59335A}">
      <x14:table altText="Table 12c" altTextSummary="Table with 4 columns._x000d__x000a__x000d__x000a_Column A shows a list of sports_x000d__x000a__x000d__x000a_Column B to D shows the National, Regional Sport Partnership and Local Authority proportion of pupils with a disability or impairment who have Latent Demand for each sport._x000d__x000a__x000d__x000a_Additional technical notes and a link to the contents page sit beneath the table._x000d__x000a__x000d__x000a__x000d__x000a_Table with 16 columns"/>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A000000}" name="table13a" displayName="table13a" ref="A2:P64" totalsRowShown="0">
  <tableColumns count="16">
    <tableColumn id="1" xr3:uid="{00000000-0010-0000-1A00-000001000000}" name=" "/>
    <tableColumn id="2" xr3:uid="{00000000-0010-0000-1A00-000002000000}" name="All"/>
    <tableColumn id="3" xr3:uid="{00000000-0010-0000-1A00-000003000000}" name="All:_x000a_Years 3 to 6"/>
    <tableColumn id="4" xr3:uid="{00000000-0010-0000-1A00-000004000000}" name="All:_x000a_Years 7 to 11"/>
    <tableColumn id="5" xr3:uid="{00000000-0010-0000-1A00-000005000000}" name="Boy"/>
    <tableColumn id="6" xr3:uid="{00000000-0010-0000-1A00-000006000000}" name="Boy:_x000a_Years 3 to 6"/>
    <tableColumn id="7" xr3:uid="{00000000-0010-0000-1A00-000007000000}" name="Boy:_x000a_Years 7 to 11"/>
    <tableColumn id="8" xr3:uid="{00000000-0010-0000-1A00-000008000000}" name="Girl"/>
    <tableColumn id="9" xr3:uid="{00000000-0010-0000-1A00-000009000000}" name="Girl:_x000a_Years 3 to 6"/>
    <tableColumn id="10" xr3:uid="{00000000-0010-0000-1A00-00000A000000}" name="Girl:_x000a_Years 7 to 11"/>
    <tableColumn id="11" xr3:uid="{00000000-0010-0000-1A00-00000B000000}" name="Pupils identifying as 'Other'"/>
    <tableColumn id="12" xr3:uid="{00000000-0010-0000-1A00-00000C000000}" name="Pupils identifying as 'Other':_x000a_Years 3 to 6"/>
    <tableColumn id="13" xr3:uid="{00000000-0010-0000-1A00-00000D000000}" name="Pupils identifying as 'Other':_x000a_Years 7 to 11"/>
    <tableColumn id="14" xr3:uid="{00000000-0010-0000-1A00-00000E000000}" name="I do not want to say"/>
    <tableColumn id="15" xr3:uid="{00000000-0010-0000-1A00-00000F000000}" name="I do not want to say:_x000a_Years 3 to 6"/>
    <tableColumn id="16" xr3:uid="{00000000-0010-0000-1A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3a"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B000000}" name="table13b" displayName="table13b" ref="A2:CM64" totalsRowShown="0">
  <tableColumns count="91">
    <tableColumn id="1" xr3:uid="{00000000-0010-0000-1B00-000001000000}" name=" "/>
    <tableColumn id="2" xr3:uid="{00000000-0010-0000-1B00-000002000000}" name="Wales"/>
    <tableColumn id="3" xr3:uid="{00000000-0010-0000-1B00-000003000000}" name="Regional Sport Partnership: West Wales"/>
    <tableColumn id="4" xr3:uid="{00000000-0010-0000-1B00-000004000000}" name="Carmarthenshire"/>
    <tableColumn id="5" xr3:uid="{00000000-0010-0000-1B00-000005000000}" name="Primary in Carmarthenshire: _x000a_Years 3 to 6"/>
    <tableColumn id="6" xr3:uid="{00000000-0010-0000-1B00-000006000000}" name="Abergwili"/>
    <tableColumn id="7" xr3:uid="{00000000-0010-0000-1B00-000007000000}" name="Bancffosfelen"/>
    <tableColumn id="8" xr3:uid="{00000000-0010-0000-1B00-000008000000}" name="Betws"/>
    <tableColumn id="9" xr3:uid="{00000000-0010-0000-1B00-000009000000}" name="Blaenau"/>
    <tableColumn id="10" xr3:uid="{00000000-0010-0000-1B00-00000A000000}" name="Bro Banw"/>
    <tableColumn id="11" xr3:uid="{00000000-0010-0000-1B00-00000B000000}" name="Bro Brynach"/>
    <tableColumn id="12" xr3:uid="{00000000-0010-0000-1B00-00000C000000}" name="Bryn"/>
    <tableColumn id="13" xr3:uid="{00000000-0010-0000-1B00-00000D000000}" name="Bryn Teg"/>
    <tableColumn id="14" xr3:uid="{00000000-0010-0000-1B00-00000E000000}" name="Brynaman"/>
    <tableColumn id="15" xr3:uid="{00000000-0010-0000-1B00-00000F000000}" name="Brynsierfel"/>
    <tableColumn id="16" xr3:uid="{00000000-0010-0000-1B00-000010000000}" name="Burry Port"/>
    <tableColumn id="17" xr3:uid="{00000000-0010-0000-1B00-000011000000}" name="Bynea"/>
    <tableColumn id="18" xr3:uid="{00000000-0010-0000-1B00-000012000000}" name="Carway"/>
    <tableColumn id="19" xr3:uid="{00000000-0010-0000-1B00-000013000000}" name="Cefneithin"/>
    <tableColumn id="20" xr3:uid="{00000000-0010-0000-1B00-000014000000}" name="Cross Hands"/>
    <tableColumn id="21" xr3:uid="{00000000-0010-0000-1B00-000015000000}" name="Cwrt Henri"/>
    <tableColumn id="22" xr3:uid="{00000000-0010-0000-1B00-000016000000}" name="Cynwyl Elfed"/>
    <tableColumn id="23" xr3:uid="{00000000-0010-0000-1B00-000017000000}" name="Dafen"/>
    <tableColumn id="24" xr3:uid="{00000000-0010-0000-1B00-000018000000}" name="Drefach"/>
    <tableColumn id="25" xr3:uid="{00000000-0010-0000-1B00-000019000000}" name="Ferryside"/>
    <tableColumn id="26" xr3:uid="{00000000-0010-0000-1B00-00001A000000}" name="Ffairfach"/>
    <tableColumn id="27" xr3:uid="{00000000-0010-0000-1B00-00001B000000}" name="Ffwrnes"/>
    <tableColumn id="28" xr3:uid="{00000000-0010-0000-1B00-00001C000000}" name="Gorslas"/>
    <tableColumn id="29" xr3:uid="{00000000-0010-0000-1B00-00001D000000}" name="Griffith Jones"/>
    <tableColumn id="30" xr3:uid="{00000000-0010-0000-1B00-00001E000000}" name="Gwenllian"/>
    <tableColumn id="31" xr3:uid="{00000000-0010-0000-1B00-00001F000000}" name="Gwynfryn"/>
    <tableColumn id="32" xr3:uid="{00000000-0010-0000-1B00-000020000000}" name="Hafodwenog"/>
    <tableColumn id="33" xr3:uid="{00000000-0010-0000-1B00-000021000000}" name="Halfway"/>
    <tableColumn id="34" xr3:uid="{00000000-0010-0000-1B00-000022000000}" name="Hendy"/>
    <tableColumn id="35" xr3:uid="{00000000-0010-0000-1B00-000023000000}" name="Heol Goffa (years 3 to 6)"/>
    <tableColumn id="36" xr3:uid="{00000000-0010-0000-1B00-000024000000}" name="Johnstown"/>
    <tableColumn id="37" xr3:uid="{00000000-0010-0000-1B00-000025000000}" name="Llanddarog"/>
    <tableColumn id="38" xr3:uid="{00000000-0010-0000-1B00-000026000000}" name="Llandeilo"/>
    <tableColumn id="39" xr3:uid="{00000000-0010-0000-1B00-000027000000}" name="Llandybie"/>
    <tableColumn id="40" xr3:uid="{00000000-0010-0000-1B00-000028000000}" name="Llanedi"/>
    <tableColumn id="41" xr3:uid="{00000000-0010-0000-1B00-000029000000}" name="Llangadog"/>
    <tableColumn id="42" xr3:uid="{00000000-0010-0000-1B00-00002A000000}" name="Llangunnor"/>
    <tableColumn id="43" xr3:uid="{00000000-0010-0000-1B00-00002B000000}" name="Llanmiloe"/>
    <tableColumn id="44" xr3:uid="{00000000-0010-0000-1B00-00002C000000}" name="Llannon"/>
    <tableColumn id="45" xr3:uid="{00000000-0010-0000-1B00-00002D000000}" name="Llanpumsaint"/>
    <tableColumn id="46" xr3:uid="{00000000-0010-0000-1B00-00002E000000}" name="Llechyfedach"/>
    <tableColumn id="47" xr3:uid="{00000000-0010-0000-1B00-00002F000000}" name="Llys Hywel"/>
    <tableColumn id="48" xr3:uid="{00000000-0010-0000-1B00-000030000000}" name="Maes y Morfa"/>
    <tableColumn id="49" xr3:uid="{00000000-0010-0000-1B00-000031000000}" name="Model"/>
    <tableColumn id="50" xr3:uid="{00000000-0010-0000-1B00-000032000000}" name="Mynyddygarreg"/>
    <tableColumn id="51" xr3:uid="{00000000-0010-0000-1B00-000033000000}" name="Myrddin"/>
    <tableColumn id="52" xr3:uid="{00000000-0010-0000-1B00-000034000000}" name="Nantgaredig"/>
    <tableColumn id="53" xr3:uid="{00000000-0010-0000-1B00-000035000000}" name="Old Road"/>
    <tableColumn id="54" xr3:uid="{00000000-0010-0000-1B00-000036000000}" name="Parc y Tywyn"/>
    <tableColumn id="55" xr3:uid="{00000000-0010-0000-1B00-000037000000}" name="Parcyrhun"/>
    <tableColumn id="56" xr3:uid="{00000000-0010-0000-1B00-000038000000}" name="Pembrey"/>
    <tableColumn id="57" xr3:uid="{00000000-0010-0000-1B00-000039000000}" name="Peniel"/>
    <tableColumn id="58" xr3:uid="{00000000-0010-0000-1B00-00003A000000}" name="Penygaer"/>
    <tableColumn id="59" xr3:uid="{00000000-0010-0000-1B00-00003B000000}" name="Penygroes"/>
    <tableColumn id="60" xr3:uid="{00000000-0010-0000-1B00-00003C000000}" name="Ponthenri"/>
    <tableColumn id="61" xr3:uid="{00000000-0010-0000-1B00-00003D000000}" name="Pontiets"/>
    <tableColumn id="62" xr3:uid="{00000000-0010-0000-1B00-00003E000000}" name="Pontyberem"/>
    <tableColumn id="63" xr3:uid="{00000000-0010-0000-1B00-00003F000000}" name="Pum Heol"/>
    <tableColumn id="64" xr3:uid="{00000000-0010-0000-1B00-000040000000}" name="Rhydaman"/>
    <tableColumn id="65" xr3:uid="{00000000-0010-0000-1B00-000041000000}" name="Rhys Prichard"/>
    <tableColumn id="66" xr3:uid="{00000000-0010-0000-1B00-000042000000}" name="Saron"/>
    <tableColumn id="67" xr3:uid="{00000000-0010-0000-1B00-000043000000}" name="St Mary's (Llanelli)"/>
    <tableColumn id="68" xr3:uid="{00000000-0010-0000-1B00-000044000000}" name="Talley"/>
    <tableColumn id="69" xr3:uid="{00000000-0010-0000-1B00-000045000000}" name="Teilo Sant"/>
    <tableColumn id="70" xr3:uid="{00000000-0010-0000-1B00-000046000000}" name="Trimsaran"/>
    <tableColumn id="71" xr3:uid="{00000000-0010-0000-1B00-000047000000}" name="Ty-Croes"/>
    <tableColumn id="72" xr3:uid="{00000000-0010-0000-1B00-000048000000}" name="Y Bedol"/>
    <tableColumn id="73" xr3:uid="{00000000-0010-0000-1B00-000049000000}" name="Y Castell"/>
    <tableColumn id="74" xr3:uid="{00000000-0010-0000-1B00-00004A000000}" name="Y Dderwen"/>
    <tableColumn id="75" xr3:uid="{00000000-0010-0000-1B00-00004B000000}" name="Y Felin"/>
    <tableColumn id="76" xr3:uid="{00000000-0010-0000-1B00-00004C000000}" name="Y Fro"/>
    <tableColumn id="77" xr3:uid="{00000000-0010-0000-1B00-00004D000000}" name="Y Tymbl"/>
    <tableColumn id="78" xr3:uid="{00000000-0010-0000-1B00-00004E000000}" name="Ysgol Gymraeg Llangennech"/>
    <tableColumn id="79" xr3:uid="{00000000-0010-0000-1B00-00004F000000}" name="Secondary in Carmarthenshire: _x000a_Years 7 to 11"/>
    <tableColumn id="80" xr3:uid="{00000000-0010-0000-1B00-000050000000}" name="Bryngwyn School"/>
    <tableColumn id="81" xr3:uid="{00000000-0010-0000-1B00-000051000000}" name="Coedcae School"/>
    <tableColumn id="82" xr3:uid="{00000000-0010-0000-1B00-000052000000}" name="Glan-y-Mor School"/>
    <tableColumn id="83" xr3:uid="{00000000-0010-0000-1B00-000053000000}" name="Heol Goffa (years 7 to 11)"/>
    <tableColumn id="84" xr3:uid="{00000000-0010-0000-1B00-000054000000}" name="Queen Elizabeth High School"/>
    <tableColumn id="85" xr3:uid="{00000000-0010-0000-1B00-000055000000}" name="St John Lloyd Catholic Comprehensive School"/>
    <tableColumn id="86" xr3:uid="{00000000-0010-0000-1B00-000056000000}" name="Ysgol Bro Dinefwr"/>
    <tableColumn id="87" xr3:uid="{00000000-0010-0000-1B00-000057000000}" name="Ysgol Dyffryn Aman"/>
    <tableColumn id="88" xr3:uid="{00000000-0010-0000-1B00-000058000000}" name="Ysgol Gyfun Emlyn"/>
    <tableColumn id="89" xr3:uid="{00000000-0010-0000-1B00-000059000000}" name="Ysgol Gyfun Gymraeg Bro Myrddin"/>
    <tableColumn id="90" xr3:uid="{00000000-0010-0000-1B00-00005A000000}" name="Ysgol Gyfun y Strade"/>
    <tableColumn id="91" xr3:uid="{00000000-0010-0000-1B00-00005B000000}" name="Ysgol Maes y Gwendraeth"/>
  </tableColumns>
  <tableStyleInfo name="none" showFirstColumn="0" showLastColumn="0" showRowStripes="1" showColumnStripes="0"/>
  <extLst>
    <ext xmlns:x14="http://schemas.microsoft.com/office/spreadsheetml/2009/9/main" uri="{504A1905-F514-4f6f-8877-14C23A59335A}">
      <x14:table altText="Table 13b"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2 columns."/>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C000000}" name="table13c" displayName="table13c" ref="A2:D64" totalsRowShown="0">
  <tableColumns count="4">
    <tableColumn id="1" xr3:uid="{00000000-0010-0000-1C00-000001000000}" name=" "/>
    <tableColumn id="2" xr3:uid="{00000000-0010-0000-1C00-000002000000}" name="Wales"/>
    <tableColumn id="3" xr3:uid="{00000000-0010-0000-1C00-000003000000}" name="Regional Sport Partnership: West Wales"/>
    <tableColumn id="4" xr3:uid="{00000000-0010-0000-1C00-000004000000}" name="Carmarthenshire"/>
  </tableColumns>
  <tableStyleInfo name="none" showFirstColumn="0" showLastColumn="0" showRowStripes="1" showColumnStripes="0"/>
  <extLst>
    <ext xmlns:x14="http://schemas.microsoft.com/office/spreadsheetml/2009/9/main" uri="{504A1905-F514-4f6f-8877-14C23A59335A}">
      <x14:table altText="Table 13c" altTextSummary="Table with 2 columns._x000d__x000a__x000d__x000a_Column A shows a list of sports_x000d__x000a__x000d__x000a_Column B shows the National, Regional Sport Partnership and Local Authority of pupils with a disability or impairment who have Unmet Demand for each sport._x000d__x000a__x000d__x000a_Additional technical notes and a link to the contents page sit beneath the table._x000d__x000a__x000d__x000a_Table with 16 columns"/>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14a" displayName="table14a" ref="A2:P37" totalsRowShown="0">
  <tableColumns count="16">
    <tableColumn id="1" xr3:uid="{00000000-0010-0000-1D00-000001000000}" name=" "/>
    <tableColumn id="2" xr3:uid="{00000000-0010-0000-1D00-000002000000}" name="All"/>
    <tableColumn id="3" xr3:uid="{00000000-0010-0000-1D00-000003000000}" name="All:_x000a_Years 3 to 6"/>
    <tableColumn id="4" xr3:uid="{00000000-0010-0000-1D00-000004000000}" name="All:_x000a_Years 7 to 11"/>
    <tableColumn id="5" xr3:uid="{00000000-0010-0000-1D00-000005000000}" name="Boy"/>
    <tableColumn id="6" xr3:uid="{00000000-0010-0000-1D00-000006000000}" name="Boy:_x000a_Years 3 to 6"/>
    <tableColumn id="7" xr3:uid="{00000000-0010-0000-1D00-000007000000}" name="Boy:_x000a_Years 7 to 11"/>
    <tableColumn id="8" xr3:uid="{00000000-0010-0000-1D00-000008000000}" name="Girl"/>
    <tableColumn id="9" xr3:uid="{00000000-0010-0000-1D00-000009000000}" name="Girl:_x000a_Years 3 to 6"/>
    <tableColumn id="10" xr3:uid="{00000000-0010-0000-1D00-00000A000000}" name="Girl:_x000a_Years 7 to 11"/>
    <tableColumn id="11" xr3:uid="{00000000-0010-0000-1D00-00000B000000}" name="Pupils identifying as 'Other'"/>
    <tableColumn id="12" xr3:uid="{00000000-0010-0000-1D00-00000C000000}" name="Pupils identifying as 'Other':_x000a_Years 3 to 6"/>
    <tableColumn id="13" xr3:uid="{00000000-0010-0000-1D00-00000D000000}" name="Pupils identifying as 'Other':_x000a_Years 7 to 11"/>
    <tableColumn id="14" xr3:uid="{00000000-0010-0000-1D00-00000E000000}" name="I do not want to say"/>
    <tableColumn id="15" xr3:uid="{00000000-0010-0000-1D00-00000F000000}" name="I do not want to say:_x000a_Years 3 to 6"/>
    <tableColumn id="16" xr3:uid="{00000000-0010-0000-1D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4a" altTextSummary="Table with 16 columns_x000d__x000a__x000d__x000a_Column A shows a list of questions and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4b" displayName="table14b" ref="A2:CM37" totalsRowShown="0">
  <tableColumns count="91">
    <tableColumn id="1" xr3:uid="{00000000-0010-0000-1E00-000001000000}" name=" "/>
    <tableColumn id="2" xr3:uid="{00000000-0010-0000-1E00-000002000000}" name="Wales"/>
    <tableColumn id="3" xr3:uid="{00000000-0010-0000-1E00-000003000000}" name="Regional Sport Partnership: West Wales"/>
    <tableColumn id="4" xr3:uid="{00000000-0010-0000-1E00-000004000000}" name="Carmarthenshire"/>
    <tableColumn id="5" xr3:uid="{00000000-0010-0000-1E00-000005000000}" name="Primary in Carmarthenshire: _x000a_Years 3 to 6"/>
    <tableColumn id="6" xr3:uid="{00000000-0010-0000-1E00-000006000000}" name="Abergwili"/>
    <tableColumn id="7" xr3:uid="{00000000-0010-0000-1E00-000007000000}" name="Bancffosfelen"/>
    <tableColumn id="8" xr3:uid="{00000000-0010-0000-1E00-000008000000}" name="Betws"/>
    <tableColumn id="9" xr3:uid="{00000000-0010-0000-1E00-000009000000}" name="Blaenau"/>
    <tableColumn id="10" xr3:uid="{00000000-0010-0000-1E00-00000A000000}" name="Bro Banw"/>
    <tableColumn id="11" xr3:uid="{00000000-0010-0000-1E00-00000B000000}" name="Bro Brynach"/>
    <tableColumn id="12" xr3:uid="{00000000-0010-0000-1E00-00000C000000}" name="Bryn"/>
    <tableColumn id="13" xr3:uid="{00000000-0010-0000-1E00-00000D000000}" name="Bryn Teg"/>
    <tableColumn id="14" xr3:uid="{00000000-0010-0000-1E00-00000E000000}" name="Brynaman"/>
    <tableColumn id="15" xr3:uid="{00000000-0010-0000-1E00-00000F000000}" name="Brynsierfel"/>
    <tableColumn id="16" xr3:uid="{00000000-0010-0000-1E00-000010000000}" name="Burry Port"/>
    <tableColumn id="17" xr3:uid="{00000000-0010-0000-1E00-000011000000}" name="Bynea"/>
    <tableColumn id="18" xr3:uid="{00000000-0010-0000-1E00-000012000000}" name="Carway"/>
    <tableColumn id="19" xr3:uid="{00000000-0010-0000-1E00-000013000000}" name="Cefneithin"/>
    <tableColumn id="20" xr3:uid="{00000000-0010-0000-1E00-000014000000}" name="Cross Hands"/>
    <tableColumn id="21" xr3:uid="{00000000-0010-0000-1E00-000015000000}" name="Cwrt Henri"/>
    <tableColumn id="22" xr3:uid="{00000000-0010-0000-1E00-000016000000}" name="Cynwyl Elfed"/>
    <tableColumn id="23" xr3:uid="{00000000-0010-0000-1E00-000017000000}" name="Dafen"/>
    <tableColumn id="24" xr3:uid="{00000000-0010-0000-1E00-000018000000}" name="Drefach"/>
    <tableColumn id="25" xr3:uid="{00000000-0010-0000-1E00-000019000000}" name="Ferryside"/>
    <tableColumn id="26" xr3:uid="{00000000-0010-0000-1E00-00001A000000}" name="Ffairfach"/>
    <tableColumn id="27" xr3:uid="{00000000-0010-0000-1E00-00001B000000}" name="Ffwrnes"/>
    <tableColumn id="28" xr3:uid="{00000000-0010-0000-1E00-00001C000000}" name="Gorslas"/>
    <tableColumn id="29" xr3:uid="{00000000-0010-0000-1E00-00001D000000}" name="Griffith Jones"/>
    <tableColumn id="30" xr3:uid="{00000000-0010-0000-1E00-00001E000000}" name="Gwenllian"/>
    <tableColumn id="31" xr3:uid="{00000000-0010-0000-1E00-00001F000000}" name="Gwynfryn"/>
    <tableColumn id="32" xr3:uid="{00000000-0010-0000-1E00-000020000000}" name="Hafodwenog"/>
    <tableColumn id="33" xr3:uid="{00000000-0010-0000-1E00-000021000000}" name="Halfway"/>
    <tableColumn id="34" xr3:uid="{00000000-0010-0000-1E00-000022000000}" name="Hendy"/>
    <tableColumn id="35" xr3:uid="{00000000-0010-0000-1E00-000023000000}" name="Heol Goffa (years 3 to 6)"/>
    <tableColumn id="36" xr3:uid="{00000000-0010-0000-1E00-000024000000}" name="Johnstown"/>
    <tableColumn id="37" xr3:uid="{00000000-0010-0000-1E00-000025000000}" name="Llanddarog"/>
    <tableColumn id="38" xr3:uid="{00000000-0010-0000-1E00-000026000000}" name="Llandeilo"/>
    <tableColumn id="39" xr3:uid="{00000000-0010-0000-1E00-000027000000}" name="Llandybie"/>
    <tableColumn id="40" xr3:uid="{00000000-0010-0000-1E00-000028000000}" name="Llanedi"/>
    <tableColumn id="41" xr3:uid="{00000000-0010-0000-1E00-000029000000}" name="Llangadog"/>
    <tableColumn id="42" xr3:uid="{00000000-0010-0000-1E00-00002A000000}" name="Llangunnor"/>
    <tableColumn id="43" xr3:uid="{00000000-0010-0000-1E00-00002B000000}" name="Llanmiloe"/>
    <tableColumn id="44" xr3:uid="{00000000-0010-0000-1E00-00002C000000}" name="Llannon"/>
    <tableColumn id="45" xr3:uid="{00000000-0010-0000-1E00-00002D000000}" name="Llanpumsaint"/>
    <tableColumn id="46" xr3:uid="{00000000-0010-0000-1E00-00002E000000}" name="Llechyfedach"/>
    <tableColumn id="47" xr3:uid="{00000000-0010-0000-1E00-00002F000000}" name="Llys Hywel"/>
    <tableColumn id="48" xr3:uid="{00000000-0010-0000-1E00-000030000000}" name="Maes y Morfa"/>
    <tableColumn id="49" xr3:uid="{00000000-0010-0000-1E00-000031000000}" name="Model"/>
    <tableColumn id="50" xr3:uid="{00000000-0010-0000-1E00-000032000000}" name="Mynyddygarreg"/>
    <tableColumn id="51" xr3:uid="{00000000-0010-0000-1E00-000033000000}" name="Myrddin"/>
    <tableColumn id="52" xr3:uid="{00000000-0010-0000-1E00-000034000000}" name="Nantgaredig"/>
    <tableColumn id="53" xr3:uid="{00000000-0010-0000-1E00-000035000000}" name="Old Road"/>
    <tableColumn id="54" xr3:uid="{00000000-0010-0000-1E00-000036000000}" name="Parc y Tywyn"/>
    <tableColumn id="55" xr3:uid="{00000000-0010-0000-1E00-000037000000}" name="Parcyrhun"/>
    <tableColumn id="56" xr3:uid="{00000000-0010-0000-1E00-000038000000}" name="Pembrey"/>
    <tableColumn id="57" xr3:uid="{00000000-0010-0000-1E00-000039000000}" name="Peniel"/>
    <tableColumn id="58" xr3:uid="{00000000-0010-0000-1E00-00003A000000}" name="Penygaer"/>
    <tableColumn id="59" xr3:uid="{00000000-0010-0000-1E00-00003B000000}" name="Penygroes"/>
    <tableColumn id="60" xr3:uid="{00000000-0010-0000-1E00-00003C000000}" name="Ponthenri"/>
    <tableColumn id="61" xr3:uid="{00000000-0010-0000-1E00-00003D000000}" name="Pontiets"/>
    <tableColumn id="62" xr3:uid="{00000000-0010-0000-1E00-00003E000000}" name="Pontyberem"/>
    <tableColumn id="63" xr3:uid="{00000000-0010-0000-1E00-00003F000000}" name="Pum Heol"/>
    <tableColumn id="64" xr3:uid="{00000000-0010-0000-1E00-000040000000}" name="Rhydaman"/>
    <tableColumn id="65" xr3:uid="{00000000-0010-0000-1E00-000041000000}" name="Rhys Prichard"/>
    <tableColumn id="66" xr3:uid="{00000000-0010-0000-1E00-000042000000}" name="Saron"/>
    <tableColumn id="67" xr3:uid="{00000000-0010-0000-1E00-000043000000}" name="St Mary's (Llanelli)"/>
    <tableColumn id="68" xr3:uid="{00000000-0010-0000-1E00-000044000000}" name="Talley"/>
    <tableColumn id="69" xr3:uid="{00000000-0010-0000-1E00-000045000000}" name="Teilo Sant"/>
    <tableColumn id="70" xr3:uid="{00000000-0010-0000-1E00-000046000000}" name="Trimsaran"/>
    <tableColumn id="71" xr3:uid="{00000000-0010-0000-1E00-000047000000}" name="Ty-Croes"/>
    <tableColumn id="72" xr3:uid="{00000000-0010-0000-1E00-000048000000}" name="Y Bedol"/>
    <tableColumn id="73" xr3:uid="{00000000-0010-0000-1E00-000049000000}" name="Y Castell"/>
    <tableColumn id="74" xr3:uid="{00000000-0010-0000-1E00-00004A000000}" name="Y Dderwen"/>
    <tableColumn id="75" xr3:uid="{00000000-0010-0000-1E00-00004B000000}" name="Y Felin"/>
    <tableColumn id="76" xr3:uid="{00000000-0010-0000-1E00-00004C000000}" name="Y Fro"/>
    <tableColumn id="77" xr3:uid="{00000000-0010-0000-1E00-00004D000000}" name="Y Tymbl"/>
    <tableColumn id="78" xr3:uid="{00000000-0010-0000-1E00-00004E000000}" name="Ysgol Gymraeg Llangennech"/>
    <tableColumn id="79" xr3:uid="{00000000-0010-0000-1E00-00004F000000}" name="Secondary in Carmarthenshire: _x000a_Years 7 to 11"/>
    <tableColumn id="80" xr3:uid="{00000000-0010-0000-1E00-000050000000}" name="Bryngwyn School"/>
    <tableColumn id="81" xr3:uid="{00000000-0010-0000-1E00-000051000000}" name="Coedcae School"/>
    <tableColumn id="82" xr3:uid="{00000000-0010-0000-1E00-000052000000}" name="Glan-y-Mor School"/>
    <tableColumn id="83" xr3:uid="{00000000-0010-0000-1E00-000053000000}" name="Heol Goffa (years 7 to 11)"/>
    <tableColumn id="84" xr3:uid="{00000000-0010-0000-1E00-000054000000}" name="Queen Elizabeth High School"/>
    <tableColumn id="85" xr3:uid="{00000000-0010-0000-1E00-000055000000}" name="St John Lloyd Catholic Comprehensive School"/>
    <tableColumn id="86" xr3:uid="{00000000-0010-0000-1E00-000056000000}" name="Ysgol Bro Dinefwr"/>
    <tableColumn id="87" xr3:uid="{00000000-0010-0000-1E00-000057000000}" name="Ysgol Dyffryn Aman"/>
    <tableColumn id="88" xr3:uid="{00000000-0010-0000-1E00-000058000000}" name="Ysgol Gyfun Emlyn"/>
    <tableColumn id="89" xr3:uid="{00000000-0010-0000-1E00-000059000000}" name="Ysgol Gyfun Gymraeg Bro Myrddin"/>
    <tableColumn id="90" xr3:uid="{00000000-0010-0000-1E00-00005A000000}" name="Ysgol Gyfun y Strade"/>
    <tableColumn id="91" xr3:uid="{00000000-0010-0000-1E00-00005B000000}" name="Ysgol Maes y Gwendraeth"/>
  </tableColumns>
  <tableStyleInfo name="none" showFirstColumn="0" showLastColumn="0" showRowStripes="1" showColumnStripes="0"/>
  <extLst>
    <ext xmlns:x14="http://schemas.microsoft.com/office/spreadsheetml/2009/9/main" uri="{504A1905-F514-4f6f-8877-14C23A59335A}">
      <x14:table altText="Table 14b" altTextSummary="Table with 29 columns._x000d__x000a__x000d__x000a_Column A shows a list of questions and response option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F000000}" name="table15a" displayName="table15a" ref="A2:P21" totalsRowShown="0">
  <tableColumns count="16">
    <tableColumn id="1" xr3:uid="{00000000-0010-0000-1F00-000001000000}" name=" "/>
    <tableColumn id="2" xr3:uid="{00000000-0010-0000-1F00-000002000000}" name="All"/>
    <tableColumn id="3" xr3:uid="{00000000-0010-0000-1F00-000003000000}" name="All:_x000a_Years 3 to 6"/>
    <tableColumn id="4" xr3:uid="{00000000-0010-0000-1F00-000004000000}" name="All:_x000a_Years 7 to 11"/>
    <tableColumn id="5" xr3:uid="{00000000-0010-0000-1F00-000005000000}" name="Boy"/>
    <tableColumn id="6" xr3:uid="{00000000-0010-0000-1F00-000006000000}" name="Boy:_x000a_Years 3 to 6"/>
    <tableColumn id="7" xr3:uid="{00000000-0010-0000-1F00-000007000000}" name="Boy:_x000a_Years 7 to 11"/>
    <tableColumn id="8" xr3:uid="{00000000-0010-0000-1F00-000008000000}" name="Girl"/>
    <tableColumn id="9" xr3:uid="{00000000-0010-0000-1F00-000009000000}" name="Girl:_x000a_Years 3 to 6"/>
    <tableColumn id="10" xr3:uid="{00000000-0010-0000-1F00-00000A000000}" name="Girl:_x000a_Years 7 to 11"/>
    <tableColumn id="11" xr3:uid="{00000000-0010-0000-1F00-00000B000000}" name="Pupils identifying as 'Other'"/>
    <tableColumn id="12" xr3:uid="{00000000-0010-0000-1F00-00000C000000}" name="Pupils identifying as 'Other':_x000a_Years 3 to 6"/>
    <tableColumn id="13" xr3:uid="{00000000-0010-0000-1F00-00000D000000}" name="Pupils identifying as 'Other':_x000a_Years 7 to 11"/>
    <tableColumn id="14" xr3:uid="{00000000-0010-0000-1F00-00000E000000}" name="I do not want to say"/>
    <tableColumn id="15" xr3:uid="{00000000-0010-0000-1F00-00000F000000}" name="I do not want to say:_x000a_Years 3 to 6"/>
    <tableColumn id="16" xr3:uid="{00000000-0010-0000-1F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5a" altTextSummary="Table with 16 columns_x000d__x000a__x000d__x000a_Column A shows a question and a list of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0000000}" name="table15b" displayName="table15b" ref="A2:CM21" totalsRowShown="0">
  <tableColumns count="91">
    <tableColumn id="1" xr3:uid="{00000000-0010-0000-2000-000001000000}" name=" "/>
    <tableColumn id="2" xr3:uid="{00000000-0010-0000-2000-000002000000}" name="Wales"/>
    <tableColumn id="3" xr3:uid="{00000000-0010-0000-2000-000003000000}" name="Regional Sport Partnership: West Wales"/>
    <tableColumn id="4" xr3:uid="{00000000-0010-0000-2000-000004000000}" name="Carmarthenshire"/>
    <tableColumn id="5" xr3:uid="{00000000-0010-0000-2000-000005000000}" name="Primary in Carmarthenshire: _x000a_Years 3 to 6"/>
    <tableColumn id="6" xr3:uid="{00000000-0010-0000-2000-000006000000}" name="Abergwili"/>
    <tableColumn id="7" xr3:uid="{00000000-0010-0000-2000-000007000000}" name="Bancffosfelen"/>
    <tableColumn id="8" xr3:uid="{00000000-0010-0000-2000-000008000000}" name="Betws"/>
    <tableColumn id="9" xr3:uid="{00000000-0010-0000-2000-000009000000}" name="Blaenau"/>
    <tableColumn id="10" xr3:uid="{00000000-0010-0000-2000-00000A000000}" name="Bro Banw"/>
    <tableColumn id="11" xr3:uid="{00000000-0010-0000-2000-00000B000000}" name="Bro Brynach"/>
    <tableColumn id="12" xr3:uid="{00000000-0010-0000-2000-00000C000000}" name="Bryn"/>
    <tableColumn id="13" xr3:uid="{00000000-0010-0000-2000-00000D000000}" name="Bryn Teg"/>
    <tableColumn id="14" xr3:uid="{00000000-0010-0000-2000-00000E000000}" name="Brynaman"/>
    <tableColumn id="15" xr3:uid="{00000000-0010-0000-2000-00000F000000}" name="Brynsierfel"/>
    <tableColumn id="16" xr3:uid="{00000000-0010-0000-2000-000010000000}" name="Burry Port"/>
    <tableColumn id="17" xr3:uid="{00000000-0010-0000-2000-000011000000}" name="Bynea"/>
    <tableColumn id="18" xr3:uid="{00000000-0010-0000-2000-000012000000}" name="Carway"/>
    <tableColumn id="19" xr3:uid="{00000000-0010-0000-2000-000013000000}" name="Cefneithin"/>
    <tableColumn id="20" xr3:uid="{00000000-0010-0000-2000-000014000000}" name="Cross Hands"/>
    <tableColumn id="21" xr3:uid="{00000000-0010-0000-2000-000015000000}" name="Cwrt Henri"/>
    <tableColumn id="22" xr3:uid="{00000000-0010-0000-2000-000016000000}" name="Cynwyl Elfed"/>
    <tableColumn id="23" xr3:uid="{00000000-0010-0000-2000-000017000000}" name="Dafen"/>
    <tableColumn id="24" xr3:uid="{00000000-0010-0000-2000-000018000000}" name="Drefach"/>
    <tableColumn id="25" xr3:uid="{00000000-0010-0000-2000-000019000000}" name="Ferryside"/>
    <tableColumn id="26" xr3:uid="{00000000-0010-0000-2000-00001A000000}" name="Ffairfach"/>
    <tableColumn id="27" xr3:uid="{00000000-0010-0000-2000-00001B000000}" name="Ffwrnes"/>
    <tableColumn id="28" xr3:uid="{00000000-0010-0000-2000-00001C000000}" name="Gorslas"/>
    <tableColumn id="29" xr3:uid="{00000000-0010-0000-2000-00001D000000}" name="Griffith Jones"/>
    <tableColumn id="30" xr3:uid="{00000000-0010-0000-2000-00001E000000}" name="Gwenllian"/>
    <tableColumn id="31" xr3:uid="{00000000-0010-0000-2000-00001F000000}" name="Gwynfryn"/>
    <tableColumn id="32" xr3:uid="{00000000-0010-0000-2000-000020000000}" name="Hafodwenog"/>
    <tableColumn id="33" xr3:uid="{00000000-0010-0000-2000-000021000000}" name="Halfway"/>
    <tableColumn id="34" xr3:uid="{00000000-0010-0000-2000-000022000000}" name="Hendy"/>
    <tableColumn id="35" xr3:uid="{00000000-0010-0000-2000-000023000000}" name="Heol Goffa (years 3 to 6)"/>
    <tableColumn id="36" xr3:uid="{00000000-0010-0000-2000-000024000000}" name="Johnstown"/>
    <tableColumn id="37" xr3:uid="{00000000-0010-0000-2000-000025000000}" name="Llanddarog"/>
    <tableColumn id="38" xr3:uid="{00000000-0010-0000-2000-000026000000}" name="Llandeilo"/>
    <tableColumn id="39" xr3:uid="{00000000-0010-0000-2000-000027000000}" name="Llandybie"/>
    <tableColumn id="40" xr3:uid="{00000000-0010-0000-2000-000028000000}" name="Llanedi"/>
    <tableColumn id="41" xr3:uid="{00000000-0010-0000-2000-000029000000}" name="Llangadog"/>
    <tableColumn id="42" xr3:uid="{00000000-0010-0000-2000-00002A000000}" name="Llangunnor"/>
    <tableColumn id="43" xr3:uid="{00000000-0010-0000-2000-00002B000000}" name="Llanmiloe"/>
    <tableColumn id="44" xr3:uid="{00000000-0010-0000-2000-00002C000000}" name="Llannon"/>
    <tableColumn id="45" xr3:uid="{00000000-0010-0000-2000-00002D000000}" name="Llanpumsaint"/>
    <tableColumn id="46" xr3:uid="{00000000-0010-0000-2000-00002E000000}" name="Llechyfedach"/>
    <tableColumn id="47" xr3:uid="{00000000-0010-0000-2000-00002F000000}" name="Llys Hywel"/>
    <tableColumn id="48" xr3:uid="{00000000-0010-0000-2000-000030000000}" name="Maes y Morfa"/>
    <tableColumn id="49" xr3:uid="{00000000-0010-0000-2000-000031000000}" name="Model"/>
    <tableColumn id="50" xr3:uid="{00000000-0010-0000-2000-000032000000}" name="Mynyddygarreg"/>
    <tableColumn id="51" xr3:uid="{00000000-0010-0000-2000-000033000000}" name="Myrddin"/>
    <tableColumn id="52" xr3:uid="{00000000-0010-0000-2000-000034000000}" name="Nantgaredig"/>
    <tableColumn id="53" xr3:uid="{00000000-0010-0000-2000-000035000000}" name="Old Road"/>
    <tableColumn id="54" xr3:uid="{00000000-0010-0000-2000-000036000000}" name="Parc y Tywyn"/>
    <tableColumn id="55" xr3:uid="{00000000-0010-0000-2000-000037000000}" name="Parcyrhun"/>
    <tableColumn id="56" xr3:uid="{00000000-0010-0000-2000-000038000000}" name="Pembrey"/>
    <tableColumn id="57" xr3:uid="{00000000-0010-0000-2000-000039000000}" name="Peniel"/>
    <tableColumn id="58" xr3:uid="{00000000-0010-0000-2000-00003A000000}" name="Penygaer"/>
    <tableColumn id="59" xr3:uid="{00000000-0010-0000-2000-00003B000000}" name="Penygroes"/>
    <tableColumn id="60" xr3:uid="{00000000-0010-0000-2000-00003C000000}" name="Ponthenri"/>
    <tableColumn id="61" xr3:uid="{00000000-0010-0000-2000-00003D000000}" name="Pontiets"/>
    <tableColumn id="62" xr3:uid="{00000000-0010-0000-2000-00003E000000}" name="Pontyberem"/>
    <tableColumn id="63" xr3:uid="{00000000-0010-0000-2000-00003F000000}" name="Pum Heol"/>
    <tableColumn id="64" xr3:uid="{00000000-0010-0000-2000-000040000000}" name="Rhydaman"/>
    <tableColumn id="65" xr3:uid="{00000000-0010-0000-2000-000041000000}" name="Rhys Prichard"/>
    <tableColumn id="66" xr3:uid="{00000000-0010-0000-2000-000042000000}" name="Saron"/>
    <tableColumn id="67" xr3:uid="{00000000-0010-0000-2000-000043000000}" name="St Mary's (Llanelli)"/>
    <tableColumn id="68" xr3:uid="{00000000-0010-0000-2000-000044000000}" name="Talley"/>
    <tableColumn id="69" xr3:uid="{00000000-0010-0000-2000-000045000000}" name="Teilo Sant"/>
    <tableColumn id="70" xr3:uid="{00000000-0010-0000-2000-000046000000}" name="Trimsaran"/>
    <tableColumn id="71" xr3:uid="{00000000-0010-0000-2000-000047000000}" name="Ty-Croes"/>
    <tableColumn id="72" xr3:uid="{00000000-0010-0000-2000-000048000000}" name="Y Bedol"/>
    <tableColumn id="73" xr3:uid="{00000000-0010-0000-2000-000049000000}" name="Y Castell"/>
    <tableColumn id="74" xr3:uid="{00000000-0010-0000-2000-00004A000000}" name="Y Dderwen"/>
    <tableColumn id="75" xr3:uid="{00000000-0010-0000-2000-00004B000000}" name="Y Felin"/>
    <tableColumn id="76" xr3:uid="{00000000-0010-0000-2000-00004C000000}" name="Y Fro"/>
    <tableColumn id="77" xr3:uid="{00000000-0010-0000-2000-00004D000000}" name="Y Tymbl"/>
    <tableColumn id="78" xr3:uid="{00000000-0010-0000-2000-00004E000000}" name="Ysgol Gymraeg Llangennech"/>
    <tableColumn id="79" xr3:uid="{00000000-0010-0000-2000-00004F000000}" name="Secondary in Carmarthenshire: _x000a_Years 7 to 11"/>
    <tableColumn id="80" xr3:uid="{00000000-0010-0000-2000-000050000000}" name="Bryngwyn School"/>
    <tableColumn id="81" xr3:uid="{00000000-0010-0000-2000-000051000000}" name="Coedcae School"/>
    <tableColumn id="82" xr3:uid="{00000000-0010-0000-2000-000052000000}" name="Glan-y-Mor School"/>
    <tableColumn id="83" xr3:uid="{00000000-0010-0000-2000-000053000000}" name="Heol Goffa (years 7 to 11)"/>
    <tableColumn id="84" xr3:uid="{00000000-0010-0000-2000-000054000000}" name="Queen Elizabeth High School"/>
    <tableColumn id="85" xr3:uid="{00000000-0010-0000-2000-000055000000}" name="St John Lloyd Catholic Comprehensive School"/>
    <tableColumn id="86" xr3:uid="{00000000-0010-0000-2000-000056000000}" name="Ysgol Bro Dinefwr"/>
    <tableColumn id="87" xr3:uid="{00000000-0010-0000-2000-000057000000}" name="Ysgol Dyffryn Aman"/>
    <tableColumn id="88" xr3:uid="{00000000-0010-0000-2000-000058000000}" name="Ysgol Gyfun Emlyn"/>
    <tableColumn id="89" xr3:uid="{00000000-0010-0000-2000-000059000000}" name="Ysgol Gyfun Gymraeg Bro Myrddin"/>
    <tableColumn id="90" xr3:uid="{00000000-0010-0000-2000-00005A000000}" name="Ysgol Gyfun y Strade"/>
    <tableColumn id="91" xr3:uid="{00000000-0010-0000-2000-00005B000000}" name="Ysgol Maes y Gwendraeth"/>
  </tableColumns>
  <tableStyleInfo name="none" showFirstColumn="0" showLastColumn="0" showRowStripes="1" showColumnStripes="0"/>
  <extLst>
    <ext xmlns:x14="http://schemas.microsoft.com/office/spreadsheetml/2009/9/main" uri="{504A1905-F514-4f6f-8877-14C23A59335A}">
      <x14:table altText="Table 15b" altTextSummary="Table with 29 columns._x000d__x000a__x000d__x000a_Column A shows a question and a list of response option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1000000}" name="table16a" displayName="table16a" ref="A2:P7" totalsRowShown="0">
  <tableColumns count="16">
    <tableColumn id="1" xr3:uid="{00000000-0010-0000-2100-000001000000}" name=" "/>
    <tableColumn id="2" xr3:uid="{00000000-0010-0000-2100-000002000000}" name="All"/>
    <tableColumn id="3" xr3:uid="{00000000-0010-0000-2100-000003000000}" name="All:_x000a_Years 3 to 6"/>
    <tableColumn id="4" xr3:uid="{00000000-0010-0000-2100-000004000000}" name="All:_x000a_Years 7 to 11"/>
    <tableColumn id="5" xr3:uid="{00000000-0010-0000-2100-000005000000}" name="Boy"/>
    <tableColumn id="6" xr3:uid="{00000000-0010-0000-2100-000006000000}" name="Boy:_x000a_Years 3 to 6"/>
    <tableColumn id="7" xr3:uid="{00000000-0010-0000-2100-000007000000}" name="Boy:_x000a_Years 7 to 11"/>
    <tableColumn id="8" xr3:uid="{00000000-0010-0000-2100-000008000000}" name="Girl"/>
    <tableColumn id="9" xr3:uid="{00000000-0010-0000-2100-000009000000}" name="Girl:_x000a_Years 3 to 6"/>
    <tableColumn id="10" xr3:uid="{00000000-0010-0000-2100-00000A000000}" name="Girl:_x000a_Years 7 to 11"/>
    <tableColumn id="11" xr3:uid="{00000000-0010-0000-2100-00000B000000}" name="Pupils identifying as 'Other'"/>
    <tableColumn id="12" xr3:uid="{00000000-0010-0000-2100-00000C000000}" name="Pupils identifying as 'Other':_x000a_Years 3 to 6"/>
    <tableColumn id="13" xr3:uid="{00000000-0010-0000-2100-00000D000000}" name="Pupils identifying as 'Other':_x000a_Years 7 to 11"/>
    <tableColumn id="14" xr3:uid="{00000000-0010-0000-2100-00000E000000}" name="I do not want to say"/>
    <tableColumn id="15" xr3:uid="{00000000-0010-0000-2100-00000F000000}" name="I do not want to say:_x000a_Years 3 to 6"/>
    <tableColumn id="16" xr3:uid="{00000000-0010-0000-21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6a" altTextSummary="Table with 16 columns_x000d__x000a__x000d__x000a_Column A shows a list of questions and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2000000}" name="table16b" displayName="table16b" ref="A2:CM7" totalsRowShown="0">
  <tableColumns count="91">
    <tableColumn id="1" xr3:uid="{00000000-0010-0000-2200-000001000000}" name=" "/>
    <tableColumn id="2" xr3:uid="{00000000-0010-0000-2200-000002000000}" name="Wales"/>
    <tableColumn id="3" xr3:uid="{00000000-0010-0000-2200-000003000000}" name="Regional Sport Partnership: West Wales"/>
    <tableColumn id="4" xr3:uid="{00000000-0010-0000-2200-000004000000}" name="Carmarthenshire"/>
    <tableColumn id="5" xr3:uid="{00000000-0010-0000-2200-000005000000}" name="Primary in Carmarthenshire: _x000a_Years 3 to 6"/>
    <tableColumn id="6" xr3:uid="{00000000-0010-0000-2200-000006000000}" name="Abergwili"/>
    <tableColumn id="7" xr3:uid="{00000000-0010-0000-2200-000007000000}" name="Bancffosfelen"/>
    <tableColumn id="8" xr3:uid="{00000000-0010-0000-2200-000008000000}" name="Betws"/>
    <tableColumn id="9" xr3:uid="{00000000-0010-0000-2200-000009000000}" name="Blaenau"/>
    <tableColumn id="10" xr3:uid="{00000000-0010-0000-2200-00000A000000}" name="Bro Banw"/>
    <tableColumn id="11" xr3:uid="{00000000-0010-0000-2200-00000B000000}" name="Bro Brynach"/>
    <tableColumn id="12" xr3:uid="{00000000-0010-0000-2200-00000C000000}" name="Bryn"/>
    <tableColumn id="13" xr3:uid="{00000000-0010-0000-2200-00000D000000}" name="Bryn Teg"/>
    <tableColumn id="14" xr3:uid="{00000000-0010-0000-2200-00000E000000}" name="Brynaman"/>
    <tableColumn id="15" xr3:uid="{00000000-0010-0000-2200-00000F000000}" name="Brynsierfel"/>
    <tableColumn id="16" xr3:uid="{00000000-0010-0000-2200-000010000000}" name="Burry Port"/>
    <tableColumn id="17" xr3:uid="{00000000-0010-0000-2200-000011000000}" name="Bynea"/>
    <tableColumn id="18" xr3:uid="{00000000-0010-0000-2200-000012000000}" name="Carway"/>
    <tableColumn id="19" xr3:uid="{00000000-0010-0000-2200-000013000000}" name="Cefneithin"/>
    <tableColumn id="20" xr3:uid="{00000000-0010-0000-2200-000014000000}" name="Cross Hands"/>
    <tableColumn id="21" xr3:uid="{00000000-0010-0000-2200-000015000000}" name="Cwrt Henri"/>
    <tableColumn id="22" xr3:uid="{00000000-0010-0000-2200-000016000000}" name="Cynwyl Elfed"/>
    <tableColumn id="23" xr3:uid="{00000000-0010-0000-2200-000017000000}" name="Dafen"/>
    <tableColumn id="24" xr3:uid="{00000000-0010-0000-2200-000018000000}" name="Drefach"/>
    <tableColumn id="25" xr3:uid="{00000000-0010-0000-2200-000019000000}" name="Ferryside"/>
    <tableColumn id="26" xr3:uid="{00000000-0010-0000-2200-00001A000000}" name="Ffairfach"/>
    <tableColumn id="27" xr3:uid="{00000000-0010-0000-2200-00001B000000}" name="Ffwrnes"/>
    <tableColumn id="28" xr3:uid="{00000000-0010-0000-2200-00001C000000}" name="Gorslas"/>
    <tableColumn id="29" xr3:uid="{00000000-0010-0000-2200-00001D000000}" name="Griffith Jones"/>
    <tableColumn id="30" xr3:uid="{00000000-0010-0000-2200-00001E000000}" name="Gwenllian"/>
    <tableColumn id="31" xr3:uid="{00000000-0010-0000-2200-00001F000000}" name="Gwynfryn"/>
    <tableColumn id="32" xr3:uid="{00000000-0010-0000-2200-000020000000}" name="Hafodwenog"/>
    <tableColumn id="33" xr3:uid="{00000000-0010-0000-2200-000021000000}" name="Halfway"/>
    <tableColumn id="34" xr3:uid="{00000000-0010-0000-2200-000022000000}" name="Hendy"/>
    <tableColumn id="35" xr3:uid="{00000000-0010-0000-2200-000023000000}" name="Heol Goffa (years 3 to 6)"/>
    <tableColumn id="36" xr3:uid="{00000000-0010-0000-2200-000024000000}" name="Johnstown"/>
    <tableColumn id="37" xr3:uid="{00000000-0010-0000-2200-000025000000}" name="Llanddarog"/>
    <tableColumn id="38" xr3:uid="{00000000-0010-0000-2200-000026000000}" name="Llandeilo"/>
    <tableColumn id="39" xr3:uid="{00000000-0010-0000-2200-000027000000}" name="Llandybie"/>
    <tableColumn id="40" xr3:uid="{00000000-0010-0000-2200-000028000000}" name="Llanedi"/>
    <tableColumn id="41" xr3:uid="{00000000-0010-0000-2200-000029000000}" name="Llangadog"/>
    <tableColumn id="42" xr3:uid="{00000000-0010-0000-2200-00002A000000}" name="Llangunnor"/>
    <tableColumn id="43" xr3:uid="{00000000-0010-0000-2200-00002B000000}" name="Llanmiloe"/>
    <tableColumn id="44" xr3:uid="{00000000-0010-0000-2200-00002C000000}" name="Llannon"/>
    <tableColumn id="45" xr3:uid="{00000000-0010-0000-2200-00002D000000}" name="Llanpumsaint"/>
    <tableColumn id="46" xr3:uid="{00000000-0010-0000-2200-00002E000000}" name="Llechyfedach"/>
    <tableColumn id="47" xr3:uid="{00000000-0010-0000-2200-00002F000000}" name="Llys Hywel"/>
    <tableColumn id="48" xr3:uid="{00000000-0010-0000-2200-000030000000}" name="Maes y Morfa"/>
    <tableColumn id="49" xr3:uid="{00000000-0010-0000-2200-000031000000}" name="Model"/>
    <tableColumn id="50" xr3:uid="{00000000-0010-0000-2200-000032000000}" name="Mynyddygarreg"/>
    <tableColumn id="51" xr3:uid="{00000000-0010-0000-2200-000033000000}" name="Myrddin"/>
    <tableColumn id="52" xr3:uid="{00000000-0010-0000-2200-000034000000}" name="Nantgaredig"/>
    <tableColumn id="53" xr3:uid="{00000000-0010-0000-2200-000035000000}" name="Old Road"/>
    <tableColumn id="54" xr3:uid="{00000000-0010-0000-2200-000036000000}" name="Parc y Tywyn"/>
    <tableColumn id="55" xr3:uid="{00000000-0010-0000-2200-000037000000}" name="Parcyrhun"/>
    <tableColumn id="56" xr3:uid="{00000000-0010-0000-2200-000038000000}" name="Pembrey"/>
    <tableColumn id="57" xr3:uid="{00000000-0010-0000-2200-000039000000}" name="Peniel"/>
    <tableColumn id="58" xr3:uid="{00000000-0010-0000-2200-00003A000000}" name="Penygaer"/>
    <tableColumn id="59" xr3:uid="{00000000-0010-0000-2200-00003B000000}" name="Penygroes"/>
    <tableColumn id="60" xr3:uid="{00000000-0010-0000-2200-00003C000000}" name="Ponthenri"/>
    <tableColumn id="61" xr3:uid="{00000000-0010-0000-2200-00003D000000}" name="Pontiets"/>
    <tableColumn id="62" xr3:uid="{00000000-0010-0000-2200-00003E000000}" name="Pontyberem"/>
    <tableColumn id="63" xr3:uid="{00000000-0010-0000-2200-00003F000000}" name="Pum Heol"/>
    <tableColumn id="64" xr3:uid="{00000000-0010-0000-2200-000040000000}" name="Rhydaman"/>
    <tableColumn id="65" xr3:uid="{00000000-0010-0000-2200-000041000000}" name="Rhys Prichard"/>
    <tableColumn id="66" xr3:uid="{00000000-0010-0000-2200-000042000000}" name="Saron"/>
    <tableColumn id="67" xr3:uid="{00000000-0010-0000-2200-000043000000}" name="St Mary's (Llanelli)"/>
    <tableColumn id="68" xr3:uid="{00000000-0010-0000-2200-000044000000}" name="Talley"/>
    <tableColumn id="69" xr3:uid="{00000000-0010-0000-2200-000045000000}" name="Teilo Sant"/>
    <tableColumn id="70" xr3:uid="{00000000-0010-0000-2200-000046000000}" name="Trimsaran"/>
    <tableColumn id="71" xr3:uid="{00000000-0010-0000-2200-000047000000}" name="Ty-Croes"/>
    <tableColumn id="72" xr3:uid="{00000000-0010-0000-2200-000048000000}" name="Y Bedol"/>
    <tableColumn id="73" xr3:uid="{00000000-0010-0000-2200-000049000000}" name="Y Castell"/>
    <tableColumn id="74" xr3:uid="{00000000-0010-0000-2200-00004A000000}" name="Y Dderwen"/>
    <tableColumn id="75" xr3:uid="{00000000-0010-0000-2200-00004B000000}" name="Y Felin"/>
    <tableColumn id="76" xr3:uid="{00000000-0010-0000-2200-00004C000000}" name="Y Fro"/>
    <tableColumn id="77" xr3:uid="{00000000-0010-0000-2200-00004D000000}" name="Y Tymbl"/>
    <tableColumn id="78" xr3:uid="{00000000-0010-0000-2200-00004E000000}" name="Ysgol Gymraeg Llangennech"/>
    <tableColumn id="79" xr3:uid="{00000000-0010-0000-2200-00004F000000}" name="Secondary in Carmarthenshire: _x000a_Years 7 to 11"/>
    <tableColumn id="80" xr3:uid="{00000000-0010-0000-2200-000050000000}" name="Bryngwyn School"/>
    <tableColumn id="81" xr3:uid="{00000000-0010-0000-2200-000051000000}" name="Coedcae School"/>
    <tableColumn id="82" xr3:uid="{00000000-0010-0000-2200-000052000000}" name="Glan-y-Mor School"/>
    <tableColumn id="83" xr3:uid="{00000000-0010-0000-2200-000053000000}" name="Heol Goffa (years 7 to 11)"/>
    <tableColumn id="84" xr3:uid="{00000000-0010-0000-2200-000054000000}" name="Queen Elizabeth High School"/>
    <tableColumn id="85" xr3:uid="{00000000-0010-0000-2200-000055000000}" name="St John Lloyd Catholic Comprehensive School"/>
    <tableColumn id="86" xr3:uid="{00000000-0010-0000-2200-000056000000}" name="Ysgol Bro Dinefwr"/>
    <tableColumn id="87" xr3:uid="{00000000-0010-0000-2200-000057000000}" name="Ysgol Dyffryn Aman"/>
    <tableColumn id="88" xr3:uid="{00000000-0010-0000-2200-000058000000}" name="Ysgol Gyfun Emlyn"/>
    <tableColumn id="89" xr3:uid="{00000000-0010-0000-2200-000059000000}" name="Ysgol Gyfun Gymraeg Bro Myrddin"/>
    <tableColumn id="90" xr3:uid="{00000000-0010-0000-2200-00005A000000}" name="Ysgol Gyfun y Strade"/>
    <tableColumn id="91" xr3:uid="{00000000-0010-0000-2200-00005B000000}" name="Ysgol Maes y Gwendraeth"/>
  </tableColumns>
  <tableStyleInfo name="none" showFirstColumn="0" showLastColumn="0" showRowStripes="1" showColumnStripes="0"/>
  <extLst>
    <ext xmlns:x14="http://schemas.microsoft.com/office/spreadsheetml/2009/9/main" uri="{504A1905-F514-4f6f-8877-14C23A59335A}">
      <x14:table altText="Table 16b" altTextSummary="Table with 29 columns._x000d__x000a__x000d__x000a_Column A shows a list of questions and response options._x000d__x000a__x000d__x000a_Columns B to AC are grouped into geographic levels. These levels are National, Regional Sport Partnership Areas, Local Authority and Schools._x000d__x000a__x000d__x000a_Additional technical notes and a link to the contents page sit beneath the table._x000d__x000a__x000d__x000a_Table with 3 columns"/>
    </ext>
  </extLst>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3000000}" name="tablep1" displayName="tablep1" ref="A2:C78" totalsRowShown="0">
  <tableColumns count="3">
    <tableColumn id="1" xr3:uid="{00000000-0010-0000-2300-000001000000}" name=" "/>
    <tableColumn id="2" xr3:uid="{00000000-0010-0000-2300-000002000000}" name="Average (mean) total number of minutes dedicated to PE per week"/>
    <tableColumn id="3" xr3:uid="{00000000-0010-0000-2300-000003000000}" name="Percentage of schools who said some of their allocated PE time is spent elsewhere (E.g. for pupils to get changed, setting up the session, for example) "/>
  </tableColumns>
  <tableStyleInfo name="none" showFirstColumn="0" showLastColumn="0" showRowStripes="1" showColumnStripes="0"/>
  <extLst>
    <ext xmlns:x14="http://schemas.microsoft.com/office/spreadsheetml/2009/9/main" uri="{504A1905-F514-4f6f-8877-14C23A59335A}">
      <x14:table altText="Table P1" altTextSummary="Table with 3 columns_x000d__x000a__x000d__x000a_Column A shows a list of geographic levels. These levels are National, Regional Sport Partnership Areas, Local Authority and Schools._x000d__x000a__x000d__x000a_Columns B to C show the average time dedicated to PE, and the percentage of that time spent elsewhere._x000d__x000a__x000d__x000a_Additional technical notes and a link to the contents page sit beneath the table._x000d__x000a__x000d__x000a_Table with 7 Columns"/>
    </ext>
  </extLst>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4000000}" name="tablep2" displayName="tablep2" ref="A2:G56" totalsRowShown="0">
  <tableColumns count="7">
    <tableColumn id="1" xr3:uid="{00000000-0010-0000-2400-000001000000}" name=" "/>
    <tableColumn id="2" xr3:uid="{00000000-0010-0000-2400-000002000000}" name="Activity is provided for any of year groups 3-6"/>
    <tableColumn id="3" xr3:uid="{00000000-0010-0000-2400-000003000000}" name="Activity is provided for all year groups 3-6"/>
    <tableColumn id="4" xr3:uid="{00000000-0010-0000-2400-000004000000}" name="Activities provided: Year 3 groups"/>
    <tableColumn id="5" xr3:uid="{00000000-0010-0000-2400-000005000000}" name="Activities provided: Year 4 groups"/>
    <tableColumn id="6" xr3:uid="{00000000-0010-0000-2400-000006000000}" name="Activities provided: Year 5 groups"/>
    <tableColumn id="7" xr3:uid="{00000000-0010-0000-2400-000007000000}" name="Activities provided: Year 6 groups"/>
  </tableColumns>
  <tableStyleInfo name="none" showFirstColumn="0" showLastColumn="0" showRowStripes="1" showColumnStripes="0"/>
  <extLst>
    <ext xmlns:x14="http://schemas.microsoft.com/office/spreadsheetml/2009/9/main" uri="{504A1905-F514-4f6f-8877-14C23A59335A}">
      <x14:table altText="Table P2" altTextSummary="Table with 7 Columns_x000d__x000a__x000d__x000a_Column A shows a list of sports and activities._x000d__x000a__x000d__x000a_Columns B to G shows the proportion of schools that offer each sport or activity to different age groups during curriculum PE._x000d__x000a__x000d__x000a_Additional technical notes and a link to the contents page sit beneath the table._x000d__x000a__x000d__x000a_Table with 5 Columns"/>
    </ext>
  </extLst>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5000000}" name="tablep3" displayName="tablep3" ref="A2:E56" totalsRowShown="0">
  <tableColumns count="5">
    <tableColumn id="1" xr3:uid="{00000000-0010-0000-2500-000001000000}" name=" "/>
    <tableColumn id="2" xr3:uid="{00000000-0010-0000-2500-000002000000}" name="Activity is provided for any of year groups 3-6"/>
    <tableColumn id="3" xr3:uid="{00000000-0010-0000-2500-000003000000}" name="Mixed Sessions"/>
    <tableColumn id="4" xr3:uid="{00000000-0010-0000-2500-000004000000}" name="Male Only Sessions"/>
    <tableColumn id="5" xr3:uid="{00000000-0010-0000-2500-000005000000}" name="Female only Sessions"/>
  </tableColumns>
  <tableStyleInfo name="none" showFirstColumn="0" showLastColumn="0" showRowStripes="1" showColumnStripes="0"/>
  <extLst>
    <ext xmlns:x14="http://schemas.microsoft.com/office/spreadsheetml/2009/9/main" uri="{504A1905-F514-4f6f-8877-14C23A59335A}">
      <x14:table altText="Table P3" altTextSummary="Table with 5 Columns_x000d__x000a__x000d__x000a_Column A shows a list of sports and activities._x000d__x000a__x000d__x000a_Columns B to E shows the proportion of schools that offer each sport or activity to different age groups during Extracurricular provision._x000d__x000a__x000d__x000a_Additional technical notes and a link to the contents page sit beneath the table._x000d__x000a__x000d__x000a_Table with 3 Columns"/>
    </ext>
  </extLst>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6000000}" name="tablep4" displayName="tablep4" ref="A2:D14" totalsRowShown="0">
  <tableColumns count="4">
    <tableColumn id="1" xr3:uid="{00000000-0010-0000-2600-000001000000}" name=" "/>
    <tableColumn id="2" xr3:uid="{00000000-0010-0000-2600-000002000000}" name="Wales"/>
    <tableColumn id="3" xr3:uid="{00000000-0010-0000-2600-000003000000}" name="Regional Sport Partnership: West Wales"/>
    <tableColumn id="4" xr3:uid="{00000000-0010-0000-2600-000004000000}" name="Carmarthenshire"/>
  </tableColumns>
  <tableStyleInfo name="none" showFirstColumn="0" showLastColumn="0" showRowStripes="1" showColumnStripes="0"/>
  <extLst>
    <ext xmlns:x14="http://schemas.microsoft.com/office/spreadsheetml/2009/9/main" uri="{504A1905-F514-4f6f-8877-14C23A59335A}">
      <x14:table altText="Table P4" altTextSummary="Table with 3 Columns_x000d__x000a__x000d__x000a_Column A shows a questions and a list of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4 columns."/>
    </ext>
  </extLst>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p5" displayName="tablep5" ref="A2:D20" totalsRowShown="0">
  <tableColumns count="4">
    <tableColumn id="1" xr3:uid="{00000000-0010-0000-2700-000001000000}" name=" "/>
    <tableColumn id="2" xr3:uid="{00000000-0010-0000-2700-000002000000}" name="Wales"/>
    <tableColumn id="3" xr3:uid="{00000000-0010-0000-2700-000003000000}" name="Regional Sport Partnership: West Wales"/>
    <tableColumn id="4" xr3:uid="{00000000-0010-0000-2700-000004000000}" name="Carmarthenshire"/>
  </tableColumns>
  <tableStyleInfo name="none" showFirstColumn="0" showLastColumn="0" showRowStripes="1" showColumnStripes="0"/>
  <extLst>
    <ext xmlns:x14="http://schemas.microsoft.com/office/spreadsheetml/2009/9/main" uri="{504A1905-F514-4f6f-8877-14C23A59335A}">
      <x14:table altText="Table P5" altTextSummary="Table with 4 columns._x000d__x000a__x000d__x000a_Column A shows a list of questions and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7 columns."/>
    </ext>
  </extLst>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p6" displayName="tablep6" ref="A2:G27" totalsRowShown="0">
  <tableColumns count="7">
    <tableColumn id="1" xr3:uid="{00000000-0010-0000-2800-000001000000}" name=" "/>
    <tableColumn id="2" xr3:uid="{00000000-0010-0000-2800-000002000000}" name="Agree strongly"/>
    <tableColumn id="3" xr3:uid="{00000000-0010-0000-2800-000003000000}" name="Agree slightly"/>
    <tableColumn id="4" xr3:uid="{00000000-0010-0000-2800-000004000000}" name="Neither agree nor disagree"/>
    <tableColumn id="5" xr3:uid="{00000000-0010-0000-2800-000005000000}" name="Disagree slightly"/>
    <tableColumn id="6" xr3:uid="{00000000-0010-0000-2800-000006000000}" name="Disagree strongly"/>
    <tableColumn id="7" xr3:uid="{00000000-0010-0000-2800-000007000000}" name="Don't know"/>
  </tableColumns>
  <tableStyleInfo name="none" showFirstColumn="0" showLastColumn="0" showRowStripes="1" showColumnStripes="0"/>
  <extLst>
    <ext xmlns:x14="http://schemas.microsoft.com/office/spreadsheetml/2009/9/main" uri="{504A1905-F514-4f6f-8877-14C23A59335A}">
      <x14:table altText="Table P6" altTextSummary="Table with 7 columns._x000d__x000a__x000d__x000a_Column A shows a list of statements._x000d__x000a__x000d__x000a_Columns B to G shows the proportion of teachers who agree or disagree with the statements made._x000d__x000a__x000d__x000a_Additional technical notes and a link to the contents page sit beneath the table._x000d__x000a__x000d__x000a_Table with 5 columns."/>
    </ext>
  </extLst>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9000000}" name="tablep7" displayName="tablep7" ref="A2:E27" totalsRowShown="0">
  <tableColumns count="5">
    <tableColumn id="1" xr3:uid="{00000000-0010-0000-2900-000001000000}" name=" "/>
    <tableColumn id="2" xr3:uid="{00000000-0010-0000-2900-000002000000}" name="Facilities used during previous 12 months by schools"/>
    <tableColumn id="3" xr3:uid="{00000000-0010-0000-2900-000003000000}" name="Facilities Owned by Schools"/>
    <tableColumn id="4" xr3:uid="{00000000-0010-0000-2900-000004000000}" name="School-owned facilities frequently used by pupils"/>
    <tableColumn id="5" xr3:uid="{00000000-0010-0000-2900-000005000000}" name="School-Owned facilities available for public use"/>
  </tableColumns>
  <tableStyleInfo name="none" showFirstColumn="0" showLastColumn="0" showRowStripes="1" showColumnStripes="0"/>
  <extLst>
    <ext xmlns:x14="http://schemas.microsoft.com/office/spreadsheetml/2009/9/main" uri="{504A1905-F514-4f6f-8877-14C23A59335A}">
      <x14:table altText="Table P7" altTextSummary="Table with 5 columns._x000d__x000a__x000d__x000a_Column A shows a list of facilities_x000d__x000a__x000d__x000a_Columns B to E show the proportion of schools who use, own, and make facilities available for public use._x000d__x000a__x000d__x000a_Additional technical notes and a link to the contents page sit beneath the table._x000d__x000a__x000d__x000a_Table with 2 columns."/>
    </ext>
  </extLst>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A000000}" name="tablep8" displayName="tablep8" ref="A2:B23" totalsRowShown="0">
  <tableColumns count="2">
    <tableColumn id="1" xr3:uid="{00000000-0010-0000-2A00-000001000000}" name=" "/>
    <tableColumn id="2" xr3:uid="{00000000-0010-0000-2A00-000002000000}" name="Years 3-6"/>
  </tableColumns>
  <tableStyleInfo name="none" showFirstColumn="0" showLastColumn="0" showRowStripes="1" showColumnStripes="0"/>
  <extLst>
    <ext xmlns:x14="http://schemas.microsoft.com/office/spreadsheetml/2009/9/main" uri="{504A1905-F514-4f6f-8877-14C23A59335A}">
      <x14:table altText="Table P8" altTextSummary="Table with 2 columns._x000d__x000a__x000d__x000a_Column A shows a list of questions and response options._x000d__x000a__x000d__x000a_Column B shows the proportion of schools who responded to each response option._x000d__x000a__x000d__x000a_Additional technical notes and a link to the contents page sit beneath the table._x000d__x000a_Table with 6 columns."/>
    </ext>
  </extLst>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B000000}" name="tablep9" displayName="tablep9" ref="A2:F21" totalsRowShown="0">
  <tableColumns count="6">
    <tableColumn id="1" xr3:uid="{00000000-0010-0000-2B00-000001000000}" name=" "/>
    <tableColumn id="2" xr3:uid="{00000000-0010-0000-2B00-000002000000}" name="Years 3-6"/>
    <tableColumn id="3" xr3:uid="{00000000-0010-0000-2B00-000003000000}" name="Year 3"/>
    <tableColumn id="4" xr3:uid="{00000000-0010-0000-2B00-000004000000}" name="Year 4"/>
    <tableColumn id="5" xr3:uid="{00000000-0010-0000-2B00-000005000000}" name="Year 5"/>
    <tableColumn id="6" xr3:uid="{00000000-0010-0000-2B00-000006000000}" name="Year 6"/>
  </tableColumns>
  <tableStyleInfo name="none" showFirstColumn="0" showLastColumn="0" showRowStripes="1" showColumnStripes="0"/>
  <extLst>
    <ext xmlns:x14="http://schemas.microsoft.com/office/spreadsheetml/2009/9/main" uri="{504A1905-F514-4f6f-8877-14C23A59335A}">
      <x14:table altText="Table P9" altTextSummary="Table with 6 columns._x000d__x000a__x000d__x000a_Column A shows a list of questions and response options._x000d__x000a__x000d__x000a_Column B to F shows the proportion of schools who responded to each response option._x000d__x000a__x000d__x000a_Additional technical notes and a link to the contents page sit beneath the table._x000d__x000a__x000d__x000a_Table with 3 columns"/>
    </ext>
  </extLst>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C000000}" name="tables1" displayName="tables1" ref="A2:C17" totalsRowShown="0">
  <tableColumns count="3">
    <tableColumn id="1" xr3:uid="{00000000-0010-0000-2C00-000001000000}" name=" "/>
    <tableColumn id="2" xr3:uid="{00000000-0010-0000-2C00-000002000000}" name="Average (mean) total number of minutes dedicated to PE per week"/>
    <tableColumn id="3" xr3:uid="{00000000-0010-0000-2C00-000003000000}" name="Percentage of schools who said some of their allocated PE time is spent elsewhere (E.g. for pupils to get changed, setting up the session, for example) "/>
  </tableColumns>
  <tableStyleInfo name="none" showFirstColumn="0" showLastColumn="0" showRowStripes="1" showColumnStripes="0"/>
  <extLst>
    <ext xmlns:x14="http://schemas.microsoft.com/office/spreadsheetml/2009/9/main" uri="{504A1905-F514-4f6f-8877-14C23A59335A}">
      <x14:table altText="Table S1" altTextSummary="Table with 3 columns_x000d__x000a__x000d__x000a_Column A shows a list of geographic levels. These levels are National, Regional Sport Partnership Areas, Local Authority and Schools._x000d__x000a__x000d__x000a_Columns B to C show the average time dedicated to PE, and the percentage of that time spent elsewhere._x000d__x000a__x000d__x000a_Additional technical notes and a link to the contents page sit beneath the table._x000d__x000a__x000d__x000a_Table with 7 Columns"/>
    </ext>
  </extLst>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D000000}" name="tables2" displayName="tables2" ref="A2:H56" totalsRowShown="0">
  <tableColumns count="8">
    <tableColumn id="1" xr3:uid="{00000000-0010-0000-2D00-000001000000}" name=" "/>
    <tableColumn id="2" xr3:uid="{00000000-0010-0000-2D00-000002000000}" name="Activity is provided for any of year groups 7-11"/>
    <tableColumn id="3" xr3:uid="{00000000-0010-0000-2D00-000003000000}" name="Activity is provided for all year groups 7-11"/>
    <tableColumn id="4" xr3:uid="{00000000-0010-0000-2D00-000004000000}" name="Activities provided: Year 7 groups"/>
    <tableColumn id="5" xr3:uid="{00000000-0010-0000-2D00-000005000000}" name="Activities provided: Year 8 groups"/>
    <tableColumn id="6" xr3:uid="{00000000-0010-0000-2D00-000006000000}" name="Activities provided: Year 9 groups"/>
    <tableColumn id="7" xr3:uid="{00000000-0010-0000-2D00-000007000000}" name="Activities provided: Year 10 groups"/>
    <tableColumn id="8" xr3:uid="{00000000-0010-0000-2D00-000008000000}" name="Activities provided: Year 11 groups"/>
  </tableColumns>
  <tableStyleInfo name="none" showFirstColumn="0" showLastColumn="0" showRowStripes="1" showColumnStripes="0"/>
  <extLst>
    <ext xmlns:x14="http://schemas.microsoft.com/office/spreadsheetml/2009/9/main" uri="{504A1905-F514-4f6f-8877-14C23A59335A}">
      <x14:table altText="Table S2" altTextSummary="Table with 7 Columns_x000d__x000a__x000d__x000a_Column A shows a list of sports and activities._x000d__x000a__x000d__x000a_Columns B to G shows the proportion of schools that offer each sport or activity to different age groups during curriculum PE._x000d__x000a__x000d__x000a_Additional technical notes and a link to the contents page sit beneath the table._x000d__x000a__x000d__x000a_Table with 5 Columns"/>
    </ext>
  </extLst>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E000000}" name="tables3" displayName="tables3" ref="A2:E56" totalsRowShown="0">
  <tableColumns count="5">
    <tableColumn id="1" xr3:uid="{00000000-0010-0000-2E00-000001000000}" name=" "/>
    <tableColumn id="2" xr3:uid="{00000000-0010-0000-2E00-000002000000}" name="Activity is provided for any of year groups 7-11"/>
    <tableColumn id="3" xr3:uid="{00000000-0010-0000-2E00-000003000000}" name="Mixed Sessions"/>
    <tableColumn id="4" xr3:uid="{00000000-0010-0000-2E00-000004000000}" name="Male Only Sessions"/>
    <tableColumn id="5" xr3:uid="{00000000-0010-0000-2E00-000005000000}" name="Female only Sessions"/>
  </tableColumns>
  <tableStyleInfo name="none" showFirstColumn="0" showLastColumn="0" showRowStripes="1" showColumnStripes="0"/>
  <extLst>
    <ext xmlns:x14="http://schemas.microsoft.com/office/spreadsheetml/2009/9/main" uri="{504A1905-F514-4f6f-8877-14C23A59335A}">
      <x14:table altText="Table S3" altTextSummary="Table with 5 Columns_x000d__x000a__x000d__x000a_Column A shows a list of sports and activities._x000d__x000a__x000d__x000a_Columns B to E shows the proportion of schools that offer each sport or activity to different age groups during Extracurricular provision._x000d__x000a__x000d__x000a_Additional technical notes and a link to the contents page sit beneath the table._x000d__x000a__x000d__x000a_Table with 3 Columns"/>
    </ext>
  </extLst>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F000000}" name="tables4" displayName="tables4" ref="A2:D14" totalsRowShown="0">
  <tableColumns count="4">
    <tableColumn id="1" xr3:uid="{00000000-0010-0000-2F00-000001000000}" name=" "/>
    <tableColumn id="2" xr3:uid="{00000000-0010-0000-2F00-000002000000}" name="Wales"/>
    <tableColumn id="3" xr3:uid="{00000000-0010-0000-2F00-000003000000}" name="Regional Sport Partnership: West Wales"/>
    <tableColumn id="4" xr3:uid="{00000000-0010-0000-2F00-000004000000}" name="Carmarthenshire"/>
  </tableColumns>
  <tableStyleInfo name="none" showFirstColumn="0" showLastColumn="0" showRowStripes="1" showColumnStripes="0"/>
  <extLst>
    <ext xmlns:x14="http://schemas.microsoft.com/office/spreadsheetml/2009/9/main" uri="{504A1905-F514-4f6f-8877-14C23A59335A}">
      <x14:table altText="Table S4" altTextSummary="Table with 3 Columns_x000d__x000a__x000d__x000a_Column A shows a questions and a list of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4 columns."/>
    </ext>
  </extLst>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0000000}" name="tables5" displayName="tables5" ref="A2:D20" totalsRowShown="0">
  <tableColumns count="4">
    <tableColumn id="1" xr3:uid="{00000000-0010-0000-3000-000001000000}" name=" "/>
    <tableColumn id="2" xr3:uid="{00000000-0010-0000-3000-000002000000}" name="Wales"/>
    <tableColumn id="3" xr3:uid="{00000000-0010-0000-3000-000003000000}" name="Regional Sport Partnership: West Wales"/>
    <tableColumn id="4" xr3:uid="{00000000-0010-0000-3000-000004000000}" name="Carmarthenshire"/>
  </tableColumns>
  <tableStyleInfo name="none" showFirstColumn="0" showLastColumn="0" showRowStripes="1" showColumnStripes="0"/>
  <extLst>
    <ext xmlns:x14="http://schemas.microsoft.com/office/spreadsheetml/2009/9/main" uri="{504A1905-F514-4f6f-8877-14C23A59335A}">
      <x14:table altText="Table S5" altTextSummary="Table with 4 columns._x000d__x000a__x000d__x000a_Column A shows a list of questions and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7 columns."/>
    </ext>
  </extLst>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s6" displayName="tables6" ref="A2:G27" totalsRowShown="0">
  <tableColumns count="7">
    <tableColumn id="1" xr3:uid="{00000000-0010-0000-3100-000001000000}" name=" "/>
    <tableColumn id="2" xr3:uid="{00000000-0010-0000-3100-000002000000}" name="Agree strongly"/>
    <tableColumn id="3" xr3:uid="{00000000-0010-0000-3100-000003000000}" name="Agree slightly"/>
    <tableColumn id="4" xr3:uid="{00000000-0010-0000-3100-000004000000}" name="Neither agree nor disagree"/>
    <tableColumn id="5" xr3:uid="{00000000-0010-0000-3100-000005000000}" name="Disagree slightly"/>
    <tableColumn id="6" xr3:uid="{00000000-0010-0000-3100-000006000000}" name="Disagree strongly"/>
    <tableColumn id="7" xr3:uid="{00000000-0010-0000-3100-000007000000}" name="Don't know"/>
  </tableColumns>
  <tableStyleInfo name="none" showFirstColumn="0" showLastColumn="0" showRowStripes="1" showColumnStripes="0"/>
  <extLst>
    <ext xmlns:x14="http://schemas.microsoft.com/office/spreadsheetml/2009/9/main" uri="{504A1905-F514-4f6f-8877-14C23A59335A}">
      <x14:table altText="Table S6" altTextSummary="Table with 7 columns._x000d__x000a__x000d__x000a_Column A shows a list of statements._x000d__x000a__x000d__x000a_Columns B to G shows the proportion of teachers who agree or disagree with the statements made._x000d__x000a__x000d__x000a_Additional technical notes and a link to the contents page sit beneath the table._x000d__x000a__x000d__x000a_Table with 5 columns."/>
    </ext>
  </extLst>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s7" displayName="tables7" ref="A2:E27" totalsRowShown="0">
  <tableColumns count="5">
    <tableColumn id="1" xr3:uid="{00000000-0010-0000-3200-000001000000}" name=" "/>
    <tableColumn id="2" xr3:uid="{00000000-0010-0000-3200-000002000000}" name="Facilities used during previous 12 months by schools"/>
    <tableColumn id="3" xr3:uid="{00000000-0010-0000-3200-000003000000}" name="Facilities Owned by Schools"/>
    <tableColumn id="4" xr3:uid="{00000000-0010-0000-3200-000004000000}" name="School-owned facilities frequently used by pupils"/>
    <tableColumn id="5" xr3:uid="{00000000-0010-0000-3200-000005000000}" name="School-Owned facilities available for public use"/>
  </tableColumns>
  <tableStyleInfo name="none" showFirstColumn="0" showLastColumn="0" showRowStripes="1" showColumnStripes="0"/>
  <extLst>
    <ext xmlns:x14="http://schemas.microsoft.com/office/spreadsheetml/2009/9/main" uri="{504A1905-F514-4f6f-8877-14C23A59335A}">
      <x14:table altText="Table S7" altTextSummary="Table with 5 columns._x000d__x000a__x000d__x000a_Column A shows a list of facilities_x000d__x000a__x000d__x000a_Columns B to E show the proportion of schools who use, own, and make facilities available for public use._x000d__x000a__x000d__x000a_Additional technical notes and a link to the contents page sit beneath the table._x000d__x000a__x000d__x000a_Table with 2 columns."/>
    </ext>
  </extLst>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3000000}" name="tables8" displayName="tables8" ref="A2:B23" totalsRowShown="0">
  <tableColumns count="2">
    <tableColumn id="1" xr3:uid="{00000000-0010-0000-3300-000001000000}" name=" "/>
    <tableColumn id="2" xr3:uid="{00000000-0010-0000-3300-000002000000}" name="Years 7-11"/>
  </tableColumns>
  <tableStyleInfo name="none" showFirstColumn="0" showLastColumn="0" showRowStripes="1" showColumnStripes="0"/>
  <extLst>
    <ext xmlns:x14="http://schemas.microsoft.com/office/spreadsheetml/2009/9/main" uri="{504A1905-F514-4f6f-8877-14C23A59335A}">
      <x14:table altText="Table S8" altTextSummary="Table with 2 columns._x000d__x000a__x000d__x000a_Column A shows a list of questions and response options._x000d__x000a__x000d__x000a_Column B shows the proportion of schools who responded to each response option._x000d__x000a__x000d__x000a_Additional technical notes and a link to the contents page sit beneath the table._x000d__x000a__x000d__x000a_Table with 6 columns."/>
    </ext>
  </extLst>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4000000}" name="tables9" displayName="tables9" ref="A2:G21" totalsRowShown="0">
  <tableColumns count="7">
    <tableColumn id="1" xr3:uid="{00000000-0010-0000-3400-000001000000}" name=" "/>
    <tableColumn id="2" xr3:uid="{00000000-0010-0000-3400-000002000000}" name="Years 7-11"/>
    <tableColumn id="3" xr3:uid="{00000000-0010-0000-3400-000003000000}" name="Year 7"/>
    <tableColumn id="4" xr3:uid="{00000000-0010-0000-3400-000004000000}" name="Year 8"/>
    <tableColumn id="5" xr3:uid="{00000000-0010-0000-3400-000005000000}" name="Year 9"/>
    <tableColumn id="6" xr3:uid="{00000000-0010-0000-3400-000006000000}" name="Year 10"/>
    <tableColumn id="7" xr3:uid="{00000000-0010-0000-3400-000007000000}" name="Year 11"/>
  </tableColumns>
  <tableStyleInfo name="none" showFirstColumn="0" showLastColumn="0" showRowStripes="1" showColumnStripes="0"/>
  <extLst>
    <ext xmlns:x14="http://schemas.microsoft.com/office/spreadsheetml/2009/9/main" uri="{504A1905-F514-4f6f-8877-14C23A59335A}">
      <x14:table altText="Table S9" altTextSummary="Table with 6 columns._x000d__x000a__x000d__x000a_Column A shows a list of questions and response options._x000d__x000a__x000d__x000a_Column B to F shows the proportion of schools who responded to each response option._x000d__x000a__x000d__x000a_Additional technical notes and a link to the contents page sit beneath the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tabSelected="1" workbookViewId="0"/>
  </sheetViews>
  <sheetFormatPr defaultColWidth="10.88671875" defaultRowHeight="15"/>
  <cols>
    <col min="1" max="1" width="9.6640625" customWidth="1"/>
    <col min="2" max="2" width="100.6640625" customWidth="1"/>
  </cols>
  <sheetData>
    <row r="1" spans="1:2" ht="30" customHeight="1">
      <c r="A1" s="40" t="s">
        <v>0</v>
      </c>
      <c r="B1" s="43"/>
    </row>
    <row r="2" spans="1:2" ht="30" customHeight="1">
      <c r="A2" s="41" t="s">
        <v>1</v>
      </c>
      <c r="B2" s="43"/>
    </row>
    <row r="3" spans="1:2">
      <c r="A3" s="3" t="s">
        <v>2</v>
      </c>
      <c r="B3" s="44"/>
    </row>
    <row r="4" spans="1:2" ht="30" customHeight="1">
      <c r="A4" s="42" t="str">
        <f>HYPERLINK("#'Table 1'!A1", "Table 1")</f>
        <v>Table 1</v>
      </c>
      <c r="B4" s="45" t="s">
        <v>3</v>
      </c>
    </row>
    <row r="5" spans="1:2">
      <c r="A5" s="3" t="s">
        <v>4</v>
      </c>
      <c r="B5" s="44"/>
    </row>
    <row r="6" spans="1:2">
      <c r="A6" s="42" t="str">
        <f>HYPERLINK("#'Table 2'!A1", "Table 2")</f>
        <v>Table 2</v>
      </c>
      <c r="B6" s="45" t="s">
        <v>5</v>
      </c>
    </row>
    <row r="7" spans="1:2">
      <c r="A7" s="42" t="str">
        <f>HYPERLINK("#'Table 3'!A1", "Table 3")</f>
        <v>Table 3</v>
      </c>
      <c r="B7" s="45" t="s">
        <v>6</v>
      </c>
    </row>
    <row r="8" spans="1:2">
      <c r="A8" s="42" t="str">
        <f>HYPERLINK("#'Table 4'!A1", "Table 4")</f>
        <v>Table 4</v>
      </c>
      <c r="B8" s="45" t="s">
        <v>7</v>
      </c>
    </row>
    <row r="9" spans="1:2">
      <c r="A9" s="42" t="str">
        <f>HYPERLINK("#'Table 5'!A1", "Table 5")</f>
        <v>Table 5</v>
      </c>
      <c r="B9" s="45" t="s">
        <v>8</v>
      </c>
    </row>
    <row r="10" spans="1:2" ht="30" customHeight="1">
      <c r="A10" s="42" t="str">
        <f>HYPERLINK("#'Table 6'!A1", "Table 6")</f>
        <v>Table 6</v>
      </c>
      <c r="B10" s="45" t="s">
        <v>9</v>
      </c>
    </row>
    <row r="11" spans="1:2">
      <c r="A11" s="3" t="s">
        <v>10</v>
      </c>
      <c r="B11" s="44"/>
    </row>
    <row r="12" spans="1:2">
      <c r="A12" s="42" t="str">
        <f>HYPERLINK("#'Table 7a'!A1", "Table 7a")</f>
        <v>Table 7a</v>
      </c>
      <c r="B12" s="45" t="s">
        <v>11</v>
      </c>
    </row>
    <row r="13" spans="1:2">
      <c r="A13" s="42" t="str">
        <f>HYPERLINK("#'Table 7b'!A1", "Table 7b")</f>
        <v>Table 7b</v>
      </c>
      <c r="B13" s="45" t="s">
        <v>12</v>
      </c>
    </row>
    <row r="14" spans="1:2">
      <c r="A14" s="42" t="str">
        <f>HYPERLINK("#'Table 7c'!A1", "Table 7c")</f>
        <v>Table 7c</v>
      </c>
      <c r="B14" s="45" t="s">
        <v>13</v>
      </c>
    </row>
    <row r="15" spans="1:2">
      <c r="A15" s="42" t="str">
        <f>HYPERLINK("#'Table 8a'!A1", "Table 8a")</f>
        <v>Table 8a</v>
      </c>
      <c r="B15" s="45" t="s">
        <v>14</v>
      </c>
    </row>
    <row r="16" spans="1:2">
      <c r="A16" s="42" t="str">
        <f>HYPERLINK("#'Table 8b'!A1", "Table 8b")</f>
        <v>Table 8b</v>
      </c>
      <c r="B16" s="45" t="s">
        <v>12</v>
      </c>
    </row>
    <row r="17" spans="1:2">
      <c r="A17" s="42" t="str">
        <f>HYPERLINK("#'Table 8c'!A1", "Table 8c")</f>
        <v>Table 8c</v>
      </c>
      <c r="B17" s="45" t="s">
        <v>13</v>
      </c>
    </row>
    <row r="18" spans="1:2">
      <c r="A18" s="42" t="str">
        <f>HYPERLINK("#'Table 9a'!A1", "Table 9a")</f>
        <v>Table 9a</v>
      </c>
      <c r="B18" s="45" t="s">
        <v>15</v>
      </c>
    </row>
    <row r="19" spans="1:2">
      <c r="A19" s="42" t="str">
        <f>HYPERLINK("#'Table 9b'!A1", "Table 9b")</f>
        <v>Table 9b</v>
      </c>
      <c r="B19" s="45" t="s">
        <v>12</v>
      </c>
    </row>
    <row r="20" spans="1:2">
      <c r="A20" s="42" t="str">
        <f>HYPERLINK("#'Table 9c'!A1", "Table 9c")</f>
        <v>Table 9c</v>
      </c>
      <c r="B20" s="45" t="s">
        <v>13</v>
      </c>
    </row>
    <row r="21" spans="1:2">
      <c r="A21" s="42" t="str">
        <f>HYPERLINK("#'Table 10a'!A1", "Table 10a")</f>
        <v>Table 10a</v>
      </c>
      <c r="B21" s="45" t="s">
        <v>16</v>
      </c>
    </row>
    <row r="22" spans="1:2">
      <c r="A22" s="42" t="str">
        <f>HYPERLINK("#'Table 10b'!A1", "Table 10b")</f>
        <v>Table 10b</v>
      </c>
      <c r="B22" s="45" t="s">
        <v>12</v>
      </c>
    </row>
    <row r="23" spans="1:2" ht="30" customHeight="1">
      <c r="A23" s="42" t="str">
        <f>HYPERLINK("#'Table 10c'!A1", "Table 10c")</f>
        <v>Table 10c</v>
      </c>
      <c r="B23" s="45" t="s">
        <v>13</v>
      </c>
    </row>
    <row r="24" spans="1:2">
      <c r="A24" s="3" t="s">
        <v>17</v>
      </c>
      <c r="B24" s="44"/>
    </row>
    <row r="25" spans="1:2">
      <c r="A25" s="42" t="str">
        <f>HYPERLINK("#'Table 11a'!A1", "Table 11a")</f>
        <v>Table 11a</v>
      </c>
      <c r="B25" s="45" t="s">
        <v>18</v>
      </c>
    </row>
    <row r="26" spans="1:2">
      <c r="A26" s="42" t="str">
        <f>HYPERLINK("#'Table 11b'!A1", "Table 11b")</f>
        <v>Table 11b</v>
      </c>
      <c r="B26" s="45" t="s">
        <v>19</v>
      </c>
    </row>
    <row r="27" spans="1:2" ht="30" customHeight="1">
      <c r="A27" s="42" t="str">
        <f>HYPERLINK("#'Table 11c'!A1", "Table 11c")</f>
        <v>Table 11c</v>
      </c>
      <c r="B27" s="45" t="s">
        <v>20</v>
      </c>
    </row>
    <row r="28" spans="1:2">
      <c r="A28" s="3" t="s">
        <v>21</v>
      </c>
      <c r="B28" s="44"/>
    </row>
    <row r="29" spans="1:2">
      <c r="A29" s="42" t="str">
        <f>HYPERLINK("#'Table 12a'!A1", "Table 12a")</f>
        <v>Table 12a</v>
      </c>
      <c r="B29" s="45" t="s">
        <v>22</v>
      </c>
    </row>
    <row r="30" spans="1:2">
      <c r="A30" s="42" t="str">
        <f>HYPERLINK("#'Table 12b'!A1", "Table 12b")</f>
        <v>Table 12b</v>
      </c>
      <c r="B30" s="45" t="s">
        <v>13</v>
      </c>
    </row>
    <row r="31" spans="1:2">
      <c r="A31" s="42" t="str">
        <f>HYPERLINK("#'Table 12c'!A1", "Table 12c")</f>
        <v>Table 12c</v>
      </c>
      <c r="B31" s="45" t="s">
        <v>23</v>
      </c>
    </row>
    <row r="32" spans="1:2">
      <c r="A32" s="42" t="str">
        <f>HYPERLINK("#'Table 13a'!A1", "Table 13a")</f>
        <v>Table 13a</v>
      </c>
      <c r="B32" s="45" t="s">
        <v>24</v>
      </c>
    </row>
    <row r="33" spans="1:2">
      <c r="A33" s="42" t="str">
        <f>HYPERLINK("#'Table 13b'!A1", "Table 13b")</f>
        <v>Table 13b</v>
      </c>
      <c r="B33" s="45" t="s">
        <v>13</v>
      </c>
    </row>
    <row r="34" spans="1:2" ht="30" customHeight="1">
      <c r="A34" s="42" t="str">
        <f>HYPERLINK("#'Table 13c'!A1", "Table 13c")</f>
        <v>Table 13c</v>
      </c>
      <c r="B34" s="45" t="s">
        <v>23</v>
      </c>
    </row>
    <row r="35" spans="1:2">
      <c r="A35" s="3" t="s">
        <v>25</v>
      </c>
      <c r="B35" s="44"/>
    </row>
    <row r="36" spans="1:2">
      <c r="A36" s="42" t="str">
        <f>HYPERLINK("#'Table 14a'!A1", "Table 14a")</f>
        <v>Table 14a</v>
      </c>
      <c r="B36" s="45" t="s">
        <v>26</v>
      </c>
    </row>
    <row r="37" spans="1:2">
      <c r="A37" s="42" t="str">
        <f>HYPERLINK("#'Table 14b'!A1", "Table 14b")</f>
        <v>Table 14b</v>
      </c>
      <c r="B37" s="45" t="s">
        <v>27</v>
      </c>
    </row>
    <row r="38" spans="1:2">
      <c r="A38" s="42" t="str">
        <f>HYPERLINK("#'Table 15a'!A1", "Table 15a")</f>
        <v>Table 15a</v>
      </c>
      <c r="B38" s="45" t="s">
        <v>28</v>
      </c>
    </row>
    <row r="39" spans="1:2">
      <c r="A39" s="42" t="str">
        <f>HYPERLINK("#'Table 15b'!A1", "Table 15b")</f>
        <v>Table 15b</v>
      </c>
      <c r="B39" s="45" t="s">
        <v>27</v>
      </c>
    </row>
    <row r="40" spans="1:2">
      <c r="A40" s="42" t="str">
        <f>HYPERLINK("#'Table 16a'!A1", "Table 16a")</f>
        <v>Table 16a</v>
      </c>
      <c r="B40" s="45" t="s">
        <v>29</v>
      </c>
    </row>
    <row r="41" spans="1:2" ht="30" customHeight="1">
      <c r="A41" s="42" t="str">
        <f>HYPERLINK("#'Table 16b'!A1", "Table 16b")</f>
        <v>Table 16b</v>
      </c>
      <c r="B41" s="45" t="s">
        <v>27</v>
      </c>
    </row>
    <row r="42" spans="1:2">
      <c r="A42" s="3" t="s">
        <v>30</v>
      </c>
      <c r="B42" s="44"/>
    </row>
    <row r="43" spans="1:2">
      <c r="A43" s="42" t="str">
        <f>HYPERLINK("#'Table P1'!A1", "Table P1")</f>
        <v>Table P1</v>
      </c>
      <c r="B43" s="45" t="s">
        <v>31</v>
      </c>
    </row>
    <row r="44" spans="1:2">
      <c r="A44" s="42" t="str">
        <f>HYPERLINK("#'Table P2'!A1", "Table P2")</f>
        <v>Table P2</v>
      </c>
      <c r="B44" s="45" t="s">
        <v>32</v>
      </c>
    </row>
    <row r="45" spans="1:2">
      <c r="A45" s="42" t="str">
        <f>HYPERLINK("#'Table P3'!A1", "Table P3")</f>
        <v>Table P3</v>
      </c>
      <c r="B45" s="45" t="s">
        <v>33</v>
      </c>
    </row>
    <row r="46" spans="1:2">
      <c r="A46" s="42" t="str">
        <f>HYPERLINK("#'Table P4'!A1", "Table P4")</f>
        <v>Table P4</v>
      </c>
      <c r="B46" s="45" t="s">
        <v>34</v>
      </c>
    </row>
    <row r="47" spans="1:2">
      <c r="A47" s="42" t="str">
        <f>HYPERLINK("#'Table P5'!A1", "Table P5")</f>
        <v>Table P5</v>
      </c>
      <c r="B47" s="45" t="s">
        <v>35</v>
      </c>
    </row>
    <row r="48" spans="1:2">
      <c r="A48" s="42" t="str">
        <f>HYPERLINK("#'Table P6'!A1", "Table P6")</f>
        <v>Table P6</v>
      </c>
      <c r="B48" s="45" t="s">
        <v>36</v>
      </c>
    </row>
    <row r="49" spans="1:2">
      <c r="A49" s="42" t="str">
        <f>HYPERLINK("#'Table P7'!A1", "Table P7")</f>
        <v>Table P7</v>
      </c>
      <c r="B49" s="45" t="s">
        <v>37</v>
      </c>
    </row>
    <row r="50" spans="1:2">
      <c r="A50" s="42" t="str">
        <f>HYPERLINK("#'Table P8'!A1", "Table P8")</f>
        <v>Table P8</v>
      </c>
      <c r="B50" s="45" t="s">
        <v>38</v>
      </c>
    </row>
    <row r="51" spans="1:2">
      <c r="A51" s="42" t="str">
        <f>HYPERLINK("#'Table P9'!A1", "Table P9")</f>
        <v>Table P9</v>
      </c>
      <c r="B51" s="45" t="s">
        <v>39</v>
      </c>
    </row>
    <row r="52" spans="1:2">
      <c r="A52" s="42" t="str">
        <f>HYPERLINK("#'Table S1'!A1", "Table S1")</f>
        <v>Table S1</v>
      </c>
      <c r="B52" s="45" t="s">
        <v>40</v>
      </c>
    </row>
    <row r="53" spans="1:2">
      <c r="A53" s="42" t="str">
        <f>HYPERLINK("#'Table S2'!A1", "Table S2")</f>
        <v>Table S2</v>
      </c>
      <c r="B53" s="45" t="s">
        <v>41</v>
      </c>
    </row>
    <row r="54" spans="1:2">
      <c r="A54" s="42" t="str">
        <f>HYPERLINK("#'Table S3'!A1", "Table S3")</f>
        <v>Table S3</v>
      </c>
      <c r="B54" s="45" t="s">
        <v>42</v>
      </c>
    </row>
    <row r="55" spans="1:2">
      <c r="A55" s="42" t="str">
        <f>HYPERLINK("#'Table S4'!A1", "Table S4")</f>
        <v>Table S4</v>
      </c>
      <c r="B55" s="45" t="s">
        <v>43</v>
      </c>
    </row>
    <row r="56" spans="1:2">
      <c r="A56" s="42" t="str">
        <f>HYPERLINK("#'Table S5'!A1", "Table S5")</f>
        <v>Table S5</v>
      </c>
      <c r="B56" s="45" t="s">
        <v>44</v>
      </c>
    </row>
    <row r="57" spans="1:2">
      <c r="A57" s="42" t="str">
        <f>HYPERLINK("#'Table S6'!A1", "Table S6")</f>
        <v>Table S6</v>
      </c>
      <c r="B57" s="45" t="s">
        <v>45</v>
      </c>
    </row>
    <row r="58" spans="1:2">
      <c r="A58" s="42" t="str">
        <f>HYPERLINK("#'Table S7'!A1", "Table S7")</f>
        <v>Table S7</v>
      </c>
      <c r="B58" s="45" t="s">
        <v>46</v>
      </c>
    </row>
    <row r="59" spans="1:2">
      <c r="A59" s="42" t="str">
        <f>HYPERLINK("#'Table S8'!A1", "Table S8")</f>
        <v>Table S8</v>
      </c>
      <c r="B59" s="45" t="s">
        <v>47</v>
      </c>
    </row>
    <row r="60" spans="1:2" ht="30" customHeight="1">
      <c r="A60" s="46" t="str">
        <f>HYPERLINK("#'Table S9'!A1", "Table S9")</f>
        <v>Table S9</v>
      </c>
      <c r="B60" s="48" t="s">
        <v>48</v>
      </c>
    </row>
    <row r="61" spans="1:2" ht="45" customHeight="1">
      <c r="A61" s="49" t="s">
        <v>49</v>
      </c>
      <c r="B61" s="47"/>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ColWidth="10.88671875" defaultRowHeight="15"/>
  <cols>
    <col min="1" max="1" width="23.6640625" customWidth="1"/>
    <col min="2" max="2" width="140.6640625" customWidth="1"/>
  </cols>
  <sheetData>
    <row r="1" spans="1:2" ht="30" customHeight="1">
      <c r="A1" s="1" t="s">
        <v>50</v>
      </c>
    </row>
    <row r="2" spans="1:2">
      <c r="A2" s="3" t="s">
        <v>51</v>
      </c>
      <c r="B2" s="2" t="s">
        <v>52</v>
      </c>
    </row>
    <row r="3" spans="1:2">
      <c r="A3" s="4" t="s">
        <v>53</v>
      </c>
      <c r="B3" s="5" t="s">
        <v>54</v>
      </c>
    </row>
    <row r="4" spans="1:2" ht="105">
      <c r="A4" s="4" t="s">
        <v>55</v>
      </c>
      <c r="B4" s="5" t="s">
        <v>56</v>
      </c>
    </row>
    <row r="5" spans="1:2" ht="195">
      <c r="A5" s="4" t="s">
        <v>57</v>
      </c>
      <c r="B5" s="5" t="s">
        <v>58</v>
      </c>
    </row>
    <row r="6" spans="1:2" ht="45">
      <c r="A6" s="4" t="s">
        <v>59</v>
      </c>
      <c r="B6" s="5" t="s">
        <v>60</v>
      </c>
    </row>
    <row r="7" spans="1:2" ht="75">
      <c r="A7" s="4" t="s">
        <v>61</v>
      </c>
      <c r="B7" s="5" t="s">
        <v>62</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7"/>
  <sheetViews>
    <sheetView zoomScale="70" workbookViewId="0"/>
  </sheetViews>
  <sheetFormatPr defaultColWidth="10.88671875" defaultRowHeight="15"/>
  <cols>
    <col min="1" max="1" width="51.6640625" customWidth="1"/>
    <col min="2" max="5" width="15.88671875" customWidth="1"/>
  </cols>
  <sheetData>
    <row r="1" spans="1:5" ht="39.950000000000003" customHeight="1">
      <c r="A1" s="10" t="s">
        <v>63</v>
      </c>
      <c r="B1" s="12"/>
      <c r="C1" s="12"/>
      <c r="D1" s="12"/>
      <c r="E1" s="12"/>
    </row>
    <row r="2" spans="1:5" ht="30">
      <c r="A2" s="7" t="s">
        <v>64</v>
      </c>
      <c r="B2" s="6" t="s">
        <v>65</v>
      </c>
      <c r="C2" s="6" t="s">
        <v>66</v>
      </c>
      <c r="D2" s="6" t="s">
        <v>67</v>
      </c>
      <c r="E2" s="8" t="s">
        <v>57</v>
      </c>
    </row>
    <row r="3" spans="1:5" ht="21.95" customHeight="1">
      <c r="A3" s="22" t="s">
        <v>68</v>
      </c>
      <c r="B3" s="13">
        <v>115167</v>
      </c>
      <c r="C3" s="13">
        <v>313088</v>
      </c>
      <c r="D3" s="15">
        <v>36.7842267988553</v>
      </c>
      <c r="E3" s="17">
        <v>2.2960094893883102E-3</v>
      </c>
    </row>
    <row r="4" spans="1:5">
      <c r="A4" s="22" t="s">
        <v>69</v>
      </c>
      <c r="B4" s="13">
        <v>24572</v>
      </c>
      <c r="C4" s="13">
        <v>68079</v>
      </c>
      <c r="D4" s="15">
        <v>36.093362123415403</v>
      </c>
      <c r="E4" s="17">
        <v>4.9977418106933198E-3</v>
      </c>
    </row>
    <row r="5" spans="1:5">
      <c r="A5" s="22" t="s">
        <v>70</v>
      </c>
      <c r="B5" s="13">
        <v>8625</v>
      </c>
      <c r="C5" s="13">
        <v>18401</v>
      </c>
      <c r="D5" s="15">
        <v>46.872452584098703</v>
      </c>
      <c r="E5" s="17">
        <v>7.6910244889022202E-3</v>
      </c>
    </row>
    <row r="6" spans="1:5">
      <c r="A6" s="23" t="s">
        <v>71</v>
      </c>
      <c r="B6" s="13"/>
      <c r="C6" s="13"/>
      <c r="D6" s="15"/>
      <c r="E6" s="17"/>
    </row>
    <row r="7" spans="1:5" ht="21.95" customHeight="1">
      <c r="A7" s="22" t="s">
        <v>72</v>
      </c>
      <c r="B7" s="13"/>
      <c r="C7" s="13"/>
      <c r="D7" s="15"/>
      <c r="E7" s="17"/>
    </row>
    <row r="8" spans="1:5">
      <c r="A8" s="9" t="s">
        <v>73</v>
      </c>
      <c r="B8" s="13">
        <v>4241</v>
      </c>
      <c r="C8" s="13">
        <v>9458</v>
      </c>
      <c r="D8" s="15">
        <v>44.840346796362901</v>
      </c>
      <c r="E8" s="17">
        <v>1.1175348516013799E-2</v>
      </c>
    </row>
    <row r="9" spans="1:5">
      <c r="A9" s="9" t="s">
        <v>74</v>
      </c>
      <c r="B9" s="13">
        <v>4151</v>
      </c>
      <c r="C9" s="13">
        <v>8943</v>
      </c>
      <c r="D9" s="15">
        <v>46.416191434641597</v>
      </c>
      <c r="E9" s="17">
        <v>1.11332299451379E-2</v>
      </c>
    </row>
    <row r="10" spans="1:5">
      <c r="A10" s="9" t="s">
        <v>75</v>
      </c>
      <c r="B10" s="13">
        <v>80</v>
      </c>
      <c r="C10" s="19" t="s">
        <v>76</v>
      </c>
      <c r="D10" s="20" t="s">
        <v>76</v>
      </c>
      <c r="E10" s="21" t="s">
        <v>76</v>
      </c>
    </row>
    <row r="11" spans="1:5">
      <c r="A11" s="9" t="s">
        <v>77</v>
      </c>
      <c r="B11" s="13">
        <v>153</v>
      </c>
      <c r="C11" s="19" t="s">
        <v>76</v>
      </c>
      <c r="D11" s="20" t="s">
        <v>76</v>
      </c>
      <c r="E11" s="21" t="s">
        <v>76</v>
      </c>
    </row>
    <row r="12" spans="1:5" ht="21.95" customHeight="1">
      <c r="A12" s="22" t="s">
        <v>78</v>
      </c>
      <c r="B12" s="13"/>
      <c r="C12" s="13"/>
      <c r="D12" s="15"/>
      <c r="E12" s="17"/>
    </row>
    <row r="13" spans="1:5">
      <c r="A13" s="9" t="s">
        <v>79</v>
      </c>
      <c r="B13" s="13">
        <v>2204</v>
      </c>
      <c r="C13" s="13">
        <v>3959</v>
      </c>
      <c r="D13" s="15">
        <v>55.670623894922997</v>
      </c>
      <c r="E13" s="17">
        <v>1.3894480840347501E-2</v>
      </c>
    </row>
    <row r="14" spans="1:5">
      <c r="A14" s="9" t="s">
        <v>80</v>
      </c>
      <c r="B14" s="13">
        <v>2476</v>
      </c>
      <c r="C14" s="13">
        <v>4255</v>
      </c>
      <c r="D14" s="15">
        <v>58.190364277320803</v>
      </c>
      <c r="E14" s="17">
        <v>1.2731127033302401E-2</v>
      </c>
    </row>
    <row r="15" spans="1:5">
      <c r="A15" s="9" t="s">
        <v>81</v>
      </c>
      <c r="B15" s="13">
        <v>3115</v>
      </c>
      <c r="C15" s="13">
        <v>6237</v>
      </c>
      <c r="D15" s="15">
        <v>49.943883277216599</v>
      </c>
      <c r="E15" s="17">
        <v>1.24209857203809E-2</v>
      </c>
    </row>
    <row r="16" spans="1:5">
      <c r="A16" s="9" t="s">
        <v>82</v>
      </c>
      <c r="B16" s="13">
        <v>830</v>
      </c>
      <c r="C16" s="13">
        <v>3950</v>
      </c>
      <c r="D16" s="15">
        <v>21.0126582278481</v>
      </c>
      <c r="E16" s="17">
        <v>3.0227078164861199E-2</v>
      </c>
    </row>
    <row r="17" spans="1:5" ht="21.95" customHeight="1">
      <c r="A17" s="22" t="s">
        <v>83</v>
      </c>
      <c r="B17" s="13"/>
      <c r="C17" s="13"/>
      <c r="D17" s="15"/>
      <c r="E17" s="17"/>
    </row>
    <row r="18" spans="1:5">
      <c r="A18" s="9" t="s">
        <v>84</v>
      </c>
      <c r="B18" s="13">
        <v>4680</v>
      </c>
      <c r="C18" s="13">
        <v>8214</v>
      </c>
      <c r="D18" s="15">
        <v>56.975894813732701</v>
      </c>
      <c r="E18" s="17">
        <v>9.3950180456013402E-3</v>
      </c>
    </row>
    <row r="19" spans="1:5">
      <c r="A19" s="9" t="s">
        <v>85</v>
      </c>
      <c r="B19" s="13">
        <v>3945</v>
      </c>
      <c r="C19" s="13">
        <v>10187</v>
      </c>
      <c r="D19" s="15">
        <v>38.725827034455698</v>
      </c>
      <c r="E19" s="17">
        <v>1.2212554368066999E-2</v>
      </c>
    </row>
    <row r="20" spans="1:5" ht="21.95" customHeight="1">
      <c r="A20" s="22" t="s">
        <v>86</v>
      </c>
      <c r="B20" s="13"/>
      <c r="C20" s="13"/>
      <c r="D20" s="15"/>
      <c r="E20" s="17"/>
    </row>
    <row r="21" spans="1:5">
      <c r="A21" s="9" t="s">
        <v>87</v>
      </c>
      <c r="B21" s="13">
        <v>7714</v>
      </c>
      <c r="C21" s="13">
        <v>17570</v>
      </c>
      <c r="D21" s="15">
        <v>43.904382470119501</v>
      </c>
      <c r="E21" s="17">
        <v>8.3565822478899408E-3</v>
      </c>
    </row>
    <row r="22" spans="1:5">
      <c r="A22" s="9" t="s">
        <v>88</v>
      </c>
      <c r="B22" s="13">
        <v>7322</v>
      </c>
      <c r="C22" s="13">
        <v>16930</v>
      </c>
      <c r="D22" s="15">
        <v>43.248670998228</v>
      </c>
      <c r="E22" s="17">
        <v>8.6273343576949608E-3</v>
      </c>
    </row>
    <row r="23" spans="1:5">
      <c r="A23" s="9" t="s">
        <v>89</v>
      </c>
      <c r="B23" s="13">
        <v>47</v>
      </c>
      <c r="C23" s="19" t="s">
        <v>76</v>
      </c>
      <c r="D23" s="20" t="s">
        <v>76</v>
      </c>
      <c r="E23" s="21" t="s">
        <v>76</v>
      </c>
    </row>
    <row r="24" spans="1:5">
      <c r="A24" s="9" t="s">
        <v>90</v>
      </c>
      <c r="B24" s="13">
        <v>28</v>
      </c>
      <c r="C24" s="13">
        <v>60</v>
      </c>
      <c r="D24" s="15">
        <v>46.6666666666667</v>
      </c>
      <c r="E24" s="17">
        <v>0.13312275037222901</v>
      </c>
    </row>
    <row r="25" spans="1:5">
      <c r="A25" s="9" t="s">
        <v>91</v>
      </c>
      <c r="B25" s="13">
        <v>11</v>
      </c>
      <c r="C25" s="13">
        <v>5</v>
      </c>
      <c r="D25" s="20" t="s">
        <v>76</v>
      </c>
      <c r="E25" s="21" t="s">
        <v>76</v>
      </c>
    </row>
    <row r="26" spans="1:5">
      <c r="A26" s="9" t="s">
        <v>92</v>
      </c>
      <c r="B26" s="13">
        <v>306</v>
      </c>
      <c r="C26" s="13">
        <v>575</v>
      </c>
      <c r="D26" s="15">
        <v>53.2173913043478</v>
      </c>
      <c r="E26" s="17">
        <v>3.8247128690703902E-2</v>
      </c>
    </row>
    <row r="27" spans="1:5">
      <c r="A27" s="9" t="s">
        <v>93</v>
      </c>
      <c r="B27" s="13">
        <v>216</v>
      </c>
      <c r="C27" s="13">
        <v>430</v>
      </c>
      <c r="D27" s="15">
        <v>50.232558139534902</v>
      </c>
      <c r="E27" s="17">
        <v>4.6930455998832998E-2</v>
      </c>
    </row>
    <row r="28" spans="1:5">
      <c r="A28" s="9" t="s">
        <v>94</v>
      </c>
      <c r="B28" s="13">
        <v>36</v>
      </c>
      <c r="C28" s="13">
        <v>70</v>
      </c>
      <c r="D28" s="15">
        <v>51.428571428571402</v>
      </c>
      <c r="E28" s="17">
        <v>0.11214573851318101</v>
      </c>
    </row>
    <row r="29" spans="1:5">
      <c r="A29" s="9" t="s">
        <v>95</v>
      </c>
      <c r="B29" s="13">
        <v>35</v>
      </c>
      <c r="C29" s="13">
        <v>60</v>
      </c>
      <c r="D29" s="15">
        <v>58.3333333333333</v>
      </c>
      <c r="E29" s="17">
        <v>0.10476640682967001</v>
      </c>
    </row>
    <row r="30" spans="1:5">
      <c r="A30" s="9" t="s">
        <v>96</v>
      </c>
      <c r="B30" s="13">
        <v>29</v>
      </c>
      <c r="C30" s="13">
        <v>135</v>
      </c>
      <c r="D30" s="15">
        <v>21.481481481481499</v>
      </c>
      <c r="E30" s="17">
        <v>0.160492536917236</v>
      </c>
    </row>
    <row r="31" spans="1:5">
      <c r="A31" s="9" t="s">
        <v>97</v>
      </c>
      <c r="B31" s="13">
        <v>116</v>
      </c>
      <c r="C31" s="13">
        <v>160</v>
      </c>
      <c r="D31" s="15">
        <v>72.5</v>
      </c>
      <c r="E31" s="17">
        <v>4.7170590998761197E-2</v>
      </c>
    </row>
    <row r="32" spans="1:5">
      <c r="A32" s="9" t="s">
        <v>98</v>
      </c>
      <c r="B32" s="13">
        <v>156</v>
      </c>
      <c r="C32" s="13">
        <v>155</v>
      </c>
      <c r="D32" s="20" t="s">
        <v>76</v>
      </c>
      <c r="E32" s="21" t="s">
        <v>76</v>
      </c>
    </row>
    <row r="33" spans="1:5">
      <c r="A33" s="9" t="s">
        <v>99</v>
      </c>
      <c r="B33" s="13">
        <v>33</v>
      </c>
      <c r="C33" s="13">
        <v>50</v>
      </c>
      <c r="D33" s="15">
        <v>66</v>
      </c>
      <c r="E33" s="17">
        <v>9.6503728927796906E-2</v>
      </c>
    </row>
    <row r="34" spans="1:5">
      <c r="A34" s="9" t="s">
        <v>100</v>
      </c>
      <c r="B34" s="13">
        <v>11</v>
      </c>
      <c r="C34" s="13">
        <v>15</v>
      </c>
      <c r="D34" s="15">
        <v>73.3333333333333</v>
      </c>
      <c r="E34" s="17">
        <v>0.13214317304279499</v>
      </c>
    </row>
    <row r="35" spans="1:5">
      <c r="A35" s="9" t="s">
        <v>101</v>
      </c>
      <c r="B35" s="13">
        <v>3</v>
      </c>
      <c r="C35" s="13">
        <v>10</v>
      </c>
      <c r="D35" s="15">
        <v>30</v>
      </c>
      <c r="E35" s="17">
        <v>0.43826932358995901</v>
      </c>
    </row>
    <row r="36" spans="1:5">
      <c r="A36" s="9" t="s">
        <v>102</v>
      </c>
      <c r="B36" s="13">
        <v>29</v>
      </c>
      <c r="C36" s="13">
        <v>30</v>
      </c>
      <c r="D36" s="15">
        <v>96.6666666666667</v>
      </c>
      <c r="E36" s="17">
        <v>0</v>
      </c>
    </row>
    <row r="37" spans="1:5">
      <c r="A37" s="9" t="s">
        <v>103</v>
      </c>
      <c r="B37" s="13">
        <v>80</v>
      </c>
      <c r="C37" s="13">
        <v>45</v>
      </c>
      <c r="D37" s="20" t="s">
        <v>76</v>
      </c>
      <c r="E37" s="21" t="s">
        <v>76</v>
      </c>
    </row>
    <row r="38" spans="1:5">
      <c r="A38" s="9" t="s">
        <v>104</v>
      </c>
      <c r="B38" s="13">
        <v>62</v>
      </c>
      <c r="C38" s="13">
        <v>40</v>
      </c>
      <c r="D38" s="20" t="s">
        <v>76</v>
      </c>
      <c r="E38" s="21" t="s">
        <v>76</v>
      </c>
    </row>
    <row r="39" spans="1:5">
      <c r="A39" s="9" t="s">
        <v>105</v>
      </c>
      <c r="B39" s="13">
        <v>8</v>
      </c>
      <c r="C39" s="13">
        <v>5</v>
      </c>
      <c r="D39" s="20" t="s">
        <v>76</v>
      </c>
      <c r="E39" s="21" t="s">
        <v>76</v>
      </c>
    </row>
    <row r="40" spans="1:5">
      <c r="A40" s="9" t="s">
        <v>106</v>
      </c>
      <c r="B40" s="13">
        <v>32</v>
      </c>
      <c r="C40" s="13">
        <v>20</v>
      </c>
      <c r="D40" s="20" t="s">
        <v>76</v>
      </c>
      <c r="E40" s="21" t="s">
        <v>76</v>
      </c>
    </row>
    <row r="41" spans="1:5">
      <c r="A41" s="9" t="s">
        <v>107</v>
      </c>
      <c r="B41" s="13">
        <v>22</v>
      </c>
      <c r="C41" s="13">
        <v>15</v>
      </c>
      <c r="D41" s="20" t="s">
        <v>76</v>
      </c>
      <c r="E41" s="21" t="s">
        <v>76</v>
      </c>
    </row>
    <row r="42" spans="1:5">
      <c r="A42" s="9" t="s">
        <v>108</v>
      </c>
      <c r="B42" s="13">
        <v>46</v>
      </c>
      <c r="C42" s="13">
        <v>150</v>
      </c>
      <c r="D42" s="15">
        <v>30.6666666666667</v>
      </c>
      <c r="E42" s="17">
        <v>0.119734730955982</v>
      </c>
    </row>
    <row r="43" spans="1:5">
      <c r="A43" s="9" t="s">
        <v>109</v>
      </c>
      <c r="B43" s="13">
        <v>16</v>
      </c>
      <c r="C43" s="13">
        <v>10</v>
      </c>
      <c r="D43" s="20" t="s">
        <v>76</v>
      </c>
      <c r="E43" s="21" t="s">
        <v>76</v>
      </c>
    </row>
    <row r="44" spans="1:5">
      <c r="A44" s="9" t="s">
        <v>110</v>
      </c>
      <c r="B44" s="13">
        <v>30</v>
      </c>
      <c r="C44" s="13">
        <v>140</v>
      </c>
      <c r="D44" s="15">
        <v>21.428571428571399</v>
      </c>
      <c r="E44" s="17">
        <v>0.15787547835768101</v>
      </c>
    </row>
    <row r="45" spans="1:5">
      <c r="A45" s="9" t="s">
        <v>111</v>
      </c>
      <c r="B45" s="13">
        <v>431</v>
      </c>
      <c r="C45" s="13">
        <v>55</v>
      </c>
      <c r="D45" s="20" t="s">
        <v>76</v>
      </c>
      <c r="E45" s="21" t="s">
        <v>76</v>
      </c>
    </row>
    <row r="46" spans="1:5" ht="21.95" customHeight="1">
      <c r="A46" s="22" t="s">
        <v>112</v>
      </c>
      <c r="B46" s="13"/>
      <c r="C46" s="13"/>
      <c r="D46" s="15"/>
      <c r="E46" s="17"/>
    </row>
    <row r="47" spans="1:5">
      <c r="A47" s="9" t="s">
        <v>113</v>
      </c>
      <c r="B47" s="13">
        <v>347</v>
      </c>
      <c r="C47" s="19" t="s">
        <v>76</v>
      </c>
      <c r="D47" s="20" t="s">
        <v>76</v>
      </c>
      <c r="E47" s="21" t="s">
        <v>76</v>
      </c>
    </row>
    <row r="48" spans="1:5">
      <c r="A48" s="9" t="s">
        <v>114</v>
      </c>
      <c r="B48" s="13">
        <v>7960</v>
      </c>
      <c r="C48" s="19" t="s">
        <v>76</v>
      </c>
      <c r="D48" s="20" t="s">
        <v>76</v>
      </c>
      <c r="E48" s="21" t="s">
        <v>76</v>
      </c>
    </row>
    <row r="49" spans="1:5">
      <c r="A49" s="9" t="s">
        <v>111</v>
      </c>
      <c r="B49" s="13">
        <v>318</v>
      </c>
      <c r="C49" s="19" t="s">
        <v>76</v>
      </c>
      <c r="D49" s="20" t="s">
        <v>76</v>
      </c>
      <c r="E49" s="21" t="s">
        <v>76</v>
      </c>
    </row>
    <row r="50" spans="1:5" ht="21.95" customHeight="1">
      <c r="A50" s="22" t="s">
        <v>115</v>
      </c>
      <c r="B50" s="13"/>
      <c r="C50" s="13"/>
      <c r="D50" s="15"/>
      <c r="E50" s="17"/>
    </row>
    <row r="51" spans="1:5">
      <c r="A51" s="9" t="s">
        <v>116</v>
      </c>
      <c r="B51" s="13">
        <v>899</v>
      </c>
      <c r="C51" s="19" t="s">
        <v>76</v>
      </c>
      <c r="D51" s="20" t="s">
        <v>76</v>
      </c>
      <c r="E51" s="21" t="s">
        <v>76</v>
      </c>
    </row>
    <row r="52" spans="1:5">
      <c r="A52" s="9" t="s">
        <v>117</v>
      </c>
      <c r="B52" s="13">
        <v>7227</v>
      </c>
      <c r="C52" s="19" t="s">
        <v>76</v>
      </c>
      <c r="D52" s="20" t="s">
        <v>76</v>
      </c>
      <c r="E52" s="21" t="s">
        <v>76</v>
      </c>
    </row>
    <row r="53" spans="1:5">
      <c r="A53" s="9" t="s">
        <v>111</v>
      </c>
      <c r="B53" s="13">
        <v>499</v>
      </c>
      <c r="C53" s="19" t="s">
        <v>76</v>
      </c>
      <c r="D53" s="20" t="s">
        <v>76</v>
      </c>
      <c r="E53" s="21" t="s">
        <v>76</v>
      </c>
    </row>
    <row r="54" spans="1:5" ht="21.95" customHeight="1">
      <c r="A54" s="22" t="s">
        <v>118</v>
      </c>
      <c r="B54" s="13"/>
      <c r="C54" s="13"/>
      <c r="D54" s="15"/>
      <c r="E54" s="17"/>
    </row>
    <row r="55" spans="1:5">
      <c r="A55" s="9" t="s">
        <v>119</v>
      </c>
      <c r="B55" s="13">
        <v>2350</v>
      </c>
      <c r="C55" s="13">
        <v>2227</v>
      </c>
      <c r="D55" s="20" t="s">
        <v>76</v>
      </c>
      <c r="E55" s="21" t="s">
        <v>76</v>
      </c>
    </row>
    <row r="56" spans="1:5">
      <c r="A56" s="9" t="s">
        <v>120</v>
      </c>
      <c r="B56" s="13">
        <v>1898</v>
      </c>
      <c r="C56" s="13">
        <v>6293</v>
      </c>
      <c r="D56" s="15">
        <v>30.1604957889719</v>
      </c>
      <c r="E56" s="17">
        <v>1.8796592751505099E-2</v>
      </c>
    </row>
    <row r="57" spans="1:5">
      <c r="A57" s="9" t="s">
        <v>121</v>
      </c>
      <c r="B57" s="13">
        <v>2846</v>
      </c>
      <c r="C57" s="13">
        <v>5867</v>
      </c>
      <c r="D57" s="15">
        <v>48.5086074654849</v>
      </c>
      <c r="E57" s="17">
        <v>1.3179655400052099E-2</v>
      </c>
    </row>
    <row r="58" spans="1:5">
      <c r="A58" s="9" t="s">
        <v>122</v>
      </c>
      <c r="B58" s="13">
        <v>1515</v>
      </c>
      <c r="C58" s="13">
        <v>4014</v>
      </c>
      <c r="D58" s="15">
        <v>37.742899850523202</v>
      </c>
      <c r="E58" s="17">
        <v>1.9862197327493999E-2</v>
      </c>
    </row>
    <row r="59" spans="1:5" ht="21.95" customHeight="1">
      <c r="A59" s="22" t="s">
        <v>123</v>
      </c>
      <c r="B59" s="13"/>
      <c r="C59" s="13"/>
      <c r="D59" s="15"/>
      <c r="E59" s="17"/>
    </row>
    <row r="60" spans="1:5">
      <c r="A60" s="9" t="s">
        <v>124</v>
      </c>
      <c r="B60" s="13">
        <v>5635</v>
      </c>
      <c r="C60" s="19" t="s">
        <v>76</v>
      </c>
      <c r="D60" s="20" t="s">
        <v>76</v>
      </c>
      <c r="E60" s="21" t="s">
        <v>76</v>
      </c>
    </row>
    <row r="61" spans="1:5">
      <c r="A61" s="9" t="s">
        <v>125</v>
      </c>
      <c r="B61" s="13">
        <v>2990</v>
      </c>
      <c r="C61" s="19" t="s">
        <v>76</v>
      </c>
      <c r="D61" s="20" t="s">
        <v>76</v>
      </c>
      <c r="E61" s="21" t="s">
        <v>76</v>
      </c>
    </row>
    <row r="62" spans="1:5" ht="21.95" customHeight="1">
      <c r="A62" s="22" t="s">
        <v>126</v>
      </c>
      <c r="B62" s="13"/>
      <c r="C62" s="13"/>
      <c r="D62" s="15"/>
      <c r="E62" s="17"/>
    </row>
    <row r="63" spans="1:5">
      <c r="A63" s="9" t="s">
        <v>127</v>
      </c>
      <c r="B63" s="13">
        <v>2259</v>
      </c>
      <c r="C63" s="13">
        <v>4209</v>
      </c>
      <c r="D63" s="15">
        <v>53.670705630791197</v>
      </c>
      <c r="E63" s="17">
        <v>1.4030864059733099E-2</v>
      </c>
    </row>
    <row r="64" spans="1:5">
      <c r="A64" s="9" t="s">
        <v>128</v>
      </c>
      <c r="B64" s="13">
        <v>1982</v>
      </c>
      <c r="C64" s="13">
        <v>5249</v>
      </c>
      <c r="D64" s="15">
        <v>37.759573252048</v>
      </c>
      <c r="E64" s="17">
        <v>1.7363771194713998E-2</v>
      </c>
    </row>
    <row r="65" spans="1:5">
      <c r="A65" s="9" t="s">
        <v>129</v>
      </c>
      <c r="B65" s="13">
        <v>2328</v>
      </c>
      <c r="C65" s="13">
        <v>4005</v>
      </c>
      <c r="D65" s="15">
        <v>58.127340823970002</v>
      </c>
      <c r="E65" s="17">
        <v>1.31392426972967E-2</v>
      </c>
    </row>
    <row r="66" spans="1:5">
      <c r="A66" s="11" t="s">
        <v>130</v>
      </c>
      <c r="B66" s="14">
        <v>1823</v>
      </c>
      <c r="C66" s="14">
        <v>4938</v>
      </c>
      <c r="D66" s="16">
        <v>36.9177804779263</v>
      </c>
      <c r="E66" s="18">
        <v>1.8227054942219201E-2</v>
      </c>
    </row>
    <row r="67" spans="1:5">
      <c r="A67" t="s">
        <v>131</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8"/>
  <sheetViews>
    <sheetView zoomScale="70" workbookViewId="0"/>
  </sheetViews>
  <sheetFormatPr defaultColWidth="10.88671875" defaultRowHeight="15"/>
  <cols>
    <col min="1" max="1" width="51.6640625" customWidth="1"/>
    <col min="2" max="7" width="23.21875" customWidth="1"/>
  </cols>
  <sheetData>
    <row r="1" spans="1:7" ht="39.950000000000003" customHeight="1">
      <c r="A1" s="10" t="s">
        <v>132</v>
      </c>
      <c r="B1" s="12"/>
      <c r="C1" s="12"/>
      <c r="D1" s="12"/>
      <c r="E1" s="12"/>
      <c r="F1" s="12"/>
      <c r="G1" s="12"/>
    </row>
    <row r="2" spans="1:7" ht="60">
      <c r="A2" s="7" t="s">
        <v>52</v>
      </c>
      <c r="B2" s="6" t="s">
        <v>133</v>
      </c>
      <c r="C2" s="6" t="s">
        <v>134</v>
      </c>
      <c r="D2" s="6" t="s">
        <v>135</v>
      </c>
      <c r="E2" s="6" t="s">
        <v>136</v>
      </c>
      <c r="F2" s="6" t="s">
        <v>137</v>
      </c>
      <c r="G2" s="8" t="s">
        <v>138</v>
      </c>
    </row>
    <row r="3" spans="1:7" ht="21.95" customHeight="1">
      <c r="A3" s="22" t="s">
        <v>68</v>
      </c>
      <c r="B3" s="15">
        <v>39.470113608276201</v>
      </c>
      <c r="C3" s="15">
        <v>57.3251753061665</v>
      </c>
      <c r="D3" s="15">
        <v>69.304044090253598</v>
      </c>
      <c r="E3" s="15">
        <v>51.412597068578997</v>
      </c>
      <c r="F3" s="15">
        <v>15.3555012742789</v>
      </c>
      <c r="G3" s="24">
        <v>55.725851211528997</v>
      </c>
    </row>
    <row r="4" spans="1:7">
      <c r="A4" s="22" t="s">
        <v>69</v>
      </c>
      <c r="B4" s="15">
        <v>42.0011119167266</v>
      </c>
      <c r="C4" s="15">
        <v>59.5234638904805</v>
      </c>
      <c r="D4" s="15">
        <v>69.478300526662295</v>
      </c>
      <c r="E4" s="15">
        <v>52.564848192151501</v>
      </c>
      <c r="F4" s="15">
        <v>15.2308857961863</v>
      </c>
      <c r="G4" s="24">
        <v>57.930304624100501</v>
      </c>
    </row>
    <row r="5" spans="1:7">
      <c r="A5" s="22" t="s">
        <v>70</v>
      </c>
      <c r="B5" s="15">
        <v>40.509813928371599</v>
      </c>
      <c r="C5" s="15">
        <v>60.4201233773219</v>
      </c>
      <c r="D5" s="15">
        <v>69.651477055229606</v>
      </c>
      <c r="E5" s="15">
        <v>54.064893836262101</v>
      </c>
      <c r="F5" s="15">
        <v>14.1628638255398</v>
      </c>
      <c r="G5" s="24">
        <v>58.168390694852803</v>
      </c>
    </row>
    <row r="6" spans="1:7">
      <c r="A6" s="23" t="s">
        <v>71</v>
      </c>
      <c r="B6" s="15"/>
      <c r="C6" s="15"/>
      <c r="D6" s="15"/>
      <c r="E6" s="15"/>
      <c r="F6" s="15"/>
      <c r="G6" s="24"/>
    </row>
    <row r="7" spans="1:7" ht="21.95" customHeight="1">
      <c r="A7" s="22" t="s">
        <v>72</v>
      </c>
      <c r="B7" s="15"/>
      <c r="C7" s="15"/>
      <c r="D7" s="15"/>
      <c r="E7" s="15"/>
      <c r="F7" s="15"/>
      <c r="G7" s="24"/>
    </row>
    <row r="8" spans="1:7">
      <c r="A8" s="9" t="s">
        <v>73</v>
      </c>
      <c r="B8" s="15">
        <v>44.678111695795401</v>
      </c>
      <c r="C8" s="15">
        <v>69.559408843812903</v>
      </c>
      <c r="D8" s="15">
        <v>78.054496600779103</v>
      </c>
      <c r="E8" s="15">
        <v>58.145778752512598</v>
      </c>
      <c r="F8" s="15">
        <v>15.8787981905849</v>
      </c>
      <c r="G8" s="24">
        <v>60.840738205434803</v>
      </c>
    </row>
    <row r="9" spans="1:7">
      <c r="A9" s="9" t="s">
        <v>74</v>
      </c>
      <c r="B9" s="15">
        <v>36.816343720089002</v>
      </c>
      <c r="C9" s="15">
        <v>52.728187351118102</v>
      </c>
      <c r="D9" s="15">
        <v>62.370087215537303</v>
      </c>
      <c r="E9" s="15">
        <v>50.885306008676302</v>
      </c>
      <c r="F9" s="15">
        <v>12.8710585684804</v>
      </c>
      <c r="G9" s="24">
        <v>56.529519084435996</v>
      </c>
    </row>
    <row r="10" spans="1:7">
      <c r="A10" s="9" t="s">
        <v>75</v>
      </c>
      <c r="B10" s="20" t="s">
        <v>76</v>
      </c>
      <c r="C10" s="20" t="s">
        <v>76</v>
      </c>
      <c r="D10" s="15">
        <v>37.765484771055696</v>
      </c>
      <c r="E10" s="20" t="s">
        <v>76</v>
      </c>
      <c r="F10" s="20" t="s">
        <v>76</v>
      </c>
      <c r="G10" s="24">
        <v>42.162374820614602</v>
      </c>
    </row>
    <row r="11" spans="1:7">
      <c r="A11" s="9" t="s">
        <v>77</v>
      </c>
      <c r="B11" s="15">
        <v>25.060933844866302</v>
      </c>
      <c r="C11" s="15">
        <v>30.448733385645198</v>
      </c>
      <c r="D11" s="15">
        <v>46.541571624098403</v>
      </c>
      <c r="E11" s="15">
        <v>37.122212663407197</v>
      </c>
      <c r="F11" s="20" t="s">
        <v>76</v>
      </c>
      <c r="G11" s="24">
        <v>36.082033710232103</v>
      </c>
    </row>
    <row r="12" spans="1:7" ht="21.95" customHeight="1">
      <c r="A12" s="22" t="s">
        <v>78</v>
      </c>
      <c r="B12" s="15"/>
      <c r="C12" s="15"/>
      <c r="D12" s="15"/>
      <c r="E12" s="15"/>
      <c r="F12" s="15"/>
      <c r="G12" s="24"/>
    </row>
    <row r="13" spans="1:7">
      <c r="A13" s="9" t="s">
        <v>79</v>
      </c>
      <c r="B13" s="15">
        <v>36.591448674640098</v>
      </c>
      <c r="C13" s="15">
        <v>75.462092345072307</v>
      </c>
      <c r="D13" s="15">
        <v>77.240410067454107</v>
      </c>
      <c r="E13" s="15">
        <v>65.682189276421497</v>
      </c>
      <c r="F13" s="15">
        <v>24.180538688595998</v>
      </c>
      <c r="G13" s="24">
        <v>57.289171628067798</v>
      </c>
    </row>
    <row r="14" spans="1:7">
      <c r="A14" s="9" t="s">
        <v>80</v>
      </c>
      <c r="B14" s="15">
        <v>38.197641515465598</v>
      </c>
      <c r="C14" s="15">
        <v>67.727207994435105</v>
      </c>
      <c r="D14" s="15">
        <v>73.254095710180394</v>
      </c>
      <c r="E14" s="15">
        <v>61.0287888094322</v>
      </c>
      <c r="F14" s="15">
        <v>17.0032040419959</v>
      </c>
      <c r="G14" s="24">
        <v>59.2291603345193</v>
      </c>
    </row>
    <row r="15" spans="1:7">
      <c r="A15" s="9" t="s">
        <v>81</v>
      </c>
      <c r="B15" s="15">
        <v>43.617444111511098</v>
      </c>
      <c r="C15" s="15">
        <v>55.5133522528442</v>
      </c>
      <c r="D15" s="15">
        <v>66.901185756721603</v>
      </c>
      <c r="E15" s="15">
        <v>52.2807487084375</v>
      </c>
      <c r="F15" s="15">
        <v>10.0426822158907</v>
      </c>
      <c r="G15" s="24">
        <v>58.065919221767402</v>
      </c>
    </row>
    <row r="16" spans="1:7">
      <c r="A16" s="9" t="s">
        <v>82</v>
      </c>
      <c r="B16" s="15">
        <v>42.032659846897403</v>
      </c>
      <c r="C16" s="15">
        <v>45.193212801322503</v>
      </c>
      <c r="D16" s="15">
        <v>62.492822648853199</v>
      </c>
      <c r="E16" s="15">
        <v>37.720079021166399</v>
      </c>
      <c r="F16" s="15">
        <v>7.5491900959028602</v>
      </c>
      <c r="G16" s="24">
        <v>58.068688041139701</v>
      </c>
    </row>
    <row r="17" spans="1:7" ht="21.95" customHeight="1">
      <c r="A17" s="22" t="s">
        <v>83</v>
      </c>
      <c r="B17" s="15"/>
      <c r="C17" s="15"/>
      <c r="D17" s="15"/>
      <c r="E17" s="15"/>
      <c r="F17" s="15"/>
      <c r="G17" s="24"/>
    </row>
    <row r="18" spans="1:7">
      <c r="A18" s="9" t="s">
        <v>84</v>
      </c>
      <c r="B18" s="15">
        <v>37.423342947357398</v>
      </c>
      <c r="C18" s="15">
        <v>71.455969401504007</v>
      </c>
      <c r="D18" s="15">
        <v>75.1757812141947</v>
      </c>
      <c r="E18" s="15">
        <v>63.272057006650499</v>
      </c>
      <c r="F18" s="15">
        <v>20.4631870517815</v>
      </c>
      <c r="G18" s="24">
        <v>58.293948547135599</v>
      </c>
    </row>
    <row r="19" spans="1:7">
      <c r="A19" s="9" t="s">
        <v>85</v>
      </c>
      <c r="B19" s="15">
        <v>43.0023573545296</v>
      </c>
      <c r="C19" s="15">
        <v>51.507897852159701</v>
      </c>
      <c r="D19" s="15">
        <v>65.190211065616694</v>
      </c>
      <c r="E19" s="15">
        <v>46.629458941495997</v>
      </c>
      <c r="F19" s="15">
        <v>9.0749076008292295</v>
      </c>
      <c r="G19" s="24">
        <v>58.066993856445698</v>
      </c>
    </row>
    <row r="20" spans="1:7" ht="21.95" customHeight="1">
      <c r="A20" s="22" t="s">
        <v>86</v>
      </c>
      <c r="B20" s="15"/>
      <c r="C20" s="15"/>
      <c r="D20" s="15"/>
      <c r="E20" s="15"/>
      <c r="F20" s="15"/>
      <c r="G20" s="24"/>
    </row>
    <row r="21" spans="1:7">
      <c r="A21" s="9" t="s">
        <v>87</v>
      </c>
      <c r="B21" s="15">
        <v>41.318952456190701</v>
      </c>
      <c r="C21" s="15">
        <v>60.744863943781802</v>
      </c>
      <c r="D21" s="15">
        <v>69.933114427129794</v>
      </c>
      <c r="E21" s="15">
        <v>54.503734686975299</v>
      </c>
      <c r="F21" s="15">
        <v>14.257182173857499</v>
      </c>
      <c r="G21" s="24">
        <v>59.346414192466298</v>
      </c>
    </row>
    <row r="22" spans="1:7">
      <c r="A22" s="9" t="s">
        <v>88</v>
      </c>
      <c r="B22" s="15">
        <v>41.609118306604103</v>
      </c>
      <c r="C22" s="15">
        <v>60.862341579180601</v>
      </c>
      <c r="D22" s="15">
        <v>69.763284374957493</v>
      </c>
      <c r="E22" s="15">
        <v>54.762290628209001</v>
      </c>
      <c r="F22" s="15">
        <v>14.159363840788499</v>
      </c>
      <c r="G22" s="24">
        <v>59.877267609901402</v>
      </c>
    </row>
    <row r="23" spans="1:7">
      <c r="A23" s="9" t="s">
        <v>89</v>
      </c>
      <c r="B23" s="20" t="s">
        <v>76</v>
      </c>
      <c r="C23" s="15">
        <v>60.566090437044302</v>
      </c>
      <c r="D23" s="15">
        <v>70.348735127599198</v>
      </c>
      <c r="E23" s="15">
        <v>56.911615287280803</v>
      </c>
      <c r="F23" s="20" t="s">
        <v>76</v>
      </c>
      <c r="G23" s="24">
        <v>65.626151002729898</v>
      </c>
    </row>
    <row r="24" spans="1:7">
      <c r="A24" s="9" t="s">
        <v>90</v>
      </c>
      <c r="B24" s="20" t="s">
        <v>76</v>
      </c>
      <c r="C24" s="20" t="s">
        <v>76</v>
      </c>
      <c r="D24" s="20" t="s">
        <v>76</v>
      </c>
      <c r="E24" s="20" t="s">
        <v>76</v>
      </c>
      <c r="F24" s="20" t="s">
        <v>76</v>
      </c>
      <c r="G24" s="26" t="s">
        <v>76</v>
      </c>
    </row>
    <row r="25" spans="1:7">
      <c r="A25" s="9" t="s">
        <v>91</v>
      </c>
      <c r="B25" s="20" t="s">
        <v>76</v>
      </c>
      <c r="C25" s="20" t="s">
        <v>76</v>
      </c>
      <c r="D25" s="20" t="s">
        <v>76</v>
      </c>
      <c r="E25" s="20" t="s">
        <v>76</v>
      </c>
      <c r="F25" s="20" t="s">
        <v>76</v>
      </c>
      <c r="G25" s="26" t="s">
        <v>76</v>
      </c>
    </row>
    <row r="26" spans="1:7">
      <c r="A26" s="9" t="s">
        <v>92</v>
      </c>
      <c r="B26" s="15">
        <v>31.3276422657989</v>
      </c>
      <c r="C26" s="15">
        <v>57.795111128086198</v>
      </c>
      <c r="D26" s="15">
        <v>72.906594681341403</v>
      </c>
      <c r="E26" s="15">
        <v>49.259611253886497</v>
      </c>
      <c r="F26" s="15">
        <v>15.002756754209701</v>
      </c>
      <c r="G26" s="24">
        <v>46.556815808488103</v>
      </c>
    </row>
    <row r="27" spans="1:7">
      <c r="A27" s="9" t="s">
        <v>93</v>
      </c>
      <c r="B27" s="15">
        <v>44.725455038314301</v>
      </c>
      <c r="C27" s="15">
        <v>59.270783911133996</v>
      </c>
      <c r="D27" s="15">
        <v>71.814357851153304</v>
      </c>
      <c r="E27" s="15">
        <v>54.004915433260102</v>
      </c>
      <c r="F27" s="15">
        <v>13.334895214861101</v>
      </c>
      <c r="G27" s="24">
        <v>58.385039790730097</v>
      </c>
    </row>
    <row r="28" spans="1:7">
      <c r="A28" s="9" t="s">
        <v>94</v>
      </c>
      <c r="B28" s="20" t="s">
        <v>76</v>
      </c>
      <c r="C28" s="20" t="s">
        <v>76</v>
      </c>
      <c r="D28" s="20" t="s">
        <v>76</v>
      </c>
      <c r="E28" s="20" t="s">
        <v>76</v>
      </c>
      <c r="F28" s="20" t="s">
        <v>76</v>
      </c>
      <c r="G28" s="26" t="s">
        <v>76</v>
      </c>
    </row>
    <row r="29" spans="1:7">
      <c r="A29" s="9" t="s">
        <v>95</v>
      </c>
      <c r="B29" s="20" t="s">
        <v>76</v>
      </c>
      <c r="C29" s="20" t="s">
        <v>76</v>
      </c>
      <c r="D29" s="20" t="s">
        <v>76</v>
      </c>
      <c r="E29" s="20" t="s">
        <v>76</v>
      </c>
      <c r="F29" s="20" t="s">
        <v>76</v>
      </c>
      <c r="G29" s="26" t="s">
        <v>76</v>
      </c>
    </row>
    <row r="30" spans="1:7">
      <c r="A30" s="9" t="s">
        <v>96</v>
      </c>
      <c r="B30" s="20" t="s">
        <v>76</v>
      </c>
      <c r="C30" s="20" t="s">
        <v>76</v>
      </c>
      <c r="D30" s="20" t="s">
        <v>76</v>
      </c>
      <c r="E30" s="20" t="s">
        <v>76</v>
      </c>
      <c r="F30" s="20" t="s">
        <v>76</v>
      </c>
      <c r="G30" s="26" t="s">
        <v>76</v>
      </c>
    </row>
    <row r="31" spans="1:7">
      <c r="A31" s="9" t="s">
        <v>97</v>
      </c>
      <c r="B31" s="15">
        <v>38.770742127447797</v>
      </c>
      <c r="C31" s="15">
        <v>55.323185327527298</v>
      </c>
      <c r="D31" s="15">
        <v>65.885348955619506</v>
      </c>
      <c r="E31" s="15">
        <v>47.666552284839597</v>
      </c>
      <c r="F31" s="20" t="s">
        <v>76</v>
      </c>
      <c r="G31" s="24">
        <v>53.139563457415299</v>
      </c>
    </row>
    <row r="32" spans="1:7">
      <c r="A32" s="9" t="s">
        <v>98</v>
      </c>
      <c r="B32" s="15">
        <v>29.789944304226299</v>
      </c>
      <c r="C32" s="15">
        <v>54.892182204625698</v>
      </c>
      <c r="D32" s="15">
        <v>61.898294180213703</v>
      </c>
      <c r="E32" s="15">
        <v>52.759362022571302</v>
      </c>
      <c r="F32" s="20" t="s">
        <v>76</v>
      </c>
      <c r="G32" s="24">
        <v>50.131719342275801</v>
      </c>
    </row>
    <row r="33" spans="1:7">
      <c r="A33" s="9" t="s">
        <v>99</v>
      </c>
      <c r="B33" s="20" t="s">
        <v>76</v>
      </c>
      <c r="C33" s="20" t="s">
        <v>76</v>
      </c>
      <c r="D33" s="20" t="s">
        <v>76</v>
      </c>
      <c r="E33" s="20" t="s">
        <v>76</v>
      </c>
      <c r="F33" s="20" t="s">
        <v>76</v>
      </c>
      <c r="G33" s="26" t="s">
        <v>76</v>
      </c>
    </row>
    <row r="34" spans="1:7">
      <c r="A34" s="9" t="s">
        <v>100</v>
      </c>
      <c r="B34" s="20" t="s">
        <v>76</v>
      </c>
      <c r="C34" s="20" t="s">
        <v>76</v>
      </c>
      <c r="D34" s="20" t="s">
        <v>76</v>
      </c>
      <c r="E34" s="20" t="s">
        <v>76</v>
      </c>
      <c r="F34" s="20" t="s">
        <v>76</v>
      </c>
      <c r="G34" s="26" t="s">
        <v>76</v>
      </c>
    </row>
    <row r="35" spans="1:7">
      <c r="A35" s="9" t="s">
        <v>101</v>
      </c>
      <c r="B35" s="20" t="s">
        <v>76</v>
      </c>
      <c r="C35" s="20" t="s">
        <v>76</v>
      </c>
      <c r="D35" s="20" t="s">
        <v>76</v>
      </c>
      <c r="E35" s="20" t="s">
        <v>76</v>
      </c>
      <c r="F35" s="20" t="s">
        <v>76</v>
      </c>
      <c r="G35" s="26" t="s">
        <v>76</v>
      </c>
    </row>
    <row r="36" spans="1:7">
      <c r="A36" s="9" t="s">
        <v>102</v>
      </c>
      <c r="B36" s="20" t="s">
        <v>76</v>
      </c>
      <c r="C36" s="20" t="s">
        <v>76</v>
      </c>
      <c r="D36" s="20" t="s">
        <v>76</v>
      </c>
      <c r="E36" s="20" t="s">
        <v>76</v>
      </c>
      <c r="F36" s="20" t="s">
        <v>76</v>
      </c>
      <c r="G36" s="26" t="s">
        <v>76</v>
      </c>
    </row>
    <row r="37" spans="1:7">
      <c r="A37" s="9" t="s">
        <v>103</v>
      </c>
      <c r="B37" s="20" t="s">
        <v>76</v>
      </c>
      <c r="C37" s="15">
        <v>57.890493833049099</v>
      </c>
      <c r="D37" s="15">
        <v>68.897735135337896</v>
      </c>
      <c r="E37" s="15">
        <v>57.838204472533597</v>
      </c>
      <c r="F37" s="20" t="s">
        <v>76</v>
      </c>
      <c r="G37" s="24">
        <v>51.879267707027999</v>
      </c>
    </row>
    <row r="38" spans="1:7">
      <c r="A38" s="9" t="s">
        <v>104</v>
      </c>
      <c r="B38" s="20" t="s">
        <v>76</v>
      </c>
      <c r="C38" s="15">
        <v>66.733456417437395</v>
      </c>
      <c r="D38" s="15">
        <v>80.357568190551902</v>
      </c>
      <c r="E38" s="15">
        <v>46.918394840738799</v>
      </c>
      <c r="F38" s="20" t="s">
        <v>76</v>
      </c>
      <c r="G38" s="24">
        <v>50.4801661162033</v>
      </c>
    </row>
    <row r="39" spans="1:7">
      <c r="A39" s="9" t="s">
        <v>105</v>
      </c>
      <c r="B39" s="20" t="s">
        <v>76</v>
      </c>
      <c r="C39" s="20" t="s">
        <v>76</v>
      </c>
      <c r="D39" s="20" t="s">
        <v>76</v>
      </c>
      <c r="E39" s="20" t="s">
        <v>76</v>
      </c>
      <c r="F39" s="20" t="s">
        <v>76</v>
      </c>
      <c r="G39" s="26" t="s">
        <v>76</v>
      </c>
    </row>
    <row r="40" spans="1:7">
      <c r="A40" s="9" t="s">
        <v>106</v>
      </c>
      <c r="B40" s="20" t="s">
        <v>76</v>
      </c>
      <c r="C40" s="20" t="s">
        <v>76</v>
      </c>
      <c r="D40" s="20" t="s">
        <v>76</v>
      </c>
      <c r="E40" s="20" t="s">
        <v>76</v>
      </c>
      <c r="F40" s="20" t="s">
        <v>76</v>
      </c>
      <c r="G40" s="26" t="s">
        <v>76</v>
      </c>
    </row>
    <row r="41" spans="1:7">
      <c r="A41" s="9" t="s">
        <v>107</v>
      </c>
      <c r="B41" s="20" t="s">
        <v>76</v>
      </c>
      <c r="C41" s="20" t="s">
        <v>76</v>
      </c>
      <c r="D41" s="20" t="s">
        <v>76</v>
      </c>
      <c r="E41" s="20" t="s">
        <v>76</v>
      </c>
      <c r="F41" s="20" t="s">
        <v>76</v>
      </c>
      <c r="G41" s="26" t="s">
        <v>76</v>
      </c>
    </row>
    <row r="42" spans="1:7">
      <c r="A42" s="9" t="s">
        <v>108</v>
      </c>
      <c r="B42" s="20" t="s">
        <v>76</v>
      </c>
      <c r="C42" s="20" t="s">
        <v>76</v>
      </c>
      <c r="D42" s="15">
        <v>62.721580977861301</v>
      </c>
      <c r="E42" s="20" t="s">
        <v>76</v>
      </c>
      <c r="F42" s="20" t="s">
        <v>76</v>
      </c>
      <c r="G42" s="26" t="s">
        <v>76</v>
      </c>
    </row>
    <row r="43" spans="1:7">
      <c r="A43" s="9" t="s">
        <v>109</v>
      </c>
      <c r="B43" s="20" t="s">
        <v>76</v>
      </c>
      <c r="C43" s="20" t="s">
        <v>76</v>
      </c>
      <c r="D43" s="20" t="s">
        <v>76</v>
      </c>
      <c r="E43" s="20" t="s">
        <v>76</v>
      </c>
      <c r="F43" s="20" t="s">
        <v>76</v>
      </c>
      <c r="G43" s="26" t="s">
        <v>76</v>
      </c>
    </row>
    <row r="44" spans="1:7">
      <c r="A44" s="9" t="s">
        <v>110</v>
      </c>
      <c r="B44" s="20" t="s">
        <v>76</v>
      </c>
      <c r="C44" s="20" t="s">
        <v>76</v>
      </c>
      <c r="D44" s="20" t="s">
        <v>76</v>
      </c>
      <c r="E44" s="20" t="s">
        <v>76</v>
      </c>
      <c r="F44" s="20" t="s">
        <v>76</v>
      </c>
      <c r="G44" s="26" t="s">
        <v>76</v>
      </c>
    </row>
    <row r="45" spans="1:7">
      <c r="A45" s="9" t="s">
        <v>111</v>
      </c>
      <c r="B45" s="15">
        <v>25.901105776512502</v>
      </c>
      <c r="C45" s="15">
        <v>57.470122692232898</v>
      </c>
      <c r="D45" s="15">
        <v>65.487080556441995</v>
      </c>
      <c r="E45" s="15">
        <v>47.657122829860299</v>
      </c>
      <c r="F45" s="15">
        <v>13.573953248727801</v>
      </c>
      <c r="G45" s="24">
        <v>38.6052407666226</v>
      </c>
    </row>
    <row r="46" spans="1:7" ht="21.95" customHeight="1">
      <c r="A46" s="22" t="s">
        <v>112</v>
      </c>
      <c r="B46" s="15"/>
      <c r="C46" s="15"/>
      <c r="D46" s="15"/>
      <c r="E46" s="15"/>
      <c r="F46" s="15"/>
      <c r="G46" s="24"/>
    </row>
    <row r="47" spans="1:7">
      <c r="A47" s="9" t="s">
        <v>113</v>
      </c>
      <c r="B47" s="15">
        <v>32.867311492632197</v>
      </c>
      <c r="C47" s="15">
        <v>56.575354375692797</v>
      </c>
      <c r="D47" s="15">
        <v>65.658456319976594</v>
      </c>
      <c r="E47" s="15">
        <v>53.590259544761899</v>
      </c>
      <c r="F47" s="15">
        <v>20.105741538177799</v>
      </c>
      <c r="G47" s="24">
        <v>47.546527857689497</v>
      </c>
    </row>
    <row r="48" spans="1:7">
      <c r="A48" s="9" t="s">
        <v>114</v>
      </c>
      <c r="B48" s="15">
        <v>41.213440475389</v>
      </c>
      <c r="C48" s="15">
        <v>61.1513489261283</v>
      </c>
      <c r="D48" s="15">
        <v>70.467256574642093</v>
      </c>
      <c r="E48" s="15">
        <v>54.441782417892597</v>
      </c>
      <c r="F48" s="15">
        <v>14.090221067856101</v>
      </c>
      <c r="G48" s="24">
        <v>59.168954738489703</v>
      </c>
    </row>
    <row r="49" spans="1:7">
      <c r="A49" s="9" t="s">
        <v>111</v>
      </c>
      <c r="B49" s="15">
        <v>31.031282565172599</v>
      </c>
      <c r="C49" s="15">
        <v>46.361704118900803</v>
      </c>
      <c r="D49" s="15">
        <v>53.663107479315102</v>
      </c>
      <c r="E49" s="15">
        <v>45.2711811553174</v>
      </c>
      <c r="F49" s="15">
        <v>9.8484567346526006</v>
      </c>
      <c r="G49" s="24">
        <v>44.437334783008403</v>
      </c>
    </row>
    <row r="50" spans="1:7" ht="21.95" customHeight="1">
      <c r="A50" s="22" t="s">
        <v>115</v>
      </c>
      <c r="B50" s="15"/>
      <c r="C50" s="15"/>
      <c r="D50" s="15"/>
      <c r="E50" s="15"/>
      <c r="F50" s="15"/>
      <c r="G50" s="24"/>
    </row>
    <row r="51" spans="1:7">
      <c r="A51" s="9" t="s">
        <v>116</v>
      </c>
      <c r="B51" s="15">
        <v>33.330299481941601</v>
      </c>
      <c r="C51" s="15">
        <v>55.703361733021403</v>
      </c>
      <c r="D51" s="15">
        <v>62.901803484938803</v>
      </c>
      <c r="E51" s="15">
        <v>53.588256253894897</v>
      </c>
      <c r="F51" s="15">
        <v>15.1291083216397</v>
      </c>
      <c r="G51" s="24">
        <v>47.513654624712899</v>
      </c>
    </row>
    <row r="52" spans="1:7">
      <c r="A52" s="9" t="s">
        <v>117</v>
      </c>
      <c r="B52" s="15">
        <v>42.337073148630203</v>
      </c>
      <c r="C52" s="15">
        <v>62.176445318990901</v>
      </c>
      <c r="D52" s="15">
        <v>71.819017159569597</v>
      </c>
      <c r="E52" s="15">
        <v>55.134751532640102</v>
      </c>
      <c r="F52" s="15">
        <v>14.419813270371</v>
      </c>
      <c r="G52" s="24">
        <v>60.414596037509703</v>
      </c>
    </row>
    <row r="53" spans="1:7">
      <c r="A53" s="9" t="s">
        <v>111</v>
      </c>
      <c r="B53" s="15">
        <v>26.3764572695369</v>
      </c>
      <c r="C53" s="15">
        <v>43.058257196023902</v>
      </c>
      <c r="D53" s="15">
        <v>49.830458011593699</v>
      </c>
      <c r="E53" s="15">
        <v>39.344218402328998</v>
      </c>
      <c r="F53" s="15">
        <v>8.7583175183402897</v>
      </c>
      <c r="G53" s="24">
        <v>43.958007314121701</v>
      </c>
    </row>
    <row r="54" spans="1:7" ht="21.95" customHeight="1">
      <c r="A54" s="22" t="s">
        <v>118</v>
      </c>
      <c r="B54" s="15"/>
      <c r="C54" s="15"/>
      <c r="D54" s="15"/>
      <c r="E54" s="15"/>
      <c r="F54" s="15"/>
      <c r="G54" s="24"/>
    </row>
    <row r="55" spans="1:7">
      <c r="A55" s="9" t="s">
        <v>139</v>
      </c>
      <c r="B55" s="15">
        <v>49.296628654988403</v>
      </c>
      <c r="C55" s="15">
        <v>60.396766265534602</v>
      </c>
      <c r="D55" s="15">
        <v>70.741819111125295</v>
      </c>
      <c r="E55" s="15">
        <v>53.390100757334601</v>
      </c>
      <c r="F55" s="15">
        <v>12.882822376918901</v>
      </c>
      <c r="G55" s="24">
        <v>67.057900014292201</v>
      </c>
    </row>
    <row r="56" spans="1:7">
      <c r="A56" s="9" t="s">
        <v>120</v>
      </c>
      <c r="B56" s="15">
        <v>40.5857501702043</v>
      </c>
      <c r="C56" s="15">
        <v>62.5185267023653</v>
      </c>
      <c r="D56" s="15">
        <v>72.870525196049201</v>
      </c>
      <c r="E56" s="15">
        <v>55.461354050672597</v>
      </c>
      <c r="F56" s="15">
        <v>15.333008267334501</v>
      </c>
      <c r="G56" s="24">
        <v>61.472210629286799</v>
      </c>
    </row>
    <row r="57" spans="1:7">
      <c r="A57" s="9" t="s">
        <v>121</v>
      </c>
      <c r="B57" s="15">
        <v>37.537210797035002</v>
      </c>
      <c r="C57" s="15">
        <v>57.204206864407098</v>
      </c>
      <c r="D57" s="15">
        <v>67.041472557496704</v>
      </c>
      <c r="E57" s="15">
        <v>53.031310804314202</v>
      </c>
      <c r="F57" s="15">
        <v>12.497046906182799</v>
      </c>
      <c r="G57" s="24">
        <v>53.996408763122702</v>
      </c>
    </row>
    <row r="58" spans="1:7">
      <c r="A58" s="9" t="s">
        <v>140</v>
      </c>
      <c r="B58" s="15">
        <v>33.2970085370386</v>
      </c>
      <c r="C58" s="15">
        <v>64.146732988876494</v>
      </c>
      <c r="D58" s="15">
        <v>69.695429309651402</v>
      </c>
      <c r="E58" s="15">
        <v>55.526394766386801</v>
      </c>
      <c r="F58" s="15">
        <v>17.800531339073999</v>
      </c>
      <c r="G58" s="24">
        <v>49.900218260024303</v>
      </c>
    </row>
    <row r="59" spans="1:7" ht="21.95" customHeight="1">
      <c r="A59" s="22" t="s">
        <v>123</v>
      </c>
      <c r="B59" s="15"/>
      <c r="C59" s="15"/>
      <c r="D59" s="15"/>
      <c r="E59" s="15"/>
      <c r="F59" s="15"/>
      <c r="G59" s="24"/>
    </row>
    <row r="60" spans="1:7" ht="18">
      <c r="A60" s="9" t="s">
        <v>141</v>
      </c>
      <c r="B60" s="15">
        <v>47.200178616836098</v>
      </c>
      <c r="C60" s="15">
        <v>62.010324816249998</v>
      </c>
      <c r="D60" s="15">
        <v>72.811885191898199</v>
      </c>
      <c r="E60" s="15">
        <v>55.676962759901002</v>
      </c>
      <c r="F60" s="15">
        <v>14.7760814725131</v>
      </c>
      <c r="G60" s="24">
        <v>64.831295937486004</v>
      </c>
    </row>
    <row r="61" spans="1:7">
      <c r="A61" s="11" t="s">
        <v>125</v>
      </c>
      <c r="B61" s="16">
        <v>28.2774959513897</v>
      </c>
      <c r="C61" s="16">
        <v>57.512681024895201</v>
      </c>
      <c r="D61" s="16">
        <v>63.873149704640497</v>
      </c>
      <c r="E61" s="16">
        <v>51.117470101833703</v>
      </c>
      <c r="F61" s="16">
        <v>13.041688284868799</v>
      </c>
      <c r="G61" s="25">
        <v>45.9862781533771</v>
      </c>
    </row>
    <row r="62" spans="1:7" ht="30" customHeight="1">
      <c r="A62" t="s">
        <v>142</v>
      </c>
    </row>
    <row r="63" spans="1:7">
      <c r="A63" t="s">
        <v>143</v>
      </c>
    </row>
    <row r="64" spans="1:7">
      <c r="A64" t="s">
        <v>144</v>
      </c>
    </row>
    <row r="65" spans="1:1">
      <c r="A65" t="s">
        <v>145</v>
      </c>
    </row>
    <row r="66" spans="1:1">
      <c r="A66" t="s">
        <v>146</v>
      </c>
    </row>
    <row r="67" spans="1:1">
      <c r="A67" t="s">
        <v>147</v>
      </c>
    </row>
    <row r="68" spans="1:1">
      <c r="A6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8"/>
  <sheetViews>
    <sheetView zoomScale="70" workbookViewId="0"/>
  </sheetViews>
  <sheetFormatPr defaultColWidth="10.88671875" defaultRowHeight="15"/>
  <cols>
    <col min="1" max="1" width="51.6640625" customWidth="1"/>
    <col min="2" max="5" width="15.88671875" customWidth="1"/>
  </cols>
  <sheetData>
    <row r="1" spans="1:5" ht="39.950000000000003" customHeight="1">
      <c r="A1" s="10" t="s">
        <v>148</v>
      </c>
      <c r="B1" s="12"/>
      <c r="C1" s="12"/>
      <c r="D1" s="12"/>
      <c r="E1" s="12"/>
    </row>
    <row r="2" spans="1:5" ht="30">
      <c r="A2" s="7" t="s">
        <v>52</v>
      </c>
      <c r="B2" s="6" t="s">
        <v>149</v>
      </c>
      <c r="C2" s="6" t="s">
        <v>150</v>
      </c>
      <c r="D2" s="6" t="s">
        <v>151</v>
      </c>
      <c r="E2" s="8" t="s">
        <v>152</v>
      </c>
    </row>
    <row r="3" spans="1:5" ht="21.95" customHeight="1">
      <c r="A3" s="22" t="s">
        <v>68</v>
      </c>
      <c r="B3" s="15">
        <v>35.541075826307697</v>
      </c>
      <c r="C3" s="15">
        <v>11.8395129915867</v>
      </c>
      <c r="D3" s="15">
        <v>13.149297573829401</v>
      </c>
      <c r="E3" s="24">
        <v>39.470113608276201</v>
      </c>
    </row>
    <row r="4" spans="1:5">
      <c r="A4" s="22" t="s">
        <v>69</v>
      </c>
      <c r="B4" s="15">
        <v>33.854688614232302</v>
      </c>
      <c r="C4" s="15">
        <v>11.273237644932401</v>
      </c>
      <c r="D4" s="15">
        <v>12.870961824108701</v>
      </c>
      <c r="E4" s="24">
        <v>42.0011119167266</v>
      </c>
    </row>
    <row r="5" spans="1:5">
      <c r="A5" s="22" t="s">
        <v>70</v>
      </c>
      <c r="B5" s="15">
        <v>34.612344929590101</v>
      </c>
      <c r="C5" s="15">
        <v>11.5242398042388</v>
      </c>
      <c r="D5" s="15">
        <v>13.3536013377995</v>
      </c>
      <c r="E5" s="24">
        <v>40.509813928371599</v>
      </c>
    </row>
    <row r="6" spans="1:5">
      <c r="A6" s="23" t="s">
        <v>71</v>
      </c>
      <c r="B6" s="15"/>
      <c r="C6" s="15"/>
      <c r="D6" s="15"/>
      <c r="E6" s="24"/>
    </row>
    <row r="7" spans="1:5" ht="21.95" customHeight="1">
      <c r="A7" s="22" t="s">
        <v>72</v>
      </c>
      <c r="B7" s="15"/>
      <c r="C7" s="15"/>
      <c r="D7" s="15"/>
      <c r="E7" s="24"/>
    </row>
    <row r="8" spans="1:5">
      <c r="A8" s="9" t="s">
        <v>73</v>
      </c>
      <c r="B8" s="15">
        <v>32.076887309864503</v>
      </c>
      <c r="C8" s="15">
        <v>10.5766884814128</v>
      </c>
      <c r="D8" s="15">
        <v>12.668312512927301</v>
      </c>
      <c r="E8" s="24">
        <v>44.678111695795401</v>
      </c>
    </row>
    <row r="9" spans="1:5">
      <c r="A9" s="9" t="s">
        <v>74</v>
      </c>
      <c r="B9" s="15">
        <v>36.142398706557898</v>
      </c>
      <c r="C9" s="15">
        <v>12.4715364997836</v>
      </c>
      <c r="D9" s="15">
        <v>14.5697210735695</v>
      </c>
      <c r="E9" s="24">
        <v>36.816343720089002</v>
      </c>
    </row>
    <row r="10" spans="1:5">
      <c r="A10" s="9" t="s">
        <v>75</v>
      </c>
      <c r="B10" s="15">
        <v>46.478162229013897</v>
      </c>
      <c r="C10" s="20" t="s">
        <v>76</v>
      </c>
      <c r="D10" s="20" t="s">
        <v>76</v>
      </c>
      <c r="E10" s="26" t="s">
        <v>76</v>
      </c>
    </row>
    <row r="11" spans="1:5">
      <c r="A11" s="9" t="s">
        <v>77</v>
      </c>
      <c r="B11" s="15">
        <v>58.132424523000402</v>
      </c>
      <c r="C11" s="20" t="s">
        <v>76</v>
      </c>
      <c r="D11" s="20" t="s">
        <v>76</v>
      </c>
      <c r="E11" s="24">
        <v>25.060933844866302</v>
      </c>
    </row>
    <row r="12" spans="1:5" ht="21.95" customHeight="1">
      <c r="A12" s="22" t="s">
        <v>78</v>
      </c>
      <c r="B12" s="15"/>
      <c r="C12" s="15"/>
      <c r="D12" s="15"/>
      <c r="E12" s="24"/>
    </row>
    <row r="13" spans="1:5">
      <c r="A13" s="9" t="s">
        <v>79</v>
      </c>
      <c r="B13" s="15">
        <v>32.8424685600598</v>
      </c>
      <c r="C13" s="15">
        <v>14.595236895288499</v>
      </c>
      <c r="D13" s="15">
        <v>15.970845870011701</v>
      </c>
      <c r="E13" s="24">
        <v>36.591448674640098</v>
      </c>
    </row>
    <row r="14" spans="1:5">
      <c r="A14" s="9" t="s">
        <v>80</v>
      </c>
      <c r="B14" s="15">
        <v>32.679360452354999</v>
      </c>
      <c r="C14" s="15">
        <v>14.0696775728074</v>
      </c>
      <c r="D14" s="15">
        <v>15.053320459371999</v>
      </c>
      <c r="E14" s="24">
        <v>38.197641515465598</v>
      </c>
    </row>
    <row r="15" spans="1:5">
      <c r="A15" s="9" t="s">
        <v>81</v>
      </c>
      <c r="B15" s="15">
        <v>35.234031660677701</v>
      </c>
      <c r="C15" s="15">
        <v>9.7829252154941795</v>
      </c>
      <c r="D15" s="15">
        <v>11.3655990123171</v>
      </c>
      <c r="E15" s="24">
        <v>43.617444111511098</v>
      </c>
    </row>
    <row r="16" spans="1:5">
      <c r="A16" s="9" t="s">
        <v>82</v>
      </c>
      <c r="B16" s="15">
        <v>37.4906415364336</v>
      </c>
      <c r="C16" s="15">
        <v>8.4459429976922404</v>
      </c>
      <c r="D16" s="15">
        <v>12.0307556189767</v>
      </c>
      <c r="E16" s="24">
        <v>42.032659846897403</v>
      </c>
    </row>
    <row r="17" spans="1:5" ht="21.95" customHeight="1">
      <c r="A17" s="22" t="s">
        <v>83</v>
      </c>
      <c r="B17" s="15"/>
      <c r="C17" s="15"/>
      <c r="D17" s="15"/>
      <c r="E17" s="24"/>
    </row>
    <row r="18" spans="1:5">
      <c r="A18" s="9" t="s">
        <v>84</v>
      </c>
      <c r="B18" s="15">
        <v>32.757990098206101</v>
      </c>
      <c r="C18" s="15">
        <v>14.323034343245901</v>
      </c>
      <c r="D18" s="15">
        <v>15.495632611190601</v>
      </c>
      <c r="E18" s="24">
        <v>37.423342947357398</v>
      </c>
    </row>
    <row r="19" spans="1:5">
      <c r="A19" s="9" t="s">
        <v>85</v>
      </c>
      <c r="B19" s="15">
        <v>36.109867496029899</v>
      </c>
      <c r="C19" s="15">
        <v>9.2640154339851701</v>
      </c>
      <c r="D19" s="15">
        <v>11.6237597154553</v>
      </c>
      <c r="E19" s="24">
        <v>43.0023573545296</v>
      </c>
    </row>
    <row r="20" spans="1:5" ht="21.95" customHeight="1">
      <c r="A20" s="22" t="s">
        <v>86</v>
      </c>
      <c r="B20" s="15"/>
      <c r="C20" s="15"/>
      <c r="D20" s="15"/>
      <c r="E20" s="24"/>
    </row>
    <row r="21" spans="1:5">
      <c r="A21" s="9" t="s">
        <v>87</v>
      </c>
      <c r="B21" s="15">
        <v>33.626860296892197</v>
      </c>
      <c r="C21" s="15">
        <v>11.4513081209482</v>
      </c>
      <c r="D21" s="15">
        <v>13.602879125968901</v>
      </c>
      <c r="E21" s="24">
        <v>41.318952456190701</v>
      </c>
    </row>
    <row r="22" spans="1:5">
      <c r="A22" s="9" t="s">
        <v>88</v>
      </c>
      <c r="B22" s="15">
        <v>33.226061629914703</v>
      </c>
      <c r="C22" s="15">
        <v>11.4737267753684</v>
      </c>
      <c r="D22" s="15">
        <v>13.6910932881128</v>
      </c>
      <c r="E22" s="24">
        <v>41.609118306604103</v>
      </c>
    </row>
    <row r="23" spans="1:5">
      <c r="A23" s="9" t="s">
        <v>89</v>
      </c>
      <c r="B23" s="20" t="s">
        <v>76</v>
      </c>
      <c r="C23" s="20" t="s">
        <v>76</v>
      </c>
      <c r="D23" s="20" t="s">
        <v>76</v>
      </c>
      <c r="E23" s="26" t="s">
        <v>76</v>
      </c>
    </row>
    <row r="24" spans="1:5">
      <c r="A24" s="9" t="s">
        <v>90</v>
      </c>
      <c r="B24" s="20" t="s">
        <v>76</v>
      </c>
      <c r="C24" s="20" t="s">
        <v>76</v>
      </c>
      <c r="D24" s="20" t="s">
        <v>76</v>
      </c>
      <c r="E24" s="26" t="s">
        <v>76</v>
      </c>
    </row>
    <row r="25" spans="1:5">
      <c r="A25" s="9" t="s">
        <v>91</v>
      </c>
      <c r="B25" s="20" t="s">
        <v>76</v>
      </c>
      <c r="C25" s="20" t="s">
        <v>76</v>
      </c>
      <c r="D25" s="20" t="s">
        <v>76</v>
      </c>
      <c r="E25" s="26" t="s">
        <v>76</v>
      </c>
    </row>
    <row r="26" spans="1:5">
      <c r="A26" s="9" t="s">
        <v>92</v>
      </c>
      <c r="B26" s="15">
        <v>44.852234296951103</v>
      </c>
      <c r="C26" s="15">
        <v>11.2687548990894</v>
      </c>
      <c r="D26" s="15">
        <v>12.551368538160601</v>
      </c>
      <c r="E26" s="24">
        <v>31.3276422657989</v>
      </c>
    </row>
    <row r="27" spans="1:5">
      <c r="A27" s="9" t="s">
        <v>93</v>
      </c>
      <c r="B27" s="15">
        <v>30.277224967656899</v>
      </c>
      <c r="C27" s="20" t="s">
        <v>76</v>
      </c>
      <c r="D27" s="20" t="s">
        <v>76</v>
      </c>
      <c r="E27" s="24">
        <v>44.725455038314301</v>
      </c>
    </row>
    <row r="28" spans="1:5">
      <c r="A28" s="9" t="s">
        <v>94</v>
      </c>
      <c r="B28" s="20" t="s">
        <v>76</v>
      </c>
      <c r="C28" s="20" t="s">
        <v>76</v>
      </c>
      <c r="D28" s="20" t="s">
        <v>76</v>
      </c>
      <c r="E28" s="26" t="s">
        <v>76</v>
      </c>
    </row>
    <row r="29" spans="1:5">
      <c r="A29" s="9" t="s">
        <v>95</v>
      </c>
      <c r="B29" s="20" t="s">
        <v>76</v>
      </c>
      <c r="C29" s="20" t="s">
        <v>76</v>
      </c>
      <c r="D29" s="20" t="s">
        <v>76</v>
      </c>
      <c r="E29" s="26" t="s">
        <v>76</v>
      </c>
    </row>
    <row r="30" spans="1:5">
      <c r="A30" s="9" t="s">
        <v>96</v>
      </c>
      <c r="B30" s="20" t="s">
        <v>76</v>
      </c>
      <c r="C30" s="20" t="s">
        <v>76</v>
      </c>
      <c r="D30" s="20" t="s">
        <v>76</v>
      </c>
      <c r="E30" s="26" t="s">
        <v>76</v>
      </c>
    </row>
    <row r="31" spans="1:5">
      <c r="A31" s="9" t="s">
        <v>97</v>
      </c>
      <c r="B31" s="15">
        <v>36.233232914801299</v>
      </c>
      <c r="C31" s="20" t="s">
        <v>76</v>
      </c>
      <c r="D31" s="20" t="s">
        <v>76</v>
      </c>
      <c r="E31" s="24">
        <v>38.770742127447797</v>
      </c>
    </row>
    <row r="32" spans="1:5">
      <c r="A32" s="9" t="s">
        <v>98</v>
      </c>
      <c r="B32" s="15">
        <v>45.427487343252203</v>
      </c>
      <c r="C32" s="20" t="s">
        <v>76</v>
      </c>
      <c r="D32" s="20" t="s">
        <v>76</v>
      </c>
      <c r="E32" s="24">
        <v>29.789944304226299</v>
      </c>
    </row>
    <row r="33" spans="1:5">
      <c r="A33" s="9" t="s">
        <v>99</v>
      </c>
      <c r="B33" s="20" t="s">
        <v>76</v>
      </c>
      <c r="C33" s="20" t="s">
        <v>76</v>
      </c>
      <c r="D33" s="20" t="s">
        <v>76</v>
      </c>
      <c r="E33" s="26" t="s">
        <v>76</v>
      </c>
    </row>
    <row r="34" spans="1:5">
      <c r="A34" s="9" t="s">
        <v>100</v>
      </c>
      <c r="B34" s="20" t="s">
        <v>76</v>
      </c>
      <c r="C34" s="20" t="s">
        <v>76</v>
      </c>
      <c r="D34" s="20" t="s">
        <v>76</v>
      </c>
      <c r="E34" s="26" t="s">
        <v>76</v>
      </c>
    </row>
    <row r="35" spans="1:5">
      <c r="A35" s="9" t="s">
        <v>101</v>
      </c>
      <c r="B35" s="20" t="s">
        <v>76</v>
      </c>
      <c r="C35" s="20" t="s">
        <v>76</v>
      </c>
      <c r="D35" s="20" t="s">
        <v>76</v>
      </c>
      <c r="E35" s="26" t="s">
        <v>76</v>
      </c>
    </row>
    <row r="36" spans="1:5">
      <c r="A36" s="9" t="s">
        <v>102</v>
      </c>
      <c r="B36" s="20" t="s">
        <v>76</v>
      </c>
      <c r="C36" s="20" t="s">
        <v>76</v>
      </c>
      <c r="D36" s="20" t="s">
        <v>76</v>
      </c>
      <c r="E36" s="26" t="s">
        <v>76</v>
      </c>
    </row>
    <row r="37" spans="1:5">
      <c r="A37" s="9" t="s">
        <v>103</v>
      </c>
      <c r="B37" s="15">
        <v>42.350795375059299</v>
      </c>
      <c r="C37" s="20" t="s">
        <v>76</v>
      </c>
      <c r="D37" s="20" t="s">
        <v>76</v>
      </c>
      <c r="E37" s="26" t="s">
        <v>76</v>
      </c>
    </row>
    <row r="38" spans="1:5">
      <c r="A38" s="9" t="s">
        <v>104</v>
      </c>
      <c r="B38" s="20" t="s">
        <v>76</v>
      </c>
      <c r="C38" s="20" t="s">
        <v>76</v>
      </c>
      <c r="D38" s="20" t="s">
        <v>76</v>
      </c>
      <c r="E38" s="26" t="s">
        <v>76</v>
      </c>
    </row>
    <row r="39" spans="1:5">
      <c r="A39" s="9" t="s">
        <v>105</v>
      </c>
      <c r="B39" s="20" t="s">
        <v>76</v>
      </c>
      <c r="C39" s="20" t="s">
        <v>76</v>
      </c>
      <c r="D39" s="20" t="s">
        <v>76</v>
      </c>
      <c r="E39" s="26" t="s">
        <v>76</v>
      </c>
    </row>
    <row r="40" spans="1:5">
      <c r="A40" s="9" t="s">
        <v>106</v>
      </c>
      <c r="B40" s="20" t="s">
        <v>76</v>
      </c>
      <c r="C40" s="20" t="s">
        <v>76</v>
      </c>
      <c r="D40" s="20" t="s">
        <v>76</v>
      </c>
      <c r="E40" s="26" t="s">
        <v>76</v>
      </c>
    </row>
    <row r="41" spans="1:5">
      <c r="A41" s="9" t="s">
        <v>107</v>
      </c>
      <c r="B41" s="20" t="s">
        <v>76</v>
      </c>
      <c r="C41" s="20" t="s">
        <v>76</v>
      </c>
      <c r="D41" s="20" t="s">
        <v>76</v>
      </c>
      <c r="E41" s="26" t="s">
        <v>76</v>
      </c>
    </row>
    <row r="42" spans="1:5">
      <c r="A42" s="9" t="s">
        <v>108</v>
      </c>
      <c r="B42" s="20" t="s">
        <v>76</v>
      </c>
      <c r="C42" s="20" t="s">
        <v>76</v>
      </c>
      <c r="D42" s="20" t="s">
        <v>76</v>
      </c>
      <c r="E42" s="26" t="s">
        <v>76</v>
      </c>
    </row>
    <row r="43" spans="1:5">
      <c r="A43" s="9" t="s">
        <v>109</v>
      </c>
      <c r="B43" s="20" t="s">
        <v>76</v>
      </c>
      <c r="C43" s="20" t="s">
        <v>76</v>
      </c>
      <c r="D43" s="20" t="s">
        <v>76</v>
      </c>
      <c r="E43" s="26" t="s">
        <v>76</v>
      </c>
    </row>
    <row r="44" spans="1:5">
      <c r="A44" s="9" t="s">
        <v>110</v>
      </c>
      <c r="B44" s="20" t="s">
        <v>76</v>
      </c>
      <c r="C44" s="20" t="s">
        <v>76</v>
      </c>
      <c r="D44" s="20" t="s">
        <v>76</v>
      </c>
      <c r="E44" s="26" t="s">
        <v>76</v>
      </c>
    </row>
    <row r="45" spans="1:5">
      <c r="A45" s="9" t="s">
        <v>111</v>
      </c>
      <c r="B45" s="15">
        <v>51.5422860078355</v>
      </c>
      <c r="C45" s="15">
        <v>12.3015435617775</v>
      </c>
      <c r="D45" s="15">
        <v>10.2550646538745</v>
      </c>
      <c r="E45" s="24">
        <v>25.901105776512502</v>
      </c>
    </row>
    <row r="46" spans="1:5" ht="21.95" customHeight="1">
      <c r="A46" s="22" t="s">
        <v>112</v>
      </c>
      <c r="B46" s="15"/>
      <c r="C46" s="15"/>
      <c r="D46" s="15"/>
      <c r="E46" s="24"/>
    </row>
    <row r="47" spans="1:5">
      <c r="A47" s="9" t="s">
        <v>113</v>
      </c>
      <c r="B47" s="15">
        <v>46.4666792381582</v>
      </c>
      <c r="C47" s="20" t="s">
        <v>76</v>
      </c>
      <c r="D47" s="15">
        <v>12.484973280680901</v>
      </c>
      <c r="E47" s="24">
        <v>32.867311492632197</v>
      </c>
    </row>
    <row r="48" spans="1:5">
      <c r="A48" s="9" t="s">
        <v>114</v>
      </c>
      <c r="B48" s="15">
        <v>33.608043144710599</v>
      </c>
      <c r="C48" s="15">
        <v>11.626096430853</v>
      </c>
      <c r="D48" s="15">
        <v>13.552419949047399</v>
      </c>
      <c r="E48" s="24">
        <v>41.213440475389</v>
      </c>
    </row>
    <row r="49" spans="1:5">
      <c r="A49" s="9" t="s">
        <v>111</v>
      </c>
      <c r="B49" s="15">
        <v>47.169707016638903</v>
      </c>
      <c r="C49" s="15">
        <v>12.449389375601999</v>
      </c>
      <c r="D49" s="15">
        <v>9.3496210425864206</v>
      </c>
      <c r="E49" s="24">
        <v>31.031282565172599</v>
      </c>
    </row>
    <row r="50" spans="1:5" ht="21.95" customHeight="1">
      <c r="A50" s="22" t="s">
        <v>115</v>
      </c>
      <c r="B50" s="15"/>
      <c r="C50" s="15"/>
      <c r="D50" s="15"/>
      <c r="E50" s="24"/>
    </row>
    <row r="51" spans="1:5">
      <c r="A51" s="9" t="s">
        <v>116</v>
      </c>
      <c r="B51" s="15">
        <v>42.496402447349297</v>
      </c>
      <c r="C51" s="15">
        <v>12.7572276362623</v>
      </c>
      <c r="D51" s="15">
        <v>11.4160704344468</v>
      </c>
      <c r="E51" s="24">
        <v>33.330299481941601</v>
      </c>
    </row>
    <row r="52" spans="1:5">
      <c r="A52" s="9" t="s">
        <v>117</v>
      </c>
      <c r="B52" s="15">
        <v>32.593299536420602</v>
      </c>
      <c r="C52" s="15">
        <v>11.418240393102799</v>
      </c>
      <c r="D52" s="15">
        <v>13.6513869218465</v>
      </c>
      <c r="E52" s="24">
        <v>42.337073148630203</v>
      </c>
    </row>
    <row r="53" spans="1:5">
      <c r="A53" s="9" t="s">
        <v>111</v>
      </c>
      <c r="B53" s="15">
        <v>50.313871634648599</v>
      </c>
      <c r="C53" s="15">
        <v>10.9320081136574</v>
      </c>
      <c r="D53" s="15">
        <v>12.3776629821571</v>
      </c>
      <c r="E53" s="24">
        <v>26.3764572695369</v>
      </c>
    </row>
    <row r="54" spans="1:5" ht="21.95" customHeight="1">
      <c r="A54" s="22" t="s">
        <v>118</v>
      </c>
      <c r="B54" s="15"/>
      <c r="C54" s="15"/>
      <c r="D54" s="15"/>
      <c r="E54" s="24"/>
    </row>
    <row r="55" spans="1:5">
      <c r="A55" s="9" t="s">
        <v>139</v>
      </c>
      <c r="B55" s="15">
        <v>27.985778547374501</v>
      </c>
      <c r="C55" s="15">
        <v>9.3672561712582301</v>
      </c>
      <c r="D55" s="15">
        <v>13.3503366263788</v>
      </c>
      <c r="E55" s="24">
        <v>49.296628654988403</v>
      </c>
    </row>
    <row r="56" spans="1:5">
      <c r="A56" s="9" t="s">
        <v>120</v>
      </c>
      <c r="B56" s="15">
        <v>30.570512648713901</v>
      </c>
      <c r="C56" s="15">
        <v>13.0191576004342</v>
      </c>
      <c r="D56" s="15">
        <v>15.824579580647599</v>
      </c>
      <c r="E56" s="24">
        <v>40.5857501702043</v>
      </c>
    </row>
    <row r="57" spans="1:5">
      <c r="A57" s="9" t="s">
        <v>121</v>
      </c>
      <c r="B57" s="15">
        <v>38.124882742407799</v>
      </c>
      <c r="C57" s="15">
        <v>11.9495784481751</v>
      </c>
      <c r="D57" s="15">
        <v>12.3883280123822</v>
      </c>
      <c r="E57" s="24">
        <v>37.537210797035002</v>
      </c>
    </row>
    <row r="58" spans="1:5">
      <c r="A58" s="9" t="s">
        <v>140</v>
      </c>
      <c r="B58" s="15">
        <v>41.545215611761499</v>
      </c>
      <c r="C58" s="15">
        <v>12.4138673080231</v>
      </c>
      <c r="D58" s="15">
        <v>12.743908543176801</v>
      </c>
      <c r="E58" s="24">
        <v>33.2970085370386</v>
      </c>
    </row>
    <row r="59" spans="1:5" ht="21.95" customHeight="1">
      <c r="A59" s="22" t="s">
        <v>123</v>
      </c>
      <c r="B59" s="15"/>
      <c r="C59" s="15"/>
      <c r="D59" s="15"/>
      <c r="E59" s="24"/>
    </row>
    <row r="60" spans="1:5" ht="18">
      <c r="A60" s="9" t="s">
        <v>141</v>
      </c>
      <c r="B60" s="15">
        <v>28.372246411342999</v>
      </c>
      <c r="C60" s="15">
        <v>10.6579656314746</v>
      </c>
      <c r="D60" s="15">
        <v>13.7696093403463</v>
      </c>
      <c r="E60" s="24">
        <v>47.200178616836098</v>
      </c>
    </row>
    <row r="61" spans="1:5">
      <c r="A61" s="11" t="s">
        <v>125</v>
      </c>
      <c r="B61" s="16">
        <v>46.021419447531102</v>
      </c>
      <c r="C61" s="16">
        <v>13.108090854207701</v>
      </c>
      <c r="D61" s="16">
        <v>12.592993746871599</v>
      </c>
      <c r="E61" s="25">
        <v>28.2774959513897</v>
      </c>
    </row>
    <row r="62" spans="1:5" ht="30" customHeight="1">
      <c r="A62" t="s">
        <v>142</v>
      </c>
    </row>
    <row r="63" spans="1:5">
      <c r="A63" t="s">
        <v>143</v>
      </c>
    </row>
    <row r="64" spans="1:5">
      <c r="A64" t="s">
        <v>144</v>
      </c>
    </row>
    <row r="65" spans="1:1">
      <c r="A65" t="s">
        <v>145</v>
      </c>
    </row>
    <row r="66" spans="1:1">
      <c r="A66" t="s">
        <v>146</v>
      </c>
    </row>
    <row r="67" spans="1:1">
      <c r="A67" t="s">
        <v>147</v>
      </c>
    </row>
    <row r="68" spans="1:1">
      <c r="A6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9"/>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153</v>
      </c>
      <c r="B1" s="12"/>
      <c r="C1" s="12"/>
      <c r="D1" s="12"/>
      <c r="E1" s="12"/>
      <c r="F1" s="12"/>
      <c r="G1" s="12"/>
      <c r="H1" s="12"/>
      <c r="I1" s="12"/>
      <c r="J1" s="12"/>
      <c r="K1" s="12"/>
      <c r="L1" s="12"/>
      <c r="M1" s="12"/>
      <c r="N1" s="12"/>
      <c r="O1" s="12"/>
      <c r="P1" s="12"/>
    </row>
    <row r="2" spans="1:16" ht="60">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39.470113608276201</v>
      </c>
      <c r="C3" s="15">
        <v>37.400873122462102</v>
      </c>
      <c r="D3" s="24">
        <v>41.180133250510103</v>
      </c>
      <c r="E3" s="15">
        <v>43.214721747690398</v>
      </c>
      <c r="F3" s="15">
        <v>40.345937427291503</v>
      </c>
      <c r="G3" s="24">
        <v>45.621163244746299</v>
      </c>
      <c r="H3" s="15">
        <v>36.420748716953703</v>
      </c>
      <c r="I3" s="15">
        <v>34.661612354777702</v>
      </c>
      <c r="J3" s="24">
        <v>37.899402655959399</v>
      </c>
      <c r="K3" s="15">
        <v>28.0897272983383</v>
      </c>
      <c r="L3" s="15">
        <v>36.996062026125202</v>
      </c>
      <c r="M3" s="24">
        <v>25.8440127890815</v>
      </c>
      <c r="N3" s="15">
        <v>26.1883832059887</v>
      </c>
      <c r="O3" s="15">
        <v>28.817341160690699</v>
      </c>
      <c r="P3" s="24">
        <v>24.287043931016299</v>
      </c>
    </row>
    <row r="4" spans="1:16" ht="21.95" customHeight="1">
      <c r="A4" s="22" t="s">
        <v>69</v>
      </c>
      <c r="B4" s="15">
        <v>42.0011119167266</v>
      </c>
      <c r="C4" s="15">
        <v>40.789881526632399</v>
      </c>
      <c r="D4" s="24">
        <v>42.9945566866379</v>
      </c>
      <c r="E4" s="15">
        <v>45.8450289581654</v>
      </c>
      <c r="F4" s="15">
        <v>44.672722119277601</v>
      </c>
      <c r="G4" s="24">
        <v>46.824903488139597</v>
      </c>
      <c r="H4" s="15">
        <v>38.862269678174002</v>
      </c>
      <c r="I4" s="15">
        <v>37.143161554306602</v>
      </c>
      <c r="J4" s="24">
        <v>40.275432173562002</v>
      </c>
      <c r="K4" s="15">
        <v>28.6163807538749</v>
      </c>
      <c r="L4" s="20" t="s">
        <v>76</v>
      </c>
      <c r="M4" s="24">
        <v>24.440130963566901</v>
      </c>
      <c r="N4" s="15">
        <v>28.022935934646</v>
      </c>
      <c r="O4" s="15">
        <v>28.953270168162899</v>
      </c>
      <c r="P4" s="24">
        <v>27.294251229824098</v>
      </c>
    </row>
    <row r="5" spans="1:16" ht="21.95" customHeight="1">
      <c r="A5" s="22" t="s">
        <v>70</v>
      </c>
      <c r="B5" s="15">
        <v>40.509813928371599</v>
      </c>
      <c r="C5" s="15">
        <v>37.423342947357398</v>
      </c>
      <c r="D5" s="24">
        <v>43.0023573545296</v>
      </c>
      <c r="E5" s="15">
        <v>44.678111695795401</v>
      </c>
      <c r="F5" s="15">
        <v>40.981398982404002</v>
      </c>
      <c r="G5" s="24">
        <v>47.684938088988503</v>
      </c>
      <c r="H5" s="15">
        <v>36.816343720089002</v>
      </c>
      <c r="I5" s="15">
        <v>33.878447554291299</v>
      </c>
      <c r="J5" s="24">
        <v>39.240763933604001</v>
      </c>
      <c r="K5" s="20" t="s">
        <v>76</v>
      </c>
      <c r="L5" s="20" t="s">
        <v>76</v>
      </c>
      <c r="M5" s="26" t="s">
        <v>76</v>
      </c>
      <c r="N5" s="15">
        <v>25.060933844866302</v>
      </c>
      <c r="O5" s="20" t="s">
        <v>76</v>
      </c>
      <c r="P5" s="26" t="s">
        <v>76</v>
      </c>
    </row>
    <row r="6" spans="1:16" ht="21.95" customHeight="1">
      <c r="A6" s="22" t="s">
        <v>165</v>
      </c>
      <c r="B6" s="15">
        <v>37.423342947357398</v>
      </c>
      <c r="C6" s="15">
        <v>37.423342947357398</v>
      </c>
      <c r="D6" s="26" t="s">
        <v>76</v>
      </c>
      <c r="E6" s="15">
        <v>40.981398982404002</v>
      </c>
      <c r="F6" s="15">
        <v>40.981398982404002</v>
      </c>
      <c r="G6" s="26" t="s">
        <v>76</v>
      </c>
      <c r="H6" s="15">
        <v>33.878447554291299</v>
      </c>
      <c r="I6" s="15">
        <v>33.878447554291299</v>
      </c>
      <c r="J6" s="26" t="s">
        <v>76</v>
      </c>
      <c r="K6" s="20" t="s">
        <v>76</v>
      </c>
      <c r="L6" s="20" t="s">
        <v>76</v>
      </c>
      <c r="M6" s="26" t="s">
        <v>76</v>
      </c>
      <c r="N6" s="20" t="s">
        <v>76</v>
      </c>
      <c r="O6" s="20" t="s">
        <v>76</v>
      </c>
      <c r="P6" s="26" t="s">
        <v>76</v>
      </c>
    </row>
    <row r="7" spans="1:16">
      <c r="A7" s="9" t="s">
        <v>166</v>
      </c>
      <c r="B7" s="20" t="s">
        <v>76</v>
      </c>
      <c r="C7" s="20" t="s">
        <v>76</v>
      </c>
      <c r="D7" s="26" t="s">
        <v>76</v>
      </c>
      <c r="E7" s="20" t="s">
        <v>76</v>
      </c>
      <c r="F7" s="20" t="s">
        <v>76</v>
      </c>
      <c r="G7" s="26" t="s">
        <v>76</v>
      </c>
      <c r="H7" s="20" t="s">
        <v>76</v>
      </c>
      <c r="I7" s="20" t="s">
        <v>76</v>
      </c>
      <c r="J7" s="26" t="s">
        <v>76</v>
      </c>
      <c r="K7" s="20" t="s">
        <v>76</v>
      </c>
      <c r="L7" s="20" t="s">
        <v>76</v>
      </c>
      <c r="M7" s="26" t="s">
        <v>76</v>
      </c>
      <c r="N7" s="20" t="s">
        <v>76</v>
      </c>
      <c r="O7" s="20" t="s">
        <v>76</v>
      </c>
      <c r="P7" s="26" t="s">
        <v>76</v>
      </c>
    </row>
    <row r="8" spans="1:16">
      <c r="A8" s="9" t="s">
        <v>167</v>
      </c>
      <c r="B8" s="20" t="s">
        <v>76</v>
      </c>
      <c r="C8" s="20" t="s">
        <v>76</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c r="A9" s="9" t="s">
        <v>168</v>
      </c>
      <c r="B9" s="15">
        <v>34.7826086956522</v>
      </c>
      <c r="C9" s="15">
        <v>34.7826086956522</v>
      </c>
      <c r="D9" s="26" t="s">
        <v>76</v>
      </c>
      <c r="E9" s="15">
        <v>35.714285714285701</v>
      </c>
      <c r="F9" s="15">
        <v>35.714285714285701</v>
      </c>
      <c r="G9" s="26" t="s">
        <v>76</v>
      </c>
      <c r="H9" s="20" t="s">
        <v>76</v>
      </c>
      <c r="I9" s="20" t="s">
        <v>76</v>
      </c>
      <c r="J9" s="26" t="s">
        <v>76</v>
      </c>
      <c r="K9" s="20" t="s">
        <v>76</v>
      </c>
      <c r="L9" s="20" t="s">
        <v>76</v>
      </c>
      <c r="M9" s="26" t="s">
        <v>76</v>
      </c>
      <c r="N9" s="20" t="s">
        <v>76</v>
      </c>
      <c r="O9" s="20" t="s">
        <v>76</v>
      </c>
      <c r="P9" s="26" t="s">
        <v>76</v>
      </c>
    </row>
    <row r="10" spans="1:16">
      <c r="A10" s="9" t="s">
        <v>169</v>
      </c>
      <c r="B10" s="15">
        <v>60</v>
      </c>
      <c r="C10" s="15">
        <v>60</v>
      </c>
      <c r="D10" s="26" t="s">
        <v>76</v>
      </c>
      <c r="E10" s="20" t="s">
        <v>76</v>
      </c>
      <c r="F10" s="20" t="s">
        <v>76</v>
      </c>
      <c r="G10" s="26" t="s">
        <v>76</v>
      </c>
      <c r="H10" s="20" t="s">
        <v>76</v>
      </c>
      <c r="I10" s="20" t="s">
        <v>76</v>
      </c>
      <c r="J10" s="26" t="s">
        <v>76</v>
      </c>
      <c r="K10" s="20" t="s">
        <v>76</v>
      </c>
      <c r="L10" s="20" t="s">
        <v>76</v>
      </c>
      <c r="M10" s="26" t="s">
        <v>76</v>
      </c>
      <c r="N10" s="20" t="s">
        <v>76</v>
      </c>
      <c r="O10" s="20" t="s">
        <v>76</v>
      </c>
      <c r="P10" s="26" t="s">
        <v>76</v>
      </c>
    </row>
    <row r="11" spans="1:16">
      <c r="A11" s="9" t="s">
        <v>170</v>
      </c>
      <c r="B11" s="15">
        <v>31.25</v>
      </c>
      <c r="C11" s="15">
        <v>31.25</v>
      </c>
      <c r="D11" s="26" t="s">
        <v>76</v>
      </c>
      <c r="E11" s="15">
        <v>37.037037037037003</v>
      </c>
      <c r="F11" s="15">
        <v>37.037037037037003</v>
      </c>
      <c r="G11" s="26" t="s">
        <v>76</v>
      </c>
      <c r="H11" s="15">
        <v>23.8095238095238</v>
      </c>
      <c r="I11" s="15">
        <v>23.8095238095238</v>
      </c>
      <c r="J11" s="26" t="s">
        <v>76</v>
      </c>
      <c r="K11" s="20" t="s">
        <v>76</v>
      </c>
      <c r="L11" s="20" t="s">
        <v>76</v>
      </c>
      <c r="M11" s="26" t="s">
        <v>76</v>
      </c>
      <c r="N11" s="20" t="s">
        <v>76</v>
      </c>
      <c r="O11" s="20" t="s">
        <v>76</v>
      </c>
      <c r="P11" s="26" t="s">
        <v>76</v>
      </c>
    </row>
    <row r="12" spans="1:16">
      <c r="A12" s="9" t="s">
        <v>171</v>
      </c>
      <c r="B12" s="15">
        <v>35.897435897435898</v>
      </c>
      <c r="C12" s="15">
        <v>35.897435897435898</v>
      </c>
      <c r="D12" s="26" t="s">
        <v>76</v>
      </c>
      <c r="E12" s="15">
        <v>50</v>
      </c>
      <c r="F12" s="15">
        <v>50</v>
      </c>
      <c r="G12" s="26" t="s">
        <v>76</v>
      </c>
      <c r="H12" s="15">
        <v>23.8095238095238</v>
      </c>
      <c r="I12" s="15">
        <v>23.8095238095238</v>
      </c>
      <c r="J12" s="26" t="s">
        <v>76</v>
      </c>
      <c r="K12" s="20" t="s">
        <v>76</v>
      </c>
      <c r="L12" s="20" t="s">
        <v>76</v>
      </c>
      <c r="M12" s="26" t="s">
        <v>76</v>
      </c>
      <c r="N12" s="20" t="s">
        <v>76</v>
      </c>
      <c r="O12" s="20" t="s">
        <v>76</v>
      </c>
      <c r="P12" s="26" t="s">
        <v>76</v>
      </c>
    </row>
    <row r="13" spans="1:16">
      <c r="A13" s="9" t="s">
        <v>172</v>
      </c>
      <c r="B13" s="15">
        <v>27.868852459016399</v>
      </c>
      <c r="C13" s="15">
        <v>27.868852459016399</v>
      </c>
      <c r="D13" s="26" t="s">
        <v>76</v>
      </c>
      <c r="E13" s="15">
        <v>37.931034482758598</v>
      </c>
      <c r="F13" s="15">
        <v>37.931034482758598</v>
      </c>
      <c r="G13" s="26" t="s">
        <v>76</v>
      </c>
      <c r="H13" s="15">
        <v>18.75</v>
      </c>
      <c r="I13" s="15">
        <v>18.75</v>
      </c>
      <c r="J13" s="26" t="s">
        <v>76</v>
      </c>
      <c r="K13" s="20" t="s">
        <v>76</v>
      </c>
      <c r="L13" s="20" t="s">
        <v>76</v>
      </c>
      <c r="M13" s="26" t="s">
        <v>76</v>
      </c>
      <c r="N13" s="20" t="s">
        <v>76</v>
      </c>
      <c r="O13" s="20" t="s">
        <v>76</v>
      </c>
      <c r="P13" s="26" t="s">
        <v>76</v>
      </c>
    </row>
    <row r="14" spans="1:16">
      <c r="A14" s="9" t="s">
        <v>173</v>
      </c>
      <c r="B14" s="15">
        <v>38.157894736842103</v>
      </c>
      <c r="C14" s="15">
        <v>38.157894736842103</v>
      </c>
      <c r="D14" s="26" t="s">
        <v>76</v>
      </c>
      <c r="E14" s="15">
        <v>32.4324324324324</v>
      </c>
      <c r="F14" s="15">
        <v>32.4324324324324</v>
      </c>
      <c r="G14" s="26" t="s">
        <v>76</v>
      </c>
      <c r="H14" s="15">
        <v>44.7368421052632</v>
      </c>
      <c r="I14" s="15">
        <v>44.7368421052632</v>
      </c>
      <c r="J14" s="26" t="s">
        <v>76</v>
      </c>
      <c r="K14" s="20" t="s">
        <v>76</v>
      </c>
      <c r="L14" s="20" t="s">
        <v>76</v>
      </c>
      <c r="M14" s="26" t="s">
        <v>76</v>
      </c>
      <c r="N14" s="20" t="s">
        <v>76</v>
      </c>
      <c r="O14" s="20" t="s">
        <v>76</v>
      </c>
      <c r="P14" s="26" t="s">
        <v>76</v>
      </c>
    </row>
    <row r="15" spans="1:16">
      <c r="A15" s="9" t="s">
        <v>174</v>
      </c>
      <c r="B15" s="15">
        <v>60</v>
      </c>
      <c r="C15" s="15">
        <v>60</v>
      </c>
      <c r="D15" s="26" t="s">
        <v>76</v>
      </c>
      <c r="E15" s="15">
        <v>65.853658536585399</v>
      </c>
      <c r="F15" s="15">
        <v>65.853658536585399</v>
      </c>
      <c r="G15" s="26" t="s">
        <v>76</v>
      </c>
      <c r="H15" s="15">
        <v>54.545454545454497</v>
      </c>
      <c r="I15" s="15">
        <v>54.545454545454497</v>
      </c>
      <c r="J15" s="26" t="s">
        <v>76</v>
      </c>
      <c r="K15" s="20" t="s">
        <v>76</v>
      </c>
      <c r="L15" s="20" t="s">
        <v>76</v>
      </c>
      <c r="M15" s="26" t="s">
        <v>76</v>
      </c>
      <c r="N15" s="20" t="s">
        <v>76</v>
      </c>
      <c r="O15" s="20" t="s">
        <v>76</v>
      </c>
      <c r="P15" s="26" t="s">
        <v>76</v>
      </c>
    </row>
    <row r="16" spans="1:16">
      <c r="A16" s="9" t="s">
        <v>175</v>
      </c>
      <c r="B16" s="15">
        <v>41.860465116279101</v>
      </c>
      <c r="C16" s="15">
        <v>41.860465116279101</v>
      </c>
      <c r="D16" s="26" t="s">
        <v>76</v>
      </c>
      <c r="E16" s="15">
        <v>38.095238095238102</v>
      </c>
      <c r="F16" s="15">
        <v>38.095238095238102</v>
      </c>
      <c r="G16" s="26" t="s">
        <v>76</v>
      </c>
      <c r="H16" s="15">
        <v>45.454545454545503</v>
      </c>
      <c r="I16" s="15">
        <v>45.454545454545503</v>
      </c>
      <c r="J16" s="26" t="s">
        <v>76</v>
      </c>
      <c r="K16" s="20" t="s">
        <v>76</v>
      </c>
      <c r="L16" s="20" t="s">
        <v>76</v>
      </c>
      <c r="M16" s="26" t="s">
        <v>76</v>
      </c>
      <c r="N16" s="20" t="s">
        <v>76</v>
      </c>
      <c r="O16" s="20" t="s">
        <v>76</v>
      </c>
      <c r="P16" s="26" t="s">
        <v>76</v>
      </c>
    </row>
    <row r="17" spans="1:16">
      <c r="A17" s="9" t="s">
        <v>176</v>
      </c>
      <c r="B17" s="15">
        <v>35.2112676056338</v>
      </c>
      <c r="C17" s="15">
        <v>35.2112676056338</v>
      </c>
      <c r="D17" s="26" t="s">
        <v>76</v>
      </c>
      <c r="E17" s="15">
        <v>38.461538461538503</v>
      </c>
      <c r="F17" s="15">
        <v>38.461538461538503</v>
      </c>
      <c r="G17" s="26" t="s">
        <v>76</v>
      </c>
      <c r="H17" s="15">
        <v>31.25</v>
      </c>
      <c r="I17" s="15">
        <v>31.25</v>
      </c>
      <c r="J17" s="26" t="s">
        <v>76</v>
      </c>
      <c r="K17" s="20" t="s">
        <v>76</v>
      </c>
      <c r="L17" s="20" t="s">
        <v>76</v>
      </c>
      <c r="M17" s="26" t="s">
        <v>76</v>
      </c>
      <c r="N17" s="20" t="s">
        <v>76</v>
      </c>
      <c r="O17" s="20" t="s">
        <v>76</v>
      </c>
      <c r="P17" s="26" t="s">
        <v>76</v>
      </c>
    </row>
    <row r="18" spans="1:16">
      <c r="A18" s="9" t="s">
        <v>177</v>
      </c>
      <c r="B18" s="15">
        <v>28.169014084507001</v>
      </c>
      <c r="C18" s="15">
        <v>28.169014084507001</v>
      </c>
      <c r="D18" s="26" t="s">
        <v>76</v>
      </c>
      <c r="E18" s="15">
        <v>34.482758620689701</v>
      </c>
      <c r="F18" s="15">
        <v>34.482758620689701</v>
      </c>
      <c r="G18" s="26" t="s">
        <v>76</v>
      </c>
      <c r="H18" s="15">
        <v>25</v>
      </c>
      <c r="I18" s="15">
        <v>25</v>
      </c>
      <c r="J18" s="26" t="s">
        <v>76</v>
      </c>
      <c r="K18" s="20" t="s">
        <v>76</v>
      </c>
      <c r="L18" s="20" t="s">
        <v>76</v>
      </c>
      <c r="M18" s="26" t="s">
        <v>76</v>
      </c>
      <c r="N18" s="20" t="s">
        <v>76</v>
      </c>
      <c r="O18" s="20" t="s">
        <v>76</v>
      </c>
      <c r="P18" s="26" t="s">
        <v>76</v>
      </c>
    </row>
    <row r="19" spans="1:16">
      <c r="A19" s="9" t="s">
        <v>178</v>
      </c>
      <c r="B19" s="20" t="s">
        <v>76</v>
      </c>
      <c r="C19" s="20" t="s">
        <v>76</v>
      </c>
      <c r="D19" s="26" t="s">
        <v>76</v>
      </c>
      <c r="E19" s="20" t="s">
        <v>76</v>
      </c>
      <c r="F19" s="20" t="s">
        <v>76</v>
      </c>
      <c r="G19" s="26" t="s">
        <v>76</v>
      </c>
      <c r="H19" s="20" t="s">
        <v>76</v>
      </c>
      <c r="I19" s="20" t="s">
        <v>76</v>
      </c>
      <c r="J19" s="26" t="s">
        <v>76</v>
      </c>
      <c r="K19" s="20" t="s">
        <v>76</v>
      </c>
      <c r="L19" s="20" t="s">
        <v>76</v>
      </c>
      <c r="M19" s="26" t="s">
        <v>76</v>
      </c>
      <c r="N19" s="20" t="s">
        <v>76</v>
      </c>
      <c r="O19" s="20" t="s">
        <v>76</v>
      </c>
      <c r="P19" s="26" t="s">
        <v>76</v>
      </c>
    </row>
    <row r="20" spans="1:16">
      <c r="A20" s="9" t="s">
        <v>179</v>
      </c>
      <c r="B20" s="15">
        <v>21.951219512195099</v>
      </c>
      <c r="C20" s="15">
        <v>21.951219512195099</v>
      </c>
      <c r="D20" s="26" t="s">
        <v>76</v>
      </c>
      <c r="E20" s="15">
        <v>31.818181818181799</v>
      </c>
      <c r="F20" s="15">
        <v>31.818181818181799</v>
      </c>
      <c r="G20" s="26" t="s">
        <v>76</v>
      </c>
      <c r="H20" s="20" t="s">
        <v>76</v>
      </c>
      <c r="I20" s="20" t="s">
        <v>76</v>
      </c>
      <c r="J20" s="26" t="s">
        <v>76</v>
      </c>
      <c r="K20" s="20" t="s">
        <v>76</v>
      </c>
      <c r="L20" s="20" t="s">
        <v>76</v>
      </c>
      <c r="M20" s="26" t="s">
        <v>76</v>
      </c>
      <c r="N20" s="20" t="s">
        <v>76</v>
      </c>
      <c r="O20" s="20" t="s">
        <v>76</v>
      </c>
      <c r="P20" s="26" t="s">
        <v>76</v>
      </c>
    </row>
    <row r="21" spans="1:16">
      <c r="A21" s="9" t="s">
        <v>180</v>
      </c>
      <c r="B21" s="15">
        <v>29.1666666666667</v>
      </c>
      <c r="C21" s="15">
        <v>29.1666666666667</v>
      </c>
      <c r="D21" s="26" t="s">
        <v>76</v>
      </c>
      <c r="E21" s="20" t="s">
        <v>76</v>
      </c>
      <c r="F21" s="20" t="s">
        <v>76</v>
      </c>
      <c r="G21" s="26" t="s">
        <v>76</v>
      </c>
      <c r="H21" s="15">
        <v>38.461538461538503</v>
      </c>
      <c r="I21" s="15">
        <v>38.461538461538503</v>
      </c>
      <c r="J21" s="26" t="s">
        <v>76</v>
      </c>
      <c r="K21" s="20" t="s">
        <v>76</v>
      </c>
      <c r="L21" s="20" t="s">
        <v>76</v>
      </c>
      <c r="M21" s="26" t="s">
        <v>76</v>
      </c>
      <c r="N21" s="20" t="s">
        <v>76</v>
      </c>
      <c r="O21" s="20" t="s">
        <v>76</v>
      </c>
      <c r="P21" s="26" t="s">
        <v>76</v>
      </c>
    </row>
    <row r="22" spans="1:16">
      <c r="A22" s="9" t="s">
        <v>181</v>
      </c>
      <c r="B22" s="15">
        <v>61.904761904761898</v>
      </c>
      <c r="C22" s="15">
        <v>61.904761904761898</v>
      </c>
      <c r="D22" s="26" t="s">
        <v>76</v>
      </c>
      <c r="E22" s="15">
        <v>70</v>
      </c>
      <c r="F22" s="15">
        <v>70</v>
      </c>
      <c r="G22" s="26" t="s">
        <v>76</v>
      </c>
      <c r="H22" s="15">
        <v>54.545454545454497</v>
      </c>
      <c r="I22" s="15">
        <v>54.545454545454497</v>
      </c>
      <c r="J22" s="26" t="s">
        <v>76</v>
      </c>
      <c r="K22" s="20" t="s">
        <v>76</v>
      </c>
      <c r="L22" s="20" t="s">
        <v>76</v>
      </c>
      <c r="M22" s="26" t="s">
        <v>76</v>
      </c>
      <c r="N22" s="20" t="s">
        <v>76</v>
      </c>
      <c r="O22" s="20" t="s">
        <v>76</v>
      </c>
      <c r="P22" s="26" t="s">
        <v>76</v>
      </c>
    </row>
    <row r="23" spans="1:16">
      <c r="A23" s="9" t="s">
        <v>182</v>
      </c>
      <c r="B23" s="15">
        <v>26.470588235294102</v>
      </c>
      <c r="C23" s="15">
        <v>26.470588235294102</v>
      </c>
      <c r="D23" s="26" t="s">
        <v>76</v>
      </c>
      <c r="E23" s="20" t="s">
        <v>76</v>
      </c>
      <c r="F23" s="20" t="s">
        <v>76</v>
      </c>
      <c r="G23" s="26" t="s">
        <v>76</v>
      </c>
      <c r="H23" s="15">
        <v>21.739130434782599</v>
      </c>
      <c r="I23" s="15">
        <v>21.739130434782599</v>
      </c>
      <c r="J23" s="26" t="s">
        <v>76</v>
      </c>
      <c r="K23" s="20" t="s">
        <v>76</v>
      </c>
      <c r="L23" s="20" t="s">
        <v>76</v>
      </c>
      <c r="M23" s="26" t="s">
        <v>76</v>
      </c>
      <c r="N23" s="20" t="s">
        <v>76</v>
      </c>
      <c r="O23" s="20" t="s">
        <v>76</v>
      </c>
      <c r="P23" s="26" t="s">
        <v>76</v>
      </c>
    </row>
    <row r="24" spans="1:16">
      <c r="A24" s="9" t="s">
        <v>183</v>
      </c>
      <c r="B24" s="15">
        <v>22.033898305084701</v>
      </c>
      <c r="C24" s="15">
        <v>22.033898305084701</v>
      </c>
      <c r="D24" s="26" t="s">
        <v>76</v>
      </c>
      <c r="E24" s="15">
        <v>19.354838709677399</v>
      </c>
      <c r="F24" s="15">
        <v>19.354838709677399</v>
      </c>
      <c r="G24" s="26" t="s">
        <v>76</v>
      </c>
      <c r="H24" s="15">
        <v>29.1666666666667</v>
      </c>
      <c r="I24" s="15">
        <v>29.1666666666667</v>
      </c>
      <c r="J24" s="26" t="s">
        <v>76</v>
      </c>
      <c r="K24" s="20" t="s">
        <v>76</v>
      </c>
      <c r="L24" s="20" t="s">
        <v>76</v>
      </c>
      <c r="M24" s="26" t="s">
        <v>76</v>
      </c>
      <c r="N24" s="20" t="s">
        <v>76</v>
      </c>
      <c r="O24" s="20" t="s">
        <v>76</v>
      </c>
      <c r="P24" s="26" t="s">
        <v>76</v>
      </c>
    </row>
    <row r="25" spans="1:16">
      <c r="A25" s="9" t="s">
        <v>184</v>
      </c>
      <c r="B25" s="15">
        <v>46.153846153846203</v>
      </c>
      <c r="C25" s="15">
        <v>46.153846153846203</v>
      </c>
      <c r="D25" s="26" t="s">
        <v>76</v>
      </c>
      <c r="E25" s="15">
        <v>83.3333333333333</v>
      </c>
      <c r="F25" s="15">
        <v>83.3333333333333</v>
      </c>
      <c r="G25" s="26" t="s">
        <v>76</v>
      </c>
      <c r="H25" s="20" t="s">
        <v>76</v>
      </c>
      <c r="I25" s="20" t="s">
        <v>76</v>
      </c>
      <c r="J25" s="26" t="s">
        <v>76</v>
      </c>
      <c r="K25" s="20" t="s">
        <v>76</v>
      </c>
      <c r="L25" s="20" t="s">
        <v>76</v>
      </c>
      <c r="M25" s="26" t="s">
        <v>76</v>
      </c>
      <c r="N25" s="20" t="s">
        <v>76</v>
      </c>
      <c r="O25" s="20" t="s">
        <v>76</v>
      </c>
      <c r="P25" s="26" t="s">
        <v>76</v>
      </c>
    </row>
    <row r="26" spans="1:16">
      <c r="A26" s="9" t="s">
        <v>185</v>
      </c>
      <c r="B26" s="20" t="s">
        <v>76</v>
      </c>
      <c r="C26" s="20" t="s">
        <v>76</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c r="A27" s="9" t="s">
        <v>186</v>
      </c>
      <c r="B27" s="15">
        <v>28.205128205128201</v>
      </c>
      <c r="C27" s="15">
        <v>28.205128205128201</v>
      </c>
      <c r="D27" s="26" t="s">
        <v>76</v>
      </c>
      <c r="E27" s="15">
        <v>33.3333333333333</v>
      </c>
      <c r="F27" s="15">
        <v>33.3333333333333</v>
      </c>
      <c r="G27" s="26" t="s">
        <v>76</v>
      </c>
      <c r="H27" s="15">
        <v>25</v>
      </c>
      <c r="I27" s="15">
        <v>25</v>
      </c>
      <c r="J27" s="26" t="s">
        <v>76</v>
      </c>
      <c r="K27" s="20" t="s">
        <v>76</v>
      </c>
      <c r="L27" s="20" t="s">
        <v>76</v>
      </c>
      <c r="M27" s="26" t="s">
        <v>76</v>
      </c>
      <c r="N27" s="20" t="s">
        <v>76</v>
      </c>
      <c r="O27" s="20" t="s">
        <v>76</v>
      </c>
      <c r="P27" s="26" t="s">
        <v>76</v>
      </c>
    </row>
    <row r="28" spans="1:16">
      <c r="A28" s="9" t="s">
        <v>187</v>
      </c>
      <c r="B28" s="15">
        <v>44.0366972477064</v>
      </c>
      <c r="C28" s="15">
        <v>44.0366972477064</v>
      </c>
      <c r="D28" s="26" t="s">
        <v>76</v>
      </c>
      <c r="E28" s="15">
        <v>42.592592592592602</v>
      </c>
      <c r="F28" s="15">
        <v>42.592592592592602</v>
      </c>
      <c r="G28" s="26" t="s">
        <v>76</v>
      </c>
      <c r="H28" s="15">
        <v>46.296296296296298</v>
      </c>
      <c r="I28" s="15">
        <v>46.296296296296298</v>
      </c>
      <c r="J28" s="26" t="s">
        <v>76</v>
      </c>
      <c r="K28" s="20" t="s">
        <v>76</v>
      </c>
      <c r="L28" s="20" t="s">
        <v>76</v>
      </c>
      <c r="M28" s="26" t="s">
        <v>76</v>
      </c>
      <c r="N28" s="20" t="s">
        <v>76</v>
      </c>
      <c r="O28" s="20" t="s">
        <v>76</v>
      </c>
      <c r="P28" s="26" t="s">
        <v>76</v>
      </c>
    </row>
    <row r="29" spans="1:16">
      <c r="A29" s="9" t="s">
        <v>188</v>
      </c>
      <c r="B29" s="15">
        <v>47.058823529411796</v>
      </c>
      <c r="C29" s="15">
        <v>47.058823529411796</v>
      </c>
      <c r="D29" s="26" t="s">
        <v>76</v>
      </c>
      <c r="E29" s="15">
        <v>48.387096774193601</v>
      </c>
      <c r="F29" s="15">
        <v>48.387096774193601</v>
      </c>
      <c r="G29" s="26" t="s">
        <v>76</v>
      </c>
      <c r="H29" s="15">
        <v>45.945945945945901</v>
      </c>
      <c r="I29" s="15">
        <v>45.945945945945901</v>
      </c>
      <c r="J29" s="26" t="s">
        <v>76</v>
      </c>
      <c r="K29" s="20" t="s">
        <v>76</v>
      </c>
      <c r="L29" s="20" t="s">
        <v>76</v>
      </c>
      <c r="M29" s="26" t="s">
        <v>76</v>
      </c>
      <c r="N29" s="20" t="s">
        <v>76</v>
      </c>
      <c r="O29" s="20" t="s">
        <v>76</v>
      </c>
      <c r="P29" s="26" t="s">
        <v>76</v>
      </c>
    </row>
    <row r="30" spans="1:16">
      <c r="A30" s="9" t="s">
        <v>189</v>
      </c>
      <c r="B30" s="15">
        <v>39.393939393939398</v>
      </c>
      <c r="C30" s="15">
        <v>39.393939393939398</v>
      </c>
      <c r="D30" s="26" t="s">
        <v>76</v>
      </c>
      <c r="E30" s="15">
        <v>48.3333333333333</v>
      </c>
      <c r="F30" s="15">
        <v>48.3333333333333</v>
      </c>
      <c r="G30" s="26" t="s">
        <v>76</v>
      </c>
      <c r="H30" s="15">
        <v>32.857142857142897</v>
      </c>
      <c r="I30" s="15">
        <v>32.857142857142897</v>
      </c>
      <c r="J30" s="26" t="s">
        <v>76</v>
      </c>
      <c r="K30" s="20" t="s">
        <v>76</v>
      </c>
      <c r="L30" s="20" t="s">
        <v>76</v>
      </c>
      <c r="M30" s="26" t="s">
        <v>76</v>
      </c>
      <c r="N30" s="20" t="s">
        <v>76</v>
      </c>
      <c r="O30" s="20" t="s">
        <v>76</v>
      </c>
      <c r="P30" s="26" t="s">
        <v>76</v>
      </c>
    </row>
    <row r="31" spans="1:16">
      <c r="A31" s="9" t="s">
        <v>190</v>
      </c>
      <c r="B31" s="15">
        <v>71.875</v>
      </c>
      <c r="C31" s="15">
        <v>71.875</v>
      </c>
      <c r="D31" s="26" t="s">
        <v>76</v>
      </c>
      <c r="E31" s="15">
        <v>78.571428571428598</v>
      </c>
      <c r="F31" s="15">
        <v>78.571428571428598</v>
      </c>
      <c r="G31" s="26" t="s">
        <v>76</v>
      </c>
      <c r="H31" s="15">
        <v>66.6666666666667</v>
      </c>
      <c r="I31" s="15">
        <v>66.6666666666667</v>
      </c>
      <c r="J31" s="26" t="s">
        <v>76</v>
      </c>
      <c r="K31" s="20" t="s">
        <v>76</v>
      </c>
      <c r="L31" s="20" t="s">
        <v>76</v>
      </c>
      <c r="M31" s="26" t="s">
        <v>76</v>
      </c>
      <c r="N31" s="20" t="s">
        <v>76</v>
      </c>
      <c r="O31" s="20" t="s">
        <v>76</v>
      </c>
      <c r="P31" s="26" t="s">
        <v>76</v>
      </c>
    </row>
    <row r="32" spans="1:16">
      <c r="A32" s="9" t="s">
        <v>191</v>
      </c>
      <c r="B32" s="15">
        <v>33.3333333333333</v>
      </c>
      <c r="C32" s="15">
        <v>33.3333333333333</v>
      </c>
      <c r="D32" s="26" t="s">
        <v>76</v>
      </c>
      <c r="E32" s="15">
        <v>46.6666666666667</v>
      </c>
      <c r="F32" s="15">
        <v>46.6666666666667</v>
      </c>
      <c r="G32" s="26" t="s">
        <v>76</v>
      </c>
      <c r="H32" s="20" t="s">
        <v>76</v>
      </c>
      <c r="I32" s="20" t="s">
        <v>76</v>
      </c>
      <c r="J32" s="26" t="s">
        <v>76</v>
      </c>
      <c r="K32" s="20" t="s">
        <v>76</v>
      </c>
      <c r="L32" s="20" t="s">
        <v>76</v>
      </c>
      <c r="M32" s="26" t="s">
        <v>76</v>
      </c>
      <c r="N32" s="20" t="s">
        <v>76</v>
      </c>
      <c r="O32" s="20" t="s">
        <v>76</v>
      </c>
      <c r="P32" s="26" t="s">
        <v>76</v>
      </c>
    </row>
    <row r="33" spans="1:16">
      <c r="A33" s="9" t="s">
        <v>192</v>
      </c>
      <c r="B33" s="15">
        <v>35.714285714285701</v>
      </c>
      <c r="C33" s="15">
        <v>35.714285714285701</v>
      </c>
      <c r="D33" s="26" t="s">
        <v>76</v>
      </c>
      <c r="E33" s="20" t="s">
        <v>76</v>
      </c>
      <c r="F33" s="20" t="s">
        <v>76</v>
      </c>
      <c r="G33" s="26" t="s">
        <v>76</v>
      </c>
      <c r="H33" s="15">
        <v>38.461538461538503</v>
      </c>
      <c r="I33" s="15">
        <v>38.461538461538503</v>
      </c>
      <c r="J33" s="26" t="s">
        <v>76</v>
      </c>
      <c r="K33" s="20" t="s">
        <v>76</v>
      </c>
      <c r="L33" s="20" t="s">
        <v>76</v>
      </c>
      <c r="M33" s="26" t="s">
        <v>76</v>
      </c>
      <c r="N33" s="20" t="s">
        <v>76</v>
      </c>
      <c r="O33" s="20" t="s">
        <v>76</v>
      </c>
      <c r="P33" s="26" t="s">
        <v>76</v>
      </c>
    </row>
    <row r="34" spans="1:16">
      <c r="A34" s="9" t="s">
        <v>193</v>
      </c>
      <c r="B34" s="15">
        <v>33.3333333333333</v>
      </c>
      <c r="C34" s="15">
        <v>33.3333333333333</v>
      </c>
      <c r="D34" s="26" t="s">
        <v>76</v>
      </c>
      <c r="E34" s="15">
        <v>38.8888888888889</v>
      </c>
      <c r="F34" s="15">
        <v>38.8888888888889</v>
      </c>
      <c r="G34" s="26" t="s">
        <v>76</v>
      </c>
      <c r="H34" s="15">
        <v>28</v>
      </c>
      <c r="I34" s="15">
        <v>28</v>
      </c>
      <c r="J34" s="26" t="s">
        <v>76</v>
      </c>
      <c r="K34" s="20" t="s">
        <v>76</v>
      </c>
      <c r="L34" s="20" t="s">
        <v>76</v>
      </c>
      <c r="M34" s="26" t="s">
        <v>76</v>
      </c>
      <c r="N34" s="20" t="s">
        <v>76</v>
      </c>
      <c r="O34" s="20" t="s">
        <v>76</v>
      </c>
      <c r="P34" s="26" t="s">
        <v>76</v>
      </c>
    </row>
    <row r="35" spans="1:16">
      <c r="A35" s="9" t="s">
        <v>194</v>
      </c>
      <c r="B35" s="15">
        <v>46.428571428571402</v>
      </c>
      <c r="C35" s="15">
        <v>46.428571428571402</v>
      </c>
      <c r="D35" s="26" t="s">
        <v>76</v>
      </c>
      <c r="E35" s="15">
        <v>60</v>
      </c>
      <c r="F35" s="15">
        <v>60</v>
      </c>
      <c r="G35" s="26" t="s">
        <v>76</v>
      </c>
      <c r="H35" s="15">
        <v>36.6666666666667</v>
      </c>
      <c r="I35" s="15">
        <v>36.6666666666667</v>
      </c>
      <c r="J35" s="26" t="s">
        <v>76</v>
      </c>
      <c r="K35" s="20" t="s">
        <v>76</v>
      </c>
      <c r="L35" s="20" t="s">
        <v>76</v>
      </c>
      <c r="M35" s="26" t="s">
        <v>76</v>
      </c>
      <c r="N35" s="20" t="s">
        <v>76</v>
      </c>
      <c r="O35" s="20" t="s">
        <v>76</v>
      </c>
      <c r="P35" s="26" t="s">
        <v>76</v>
      </c>
    </row>
    <row r="36" spans="1:16">
      <c r="A36" s="9" t="s">
        <v>195</v>
      </c>
      <c r="B36" s="20" t="s">
        <v>76</v>
      </c>
      <c r="C36" s="20" t="s">
        <v>76</v>
      </c>
      <c r="D36" s="26" t="s">
        <v>76</v>
      </c>
      <c r="E36" s="20" t="s">
        <v>76</v>
      </c>
      <c r="F36" s="20" t="s">
        <v>76</v>
      </c>
      <c r="G36" s="26" t="s">
        <v>76</v>
      </c>
      <c r="H36" s="20" t="s">
        <v>76</v>
      </c>
      <c r="I36" s="20" t="s">
        <v>76</v>
      </c>
      <c r="J36" s="26" t="s">
        <v>76</v>
      </c>
      <c r="K36" s="20" t="s">
        <v>76</v>
      </c>
      <c r="L36" s="20" t="s">
        <v>76</v>
      </c>
      <c r="M36" s="26" t="s">
        <v>76</v>
      </c>
      <c r="N36" s="20" t="s">
        <v>76</v>
      </c>
      <c r="O36" s="20" t="s">
        <v>76</v>
      </c>
      <c r="P36" s="26" t="s">
        <v>76</v>
      </c>
    </row>
    <row r="37" spans="1:16">
      <c r="A37" s="9" t="s">
        <v>196</v>
      </c>
      <c r="B37" s="15">
        <v>41.441441441441398</v>
      </c>
      <c r="C37" s="15">
        <v>41.441441441441398</v>
      </c>
      <c r="D37" s="26" t="s">
        <v>76</v>
      </c>
      <c r="E37" s="15">
        <v>46.428571428571402</v>
      </c>
      <c r="F37" s="15">
        <v>46.428571428571402</v>
      </c>
      <c r="G37" s="26" t="s">
        <v>76</v>
      </c>
      <c r="H37" s="15">
        <v>37.037037037037003</v>
      </c>
      <c r="I37" s="15">
        <v>37.037037037037003</v>
      </c>
      <c r="J37" s="26" t="s">
        <v>76</v>
      </c>
      <c r="K37" s="20" t="s">
        <v>76</v>
      </c>
      <c r="L37" s="20" t="s">
        <v>76</v>
      </c>
      <c r="M37" s="26" t="s">
        <v>76</v>
      </c>
      <c r="N37" s="20" t="s">
        <v>76</v>
      </c>
      <c r="O37" s="20" t="s">
        <v>76</v>
      </c>
      <c r="P37" s="26" t="s">
        <v>76</v>
      </c>
    </row>
    <row r="38" spans="1:16">
      <c r="A38" s="9" t="s">
        <v>197</v>
      </c>
      <c r="B38" s="15">
        <v>56.6666666666667</v>
      </c>
      <c r="C38" s="15">
        <v>56.6666666666667</v>
      </c>
      <c r="D38" s="26" t="s">
        <v>76</v>
      </c>
      <c r="E38" s="15">
        <v>58.823529411764703</v>
      </c>
      <c r="F38" s="15">
        <v>58.823529411764703</v>
      </c>
      <c r="G38" s="26" t="s">
        <v>76</v>
      </c>
      <c r="H38" s="15">
        <v>45.454545454545503</v>
      </c>
      <c r="I38" s="15">
        <v>45.454545454545503</v>
      </c>
      <c r="J38" s="26" t="s">
        <v>76</v>
      </c>
      <c r="K38" s="20" t="s">
        <v>76</v>
      </c>
      <c r="L38" s="20" t="s">
        <v>76</v>
      </c>
      <c r="M38" s="26" t="s">
        <v>76</v>
      </c>
      <c r="N38" s="20" t="s">
        <v>76</v>
      </c>
      <c r="O38" s="20" t="s">
        <v>76</v>
      </c>
      <c r="P38" s="26" t="s">
        <v>76</v>
      </c>
    </row>
    <row r="39" spans="1:16">
      <c r="A39" s="9" t="s">
        <v>198</v>
      </c>
      <c r="B39" s="15">
        <v>30</v>
      </c>
      <c r="C39" s="15">
        <v>30</v>
      </c>
      <c r="D39" s="26" t="s">
        <v>76</v>
      </c>
      <c r="E39" s="15">
        <v>32.4324324324324</v>
      </c>
      <c r="F39" s="15">
        <v>32.4324324324324</v>
      </c>
      <c r="G39" s="26" t="s">
        <v>76</v>
      </c>
      <c r="H39" s="15">
        <v>26.086956521739101</v>
      </c>
      <c r="I39" s="15">
        <v>26.086956521739101</v>
      </c>
      <c r="J39" s="26" t="s">
        <v>76</v>
      </c>
      <c r="K39" s="20" t="s">
        <v>76</v>
      </c>
      <c r="L39" s="20" t="s">
        <v>76</v>
      </c>
      <c r="M39" s="26" t="s">
        <v>76</v>
      </c>
      <c r="N39" s="20" t="s">
        <v>76</v>
      </c>
      <c r="O39" s="20" t="s">
        <v>76</v>
      </c>
      <c r="P39" s="26" t="s">
        <v>76</v>
      </c>
    </row>
    <row r="40" spans="1:16">
      <c r="A40" s="9" t="s">
        <v>199</v>
      </c>
      <c r="B40" s="15">
        <v>45.3125</v>
      </c>
      <c r="C40" s="15">
        <v>45.3125</v>
      </c>
      <c r="D40" s="26" t="s">
        <v>76</v>
      </c>
      <c r="E40" s="15">
        <v>60.606060606060602</v>
      </c>
      <c r="F40" s="15">
        <v>60.606060606060602</v>
      </c>
      <c r="G40" s="26" t="s">
        <v>76</v>
      </c>
      <c r="H40" s="15">
        <v>29.0322580645161</v>
      </c>
      <c r="I40" s="15">
        <v>29.0322580645161</v>
      </c>
      <c r="J40" s="26" t="s">
        <v>76</v>
      </c>
      <c r="K40" s="20" t="s">
        <v>76</v>
      </c>
      <c r="L40" s="20" t="s">
        <v>76</v>
      </c>
      <c r="M40" s="26" t="s">
        <v>76</v>
      </c>
      <c r="N40" s="20" t="s">
        <v>76</v>
      </c>
      <c r="O40" s="20" t="s">
        <v>76</v>
      </c>
      <c r="P40" s="26" t="s">
        <v>76</v>
      </c>
    </row>
    <row r="41" spans="1:16">
      <c r="A41" s="9" t="s">
        <v>200</v>
      </c>
      <c r="B41" s="20" t="s">
        <v>76</v>
      </c>
      <c r="C41" s="20" t="s">
        <v>76</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c r="A42" s="9" t="s">
        <v>201</v>
      </c>
      <c r="B42" s="15">
        <v>35</v>
      </c>
      <c r="C42" s="15">
        <v>35</v>
      </c>
      <c r="D42" s="26" t="s">
        <v>76</v>
      </c>
      <c r="E42" s="15">
        <v>40</v>
      </c>
      <c r="F42" s="15">
        <v>40</v>
      </c>
      <c r="G42" s="26" t="s">
        <v>76</v>
      </c>
      <c r="H42" s="15">
        <v>32</v>
      </c>
      <c r="I42" s="15">
        <v>32</v>
      </c>
      <c r="J42" s="26" t="s">
        <v>76</v>
      </c>
      <c r="K42" s="20" t="s">
        <v>76</v>
      </c>
      <c r="L42" s="20" t="s">
        <v>76</v>
      </c>
      <c r="M42" s="26" t="s">
        <v>76</v>
      </c>
      <c r="N42" s="20" t="s">
        <v>76</v>
      </c>
      <c r="O42" s="20" t="s">
        <v>76</v>
      </c>
      <c r="P42" s="26" t="s">
        <v>76</v>
      </c>
    </row>
    <row r="43" spans="1:16">
      <c r="A43" s="9" t="s">
        <v>202</v>
      </c>
      <c r="B43" s="15">
        <v>36.363636363636402</v>
      </c>
      <c r="C43" s="15">
        <v>36.363636363636402</v>
      </c>
      <c r="D43" s="26" t="s">
        <v>76</v>
      </c>
      <c r="E43" s="15">
        <v>41.025641025641001</v>
      </c>
      <c r="F43" s="15">
        <v>41.025641025641001</v>
      </c>
      <c r="G43" s="26" t="s">
        <v>76</v>
      </c>
      <c r="H43" s="15">
        <v>31.578947368421101</v>
      </c>
      <c r="I43" s="15">
        <v>31.578947368421101</v>
      </c>
      <c r="J43" s="26" t="s">
        <v>76</v>
      </c>
      <c r="K43" s="20" t="s">
        <v>76</v>
      </c>
      <c r="L43" s="20" t="s">
        <v>76</v>
      </c>
      <c r="M43" s="26" t="s">
        <v>76</v>
      </c>
      <c r="N43" s="20" t="s">
        <v>76</v>
      </c>
      <c r="O43" s="20" t="s">
        <v>76</v>
      </c>
      <c r="P43" s="26" t="s">
        <v>76</v>
      </c>
    </row>
    <row r="44" spans="1:16">
      <c r="A44" s="9" t="s">
        <v>203</v>
      </c>
      <c r="B44" s="15">
        <v>30.769230769230798</v>
      </c>
      <c r="C44" s="15">
        <v>30.769230769230798</v>
      </c>
      <c r="D44" s="26" t="s">
        <v>76</v>
      </c>
      <c r="E44" s="15">
        <v>33.3333333333333</v>
      </c>
      <c r="F44" s="15">
        <v>33.3333333333333</v>
      </c>
      <c r="G44" s="26" t="s">
        <v>76</v>
      </c>
      <c r="H44" s="20" t="s">
        <v>76</v>
      </c>
      <c r="I44" s="20" t="s">
        <v>76</v>
      </c>
      <c r="J44" s="26" t="s">
        <v>76</v>
      </c>
      <c r="K44" s="20" t="s">
        <v>76</v>
      </c>
      <c r="L44" s="20" t="s">
        <v>76</v>
      </c>
      <c r="M44" s="26" t="s">
        <v>76</v>
      </c>
      <c r="N44" s="20" t="s">
        <v>76</v>
      </c>
      <c r="O44" s="20" t="s">
        <v>76</v>
      </c>
      <c r="P44" s="26" t="s">
        <v>76</v>
      </c>
    </row>
    <row r="45" spans="1:16">
      <c r="A45" s="9" t="s">
        <v>204</v>
      </c>
      <c r="B45" s="15">
        <v>27.272727272727298</v>
      </c>
      <c r="C45" s="15">
        <v>27.272727272727298</v>
      </c>
      <c r="D45" s="26" t="s">
        <v>76</v>
      </c>
      <c r="E45" s="15">
        <v>34.285714285714299</v>
      </c>
      <c r="F45" s="15">
        <v>34.285714285714299</v>
      </c>
      <c r="G45" s="26" t="s">
        <v>76</v>
      </c>
      <c r="H45" s="20" t="s">
        <v>76</v>
      </c>
      <c r="I45" s="20" t="s">
        <v>76</v>
      </c>
      <c r="J45" s="26" t="s">
        <v>76</v>
      </c>
      <c r="K45" s="20" t="s">
        <v>76</v>
      </c>
      <c r="L45" s="20" t="s">
        <v>76</v>
      </c>
      <c r="M45" s="26" t="s">
        <v>76</v>
      </c>
      <c r="N45" s="20" t="s">
        <v>76</v>
      </c>
      <c r="O45" s="20" t="s">
        <v>76</v>
      </c>
      <c r="P45" s="26" t="s">
        <v>76</v>
      </c>
    </row>
    <row r="46" spans="1:16">
      <c r="A46" s="9" t="s">
        <v>205</v>
      </c>
      <c r="B46" s="15">
        <v>45.454545454545503</v>
      </c>
      <c r="C46" s="15">
        <v>45.454545454545503</v>
      </c>
      <c r="D46" s="26" t="s">
        <v>76</v>
      </c>
      <c r="E46" s="20" t="s">
        <v>76</v>
      </c>
      <c r="F46" s="20" t="s">
        <v>76</v>
      </c>
      <c r="G46" s="26" t="s">
        <v>76</v>
      </c>
      <c r="H46" s="20" t="s">
        <v>76</v>
      </c>
      <c r="I46" s="20" t="s">
        <v>76</v>
      </c>
      <c r="J46" s="26" t="s">
        <v>76</v>
      </c>
      <c r="K46" s="20" t="s">
        <v>76</v>
      </c>
      <c r="L46" s="20" t="s">
        <v>76</v>
      </c>
      <c r="M46" s="26" t="s">
        <v>76</v>
      </c>
      <c r="N46" s="20" t="s">
        <v>76</v>
      </c>
      <c r="O46" s="20" t="s">
        <v>76</v>
      </c>
      <c r="P46" s="26" t="s">
        <v>76</v>
      </c>
    </row>
    <row r="47" spans="1:16">
      <c r="A47" s="9" t="s">
        <v>206</v>
      </c>
      <c r="B47" s="15">
        <v>36.923076923076898</v>
      </c>
      <c r="C47" s="15">
        <v>36.923076923076898</v>
      </c>
      <c r="D47" s="26" t="s">
        <v>76</v>
      </c>
      <c r="E47" s="15">
        <v>29.411764705882401</v>
      </c>
      <c r="F47" s="15">
        <v>29.411764705882401</v>
      </c>
      <c r="G47" s="26" t="s">
        <v>76</v>
      </c>
      <c r="H47" s="15">
        <v>45.161290322580598</v>
      </c>
      <c r="I47" s="15">
        <v>45.161290322580598</v>
      </c>
      <c r="J47" s="26" t="s">
        <v>76</v>
      </c>
      <c r="K47" s="20" t="s">
        <v>76</v>
      </c>
      <c r="L47" s="20" t="s">
        <v>76</v>
      </c>
      <c r="M47" s="26" t="s">
        <v>76</v>
      </c>
      <c r="N47" s="20" t="s">
        <v>76</v>
      </c>
      <c r="O47" s="20" t="s">
        <v>76</v>
      </c>
      <c r="P47" s="26" t="s">
        <v>76</v>
      </c>
    </row>
    <row r="48" spans="1:16">
      <c r="A48" s="9" t="s">
        <v>207</v>
      </c>
      <c r="B48" s="15">
        <v>26.530612244897998</v>
      </c>
      <c r="C48" s="15">
        <v>26.530612244897998</v>
      </c>
      <c r="D48" s="26" t="s">
        <v>76</v>
      </c>
      <c r="E48" s="15">
        <v>27.7777777777778</v>
      </c>
      <c r="F48" s="15">
        <v>27.7777777777778</v>
      </c>
      <c r="G48" s="26" t="s">
        <v>76</v>
      </c>
      <c r="H48" s="15">
        <v>22.2222222222222</v>
      </c>
      <c r="I48" s="15">
        <v>22.2222222222222</v>
      </c>
      <c r="J48" s="26" t="s">
        <v>76</v>
      </c>
      <c r="K48" s="20" t="s">
        <v>76</v>
      </c>
      <c r="L48" s="20" t="s">
        <v>76</v>
      </c>
      <c r="M48" s="26" t="s">
        <v>76</v>
      </c>
      <c r="N48" s="20" t="s">
        <v>76</v>
      </c>
      <c r="O48" s="20" t="s">
        <v>76</v>
      </c>
      <c r="P48" s="26" t="s">
        <v>76</v>
      </c>
    </row>
    <row r="49" spans="1:16">
      <c r="A49" s="9" t="s">
        <v>208</v>
      </c>
      <c r="B49" s="15">
        <v>32.876712328767098</v>
      </c>
      <c r="C49" s="15">
        <v>32.876712328767098</v>
      </c>
      <c r="D49" s="26" t="s">
        <v>76</v>
      </c>
      <c r="E49" s="15">
        <v>37.142857142857103</v>
      </c>
      <c r="F49" s="15">
        <v>37.142857142857103</v>
      </c>
      <c r="G49" s="26" t="s">
        <v>76</v>
      </c>
      <c r="H49" s="15">
        <v>28.947368421052602</v>
      </c>
      <c r="I49" s="15">
        <v>28.947368421052602</v>
      </c>
      <c r="J49" s="26" t="s">
        <v>76</v>
      </c>
      <c r="K49" s="20" t="s">
        <v>76</v>
      </c>
      <c r="L49" s="20" t="s">
        <v>76</v>
      </c>
      <c r="M49" s="26" t="s">
        <v>76</v>
      </c>
      <c r="N49" s="20" t="s">
        <v>76</v>
      </c>
      <c r="O49" s="20" t="s">
        <v>76</v>
      </c>
      <c r="P49" s="26" t="s">
        <v>76</v>
      </c>
    </row>
    <row r="50" spans="1:16">
      <c r="A50" s="9" t="s">
        <v>209</v>
      </c>
      <c r="B50" s="15">
        <v>18.965517241379299</v>
      </c>
      <c r="C50" s="15">
        <v>18.965517241379299</v>
      </c>
      <c r="D50" s="26" t="s">
        <v>76</v>
      </c>
      <c r="E50" s="15">
        <v>19.6078431372549</v>
      </c>
      <c r="F50" s="15">
        <v>19.6078431372549</v>
      </c>
      <c r="G50" s="26" t="s">
        <v>76</v>
      </c>
      <c r="H50" s="15">
        <v>17.460317460317501</v>
      </c>
      <c r="I50" s="15">
        <v>17.460317460317501</v>
      </c>
      <c r="J50" s="26" t="s">
        <v>76</v>
      </c>
      <c r="K50" s="20" t="s">
        <v>76</v>
      </c>
      <c r="L50" s="20" t="s">
        <v>76</v>
      </c>
      <c r="M50" s="26" t="s">
        <v>76</v>
      </c>
      <c r="N50" s="20" t="s">
        <v>76</v>
      </c>
      <c r="O50" s="20" t="s">
        <v>76</v>
      </c>
      <c r="P50" s="26" t="s">
        <v>76</v>
      </c>
    </row>
    <row r="51" spans="1:16">
      <c r="A51" s="9" t="s">
        <v>210</v>
      </c>
      <c r="B51" s="15">
        <v>31.25</v>
      </c>
      <c r="C51" s="15">
        <v>31.25</v>
      </c>
      <c r="D51" s="26" t="s">
        <v>76</v>
      </c>
      <c r="E51" s="20" t="s">
        <v>76</v>
      </c>
      <c r="F51" s="20" t="s">
        <v>76</v>
      </c>
      <c r="G51" s="26" t="s">
        <v>76</v>
      </c>
      <c r="H51" s="20" t="s">
        <v>76</v>
      </c>
      <c r="I51" s="20" t="s">
        <v>76</v>
      </c>
      <c r="J51" s="26" t="s">
        <v>76</v>
      </c>
      <c r="K51" s="20" t="s">
        <v>76</v>
      </c>
      <c r="L51" s="20" t="s">
        <v>76</v>
      </c>
      <c r="M51" s="26" t="s">
        <v>76</v>
      </c>
      <c r="N51" s="20" t="s">
        <v>76</v>
      </c>
      <c r="O51" s="20" t="s">
        <v>76</v>
      </c>
      <c r="P51" s="26" t="s">
        <v>76</v>
      </c>
    </row>
    <row r="52" spans="1:16">
      <c r="A52" s="9" t="s">
        <v>211</v>
      </c>
      <c r="B52" s="15">
        <v>34.285714285714299</v>
      </c>
      <c r="C52" s="15">
        <v>34.285714285714299</v>
      </c>
      <c r="D52" s="26" t="s">
        <v>76</v>
      </c>
      <c r="E52" s="15">
        <v>35.714285714285701</v>
      </c>
      <c r="F52" s="15">
        <v>35.714285714285701</v>
      </c>
      <c r="G52" s="26" t="s">
        <v>76</v>
      </c>
      <c r="H52" s="15">
        <v>30</v>
      </c>
      <c r="I52" s="15">
        <v>30</v>
      </c>
      <c r="J52" s="26" t="s">
        <v>76</v>
      </c>
      <c r="K52" s="20" t="s">
        <v>76</v>
      </c>
      <c r="L52" s="20" t="s">
        <v>76</v>
      </c>
      <c r="M52" s="26" t="s">
        <v>76</v>
      </c>
      <c r="N52" s="20" t="s">
        <v>76</v>
      </c>
      <c r="O52" s="20" t="s">
        <v>76</v>
      </c>
      <c r="P52" s="26" t="s">
        <v>76</v>
      </c>
    </row>
    <row r="53" spans="1:16">
      <c r="A53" s="9" t="s">
        <v>212</v>
      </c>
      <c r="B53" s="15">
        <v>56</v>
      </c>
      <c r="C53" s="15">
        <v>56</v>
      </c>
      <c r="D53" s="26" t="s">
        <v>76</v>
      </c>
      <c r="E53" s="15">
        <v>52</v>
      </c>
      <c r="F53" s="15">
        <v>52</v>
      </c>
      <c r="G53" s="26" t="s">
        <v>76</v>
      </c>
      <c r="H53" s="15">
        <v>60</v>
      </c>
      <c r="I53" s="15">
        <v>60</v>
      </c>
      <c r="J53" s="26" t="s">
        <v>76</v>
      </c>
      <c r="K53" s="20" t="s">
        <v>76</v>
      </c>
      <c r="L53" s="20" t="s">
        <v>76</v>
      </c>
      <c r="M53" s="26" t="s">
        <v>76</v>
      </c>
      <c r="N53" s="20" t="s">
        <v>76</v>
      </c>
      <c r="O53" s="20" t="s">
        <v>76</v>
      </c>
      <c r="P53" s="26" t="s">
        <v>76</v>
      </c>
    </row>
    <row r="54" spans="1:16">
      <c r="A54" s="9" t="s">
        <v>213</v>
      </c>
      <c r="B54" s="15">
        <v>26.415094339622598</v>
      </c>
      <c r="C54" s="15">
        <v>26.415094339622598</v>
      </c>
      <c r="D54" s="26" t="s">
        <v>76</v>
      </c>
      <c r="E54" s="15">
        <v>33.3333333333333</v>
      </c>
      <c r="F54" s="15">
        <v>33.3333333333333</v>
      </c>
      <c r="G54" s="26" t="s">
        <v>76</v>
      </c>
      <c r="H54" s="15">
        <v>21.428571428571399</v>
      </c>
      <c r="I54" s="15">
        <v>21.428571428571399</v>
      </c>
      <c r="J54" s="26" t="s">
        <v>76</v>
      </c>
      <c r="K54" s="20" t="s">
        <v>76</v>
      </c>
      <c r="L54" s="20" t="s">
        <v>76</v>
      </c>
      <c r="M54" s="26" t="s">
        <v>76</v>
      </c>
      <c r="N54" s="20" t="s">
        <v>76</v>
      </c>
      <c r="O54" s="20" t="s">
        <v>76</v>
      </c>
      <c r="P54" s="26" t="s">
        <v>76</v>
      </c>
    </row>
    <row r="55" spans="1:16">
      <c r="A55" s="9" t="s">
        <v>214</v>
      </c>
      <c r="B55" s="15">
        <v>50.746268656716403</v>
      </c>
      <c r="C55" s="15">
        <v>50.746268656716403</v>
      </c>
      <c r="D55" s="26" t="s">
        <v>76</v>
      </c>
      <c r="E55" s="15">
        <v>37.5</v>
      </c>
      <c r="F55" s="15">
        <v>37.5</v>
      </c>
      <c r="G55" s="26" t="s">
        <v>76</v>
      </c>
      <c r="H55" s="15">
        <v>62.857142857142897</v>
      </c>
      <c r="I55" s="15">
        <v>62.857142857142897</v>
      </c>
      <c r="J55" s="26" t="s">
        <v>76</v>
      </c>
      <c r="K55" s="20" t="s">
        <v>76</v>
      </c>
      <c r="L55" s="20" t="s">
        <v>76</v>
      </c>
      <c r="M55" s="26" t="s">
        <v>76</v>
      </c>
      <c r="N55" s="20" t="s">
        <v>76</v>
      </c>
      <c r="O55" s="20" t="s">
        <v>76</v>
      </c>
      <c r="P55" s="26" t="s">
        <v>76</v>
      </c>
    </row>
    <row r="56" spans="1:16">
      <c r="A56" s="9" t="s">
        <v>215</v>
      </c>
      <c r="B56" s="15">
        <v>36.486486486486498</v>
      </c>
      <c r="C56" s="15">
        <v>36.486486486486498</v>
      </c>
      <c r="D56" s="26" t="s">
        <v>76</v>
      </c>
      <c r="E56" s="15">
        <v>40.540540540540498</v>
      </c>
      <c r="F56" s="15">
        <v>40.540540540540498</v>
      </c>
      <c r="G56" s="26" t="s">
        <v>76</v>
      </c>
      <c r="H56" s="15">
        <v>30.5555555555556</v>
      </c>
      <c r="I56" s="15">
        <v>30.5555555555556</v>
      </c>
      <c r="J56" s="26" t="s">
        <v>76</v>
      </c>
      <c r="K56" s="20" t="s">
        <v>76</v>
      </c>
      <c r="L56" s="20" t="s">
        <v>76</v>
      </c>
      <c r="M56" s="26" t="s">
        <v>76</v>
      </c>
      <c r="N56" s="20" t="s">
        <v>76</v>
      </c>
      <c r="O56" s="20" t="s">
        <v>76</v>
      </c>
      <c r="P56" s="26" t="s">
        <v>76</v>
      </c>
    </row>
    <row r="57" spans="1:16">
      <c r="A57" s="9" t="s">
        <v>216</v>
      </c>
      <c r="B57" s="15">
        <v>38.461538461538503</v>
      </c>
      <c r="C57" s="15">
        <v>38.461538461538503</v>
      </c>
      <c r="D57" s="26" t="s">
        <v>76</v>
      </c>
      <c r="E57" s="15">
        <v>47.368421052631597</v>
      </c>
      <c r="F57" s="15">
        <v>47.368421052631597</v>
      </c>
      <c r="G57" s="26" t="s">
        <v>76</v>
      </c>
      <c r="H57" s="15">
        <v>30.5555555555556</v>
      </c>
      <c r="I57" s="15">
        <v>30.5555555555556</v>
      </c>
      <c r="J57" s="26" t="s">
        <v>76</v>
      </c>
      <c r="K57" s="20" t="s">
        <v>76</v>
      </c>
      <c r="L57" s="20" t="s">
        <v>76</v>
      </c>
      <c r="M57" s="26" t="s">
        <v>76</v>
      </c>
      <c r="N57" s="20" t="s">
        <v>76</v>
      </c>
      <c r="O57" s="20" t="s">
        <v>76</v>
      </c>
      <c r="P57" s="26" t="s">
        <v>76</v>
      </c>
    </row>
    <row r="58" spans="1:16">
      <c r="A58" s="9" t="s">
        <v>217</v>
      </c>
      <c r="B58" s="15">
        <v>50</v>
      </c>
      <c r="C58" s="15">
        <v>50</v>
      </c>
      <c r="D58" s="26" t="s">
        <v>76</v>
      </c>
      <c r="E58" s="15">
        <v>50</v>
      </c>
      <c r="F58" s="15">
        <v>50</v>
      </c>
      <c r="G58" s="26" t="s">
        <v>76</v>
      </c>
      <c r="H58" s="15">
        <v>50</v>
      </c>
      <c r="I58" s="15">
        <v>50</v>
      </c>
      <c r="J58" s="26" t="s">
        <v>76</v>
      </c>
      <c r="K58" s="20" t="s">
        <v>76</v>
      </c>
      <c r="L58" s="20" t="s">
        <v>76</v>
      </c>
      <c r="M58" s="26" t="s">
        <v>76</v>
      </c>
      <c r="N58" s="20" t="s">
        <v>76</v>
      </c>
      <c r="O58" s="20" t="s">
        <v>76</v>
      </c>
      <c r="P58" s="26" t="s">
        <v>76</v>
      </c>
    </row>
    <row r="59" spans="1:16">
      <c r="A59" s="9" t="s">
        <v>218</v>
      </c>
      <c r="B59" s="15">
        <v>31.325301204819301</v>
      </c>
      <c r="C59" s="15">
        <v>31.325301204819301</v>
      </c>
      <c r="D59" s="26" t="s">
        <v>76</v>
      </c>
      <c r="E59" s="15">
        <v>40</v>
      </c>
      <c r="F59" s="15">
        <v>40</v>
      </c>
      <c r="G59" s="26" t="s">
        <v>76</v>
      </c>
      <c r="H59" s="15">
        <v>22.2222222222222</v>
      </c>
      <c r="I59" s="15">
        <v>22.2222222222222</v>
      </c>
      <c r="J59" s="26" t="s">
        <v>76</v>
      </c>
      <c r="K59" s="20" t="s">
        <v>76</v>
      </c>
      <c r="L59" s="20" t="s">
        <v>76</v>
      </c>
      <c r="M59" s="26" t="s">
        <v>76</v>
      </c>
      <c r="N59" s="20" t="s">
        <v>76</v>
      </c>
      <c r="O59" s="20" t="s">
        <v>76</v>
      </c>
      <c r="P59" s="26" t="s">
        <v>76</v>
      </c>
    </row>
    <row r="60" spans="1:16">
      <c r="A60" s="9" t="s">
        <v>219</v>
      </c>
      <c r="B60" s="15">
        <v>46.268656716417901</v>
      </c>
      <c r="C60" s="15">
        <v>46.268656716417901</v>
      </c>
      <c r="D60" s="26" t="s">
        <v>76</v>
      </c>
      <c r="E60" s="15">
        <v>62.5</v>
      </c>
      <c r="F60" s="15">
        <v>62.5</v>
      </c>
      <c r="G60" s="26" t="s">
        <v>76</v>
      </c>
      <c r="H60" s="15">
        <v>31.428571428571399</v>
      </c>
      <c r="I60" s="15">
        <v>31.428571428571399</v>
      </c>
      <c r="J60" s="26" t="s">
        <v>76</v>
      </c>
      <c r="K60" s="20" t="s">
        <v>76</v>
      </c>
      <c r="L60" s="20" t="s">
        <v>76</v>
      </c>
      <c r="M60" s="26" t="s">
        <v>76</v>
      </c>
      <c r="N60" s="20" t="s">
        <v>76</v>
      </c>
      <c r="O60" s="20" t="s">
        <v>76</v>
      </c>
      <c r="P60" s="26" t="s">
        <v>76</v>
      </c>
    </row>
    <row r="61" spans="1:16">
      <c r="A61" s="9" t="s">
        <v>220</v>
      </c>
      <c r="B61" s="15">
        <v>54.1666666666667</v>
      </c>
      <c r="C61" s="15">
        <v>54.1666666666667</v>
      </c>
      <c r="D61" s="26" t="s">
        <v>76</v>
      </c>
      <c r="E61" s="15">
        <v>58.3333333333333</v>
      </c>
      <c r="F61" s="15">
        <v>58.3333333333333</v>
      </c>
      <c r="G61" s="26" t="s">
        <v>76</v>
      </c>
      <c r="H61" s="15">
        <v>54.545454545454497</v>
      </c>
      <c r="I61" s="15">
        <v>54.545454545454497</v>
      </c>
      <c r="J61" s="26" t="s">
        <v>76</v>
      </c>
      <c r="K61" s="20" t="s">
        <v>76</v>
      </c>
      <c r="L61" s="20" t="s">
        <v>76</v>
      </c>
      <c r="M61" s="26" t="s">
        <v>76</v>
      </c>
      <c r="N61" s="20" t="s">
        <v>76</v>
      </c>
      <c r="O61" s="20" t="s">
        <v>76</v>
      </c>
      <c r="P61" s="26" t="s">
        <v>76</v>
      </c>
    </row>
    <row r="62" spans="1:16">
      <c r="A62" s="9" t="s">
        <v>221</v>
      </c>
      <c r="B62" s="15">
        <v>42.105263157894697</v>
      </c>
      <c r="C62" s="15">
        <v>42.105263157894697</v>
      </c>
      <c r="D62" s="26" t="s">
        <v>76</v>
      </c>
      <c r="E62" s="20" t="s">
        <v>76</v>
      </c>
      <c r="F62" s="20" t="s">
        <v>76</v>
      </c>
      <c r="G62" s="26" t="s">
        <v>76</v>
      </c>
      <c r="H62" s="15">
        <v>41.6666666666667</v>
      </c>
      <c r="I62" s="15">
        <v>41.6666666666667</v>
      </c>
      <c r="J62" s="26" t="s">
        <v>76</v>
      </c>
      <c r="K62" s="20" t="s">
        <v>76</v>
      </c>
      <c r="L62" s="20" t="s">
        <v>76</v>
      </c>
      <c r="M62" s="26" t="s">
        <v>76</v>
      </c>
      <c r="N62" s="20" t="s">
        <v>76</v>
      </c>
      <c r="O62" s="20" t="s">
        <v>76</v>
      </c>
      <c r="P62" s="26" t="s">
        <v>76</v>
      </c>
    </row>
    <row r="63" spans="1:16">
      <c r="A63" s="9" t="s">
        <v>222</v>
      </c>
      <c r="B63" s="15">
        <v>37.5</v>
      </c>
      <c r="C63" s="15">
        <v>37.5</v>
      </c>
      <c r="D63" s="26" t="s">
        <v>76</v>
      </c>
      <c r="E63" s="15">
        <v>33.8983050847458</v>
      </c>
      <c r="F63" s="15">
        <v>33.8983050847458</v>
      </c>
      <c r="G63" s="26" t="s">
        <v>76</v>
      </c>
      <c r="H63" s="15">
        <v>40.384615384615401</v>
      </c>
      <c r="I63" s="15">
        <v>40.384615384615401</v>
      </c>
      <c r="J63" s="26" t="s">
        <v>76</v>
      </c>
      <c r="K63" s="20" t="s">
        <v>76</v>
      </c>
      <c r="L63" s="20" t="s">
        <v>76</v>
      </c>
      <c r="M63" s="26" t="s">
        <v>76</v>
      </c>
      <c r="N63" s="20" t="s">
        <v>76</v>
      </c>
      <c r="O63" s="20" t="s">
        <v>76</v>
      </c>
      <c r="P63" s="26" t="s">
        <v>76</v>
      </c>
    </row>
    <row r="64" spans="1:16">
      <c r="A64" s="9" t="s">
        <v>223</v>
      </c>
      <c r="B64" s="15">
        <v>57.5</v>
      </c>
      <c r="C64" s="15">
        <v>57.5</v>
      </c>
      <c r="D64" s="26" t="s">
        <v>76</v>
      </c>
      <c r="E64" s="15">
        <v>57.894736842105303</v>
      </c>
      <c r="F64" s="15">
        <v>57.894736842105303</v>
      </c>
      <c r="G64" s="26" t="s">
        <v>76</v>
      </c>
      <c r="H64" s="15">
        <v>57.142857142857103</v>
      </c>
      <c r="I64" s="15">
        <v>57.142857142857103</v>
      </c>
      <c r="J64" s="26" t="s">
        <v>76</v>
      </c>
      <c r="K64" s="20" t="s">
        <v>76</v>
      </c>
      <c r="L64" s="20" t="s">
        <v>76</v>
      </c>
      <c r="M64" s="26" t="s">
        <v>76</v>
      </c>
      <c r="N64" s="20" t="s">
        <v>76</v>
      </c>
      <c r="O64" s="20" t="s">
        <v>76</v>
      </c>
      <c r="P64" s="26" t="s">
        <v>76</v>
      </c>
    </row>
    <row r="65" spans="1:16">
      <c r="A65" s="9" t="s">
        <v>224</v>
      </c>
      <c r="B65" s="15">
        <v>44.53125</v>
      </c>
      <c r="C65" s="15">
        <v>44.53125</v>
      </c>
      <c r="D65" s="26" t="s">
        <v>76</v>
      </c>
      <c r="E65" s="15">
        <v>45.9016393442623</v>
      </c>
      <c r="F65" s="15">
        <v>45.9016393442623</v>
      </c>
      <c r="G65" s="26" t="s">
        <v>76</v>
      </c>
      <c r="H65" s="15">
        <v>43.939393939393902</v>
      </c>
      <c r="I65" s="15">
        <v>43.939393939393902</v>
      </c>
      <c r="J65" s="26" t="s">
        <v>76</v>
      </c>
      <c r="K65" s="20" t="s">
        <v>76</v>
      </c>
      <c r="L65" s="20" t="s">
        <v>76</v>
      </c>
      <c r="M65" s="26" t="s">
        <v>76</v>
      </c>
      <c r="N65" s="20" t="s">
        <v>76</v>
      </c>
      <c r="O65" s="20" t="s">
        <v>76</v>
      </c>
      <c r="P65" s="26" t="s">
        <v>76</v>
      </c>
    </row>
    <row r="66" spans="1:16">
      <c r="A66" s="9" t="s">
        <v>225</v>
      </c>
      <c r="B66" s="15">
        <v>54.4554455445545</v>
      </c>
      <c r="C66" s="15">
        <v>54.4554455445545</v>
      </c>
      <c r="D66" s="26" t="s">
        <v>76</v>
      </c>
      <c r="E66" s="15">
        <v>56.603773584905703</v>
      </c>
      <c r="F66" s="15">
        <v>56.603773584905703</v>
      </c>
      <c r="G66" s="26" t="s">
        <v>76</v>
      </c>
      <c r="H66" s="15">
        <v>52.0833333333333</v>
      </c>
      <c r="I66" s="15">
        <v>52.0833333333333</v>
      </c>
      <c r="J66" s="26" t="s">
        <v>76</v>
      </c>
      <c r="K66" s="20" t="s">
        <v>76</v>
      </c>
      <c r="L66" s="20" t="s">
        <v>76</v>
      </c>
      <c r="M66" s="26" t="s">
        <v>76</v>
      </c>
      <c r="N66" s="20" t="s">
        <v>76</v>
      </c>
      <c r="O66" s="20" t="s">
        <v>76</v>
      </c>
      <c r="P66" s="26" t="s">
        <v>76</v>
      </c>
    </row>
    <row r="67" spans="1:16">
      <c r="A67" s="9" t="s">
        <v>226</v>
      </c>
      <c r="B67" s="15">
        <v>53.781512605042003</v>
      </c>
      <c r="C67" s="15">
        <v>53.781512605042003</v>
      </c>
      <c r="D67" s="26" t="s">
        <v>76</v>
      </c>
      <c r="E67" s="15">
        <v>59.375</v>
      </c>
      <c r="F67" s="15">
        <v>59.375</v>
      </c>
      <c r="G67" s="26" t="s">
        <v>76</v>
      </c>
      <c r="H67" s="15">
        <v>48.148148148148103</v>
      </c>
      <c r="I67" s="15">
        <v>48.148148148148103</v>
      </c>
      <c r="J67" s="26" t="s">
        <v>76</v>
      </c>
      <c r="K67" s="20" t="s">
        <v>76</v>
      </c>
      <c r="L67" s="20" t="s">
        <v>76</v>
      </c>
      <c r="M67" s="26" t="s">
        <v>76</v>
      </c>
      <c r="N67" s="20" t="s">
        <v>76</v>
      </c>
      <c r="O67" s="20" t="s">
        <v>76</v>
      </c>
      <c r="P67" s="26" t="s">
        <v>76</v>
      </c>
    </row>
    <row r="68" spans="1:16">
      <c r="A68" s="9" t="s">
        <v>227</v>
      </c>
      <c r="B68" s="15">
        <v>23.3333333333333</v>
      </c>
      <c r="C68" s="15">
        <v>23.3333333333333</v>
      </c>
      <c r="D68" s="26" t="s">
        <v>76</v>
      </c>
      <c r="E68" s="15">
        <v>21.052631578947398</v>
      </c>
      <c r="F68" s="15">
        <v>21.052631578947398</v>
      </c>
      <c r="G68" s="26" t="s">
        <v>76</v>
      </c>
      <c r="H68" s="15">
        <v>25</v>
      </c>
      <c r="I68" s="15">
        <v>25</v>
      </c>
      <c r="J68" s="26" t="s">
        <v>76</v>
      </c>
      <c r="K68" s="20" t="s">
        <v>76</v>
      </c>
      <c r="L68" s="20" t="s">
        <v>76</v>
      </c>
      <c r="M68" s="26" t="s">
        <v>76</v>
      </c>
      <c r="N68" s="20" t="s">
        <v>76</v>
      </c>
      <c r="O68" s="20" t="s">
        <v>76</v>
      </c>
      <c r="P68" s="26" t="s">
        <v>76</v>
      </c>
    </row>
    <row r="69" spans="1:16">
      <c r="A69" s="9" t="s">
        <v>228</v>
      </c>
      <c r="B69" s="20" t="s">
        <v>76</v>
      </c>
      <c r="C69" s="20" t="s">
        <v>76</v>
      </c>
      <c r="D69" s="26" t="s">
        <v>76</v>
      </c>
      <c r="E69" s="20" t="s">
        <v>76</v>
      </c>
      <c r="F69" s="20" t="s">
        <v>76</v>
      </c>
      <c r="G69" s="26" t="s">
        <v>76</v>
      </c>
      <c r="H69" s="20" t="s">
        <v>76</v>
      </c>
      <c r="I69" s="20" t="s">
        <v>76</v>
      </c>
      <c r="J69" s="26" t="s">
        <v>76</v>
      </c>
      <c r="K69" s="20" t="s">
        <v>76</v>
      </c>
      <c r="L69" s="20" t="s">
        <v>76</v>
      </c>
      <c r="M69" s="26" t="s">
        <v>76</v>
      </c>
      <c r="N69" s="20" t="s">
        <v>76</v>
      </c>
      <c r="O69" s="20" t="s">
        <v>76</v>
      </c>
      <c r="P69" s="26" t="s">
        <v>76</v>
      </c>
    </row>
    <row r="70" spans="1:16">
      <c r="A70" s="9" t="s">
        <v>229</v>
      </c>
      <c r="B70" s="15">
        <v>35.616438356164402</v>
      </c>
      <c r="C70" s="15">
        <v>35.616438356164402</v>
      </c>
      <c r="D70" s="26" t="s">
        <v>76</v>
      </c>
      <c r="E70" s="15">
        <v>42.5</v>
      </c>
      <c r="F70" s="15">
        <v>42.5</v>
      </c>
      <c r="G70" s="26" t="s">
        <v>76</v>
      </c>
      <c r="H70" s="15">
        <v>27.272727272727298</v>
      </c>
      <c r="I70" s="15">
        <v>27.272727272727298</v>
      </c>
      <c r="J70" s="26" t="s">
        <v>76</v>
      </c>
      <c r="K70" s="20" t="s">
        <v>76</v>
      </c>
      <c r="L70" s="20" t="s">
        <v>76</v>
      </c>
      <c r="M70" s="26" t="s">
        <v>76</v>
      </c>
      <c r="N70" s="20" t="s">
        <v>76</v>
      </c>
      <c r="O70" s="20" t="s">
        <v>76</v>
      </c>
      <c r="P70" s="26" t="s">
        <v>76</v>
      </c>
    </row>
    <row r="71" spans="1:16">
      <c r="A71" s="9" t="s">
        <v>230</v>
      </c>
      <c r="B71" s="15">
        <v>43.3333333333333</v>
      </c>
      <c r="C71" s="15">
        <v>43.3333333333333</v>
      </c>
      <c r="D71" s="26" t="s">
        <v>76</v>
      </c>
      <c r="E71" s="15">
        <v>50</v>
      </c>
      <c r="F71" s="15">
        <v>50</v>
      </c>
      <c r="G71" s="26" t="s">
        <v>76</v>
      </c>
      <c r="H71" s="15">
        <v>32.142857142857103</v>
      </c>
      <c r="I71" s="15">
        <v>32.142857142857103</v>
      </c>
      <c r="J71" s="26" t="s">
        <v>76</v>
      </c>
      <c r="K71" s="20" t="s">
        <v>76</v>
      </c>
      <c r="L71" s="20" t="s">
        <v>76</v>
      </c>
      <c r="M71" s="26" t="s">
        <v>76</v>
      </c>
      <c r="N71" s="20" t="s">
        <v>76</v>
      </c>
      <c r="O71" s="20" t="s">
        <v>76</v>
      </c>
      <c r="P71" s="26" t="s">
        <v>76</v>
      </c>
    </row>
    <row r="72" spans="1:16">
      <c r="A72" s="9" t="s">
        <v>231</v>
      </c>
      <c r="B72" s="15">
        <v>26.506024096385499</v>
      </c>
      <c r="C72" s="15">
        <v>26.506024096385499</v>
      </c>
      <c r="D72" s="26" t="s">
        <v>76</v>
      </c>
      <c r="E72" s="15">
        <v>33.3333333333333</v>
      </c>
      <c r="F72" s="15">
        <v>33.3333333333333</v>
      </c>
      <c r="G72" s="26" t="s">
        <v>76</v>
      </c>
      <c r="H72" s="15">
        <v>20.5128205128205</v>
      </c>
      <c r="I72" s="15">
        <v>20.5128205128205</v>
      </c>
      <c r="J72" s="26" t="s">
        <v>76</v>
      </c>
      <c r="K72" s="20" t="s">
        <v>76</v>
      </c>
      <c r="L72" s="20" t="s">
        <v>76</v>
      </c>
      <c r="M72" s="26" t="s">
        <v>76</v>
      </c>
      <c r="N72" s="20" t="s">
        <v>76</v>
      </c>
      <c r="O72" s="20" t="s">
        <v>76</v>
      </c>
      <c r="P72" s="26" t="s">
        <v>76</v>
      </c>
    </row>
    <row r="73" spans="1:16">
      <c r="A73" s="9" t="s">
        <v>232</v>
      </c>
      <c r="B73" s="15">
        <v>36.585365853658502</v>
      </c>
      <c r="C73" s="15">
        <v>36.585365853658502</v>
      </c>
      <c r="D73" s="26" t="s">
        <v>76</v>
      </c>
      <c r="E73" s="15">
        <v>31.578947368421101</v>
      </c>
      <c r="F73" s="15">
        <v>31.578947368421101</v>
      </c>
      <c r="G73" s="26" t="s">
        <v>76</v>
      </c>
      <c r="H73" s="15">
        <v>40.476190476190503</v>
      </c>
      <c r="I73" s="15">
        <v>40.476190476190503</v>
      </c>
      <c r="J73" s="26" t="s">
        <v>76</v>
      </c>
      <c r="K73" s="20" t="s">
        <v>76</v>
      </c>
      <c r="L73" s="20" t="s">
        <v>76</v>
      </c>
      <c r="M73" s="26" t="s">
        <v>76</v>
      </c>
      <c r="N73" s="20" t="s">
        <v>76</v>
      </c>
      <c r="O73" s="20" t="s">
        <v>76</v>
      </c>
      <c r="P73" s="26" t="s">
        <v>76</v>
      </c>
    </row>
    <row r="74" spans="1:16">
      <c r="A74" s="9" t="s">
        <v>233</v>
      </c>
      <c r="B74" s="15">
        <v>31.775700934579401</v>
      </c>
      <c r="C74" s="15">
        <v>31.775700934579401</v>
      </c>
      <c r="D74" s="26" t="s">
        <v>76</v>
      </c>
      <c r="E74" s="15">
        <v>36.507936507936499</v>
      </c>
      <c r="F74" s="15">
        <v>36.507936507936499</v>
      </c>
      <c r="G74" s="26" t="s">
        <v>76</v>
      </c>
      <c r="H74" s="15">
        <v>26.1904761904762</v>
      </c>
      <c r="I74" s="15">
        <v>26.1904761904762</v>
      </c>
      <c r="J74" s="26" t="s">
        <v>76</v>
      </c>
      <c r="K74" s="20" t="s">
        <v>76</v>
      </c>
      <c r="L74" s="20" t="s">
        <v>76</v>
      </c>
      <c r="M74" s="26" t="s">
        <v>76</v>
      </c>
      <c r="N74" s="20" t="s">
        <v>76</v>
      </c>
      <c r="O74" s="20" t="s">
        <v>76</v>
      </c>
      <c r="P74" s="26" t="s">
        <v>76</v>
      </c>
    </row>
    <row r="75" spans="1:16">
      <c r="A75" s="9" t="s">
        <v>234</v>
      </c>
      <c r="B75" s="15">
        <v>52.525252525252498</v>
      </c>
      <c r="C75" s="15">
        <v>52.525252525252498</v>
      </c>
      <c r="D75" s="26" t="s">
        <v>76</v>
      </c>
      <c r="E75" s="15">
        <v>49.019607843137301</v>
      </c>
      <c r="F75" s="15">
        <v>49.019607843137301</v>
      </c>
      <c r="G75" s="26" t="s">
        <v>76</v>
      </c>
      <c r="H75" s="15">
        <v>56.521739130434803</v>
      </c>
      <c r="I75" s="15">
        <v>56.521739130434803</v>
      </c>
      <c r="J75" s="26" t="s">
        <v>76</v>
      </c>
      <c r="K75" s="20" t="s">
        <v>76</v>
      </c>
      <c r="L75" s="20" t="s">
        <v>76</v>
      </c>
      <c r="M75" s="26" t="s">
        <v>76</v>
      </c>
      <c r="N75" s="20" t="s">
        <v>76</v>
      </c>
      <c r="O75" s="20" t="s">
        <v>76</v>
      </c>
      <c r="P75" s="26" t="s">
        <v>76</v>
      </c>
    </row>
    <row r="76" spans="1:16">
      <c r="A76" s="9" t="s">
        <v>235</v>
      </c>
      <c r="B76" s="15">
        <v>31.884057971014499</v>
      </c>
      <c r="C76" s="15">
        <v>31.884057971014499</v>
      </c>
      <c r="D76" s="26" t="s">
        <v>76</v>
      </c>
      <c r="E76" s="15">
        <v>33.3333333333333</v>
      </c>
      <c r="F76" s="15">
        <v>33.3333333333333</v>
      </c>
      <c r="G76" s="26" t="s">
        <v>76</v>
      </c>
      <c r="H76" s="15">
        <v>31.428571428571399</v>
      </c>
      <c r="I76" s="15">
        <v>31.428571428571399</v>
      </c>
      <c r="J76" s="26" t="s">
        <v>76</v>
      </c>
      <c r="K76" s="20" t="s">
        <v>76</v>
      </c>
      <c r="L76" s="20" t="s">
        <v>76</v>
      </c>
      <c r="M76" s="26" t="s">
        <v>76</v>
      </c>
      <c r="N76" s="20" t="s">
        <v>76</v>
      </c>
      <c r="O76" s="20" t="s">
        <v>76</v>
      </c>
      <c r="P76" s="26" t="s">
        <v>76</v>
      </c>
    </row>
    <row r="77" spans="1:16">
      <c r="A77" s="9" t="s">
        <v>236</v>
      </c>
      <c r="B77" s="15">
        <v>55.5555555555556</v>
      </c>
      <c r="C77" s="15">
        <v>55.5555555555556</v>
      </c>
      <c r="D77" s="26" t="s">
        <v>76</v>
      </c>
      <c r="E77" s="20" t="s">
        <v>76</v>
      </c>
      <c r="F77" s="20" t="s">
        <v>76</v>
      </c>
      <c r="G77" s="26" t="s">
        <v>76</v>
      </c>
      <c r="H77" s="20" t="s">
        <v>76</v>
      </c>
      <c r="I77" s="20" t="s">
        <v>76</v>
      </c>
      <c r="J77" s="26" t="s">
        <v>76</v>
      </c>
      <c r="K77" s="20" t="s">
        <v>76</v>
      </c>
      <c r="L77" s="20" t="s">
        <v>76</v>
      </c>
      <c r="M77" s="26" t="s">
        <v>76</v>
      </c>
      <c r="N77" s="20" t="s">
        <v>76</v>
      </c>
      <c r="O77" s="20" t="s">
        <v>76</v>
      </c>
      <c r="P77" s="26" t="s">
        <v>76</v>
      </c>
    </row>
    <row r="78" spans="1:16">
      <c r="A78" s="9" t="s">
        <v>237</v>
      </c>
      <c r="B78" s="15">
        <v>22.2222222222222</v>
      </c>
      <c r="C78" s="15">
        <v>22.2222222222222</v>
      </c>
      <c r="D78" s="26" t="s">
        <v>76</v>
      </c>
      <c r="E78" s="20" t="s">
        <v>76</v>
      </c>
      <c r="F78" s="20" t="s">
        <v>76</v>
      </c>
      <c r="G78" s="26" t="s">
        <v>76</v>
      </c>
      <c r="H78" s="15">
        <v>27.027027027027</v>
      </c>
      <c r="I78" s="15">
        <v>27.027027027027</v>
      </c>
      <c r="J78" s="26" t="s">
        <v>76</v>
      </c>
      <c r="K78" s="20" t="s">
        <v>76</v>
      </c>
      <c r="L78" s="20" t="s">
        <v>76</v>
      </c>
      <c r="M78" s="26" t="s">
        <v>76</v>
      </c>
      <c r="N78" s="20" t="s">
        <v>76</v>
      </c>
      <c r="O78" s="20" t="s">
        <v>76</v>
      </c>
      <c r="P78" s="26" t="s">
        <v>76</v>
      </c>
    </row>
    <row r="79" spans="1:16">
      <c r="A79" s="9" t="s">
        <v>238</v>
      </c>
      <c r="B79" s="15">
        <v>42.857142857142897</v>
      </c>
      <c r="C79" s="15">
        <v>42.857142857142897</v>
      </c>
      <c r="D79" s="26" t="s">
        <v>76</v>
      </c>
      <c r="E79" s="15">
        <v>42.857142857142897</v>
      </c>
      <c r="F79" s="15">
        <v>42.857142857142897</v>
      </c>
      <c r="G79" s="26" t="s">
        <v>76</v>
      </c>
      <c r="H79" s="15">
        <v>41.791044776119399</v>
      </c>
      <c r="I79" s="15">
        <v>41.791044776119399</v>
      </c>
      <c r="J79" s="26" t="s">
        <v>76</v>
      </c>
      <c r="K79" s="20" t="s">
        <v>76</v>
      </c>
      <c r="L79" s="20" t="s">
        <v>76</v>
      </c>
      <c r="M79" s="26" t="s">
        <v>76</v>
      </c>
      <c r="N79" s="20" t="s">
        <v>76</v>
      </c>
      <c r="O79" s="20" t="s">
        <v>76</v>
      </c>
      <c r="P79" s="26" t="s">
        <v>76</v>
      </c>
    </row>
    <row r="80" spans="1:16" ht="21.95" customHeight="1">
      <c r="A80" s="22" t="s">
        <v>239</v>
      </c>
      <c r="B80" s="15">
        <v>43.0023573545296</v>
      </c>
      <c r="C80" s="20" t="s">
        <v>76</v>
      </c>
      <c r="D80" s="24">
        <v>43.0023573545296</v>
      </c>
      <c r="E80" s="15">
        <v>47.684938088988503</v>
      </c>
      <c r="F80" s="20" t="s">
        <v>76</v>
      </c>
      <c r="G80" s="24">
        <v>47.684938088988503</v>
      </c>
      <c r="H80" s="15">
        <v>39.240763933604001</v>
      </c>
      <c r="I80" s="20" t="s">
        <v>76</v>
      </c>
      <c r="J80" s="24">
        <v>39.240763933604001</v>
      </c>
      <c r="K80" s="20" t="s">
        <v>76</v>
      </c>
      <c r="L80" s="20" t="s">
        <v>76</v>
      </c>
      <c r="M80" s="26" t="s">
        <v>76</v>
      </c>
      <c r="N80" s="20" t="s">
        <v>76</v>
      </c>
      <c r="O80" s="20" t="s">
        <v>76</v>
      </c>
      <c r="P80" s="26" t="s">
        <v>76</v>
      </c>
    </row>
    <row r="81" spans="1:16">
      <c r="A81" s="9" t="s">
        <v>240</v>
      </c>
      <c r="B81" s="15">
        <v>38.019169329073499</v>
      </c>
      <c r="C81" s="20" t="s">
        <v>76</v>
      </c>
      <c r="D81" s="24">
        <v>38.019169329073499</v>
      </c>
      <c r="E81" s="15">
        <v>42.603550295858</v>
      </c>
      <c r="F81" s="20" t="s">
        <v>76</v>
      </c>
      <c r="G81" s="24">
        <v>42.603550295858</v>
      </c>
      <c r="H81" s="15">
        <v>34.074074074074097</v>
      </c>
      <c r="I81" s="20" t="s">
        <v>76</v>
      </c>
      <c r="J81" s="24">
        <v>34.074074074074097</v>
      </c>
      <c r="K81" s="20" t="s">
        <v>76</v>
      </c>
      <c r="L81" s="20" t="s">
        <v>76</v>
      </c>
      <c r="M81" s="26" t="s">
        <v>76</v>
      </c>
      <c r="N81" s="20" t="s">
        <v>76</v>
      </c>
      <c r="O81" s="20" t="s">
        <v>76</v>
      </c>
      <c r="P81" s="26" t="s">
        <v>76</v>
      </c>
    </row>
    <row r="82" spans="1:16">
      <c r="A82" s="9" t="s">
        <v>241</v>
      </c>
      <c r="B82" s="15">
        <v>27.987421383647799</v>
      </c>
      <c r="C82" s="20" t="s">
        <v>76</v>
      </c>
      <c r="D82" s="24">
        <v>27.987421383647799</v>
      </c>
      <c r="E82" s="15">
        <v>33.121019108280301</v>
      </c>
      <c r="F82" s="20" t="s">
        <v>76</v>
      </c>
      <c r="G82" s="24">
        <v>33.121019108280301</v>
      </c>
      <c r="H82" s="15">
        <v>23.870967741935502</v>
      </c>
      <c r="I82" s="20" t="s">
        <v>76</v>
      </c>
      <c r="J82" s="24">
        <v>23.870967741935502</v>
      </c>
      <c r="K82" s="20" t="s">
        <v>76</v>
      </c>
      <c r="L82" s="20" t="s">
        <v>76</v>
      </c>
      <c r="M82" s="26" t="s">
        <v>76</v>
      </c>
      <c r="N82" s="20" t="s">
        <v>76</v>
      </c>
      <c r="O82" s="20" t="s">
        <v>76</v>
      </c>
      <c r="P82" s="26" t="s">
        <v>76</v>
      </c>
    </row>
    <row r="83" spans="1:16">
      <c r="A83" s="9" t="s">
        <v>242</v>
      </c>
      <c r="B83" s="15">
        <v>44.5161290322581</v>
      </c>
      <c r="C83" s="20" t="s">
        <v>76</v>
      </c>
      <c r="D83" s="24">
        <v>44.5161290322581</v>
      </c>
      <c r="E83" s="15">
        <v>47.252747252747199</v>
      </c>
      <c r="F83" s="20" t="s">
        <v>76</v>
      </c>
      <c r="G83" s="24">
        <v>47.252747252747199</v>
      </c>
      <c r="H83" s="15">
        <v>39.682539682539698</v>
      </c>
      <c r="I83" s="20" t="s">
        <v>76</v>
      </c>
      <c r="J83" s="24">
        <v>39.682539682539698</v>
      </c>
      <c r="K83" s="20" t="s">
        <v>76</v>
      </c>
      <c r="L83" s="20" t="s">
        <v>76</v>
      </c>
      <c r="M83" s="26" t="s">
        <v>76</v>
      </c>
      <c r="N83" s="20" t="s">
        <v>76</v>
      </c>
      <c r="O83" s="20" t="s">
        <v>76</v>
      </c>
      <c r="P83" s="26" t="s">
        <v>76</v>
      </c>
    </row>
    <row r="84" spans="1:16">
      <c r="A84" s="9" t="s">
        <v>243</v>
      </c>
      <c r="B84" s="20" t="s">
        <v>76</v>
      </c>
      <c r="C84" s="20" t="s">
        <v>76</v>
      </c>
      <c r="D84" s="26" t="s">
        <v>76</v>
      </c>
      <c r="E84" s="20" t="s">
        <v>76</v>
      </c>
      <c r="F84" s="20" t="s">
        <v>76</v>
      </c>
      <c r="G84" s="26" t="s">
        <v>76</v>
      </c>
      <c r="H84" s="20" t="s">
        <v>76</v>
      </c>
      <c r="I84" s="20" t="s">
        <v>76</v>
      </c>
      <c r="J84" s="26" t="s">
        <v>76</v>
      </c>
      <c r="K84" s="20" t="s">
        <v>76</v>
      </c>
      <c r="L84" s="20" t="s">
        <v>76</v>
      </c>
      <c r="M84" s="26" t="s">
        <v>76</v>
      </c>
      <c r="N84" s="20" t="s">
        <v>76</v>
      </c>
      <c r="O84" s="20" t="s">
        <v>76</v>
      </c>
      <c r="P84" s="26" t="s">
        <v>76</v>
      </c>
    </row>
    <row r="85" spans="1:16">
      <c r="A85" s="9" t="s">
        <v>244</v>
      </c>
      <c r="B85" s="15">
        <v>38.922155688622802</v>
      </c>
      <c r="C85" s="20" t="s">
        <v>76</v>
      </c>
      <c r="D85" s="24">
        <v>38.922155688622802</v>
      </c>
      <c r="E85" s="15">
        <v>44.171779141104302</v>
      </c>
      <c r="F85" s="20" t="s">
        <v>76</v>
      </c>
      <c r="G85" s="24">
        <v>44.171779141104302</v>
      </c>
      <c r="H85" s="15">
        <v>36.774193548387103</v>
      </c>
      <c r="I85" s="20" t="s">
        <v>76</v>
      </c>
      <c r="J85" s="24">
        <v>36.774193548387103</v>
      </c>
      <c r="K85" s="20" t="s">
        <v>76</v>
      </c>
      <c r="L85" s="20" t="s">
        <v>76</v>
      </c>
      <c r="M85" s="26" t="s">
        <v>76</v>
      </c>
      <c r="N85" s="20" t="s">
        <v>76</v>
      </c>
      <c r="O85" s="20" t="s">
        <v>76</v>
      </c>
      <c r="P85" s="26" t="s">
        <v>76</v>
      </c>
    </row>
    <row r="86" spans="1:16">
      <c r="A86" s="9" t="s">
        <v>245</v>
      </c>
      <c r="B86" s="15">
        <v>36.871508379888297</v>
      </c>
      <c r="C86" s="20" t="s">
        <v>76</v>
      </c>
      <c r="D86" s="24">
        <v>36.871508379888297</v>
      </c>
      <c r="E86" s="15">
        <v>35</v>
      </c>
      <c r="F86" s="20" t="s">
        <v>76</v>
      </c>
      <c r="G86" s="24">
        <v>35</v>
      </c>
      <c r="H86" s="15">
        <v>39.080459770114899</v>
      </c>
      <c r="I86" s="20" t="s">
        <v>76</v>
      </c>
      <c r="J86" s="24">
        <v>39.080459770114899</v>
      </c>
      <c r="K86" s="20" t="s">
        <v>76</v>
      </c>
      <c r="L86" s="20" t="s">
        <v>76</v>
      </c>
      <c r="M86" s="26" t="s">
        <v>76</v>
      </c>
      <c r="N86" s="20" t="s">
        <v>76</v>
      </c>
      <c r="O86" s="20" t="s">
        <v>76</v>
      </c>
      <c r="P86" s="26" t="s">
        <v>76</v>
      </c>
    </row>
    <row r="87" spans="1:16">
      <c r="A87" s="9" t="s">
        <v>246</v>
      </c>
      <c r="B87" s="15">
        <v>40.073529411764703</v>
      </c>
      <c r="C87" s="20" t="s">
        <v>76</v>
      </c>
      <c r="D87" s="24">
        <v>40.073529411764703</v>
      </c>
      <c r="E87" s="15">
        <v>42.142857142857103</v>
      </c>
      <c r="F87" s="20" t="s">
        <v>76</v>
      </c>
      <c r="G87" s="24">
        <v>42.142857142857103</v>
      </c>
      <c r="H87" s="15">
        <v>39.442231075697201</v>
      </c>
      <c r="I87" s="20" t="s">
        <v>76</v>
      </c>
      <c r="J87" s="24">
        <v>39.442231075697201</v>
      </c>
      <c r="K87" s="20" t="s">
        <v>76</v>
      </c>
      <c r="L87" s="20" t="s">
        <v>76</v>
      </c>
      <c r="M87" s="26" t="s">
        <v>76</v>
      </c>
      <c r="N87" s="20" t="s">
        <v>76</v>
      </c>
      <c r="O87" s="20" t="s">
        <v>76</v>
      </c>
      <c r="P87" s="26" t="s">
        <v>76</v>
      </c>
    </row>
    <row r="88" spans="1:16">
      <c r="A88" s="9" t="s">
        <v>247</v>
      </c>
      <c r="B88" s="15">
        <v>42.094455852156102</v>
      </c>
      <c r="C88" s="20" t="s">
        <v>76</v>
      </c>
      <c r="D88" s="24">
        <v>42.094455852156102</v>
      </c>
      <c r="E88" s="15">
        <v>45.627376425855502</v>
      </c>
      <c r="F88" s="20" t="s">
        <v>76</v>
      </c>
      <c r="G88" s="24">
        <v>45.627376425855502</v>
      </c>
      <c r="H88" s="15">
        <v>40.487804878048799</v>
      </c>
      <c r="I88" s="20" t="s">
        <v>76</v>
      </c>
      <c r="J88" s="24">
        <v>40.487804878048799</v>
      </c>
      <c r="K88" s="20" t="s">
        <v>76</v>
      </c>
      <c r="L88" s="20" t="s">
        <v>76</v>
      </c>
      <c r="M88" s="26" t="s">
        <v>76</v>
      </c>
      <c r="N88" s="20" t="s">
        <v>76</v>
      </c>
      <c r="O88" s="20" t="s">
        <v>76</v>
      </c>
      <c r="P88" s="26" t="s">
        <v>76</v>
      </c>
    </row>
    <row r="89" spans="1:16">
      <c r="A89" s="9" t="s">
        <v>248</v>
      </c>
      <c r="B89" s="15">
        <v>37.254901960784302</v>
      </c>
      <c r="C89" s="20" t="s">
        <v>76</v>
      </c>
      <c r="D89" s="24">
        <v>37.254901960784302</v>
      </c>
      <c r="E89" s="15">
        <v>39.669421487603302</v>
      </c>
      <c r="F89" s="20" t="s">
        <v>76</v>
      </c>
      <c r="G89" s="24">
        <v>39.669421487603302</v>
      </c>
      <c r="H89" s="15">
        <v>37.815126050420197</v>
      </c>
      <c r="I89" s="20" t="s">
        <v>76</v>
      </c>
      <c r="J89" s="24">
        <v>37.815126050420197</v>
      </c>
      <c r="K89" s="20" t="s">
        <v>76</v>
      </c>
      <c r="L89" s="20" t="s">
        <v>76</v>
      </c>
      <c r="M89" s="26" t="s">
        <v>76</v>
      </c>
      <c r="N89" s="20" t="s">
        <v>76</v>
      </c>
      <c r="O89" s="20" t="s">
        <v>76</v>
      </c>
      <c r="P89" s="26" t="s">
        <v>76</v>
      </c>
    </row>
    <row r="90" spans="1:16">
      <c r="A90" s="9" t="s">
        <v>249</v>
      </c>
      <c r="B90" s="15">
        <v>47.982062780269104</v>
      </c>
      <c r="C90" s="20" t="s">
        <v>76</v>
      </c>
      <c r="D90" s="24">
        <v>47.982062780269104</v>
      </c>
      <c r="E90" s="15">
        <v>58.490566037735803</v>
      </c>
      <c r="F90" s="20" t="s">
        <v>76</v>
      </c>
      <c r="G90" s="24">
        <v>58.490566037735803</v>
      </c>
      <c r="H90" s="15">
        <v>38.738738738738697</v>
      </c>
      <c r="I90" s="20" t="s">
        <v>76</v>
      </c>
      <c r="J90" s="24">
        <v>38.738738738738697</v>
      </c>
      <c r="K90" s="20" t="s">
        <v>76</v>
      </c>
      <c r="L90" s="20" t="s">
        <v>76</v>
      </c>
      <c r="M90" s="26" t="s">
        <v>76</v>
      </c>
      <c r="N90" s="20" t="s">
        <v>76</v>
      </c>
      <c r="O90" s="20" t="s">
        <v>76</v>
      </c>
      <c r="P90" s="26" t="s">
        <v>76</v>
      </c>
    </row>
    <row r="91" spans="1:16">
      <c r="A91" s="9" t="s">
        <v>250</v>
      </c>
      <c r="B91" s="15">
        <v>52.575757575757599</v>
      </c>
      <c r="C91" s="20" t="s">
        <v>76</v>
      </c>
      <c r="D91" s="24">
        <v>52.575757575757599</v>
      </c>
      <c r="E91" s="15">
        <v>60.912052117263798</v>
      </c>
      <c r="F91" s="20" t="s">
        <v>76</v>
      </c>
      <c r="G91" s="24">
        <v>60.912052117263798</v>
      </c>
      <c r="H91" s="15">
        <v>45.110410094637203</v>
      </c>
      <c r="I91" s="20" t="s">
        <v>76</v>
      </c>
      <c r="J91" s="24">
        <v>45.110410094637203</v>
      </c>
      <c r="K91" s="15">
        <v>55.5555555555556</v>
      </c>
      <c r="L91" s="20" t="s">
        <v>76</v>
      </c>
      <c r="M91" s="24">
        <v>55.5555555555556</v>
      </c>
      <c r="N91" s="15">
        <v>38.8888888888889</v>
      </c>
      <c r="O91" s="20" t="s">
        <v>76</v>
      </c>
      <c r="P91" s="24">
        <v>38.8888888888889</v>
      </c>
    </row>
    <row r="92" spans="1:16">
      <c r="A92" s="11" t="s">
        <v>251</v>
      </c>
      <c r="B92" s="16">
        <v>55.674518201284798</v>
      </c>
      <c r="C92" s="28" t="s">
        <v>76</v>
      </c>
      <c r="D92" s="25">
        <v>55.674518201284798</v>
      </c>
      <c r="E92" s="16">
        <v>55.696202531645604</v>
      </c>
      <c r="F92" s="28" t="s">
        <v>76</v>
      </c>
      <c r="G92" s="25">
        <v>55.696202531645604</v>
      </c>
      <c r="H92" s="16">
        <v>56.053811659192803</v>
      </c>
      <c r="I92" s="28" t="s">
        <v>76</v>
      </c>
      <c r="J92" s="25">
        <v>56.053811659192803</v>
      </c>
      <c r="K92" s="28" t="s">
        <v>76</v>
      </c>
      <c r="L92" s="28" t="s">
        <v>76</v>
      </c>
      <c r="M92" s="29" t="s">
        <v>76</v>
      </c>
      <c r="N92" s="28" t="s">
        <v>76</v>
      </c>
      <c r="O92" s="28" t="s">
        <v>76</v>
      </c>
      <c r="P92" s="29" t="s">
        <v>76</v>
      </c>
    </row>
    <row r="93" spans="1:16" ht="30" customHeight="1">
      <c r="A93" t="s">
        <v>252</v>
      </c>
    </row>
    <row r="94" spans="1:16">
      <c r="A94" t="s">
        <v>143</v>
      </c>
    </row>
    <row r="95" spans="1:16">
      <c r="A95" t="s">
        <v>144</v>
      </c>
    </row>
    <row r="96" spans="1:16">
      <c r="A96" t="s">
        <v>145</v>
      </c>
    </row>
    <row r="97" spans="1:1">
      <c r="A97" t="s">
        <v>146</v>
      </c>
    </row>
    <row r="98" spans="1:1">
      <c r="A98" t="s">
        <v>147</v>
      </c>
    </row>
    <row r="99" spans="1:1">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9"/>
  <sheetViews>
    <sheetView zoomScale="70" workbookViewId="0"/>
  </sheetViews>
  <sheetFormatPr defaultColWidth="10.88671875" defaultRowHeight="15"/>
  <cols>
    <col min="1" max="1" width="51.6640625" customWidth="1"/>
    <col min="2" max="5" width="15.88671875" customWidth="1"/>
  </cols>
  <sheetData>
    <row r="1" spans="1:5" ht="39.950000000000003" customHeight="1">
      <c r="A1" s="10" t="s">
        <v>253</v>
      </c>
      <c r="B1" s="12"/>
      <c r="C1" s="12"/>
      <c r="D1" s="12"/>
      <c r="E1" s="12"/>
    </row>
    <row r="2" spans="1:5" ht="30">
      <c r="A2" s="7" t="s">
        <v>52</v>
      </c>
      <c r="B2" s="6" t="s">
        <v>149</v>
      </c>
      <c r="C2" s="6" t="s">
        <v>150</v>
      </c>
      <c r="D2" s="6" t="s">
        <v>151</v>
      </c>
      <c r="E2" s="8" t="s">
        <v>152</v>
      </c>
    </row>
    <row r="3" spans="1:5" ht="21.95" customHeight="1">
      <c r="A3" s="22" t="s">
        <v>68</v>
      </c>
      <c r="B3" s="15">
        <v>35.541075826307697</v>
      </c>
      <c r="C3" s="15">
        <v>11.8395129915867</v>
      </c>
      <c r="D3" s="15">
        <v>13.149297573829401</v>
      </c>
      <c r="E3" s="24">
        <v>39.470113608276201</v>
      </c>
    </row>
    <row r="4" spans="1:5" ht="21.95" customHeight="1">
      <c r="A4" s="22" t="s">
        <v>69</v>
      </c>
      <c r="B4" s="15">
        <v>33.854688614232302</v>
      </c>
      <c r="C4" s="15">
        <v>11.273237644932401</v>
      </c>
      <c r="D4" s="15">
        <v>12.870961824108701</v>
      </c>
      <c r="E4" s="24">
        <v>42.0011119167266</v>
      </c>
    </row>
    <row r="5" spans="1:5" ht="21.95" customHeight="1">
      <c r="A5" s="22" t="s">
        <v>70</v>
      </c>
      <c r="B5" s="15">
        <v>34.612344929590101</v>
      </c>
      <c r="C5" s="15">
        <v>11.5242398042388</v>
      </c>
      <c r="D5" s="15">
        <v>13.3536013377995</v>
      </c>
      <c r="E5" s="24">
        <v>40.509813928371599</v>
      </c>
    </row>
    <row r="6" spans="1:5" ht="21.95" customHeight="1">
      <c r="A6" s="22" t="s">
        <v>165</v>
      </c>
      <c r="B6" s="15">
        <v>32.757990098206101</v>
      </c>
      <c r="C6" s="15">
        <v>14.323034343245901</v>
      </c>
      <c r="D6" s="15">
        <v>15.495632611190601</v>
      </c>
      <c r="E6" s="24">
        <v>37.423342947357398</v>
      </c>
    </row>
    <row r="7" spans="1:5">
      <c r="A7" s="9" t="s">
        <v>166</v>
      </c>
      <c r="B7" s="15">
        <v>41.176470588235297</v>
      </c>
      <c r="C7" s="15">
        <v>29.411764705882401</v>
      </c>
      <c r="D7" s="20" t="s">
        <v>76</v>
      </c>
      <c r="E7" s="26" t="s">
        <v>76</v>
      </c>
    </row>
    <row r="8" spans="1:5">
      <c r="A8" s="9" t="s">
        <v>167</v>
      </c>
      <c r="B8" s="15">
        <v>58.823529411764703</v>
      </c>
      <c r="C8" s="20" t="s">
        <v>76</v>
      </c>
      <c r="D8" s="20" t="s">
        <v>76</v>
      </c>
      <c r="E8" s="26" t="s">
        <v>76</v>
      </c>
    </row>
    <row r="9" spans="1:5">
      <c r="A9" s="9" t="s">
        <v>168</v>
      </c>
      <c r="B9" s="20" t="s">
        <v>76</v>
      </c>
      <c r="C9" s="15">
        <v>39.130434782608702</v>
      </c>
      <c r="D9" s="20" t="s">
        <v>76</v>
      </c>
      <c r="E9" s="24">
        <v>34.7826086956522</v>
      </c>
    </row>
    <row r="10" spans="1:5">
      <c r="A10" s="9" t="s">
        <v>169</v>
      </c>
      <c r="B10" s="20" t="s">
        <v>76</v>
      </c>
      <c r="C10" s="20" t="s">
        <v>76</v>
      </c>
      <c r="D10" s="20" t="s">
        <v>76</v>
      </c>
      <c r="E10" s="24">
        <v>60</v>
      </c>
    </row>
    <row r="11" spans="1:5">
      <c r="A11" s="9" t="s">
        <v>170</v>
      </c>
      <c r="B11" s="15">
        <v>43.0555555555556</v>
      </c>
      <c r="C11" s="15">
        <v>15.2777777777778</v>
      </c>
      <c r="D11" s="15">
        <v>10.4166666666667</v>
      </c>
      <c r="E11" s="24">
        <v>31.25</v>
      </c>
    </row>
    <row r="12" spans="1:5">
      <c r="A12" s="9" t="s">
        <v>171</v>
      </c>
      <c r="B12" s="15">
        <v>15.384615384615399</v>
      </c>
      <c r="C12" s="15">
        <v>17.948717948717899</v>
      </c>
      <c r="D12" s="15">
        <v>30.769230769230798</v>
      </c>
      <c r="E12" s="24">
        <v>35.897435897435898</v>
      </c>
    </row>
    <row r="13" spans="1:5">
      <c r="A13" s="9" t="s">
        <v>172</v>
      </c>
      <c r="B13" s="15">
        <v>32.786885245901601</v>
      </c>
      <c r="C13" s="15">
        <v>19.672131147540998</v>
      </c>
      <c r="D13" s="15">
        <v>19.672131147540998</v>
      </c>
      <c r="E13" s="24">
        <v>27.868852459016399</v>
      </c>
    </row>
    <row r="14" spans="1:5">
      <c r="A14" s="9" t="s">
        <v>173</v>
      </c>
      <c r="B14" s="15">
        <v>30.2631578947368</v>
      </c>
      <c r="C14" s="15">
        <v>11.842105263157899</v>
      </c>
      <c r="D14" s="15">
        <v>19.7368421052632</v>
      </c>
      <c r="E14" s="24">
        <v>38.157894736842103</v>
      </c>
    </row>
    <row r="15" spans="1:5">
      <c r="A15" s="9" t="s">
        <v>174</v>
      </c>
      <c r="B15" s="15">
        <v>16.470588235294102</v>
      </c>
      <c r="C15" s="15">
        <v>7.0588235294117601</v>
      </c>
      <c r="D15" s="15">
        <v>16.470588235294102</v>
      </c>
      <c r="E15" s="24">
        <v>60</v>
      </c>
    </row>
    <row r="16" spans="1:5">
      <c r="A16" s="9" t="s">
        <v>175</v>
      </c>
      <c r="B16" s="15">
        <v>16.2790697674419</v>
      </c>
      <c r="C16" s="15">
        <v>13.953488372093</v>
      </c>
      <c r="D16" s="15">
        <v>27.906976744186</v>
      </c>
      <c r="E16" s="24">
        <v>41.860465116279101</v>
      </c>
    </row>
    <row r="17" spans="1:5">
      <c r="A17" s="9" t="s">
        <v>176</v>
      </c>
      <c r="B17" s="15">
        <v>29.577464788732399</v>
      </c>
      <c r="C17" s="15">
        <v>16.901408450704199</v>
      </c>
      <c r="D17" s="15">
        <v>18.309859154929601</v>
      </c>
      <c r="E17" s="24">
        <v>35.2112676056338</v>
      </c>
    </row>
    <row r="18" spans="1:5">
      <c r="A18" s="9" t="s">
        <v>177</v>
      </c>
      <c r="B18" s="15">
        <v>42.253521126760603</v>
      </c>
      <c r="C18" s="15">
        <v>15.492957746478901</v>
      </c>
      <c r="D18" s="15">
        <v>14.084507042253501</v>
      </c>
      <c r="E18" s="24">
        <v>28.169014084507001</v>
      </c>
    </row>
    <row r="19" spans="1:5">
      <c r="A19" s="9" t="s">
        <v>178</v>
      </c>
      <c r="B19" s="15">
        <v>73.076923076923094</v>
      </c>
      <c r="C19" s="15">
        <v>19.230769230769202</v>
      </c>
      <c r="D19" s="20" t="s">
        <v>76</v>
      </c>
      <c r="E19" s="26" t="s">
        <v>76</v>
      </c>
    </row>
    <row r="20" spans="1:5">
      <c r="A20" s="9" t="s">
        <v>179</v>
      </c>
      <c r="B20" s="15">
        <v>26.829268292682901</v>
      </c>
      <c r="C20" s="15">
        <v>26.829268292682901</v>
      </c>
      <c r="D20" s="15">
        <v>24.390243902439</v>
      </c>
      <c r="E20" s="24">
        <v>21.951219512195099</v>
      </c>
    </row>
    <row r="21" spans="1:5">
      <c r="A21" s="9" t="s">
        <v>180</v>
      </c>
      <c r="B21" s="15">
        <v>37.5</v>
      </c>
      <c r="C21" s="15">
        <v>12.5</v>
      </c>
      <c r="D21" s="15">
        <v>20.8333333333333</v>
      </c>
      <c r="E21" s="24">
        <v>29.1666666666667</v>
      </c>
    </row>
    <row r="22" spans="1:5">
      <c r="A22" s="9" t="s">
        <v>181</v>
      </c>
      <c r="B22" s="20" t="s">
        <v>76</v>
      </c>
      <c r="C22" s="20" t="s">
        <v>76</v>
      </c>
      <c r="D22" s="20" t="s">
        <v>76</v>
      </c>
      <c r="E22" s="24">
        <v>61.904761904761898</v>
      </c>
    </row>
    <row r="23" spans="1:5">
      <c r="A23" s="9" t="s">
        <v>182</v>
      </c>
      <c r="B23" s="15">
        <v>52.941176470588204</v>
      </c>
      <c r="C23" s="20" t="s">
        <v>76</v>
      </c>
      <c r="D23" s="20" t="s">
        <v>76</v>
      </c>
      <c r="E23" s="24">
        <v>26.470588235294102</v>
      </c>
    </row>
    <row r="24" spans="1:5">
      <c r="A24" s="9" t="s">
        <v>183</v>
      </c>
      <c r="B24" s="15">
        <v>55.932203389830498</v>
      </c>
      <c r="C24" s="15">
        <v>15.254237288135601</v>
      </c>
      <c r="D24" s="20" t="s">
        <v>76</v>
      </c>
      <c r="E24" s="24">
        <v>22.033898305084701</v>
      </c>
    </row>
    <row r="25" spans="1:5">
      <c r="A25" s="9" t="s">
        <v>184</v>
      </c>
      <c r="B25" s="15">
        <v>38.461538461538503</v>
      </c>
      <c r="C25" s="20" t="s">
        <v>76</v>
      </c>
      <c r="D25" s="20" t="s">
        <v>76</v>
      </c>
      <c r="E25" s="24">
        <v>46.153846153846203</v>
      </c>
    </row>
    <row r="26" spans="1:5">
      <c r="A26" s="9" t="s">
        <v>185</v>
      </c>
      <c r="B26" s="20" t="s">
        <v>76</v>
      </c>
      <c r="C26" s="20" t="s">
        <v>76</v>
      </c>
      <c r="D26" s="20" t="s">
        <v>76</v>
      </c>
      <c r="E26" s="26" t="s">
        <v>76</v>
      </c>
    </row>
    <row r="27" spans="1:5">
      <c r="A27" s="9" t="s">
        <v>186</v>
      </c>
      <c r="B27" s="15">
        <v>30.769230769230798</v>
      </c>
      <c r="C27" s="15">
        <v>21.794871794871799</v>
      </c>
      <c r="D27" s="15">
        <v>19.230769230769202</v>
      </c>
      <c r="E27" s="24">
        <v>28.205128205128201</v>
      </c>
    </row>
    <row r="28" spans="1:5">
      <c r="A28" s="9" t="s">
        <v>187</v>
      </c>
      <c r="B28" s="15">
        <v>24.7706422018349</v>
      </c>
      <c r="C28" s="15">
        <v>15.5963302752294</v>
      </c>
      <c r="D28" s="15">
        <v>15.5963302752294</v>
      </c>
      <c r="E28" s="24">
        <v>44.0366972477064</v>
      </c>
    </row>
    <row r="29" spans="1:5">
      <c r="A29" s="9" t="s">
        <v>188</v>
      </c>
      <c r="B29" s="15">
        <v>16.176470588235301</v>
      </c>
      <c r="C29" s="15">
        <v>20.588235294117599</v>
      </c>
      <c r="D29" s="15">
        <v>16.176470588235301</v>
      </c>
      <c r="E29" s="24">
        <v>47.058823529411796</v>
      </c>
    </row>
    <row r="30" spans="1:5">
      <c r="A30" s="9" t="s">
        <v>189</v>
      </c>
      <c r="B30" s="15">
        <v>30.303030303030301</v>
      </c>
      <c r="C30" s="15">
        <v>15.1515151515152</v>
      </c>
      <c r="D30" s="15">
        <v>15.1515151515152</v>
      </c>
      <c r="E30" s="24">
        <v>39.393939393939398</v>
      </c>
    </row>
    <row r="31" spans="1:5">
      <c r="A31" s="9" t="s">
        <v>190</v>
      </c>
      <c r="B31" s="15">
        <v>15.625</v>
      </c>
      <c r="C31" s="20" t="s">
        <v>76</v>
      </c>
      <c r="D31" s="20" t="s">
        <v>76</v>
      </c>
      <c r="E31" s="24">
        <v>71.875</v>
      </c>
    </row>
    <row r="32" spans="1:5">
      <c r="A32" s="9" t="s">
        <v>191</v>
      </c>
      <c r="B32" s="15">
        <v>18.518518518518501</v>
      </c>
      <c r="C32" s="15">
        <v>22.2222222222222</v>
      </c>
      <c r="D32" s="15">
        <v>25.925925925925899</v>
      </c>
      <c r="E32" s="24">
        <v>33.3333333333333</v>
      </c>
    </row>
    <row r="33" spans="1:5">
      <c r="A33" s="9" t="s">
        <v>192</v>
      </c>
      <c r="B33" s="15">
        <v>35.714285714285701</v>
      </c>
      <c r="C33" s="20" t="s">
        <v>76</v>
      </c>
      <c r="D33" s="20" t="s">
        <v>76</v>
      </c>
      <c r="E33" s="24">
        <v>35.714285714285701</v>
      </c>
    </row>
    <row r="34" spans="1:5">
      <c r="A34" s="9" t="s">
        <v>193</v>
      </c>
      <c r="B34" s="15">
        <v>41.904761904761898</v>
      </c>
      <c r="C34" s="15">
        <v>8.5714285714285694</v>
      </c>
      <c r="D34" s="15">
        <v>16.1904761904762</v>
      </c>
      <c r="E34" s="24">
        <v>33.3333333333333</v>
      </c>
    </row>
    <row r="35" spans="1:5">
      <c r="A35" s="9" t="s">
        <v>194</v>
      </c>
      <c r="B35" s="15">
        <v>28.571428571428601</v>
      </c>
      <c r="C35" s="15">
        <v>10.714285714285699</v>
      </c>
      <c r="D35" s="15">
        <v>14.285714285714301</v>
      </c>
      <c r="E35" s="24">
        <v>46.428571428571402</v>
      </c>
    </row>
    <row r="36" spans="1:5">
      <c r="A36" s="9" t="s">
        <v>195</v>
      </c>
      <c r="B36" s="15">
        <v>83.3333333333333</v>
      </c>
      <c r="C36" s="20" t="s">
        <v>76</v>
      </c>
      <c r="D36" s="20" t="s">
        <v>76</v>
      </c>
      <c r="E36" s="26" t="s">
        <v>76</v>
      </c>
    </row>
    <row r="37" spans="1:5">
      <c r="A37" s="9" t="s">
        <v>196</v>
      </c>
      <c r="B37" s="15">
        <v>31.531531531531499</v>
      </c>
      <c r="C37" s="15">
        <v>13.5135135135135</v>
      </c>
      <c r="D37" s="15">
        <v>13.5135135135135</v>
      </c>
      <c r="E37" s="24">
        <v>41.441441441441398</v>
      </c>
    </row>
    <row r="38" spans="1:5">
      <c r="A38" s="9" t="s">
        <v>197</v>
      </c>
      <c r="B38" s="15">
        <v>26.6666666666667</v>
      </c>
      <c r="C38" s="20" t="s">
        <v>76</v>
      </c>
      <c r="D38" s="20" t="s">
        <v>76</v>
      </c>
      <c r="E38" s="24">
        <v>56.6666666666667</v>
      </c>
    </row>
    <row r="39" spans="1:5">
      <c r="A39" s="9" t="s">
        <v>198</v>
      </c>
      <c r="B39" s="15">
        <v>41.1111111111111</v>
      </c>
      <c r="C39" s="15">
        <v>15.5555555555556</v>
      </c>
      <c r="D39" s="15">
        <v>13.3333333333333</v>
      </c>
      <c r="E39" s="24">
        <v>30</v>
      </c>
    </row>
    <row r="40" spans="1:5">
      <c r="A40" s="9" t="s">
        <v>199</v>
      </c>
      <c r="B40" s="15">
        <v>28.125</v>
      </c>
      <c r="C40" s="15">
        <v>9.375</v>
      </c>
      <c r="D40" s="15">
        <v>17.1875</v>
      </c>
      <c r="E40" s="24">
        <v>45.3125</v>
      </c>
    </row>
    <row r="41" spans="1:5">
      <c r="A41" s="9" t="s">
        <v>200</v>
      </c>
      <c r="B41" s="20" t="s">
        <v>76</v>
      </c>
      <c r="C41" s="20" t="s">
        <v>76</v>
      </c>
      <c r="D41" s="20" t="s">
        <v>76</v>
      </c>
      <c r="E41" s="26" t="s">
        <v>76</v>
      </c>
    </row>
    <row r="42" spans="1:5">
      <c r="A42" s="9" t="s">
        <v>201</v>
      </c>
      <c r="B42" s="15">
        <v>40</v>
      </c>
      <c r="C42" s="15">
        <v>15</v>
      </c>
      <c r="D42" s="20" t="s">
        <v>76</v>
      </c>
      <c r="E42" s="24">
        <v>35</v>
      </c>
    </row>
    <row r="43" spans="1:5">
      <c r="A43" s="9" t="s">
        <v>202</v>
      </c>
      <c r="B43" s="15">
        <v>25.974025974025999</v>
      </c>
      <c r="C43" s="15">
        <v>16.883116883116902</v>
      </c>
      <c r="D43" s="15">
        <v>20.7792207792208</v>
      </c>
      <c r="E43" s="24">
        <v>36.363636363636402</v>
      </c>
    </row>
    <row r="44" spans="1:5">
      <c r="A44" s="9" t="s">
        <v>203</v>
      </c>
      <c r="B44" s="15">
        <v>30.769230769230798</v>
      </c>
      <c r="C44" s="15">
        <v>23.076923076923102</v>
      </c>
      <c r="D44" s="15">
        <v>15.384615384615399</v>
      </c>
      <c r="E44" s="24">
        <v>30.769230769230798</v>
      </c>
    </row>
    <row r="45" spans="1:5">
      <c r="A45" s="9" t="s">
        <v>204</v>
      </c>
      <c r="B45" s="15">
        <v>30.909090909090899</v>
      </c>
      <c r="C45" s="15">
        <v>25.454545454545499</v>
      </c>
      <c r="D45" s="15">
        <v>16.363636363636399</v>
      </c>
      <c r="E45" s="24">
        <v>27.272727272727298</v>
      </c>
    </row>
    <row r="46" spans="1:5">
      <c r="A46" s="9" t="s">
        <v>205</v>
      </c>
      <c r="B46" s="20" t="s">
        <v>76</v>
      </c>
      <c r="C46" s="20" t="s">
        <v>76</v>
      </c>
      <c r="D46" s="20" t="s">
        <v>76</v>
      </c>
      <c r="E46" s="24">
        <v>45.454545454545503</v>
      </c>
    </row>
    <row r="47" spans="1:5">
      <c r="A47" s="9" t="s">
        <v>206</v>
      </c>
      <c r="B47" s="15">
        <v>32.307692307692299</v>
      </c>
      <c r="C47" s="15">
        <v>10.7692307692308</v>
      </c>
      <c r="D47" s="15">
        <v>20</v>
      </c>
      <c r="E47" s="24">
        <v>36.923076923076898</v>
      </c>
    </row>
    <row r="48" spans="1:5">
      <c r="A48" s="9" t="s">
        <v>207</v>
      </c>
      <c r="B48" s="15">
        <v>38.775510204081598</v>
      </c>
      <c r="C48" s="20" t="s">
        <v>76</v>
      </c>
      <c r="D48" s="15">
        <v>30.612244897959201</v>
      </c>
      <c r="E48" s="24">
        <v>26.530612244897998</v>
      </c>
    </row>
    <row r="49" spans="1:5">
      <c r="A49" s="9" t="s">
        <v>208</v>
      </c>
      <c r="B49" s="15">
        <v>35.616438356164402</v>
      </c>
      <c r="C49" s="15">
        <v>13.698630136986299</v>
      </c>
      <c r="D49" s="15">
        <v>17.808219178082201</v>
      </c>
      <c r="E49" s="24">
        <v>32.876712328767098</v>
      </c>
    </row>
    <row r="50" spans="1:5">
      <c r="A50" s="9" t="s">
        <v>209</v>
      </c>
      <c r="B50" s="15">
        <v>42.241379310344797</v>
      </c>
      <c r="C50" s="15">
        <v>25</v>
      </c>
      <c r="D50" s="15">
        <v>13.7931034482759</v>
      </c>
      <c r="E50" s="24">
        <v>18.965517241379299</v>
      </c>
    </row>
    <row r="51" spans="1:5">
      <c r="A51" s="9" t="s">
        <v>210</v>
      </c>
      <c r="B51" s="20" t="s">
        <v>76</v>
      </c>
      <c r="C51" s="20" t="s">
        <v>76</v>
      </c>
      <c r="D51" s="15">
        <v>37.5</v>
      </c>
      <c r="E51" s="24">
        <v>31.25</v>
      </c>
    </row>
    <row r="52" spans="1:5">
      <c r="A52" s="9" t="s">
        <v>211</v>
      </c>
      <c r="B52" s="15">
        <v>31.428571428571399</v>
      </c>
      <c r="C52" s="15">
        <v>20</v>
      </c>
      <c r="D52" s="15">
        <v>14.285714285714301</v>
      </c>
      <c r="E52" s="24">
        <v>34.285714285714299</v>
      </c>
    </row>
    <row r="53" spans="1:5">
      <c r="A53" s="9" t="s">
        <v>212</v>
      </c>
      <c r="B53" s="20" t="s">
        <v>76</v>
      </c>
      <c r="C53" s="15">
        <v>18</v>
      </c>
      <c r="D53" s="15">
        <v>20</v>
      </c>
      <c r="E53" s="24">
        <v>56</v>
      </c>
    </row>
    <row r="54" spans="1:5">
      <c r="A54" s="9" t="s">
        <v>213</v>
      </c>
      <c r="B54" s="15">
        <v>47.169811320754697</v>
      </c>
      <c r="C54" s="15">
        <v>13.207547169811299</v>
      </c>
      <c r="D54" s="15">
        <v>13.207547169811299</v>
      </c>
      <c r="E54" s="24">
        <v>26.415094339622598</v>
      </c>
    </row>
    <row r="55" spans="1:5">
      <c r="A55" s="9" t="s">
        <v>214</v>
      </c>
      <c r="B55" s="15">
        <v>23.880597014925399</v>
      </c>
      <c r="C55" s="15">
        <v>13.4328358208955</v>
      </c>
      <c r="D55" s="15">
        <v>11.9402985074627</v>
      </c>
      <c r="E55" s="24">
        <v>50.746268656716403</v>
      </c>
    </row>
    <row r="56" spans="1:5">
      <c r="A56" s="9" t="s">
        <v>215</v>
      </c>
      <c r="B56" s="15">
        <v>28.3783783783784</v>
      </c>
      <c r="C56" s="15">
        <v>16.2162162162162</v>
      </c>
      <c r="D56" s="15">
        <v>18.918918918918902</v>
      </c>
      <c r="E56" s="24">
        <v>36.486486486486498</v>
      </c>
    </row>
    <row r="57" spans="1:5">
      <c r="A57" s="9" t="s">
        <v>216</v>
      </c>
      <c r="B57" s="15">
        <v>32.051282051282101</v>
      </c>
      <c r="C57" s="15">
        <v>8.9743589743589691</v>
      </c>
      <c r="D57" s="15">
        <v>20.5128205128205</v>
      </c>
      <c r="E57" s="24">
        <v>38.461538461538503</v>
      </c>
    </row>
    <row r="58" spans="1:5">
      <c r="A58" s="9" t="s">
        <v>217</v>
      </c>
      <c r="B58" s="15">
        <v>8.6206896551724093</v>
      </c>
      <c r="C58" s="15">
        <v>15.517241379310301</v>
      </c>
      <c r="D58" s="15">
        <v>25.862068965517199</v>
      </c>
      <c r="E58" s="24">
        <v>50</v>
      </c>
    </row>
    <row r="59" spans="1:5">
      <c r="A59" s="9" t="s">
        <v>218</v>
      </c>
      <c r="B59" s="15">
        <v>45.783132530120497</v>
      </c>
      <c r="C59" s="15">
        <v>10.8433734939759</v>
      </c>
      <c r="D59" s="15">
        <v>12.048192771084301</v>
      </c>
      <c r="E59" s="24">
        <v>31.325301204819301</v>
      </c>
    </row>
    <row r="60" spans="1:5">
      <c r="A60" s="9" t="s">
        <v>219</v>
      </c>
      <c r="B60" s="15">
        <v>11.9402985074627</v>
      </c>
      <c r="C60" s="15">
        <v>16.417910447761201</v>
      </c>
      <c r="D60" s="15">
        <v>25.373134328358201</v>
      </c>
      <c r="E60" s="24">
        <v>46.268656716417901</v>
      </c>
    </row>
    <row r="61" spans="1:5">
      <c r="A61" s="9" t="s">
        <v>220</v>
      </c>
      <c r="B61" s="20" t="s">
        <v>76</v>
      </c>
      <c r="C61" s="20" t="s">
        <v>76</v>
      </c>
      <c r="D61" s="15">
        <v>20.8333333333333</v>
      </c>
      <c r="E61" s="24">
        <v>54.1666666666667</v>
      </c>
    </row>
    <row r="62" spans="1:5">
      <c r="A62" s="9" t="s">
        <v>221</v>
      </c>
      <c r="B62" s="20" t="s">
        <v>76</v>
      </c>
      <c r="C62" s="20" t="s">
        <v>76</v>
      </c>
      <c r="D62" s="20" t="s">
        <v>76</v>
      </c>
      <c r="E62" s="24">
        <v>42.105263157894697</v>
      </c>
    </row>
    <row r="63" spans="1:5">
      <c r="A63" s="9" t="s">
        <v>222</v>
      </c>
      <c r="B63" s="15">
        <v>34.821428571428598</v>
      </c>
      <c r="C63" s="15">
        <v>13.3928571428571</v>
      </c>
      <c r="D63" s="15">
        <v>14.285714285714301</v>
      </c>
      <c r="E63" s="24">
        <v>37.5</v>
      </c>
    </row>
    <row r="64" spans="1:5">
      <c r="A64" s="9" t="s">
        <v>223</v>
      </c>
      <c r="B64" s="15">
        <v>22.5</v>
      </c>
      <c r="C64" s="15">
        <v>12.5</v>
      </c>
      <c r="D64" s="20" t="s">
        <v>76</v>
      </c>
      <c r="E64" s="24">
        <v>57.5</v>
      </c>
    </row>
    <row r="65" spans="1:5">
      <c r="A65" s="9" t="s">
        <v>224</v>
      </c>
      <c r="B65" s="15">
        <v>31.25</v>
      </c>
      <c r="C65" s="15">
        <v>10.9375</v>
      </c>
      <c r="D65" s="15">
        <v>13.28125</v>
      </c>
      <c r="E65" s="24">
        <v>44.53125</v>
      </c>
    </row>
    <row r="66" spans="1:5">
      <c r="A66" s="9" t="s">
        <v>225</v>
      </c>
      <c r="B66" s="15">
        <v>23.762376237623801</v>
      </c>
      <c r="C66" s="15">
        <v>7.9207920792079198</v>
      </c>
      <c r="D66" s="15">
        <v>13.8613861386139</v>
      </c>
      <c r="E66" s="24">
        <v>54.4554455445545</v>
      </c>
    </row>
    <row r="67" spans="1:5">
      <c r="A67" s="9" t="s">
        <v>226</v>
      </c>
      <c r="B67" s="15">
        <v>20.168067226890798</v>
      </c>
      <c r="C67" s="15">
        <v>8.4033613445378208</v>
      </c>
      <c r="D67" s="15">
        <v>17.647058823529399</v>
      </c>
      <c r="E67" s="24">
        <v>53.781512605042003</v>
      </c>
    </row>
    <row r="68" spans="1:5">
      <c r="A68" s="9" t="s">
        <v>227</v>
      </c>
      <c r="B68" s="15">
        <v>44.4444444444444</v>
      </c>
      <c r="C68" s="15">
        <v>21.1111111111111</v>
      </c>
      <c r="D68" s="15">
        <v>11.1111111111111</v>
      </c>
      <c r="E68" s="24">
        <v>23.3333333333333</v>
      </c>
    </row>
    <row r="69" spans="1:5">
      <c r="A69" s="9" t="s">
        <v>228</v>
      </c>
      <c r="B69" s="15">
        <v>46.6666666666667</v>
      </c>
      <c r="C69" s="20" t="s">
        <v>76</v>
      </c>
      <c r="D69" s="20" t="s">
        <v>76</v>
      </c>
      <c r="E69" s="26" t="s">
        <v>76</v>
      </c>
    </row>
    <row r="70" spans="1:5">
      <c r="A70" s="9" t="s">
        <v>229</v>
      </c>
      <c r="B70" s="15">
        <v>31.5068493150685</v>
      </c>
      <c r="C70" s="15">
        <v>15.068493150684899</v>
      </c>
      <c r="D70" s="15">
        <v>17.808219178082201</v>
      </c>
      <c r="E70" s="24">
        <v>35.616438356164402</v>
      </c>
    </row>
    <row r="71" spans="1:5">
      <c r="A71" s="9" t="s">
        <v>230</v>
      </c>
      <c r="B71" s="15">
        <v>31.6666666666667</v>
      </c>
      <c r="C71" s="15">
        <v>15</v>
      </c>
      <c r="D71" s="15">
        <v>10</v>
      </c>
      <c r="E71" s="24">
        <v>43.3333333333333</v>
      </c>
    </row>
    <row r="72" spans="1:5">
      <c r="A72" s="9" t="s">
        <v>231</v>
      </c>
      <c r="B72" s="15">
        <v>36.144578313253</v>
      </c>
      <c r="C72" s="15">
        <v>21.6867469879518</v>
      </c>
      <c r="D72" s="15">
        <v>15.662650602409601</v>
      </c>
      <c r="E72" s="24">
        <v>26.506024096385499</v>
      </c>
    </row>
    <row r="73" spans="1:5">
      <c r="A73" s="9" t="s">
        <v>232</v>
      </c>
      <c r="B73" s="15">
        <v>43.902439024390198</v>
      </c>
      <c r="C73" s="15">
        <v>7.3170731707317103</v>
      </c>
      <c r="D73" s="15">
        <v>12.1951219512195</v>
      </c>
      <c r="E73" s="24">
        <v>36.585365853658502</v>
      </c>
    </row>
    <row r="74" spans="1:5">
      <c r="A74" s="9" t="s">
        <v>233</v>
      </c>
      <c r="B74" s="15">
        <v>38.317757009345797</v>
      </c>
      <c r="C74" s="15">
        <v>15.887850467289701</v>
      </c>
      <c r="D74" s="15">
        <v>14.018691588785</v>
      </c>
      <c r="E74" s="24">
        <v>31.775700934579401</v>
      </c>
    </row>
    <row r="75" spans="1:5">
      <c r="A75" s="9" t="s">
        <v>234</v>
      </c>
      <c r="B75" s="15">
        <v>27.272727272727298</v>
      </c>
      <c r="C75" s="15">
        <v>8.0808080808080796</v>
      </c>
      <c r="D75" s="15">
        <v>12.1212121212121</v>
      </c>
      <c r="E75" s="24">
        <v>52.525252525252498</v>
      </c>
    </row>
    <row r="76" spans="1:5">
      <c r="A76" s="9" t="s">
        <v>235</v>
      </c>
      <c r="B76" s="15">
        <v>53.623188405797102</v>
      </c>
      <c r="C76" s="15">
        <v>10.144927536231901</v>
      </c>
      <c r="D76" s="20" t="s">
        <v>76</v>
      </c>
      <c r="E76" s="24">
        <v>31.884057971014499</v>
      </c>
    </row>
    <row r="77" spans="1:5">
      <c r="A77" s="9" t="s">
        <v>236</v>
      </c>
      <c r="B77" s="20" t="s">
        <v>76</v>
      </c>
      <c r="C77" s="20" t="s">
        <v>76</v>
      </c>
      <c r="D77" s="20" t="s">
        <v>76</v>
      </c>
      <c r="E77" s="24">
        <v>55.5555555555556</v>
      </c>
    </row>
    <row r="78" spans="1:5">
      <c r="A78" s="9" t="s">
        <v>237</v>
      </c>
      <c r="B78" s="15">
        <v>36.507936507936499</v>
      </c>
      <c r="C78" s="15">
        <v>20.634920634920601</v>
      </c>
      <c r="D78" s="15">
        <v>20.634920634920601</v>
      </c>
      <c r="E78" s="24">
        <v>22.2222222222222</v>
      </c>
    </row>
    <row r="79" spans="1:5">
      <c r="A79" s="9" t="s">
        <v>238</v>
      </c>
      <c r="B79" s="15">
        <v>33.3333333333333</v>
      </c>
      <c r="C79" s="15">
        <v>8.84353741496599</v>
      </c>
      <c r="D79" s="15">
        <v>14.965986394557801</v>
      </c>
      <c r="E79" s="24">
        <v>42.857142857142897</v>
      </c>
    </row>
    <row r="80" spans="1:5" ht="21.95" customHeight="1">
      <c r="A80" s="22" t="s">
        <v>239</v>
      </c>
      <c r="B80" s="15">
        <v>36.109867496029899</v>
      </c>
      <c r="C80" s="15">
        <v>9.2640154339851701</v>
      </c>
      <c r="D80" s="15">
        <v>11.6237597154553</v>
      </c>
      <c r="E80" s="24">
        <v>43.0023573545296</v>
      </c>
    </row>
    <row r="81" spans="1:5">
      <c r="A81" s="9" t="s">
        <v>240</v>
      </c>
      <c r="B81" s="15">
        <v>38.338658146964903</v>
      </c>
      <c r="C81" s="15">
        <v>11.182108626198101</v>
      </c>
      <c r="D81" s="15">
        <v>12.4600638977636</v>
      </c>
      <c r="E81" s="24">
        <v>38.019169329073499</v>
      </c>
    </row>
    <row r="82" spans="1:5">
      <c r="A82" s="9" t="s">
        <v>241</v>
      </c>
      <c r="B82" s="15">
        <v>49.056603773584897</v>
      </c>
      <c r="C82" s="15">
        <v>10.6918238993711</v>
      </c>
      <c r="D82" s="15">
        <v>12.264150943396199</v>
      </c>
      <c r="E82" s="24">
        <v>27.987421383647799</v>
      </c>
    </row>
    <row r="83" spans="1:5">
      <c r="A83" s="9" t="s">
        <v>242</v>
      </c>
      <c r="B83" s="15">
        <v>33.548387096774199</v>
      </c>
      <c r="C83" s="15">
        <v>9.0322580645161299</v>
      </c>
      <c r="D83" s="15">
        <v>12.9032258064516</v>
      </c>
      <c r="E83" s="24">
        <v>44.5161290322581</v>
      </c>
    </row>
    <row r="84" spans="1:5">
      <c r="A84" s="9" t="s">
        <v>243</v>
      </c>
      <c r="B84" s="20" t="s">
        <v>76</v>
      </c>
      <c r="C84" s="20" t="s">
        <v>76</v>
      </c>
      <c r="D84" s="20" t="s">
        <v>76</v>
      </c>
      <c r="E84" s="26" t="s">
        <v>76</v>
      </c>
    </row>
    <row r="85" spans="1:5">
      <c r="A85" s="9" t="s">
        <v>244</v>
      </c>
      <c r="B85" s="15">
        <v>39.221556886227503</v>
      </c>
      <c r="C85" s="15">
        <v>11.976047904191599</v>
      </c>
      <c r="D85" s="15">
        <v>9.8802395209580904</v>
      </c>
      <c r="E85" s="24">
        <v>38.922155688622802</v>
      </c>
    </row>
    <row r="86" spans="1:5">
      <c r="A86" s="9" t="s">
        <v>245</v>
      </c>
      <c r="B86" s="15">
        <v>37.430167597765397</v>
      </c>
      <c r="C86" s="15">
        <v>10.614525139664799</v>
      </c>
      <c r="D86" s="15">
        <v>15.083798882681601</v>
      </c>
      <c r="E86" s="24">
        <v>36.871508379888297</v>
      </c>
    </row>
    <row r="87" spans="1:5">
      <c r="A87" s="9" t="s">
        <v>246</v>
      </c>
      <c r="B87" s="15">
        <v>34.558823529411796</v>
      </c>
      <c r="C87" s="15">
        <v>11.213235294117601</v>
      </c>
      <c r="D87" s="15">
        <v>14.1544117647059</v>
      </c>
      <c r="E87" s="24">
        <v>40.073529411764703</v>
      </c>
    </row>
    <row r="88" spans="1:5">
      <c r="A88" s="9" t="s">
        <v>247</v>
      </c>
      <c r="B88" s="15">
        <v>39.425051334702303</v>
      </c>
      <c r="C88" s="15">
        <v>8.6242299794661204</v>
      </c>
      <c r="D88" s="15">
        <v>9.8562628336755704</v>
      </c>
      <c r="E88" s="24">
        <v>42.094455852156102</v>
      </c>
    </row>
    <row r="89" spans="1:5">
      <c r="A89" s="9" t="s">
        <v>248</v>
      </c>
      <c r="B89" s="15">
        <v>41.960784313725497</v>
      </c>
      <c r="C89" s="15">
        <v>12.156862745098</v>
      </c>
      <c r="D89" s="15">
        <v>8.62745098039216</v>
      </c>
      <c r="E89" s="24">
        <v>37.254901960784302</v>
      </c>
    </row>
    <row r="90" spans="1:5">
      <c r="A90" s="9" t="s">
        <v>249</v>
      </c>
      <c r="B90" s="15">
        <v>30.4932735426009</v>
      </c>
      <c r="C90" s="15">
        <v>8.0717488789237706</v>
      </c>
      <c r="D90" s="15">
        <v>13.452914798206301</v>
      </c>
      <c r="E90" s="24">
        <v>47.982062780269104</v>
      </c>
    </row>
    <row r="91" spans="1:5">
      <c r="A91" s="9" t="s">
        <v>250</v>
      </c>
      <c r="B91" s="15">
        <v>28.636363636363601</v>
      </c>
      <c r="C91" s="15">
        <v>7.8787878787878798</v>
      </c>
      <c r="D91" s="15">
        <v>10.909090909090899</v>
      </c>
      <c r="E91" s="24">
        <v>52.575757575757599</v>
      </c>
    </row>
    <row r="92" spans="1:5">
      <c r="A92" s="11" t="s">
        <v>251</v>
      </c>
      <c r="B92" s="16">
        <v>27.4089935760171</v>
      </c>
      <c r="C92" s="16">
        <v>6.2098501070663801</v>
      </c>
      <c r="D92" s="16">
        <v>10.7066381156317</v>
      </c>
      <c r="E92" s="25">
        <v>55.674518201284798</v>
      </c>
    </row>
    <row r="93" spans="1:5" ht="30" customHeight="1">
      <c r="A93" t="s">
        <v>252</v>
      </c>
    </row>
    <row r="94" spans="1:5">
      <c r="A94" t="s">
        <v>143</v>
      </c>
    </row>
    <row r="95" spans="1:5">
      <c r="A95" t="s">
        <v>144</v>
      </c>
    </row>
    <row r="96" spans="1:5">
      <c r="A96" t="s">
        <v>145</v>
      </c>
    </row>
    <row r="97" spans="1:1">
      <c r="A97" t="s">
        <v>146</v>
      </c>
    </row>
    <row r="98" spans="1:1">
      <c r="A98" t="s">
        <v>147</v>
      </c>
    </row>
    <row r="99" spans="1:1">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99"/>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254</v>
      </c>
      <c r="B1" s="12"/>
      <c r="C1" s="12"/>
      <c r="D1" s="12"/>
      <c r="E1" s="12"/>
      <c r="F1" s="12"/>
      <c r="G1" s="12"/>
      <c r="H1" s="12"/>
      <c r="I1" s="12"/>
      <c r="J1" s="12"/>
      <c r="K1" s="12"/>
      <c r="L1" s="12"/>
      <c r="M1" s="12"/>
      <c r="N1" s="12"/>
      <c r="O1" s="12"/>
      <c r="P1" s="12"/>
    </row>
    <row r="2" spans="1:16" ht="60">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39.6018605686073</v>
      </c>
      <c r="C3" s="15">
        <v>42.632878327276302</v>
      </c>
      <c r="D3" s="24">
        <v>37.097028511232999</v>
      </c>
      <c r="E3" s="15">
        <v>41.345590449210597</v>
      </c>
      <c r="F3" s="15">
        <v>43.902284089114097</v>
      </c>
      <c r="G3" s="24">
        <v>39.200942060492601</v>
      </c>
      <c r="H3" s="15">
        <v>38.684053812393898</v>
      </c>
      <c r="I3" s="15">
        <v>41.7747594475535</v>
      </c>
      <c r="J3" s="24">
        <v>36.086140336213703</v>
      </c>
      <c r="K3" s="15">
        <v>26.8567045113424</v>
      </c>
      <c r="L3" s="15">
        <v>43.500861909313002</v>
      </c>
      <c r="M3" s="24">
        <v>22.6599134737946</v>
      </c>
      <c r="N3" s="15">
        <v>26.429817171253799</v>
      </c>
      <c r="O3" s="15">
        <v>30.5706654747922</v>
      </c>
      <c r="P3" s="24">
        <v>23.435034581772399</v>
      </c>
    </row>
    <row r="4" spans="1:16" ht="21.95" customHeight="1">
      <c r="A4" s="22" t="s">
        <v>69</v>
      </c>
      <c r="B4" s="15">
        <v>41.065292369631301</v>
      </c>
      <c r="C4" s="15">
        <v>45.793272896062497</v>
      </c>
      <c r="D4" s="24">
        <v>37.187427708507201</v>
      </c>
      <c r="E4" s="15">
        <v>42.2783653212717</v>
      </c>
      <c r="F4" s="15">
        <v>47.6991666238223</v>
      </c>
      <c r="G4" s="24">
        <v>37.747379957866798</v>
      </c>
      <c r="H4" s="15">
        <v>40.668189933915102</v>
      </c>
      <c r="I4" s="15">
        <v>44.481613734194603</v>
      </c>
      <c r="J4" s="24">
        <v>37.533432196017998</v>
      </c>
      <c r="K4" s="15">
        <v>29.670625910432499</v>
      </c>
      <c r="L4" s="20" t="s">
        <v>76</v>
      </c>
      <c r="M4" s="24">
        <v>25.362298037729101</v>
      </c>
      <c r="N4" s="15">
        <v>26.4082166518265</v>
      </c>
      <c r="O4" s="15">
        <v>29.034209237225198</v>
      </c>
      <c r="P4" s="24">
        <v>24.3514067839128</v>
      </c>
    </row>
    <row r="5" spans="1:16" ht="21.95" customHeight="1">
      <c r="A5" s="22" t="s">
        <v>70</v>
      </c>
      <c r="B5" s="15">
        <v>37.6729171456751</v>
      </c>
      <c r="C5" s="15">
        <v>39.671756964900602</v>
      </c>
      <c r="D5" s="24">
        <v>36.058712741356999</v>
      </c>
      <c r="E5" s="15">
        <v>38.9246116626109</v>
      </c>
      <c r="F5" s="15">
        <v>41.339748735205099</v>
      </c>
      <c r="G5" s="24">
        <v>36.960191255596499</v>
      </c>
      <c r="H5" s="15">
        <v>37.005824347880399</v>
      </c>
      <c r="I5" s="15">
        <v>38.242675227671498</v>
      </c>
      <c r="J5" s="24">
        <v>35.985146248709</v>
      </c>
      <c r="K5" s="20" t="s">
        <v>76</v>
      </c>
      <c r="L5" s="20" t="s">
        <v>76</v>
      </c>
      <c r="M5" s="26" t="s">
        <v>76</v>
      </c>
      <c r="N5" s="15">
        <v>21.784661788314899</v>
      </c>
      <c r="O5" s="20" t="s">
        <v>76</v>
      </c>
      <c r="P5" s="26" t="s">
        <v>76</v>
      </c>
    </row>
    <row r="6" spans="1:16" ht="21.95" customHeight="1">
      <c r="A6" s="22" t="s">
        <v>165</v>
      </c>
      <c r="B6" s="15">
        <v>39.671756964900602</v>
      </c>
      <c r="C6" s="15">
        <v>39.671756964900602</v>
      </c>
      <c r="D6" s="26" t="s">
        <v>76</v>
      </c>
      <c r="E6" s="15">
        <v>41.339748735205099</v>
      </c>
      <c r="F6" s="15">
        <v>41.339748735205099</v>
      </c>
      <c r="G6" s="26" t="s">
        <v>76</v>
      </c>
      <c r="H6" s="15">
        <v>38.242675227671498</v>
      </c>
      <c r="I6" s="15">
        <v>38.242675227671498</v>
      </c>
      <c r="J6" s="26" t="s">
        <v>76</v>
      </c>
      <c r="K6" s="20" t="s">
        <v>76</v>
      </c>
      <c r="L6" s="20" t="s">
        <v>76</v>
      </c>
      <c r="M6" s="26" t="s">
        <v>76</v>
      </c>
      <c r="N6" s="20" t="s">
        <v>76</v>
      </c>
      <c r="O6" s="20" t="s">
        <v>76</v>
      </c>
      <c r="P6" s="26" t="s">
        <v>76</v>
      </c>
    </row>
    <row r="7" spans="1:16">
      <c r="A7" s="9" t="s">
        <v>166</v>
      </c>
      <c r="B7" s="15">
        <v>41.176470588235297</v>
      </c>
      <c r="C7" s="15">
        <v>41.176470588235297</v>
      </c>
      <c r="D7" s="26" t="s">
        <v>76</v>
      </c>
      <c r="E7" s="15">
        <v>66.6666666666667</v>
      </c>
      <c r="F7" s="15">
        <v>66.6666666666667</v>
      </c>
      <c r="G7" s="26" t="s">
        <v>76</v>
      </c>
      <c r="H7" s="20" t="s">
        <v>76</v>
      </c>
      <c r="I7" s="20" t="s">
        <v>76</v>
      </c>
      <c r="J7" s="26" t="s">
        <v>76</v>
      </c>
      <c r="K7" s="20" t="s">
        <v>76</v>
      </c>
      <c r="L7" s="20" t="s">
        <v>76</v>
      </c>
      <c r="M7" s="26" t="s">
        <v>76</v>
      </c>
      <c r="N7" s="20" t="s">
        <v>76</v>
      </c>
      <c r="O7" s="20" t="s">
        <v>76</v>
      </c>
      <c r="P7" s="26" t="s">
        <v>76</v>
      </c>
    </row>
    <row r="8" spans="1:16">
      <c r="A8" s="9" t="s">
        <v>167</v>
      </c>
      <c r="B8" s="20" t="s">
        <v>76</v>
      </c>
      <c r="C8" s="20" t="s">
        <v>76</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c r="A9" s="9" t="s">
        <v>168</v>
      </c>
      <c r="B9" s="15">
        <v>78.260869565217405</v>
      </c>
      <c r="C9" s="15">
        <v>78.260869565217405</v>
      </c>
      <c r="D9" s="26" t="s">
        <v>76</v>
      </c>
      <c r="E9" s="15">
        <v>71.428571428571402</v>
      </c>
      <c r="F9" s="15">
        <v>71.428571428571402</v>
      </c>
      <c r="G9" s="26" t="s">
        <v>76</v>
      </c>
      <c r="H9" s="15">
        <v>88.8888888888889</v>
      </c>
      <c r="I9" s="15">
        <v>88.8888888888889</v>
      </c>
      <c r="J9" s="26" t="s">
        <v>76</v>
      </c>
      <c r="K9" s="20" t="s">
        <v>76</v>
      </c>
      <c r="L9" s="20" t="s">
        <v>76</v>
      </c>
      <c r="M9" s="26" t="s">
        <v>76</v>
      </c>
      <c r="N9" s="20" t="s">
        <v>76</v>
      </c>
      <c r="O9" s="20" t="s">
        <v>76</v>
      </c>
      <c r="P9" s="26" t="s">
        <v>76</v>
      </c>
    </row>
    <row r="10" spans="1:16">
      <c r="A10" s="9" t="s">
        <v>169</v>
      </c>
      <c r="B10" s="15">
        <v>50</v>
      </c>
      <c r="C10" s="15">
        <v>50</v>
      </c>
      <c r="D10" s="26" t="s">
        <v>76</v>
      </c>
      <c r="E10" s="20" t="s">
        <v>76</v>
      </c>
      <c r="F10" s="20" t="s">
        <v>76</v>
      </c>
      <c r="G10" s="26" t="s">
        <v>76</v>
      </c>
      <c r="H10" s="20" t="s">
        <v>76</v>
      </c>
      <c r="I10" s="20" t="s">
        <v>76</v>
      </c>
      <c r="J10" s="26" t="s">
        <v>76</v>
      </c>
      <c r="K10" s="20" t="s">
        <v>76</v>
      </c>
      <c r="L10" s="20" t="s">
        <v>76</v>
      </c>
      <c r="M10" s="26" t="s">
        <v>76</v>
      </c>
      <c r="N10" s="20" t="s">
        <v>76</v>
      </c>
      <c r="O10" s="20" t="s">
        <v>76</v>
      </c>
      <c r="P10" s="26" t="s">
        <v>76</v>
      </c>
    </row>
    <row r="11" spans="1:16">
      <c r="A11" s="9" t="s">
        <v>170</v>
      </c>
      <c r="B11" s="15">
        <v>29.8611111111111</v>
      </c>
      <c r="C11" s="15">
        <v>29.8611111111111</v>
      </c>
      <c r="D11" s="26" t="s">
        <v>76</v>
      </c>
      <c r="E11" s="15">
        <v>32.098765432098801</v>
      </c>
      <c r="F11" s="15">
        <v>32.098765432098801</v>
      </c>
      <c r="G11" s="26" t="s">
        <v>76</v>
      </c>
      <c r="H11" s="15">
        <v>26.984126984126998</v>
      </c>
      <c r="I11" s="15">
        <v>26.984126984126998</v>
      </c>
      <c r="J11" s="26" t="s">
        <v>76</v>
      </c>
      <c r="K11" s="20" t="s">
        <v>76</v>
      </c>
      <c r="L11" s="20" t="s">
        <v>76</v>
      </c>
      <c r="M11" s="26" t="s">
        <v>76</v>
      </c>
      <c r="N11" s="20" t="s">
        <v>76</v>
      </c>
      <c r="O11" s="20" t="s">
        <v>76</v>
      </c>
      <c r="P11" s="26" t="s">
        <v>76</v>
      </c>
    </row>
    <row r="12" spans="1:16">
      <c r="A12" s="9" t="s">
        <v>171</v>
      </c>
      <c r="B12" s="15">
        <v>61.538461538461497</v>
      </c>
      <c r="C12" s="15">
        <v>61.538461538461497</v>
      </c>
      <c r="D12" s="26" t="s">
        <v>76</v>
      </c>
      <c r="E12" s="15">
        <v>61.1111111111111</v>
      </c>
      <c r="F12" s="15">
        <v>61.1111111111111</v>
      </c>
      <c r="G12" s="26" t="s">
        <v>76</v>
      </c>
      <c r="H12" s="15">
        <v>61.904761904761898</v>
      </c>
      <c r="I12" s="15">
        <v>61.904761904761898</v>
      </c>
      <c r="J12" s="26" t="s">
        <v>76</v>
      </c>
      <c r="K12" s="20" t="s">
        <v>76</v>
      </c>
      <c r="L12" s="20" t="s">
        <v>76</v>
      </c>
      <c r="M12" s="26" t="s">
        <v>76</v>
      </c>
      <c r="N12" s="20" t="s">
        <v>76</v>
      </c>
      <c r="O12" s="20" t="s">
        <v>76</v>
      </c>
      <c r="P12" s="26" t="s">
        <v>76</v>
      </c>
    </row>
    <row r="13" spans="1:16">
      <c r="A13" s="9" t="s">
        <v>172</v>
      </c>
      <c r="B13" s="15">
        <v>37.7049180327869</v>
      </c>
      <c r="C13" s="15">
        <v>37.7049180327869</v>
      </c>
      <c r="D13" s="26" t="s">
        <v>76</v>
      </c>
      <c r="E13" s="15">
        <v>37.931034482758598</v>
      </c>
      <c r="F13" s="15">
        <v>37.931034482758598</v>
      </c>
      <c r="G13" s="26" t="s">
        <v>76</v>
      </c>
      <c r="H13" s="15">
        <v>37.5</v>
      </c>
      <c r="I13" s="15">
        <v>37.5</v>
      </c>
      <c r="J13" s="26" t="s">
        <v>76</v>
      </c>
      <c r="K13" s="20" t="s">
        <v>76</v>
      </c>
      <c r="L13" s="20" t="s">
        <v>76</v>
      </c>
      <c r="M13" s="26" t="s">
        <v>76</v>
      </c>
      <c r="N13" s="20" t="s">
        <v>76</v>
      </c>
      <c r="O13" s="20" t="s">
        <v>76</v>
      </c>
      <c r="P13" s="26" t="s">
        <v>76</v>
      </c>
    </row>
    <row r="14" spans="1:16">
      <c r="A14" s="9" t="s">
        <v>173</v>
      </c>
      <c r="B14" s="15">
        <v>53.947368421052602</v>
      </c>
      <c r="C14" s="15">
        <v>53.947368421052602</v>
      </c>
      <c r="D14" s="26" t="s">
        <v>76</v>
      </c>
      <c r="E14" s="15">
        <v>37.837837837837803</v>
      </c>
      <c r="F14" s="15">
        <v>37.837837837837803</v>
      </c>
      <c r="G14" s="26" t="s">
        <v>76</v>
      </c>
      <c r="H14" s="15">
        <v>71.052631578947398</v>
      </c>
      <c r="I14" s="15">
        <v>71.052631578947398</v>
      </c>
      <c r="J14" s="26" t="s">
        <v>76</v>
      </c>
      <c r="K14" s="20" t="s">
        <v>76</v>
      </c>
      <c r="L14" s="20" t="s">
        <v>76</v>
      </c>
      <c r="M14" s="26" t="s">
        <v>76</v>
      </c>
      <c r="N14" s="20" t="s">
        <v>76</v>
      </c>
      <c r="O14" s="20" t="s">
        <v>76</v>
      </c>
      <c r="P14" s="26" t="s">
        <v>76</v>
      </c>
    </row>
    <row r="15" spans="1:16">
      <c r="A15" s="9" t="s">
        <v>174</v>
      </c>
      <c r="B15" s="15">
        <v>64.705882352941202</v>
      </c>
      <c r="C15" s="15">
        <v>64.705882352941202</v>
      </c>
      <c r="D15" s="26" t="s">
        <v>76</v>
      </c>
      <c r="E15" s="15">
        <v>58.536585365853703</v>
      </c>
      <c r="F15" s="15">
        <v>58.536585365853703</v>
      </c>
      <c r="G15" s="26" t="s">
        <v>76</v>
      </c>
      <c r="H15" s="15">
        <v>70.454545454545496</v>
      </c>
      <c r="I15" s="15">
        <v>70.454545454545496</v>
      </c>
      <c r="J15" s="26" t="s">
        <v>76</v>
      </c>
      <c r="K15" s="20" t="s">
        <v>76</v>
      </c>
      <c r="L15" s="20" t="s">
        <v>76</v>
      </c>
      <c r="M15" s="26" t="s">
        <v>76</v>
      </c>
      <c r="N15" s="20" t="s">
        <v>76</v>
      </c>
      <c r="O15" s="20" t="s">
        <v>76</v>
      </c>
      <c r="P15" s="26" t="s">
        <v>76</v>
      </c>
    </row>
    <row r="16" spans="1:16">
      <c r="A16" s="9" t="s">
        <v>175</v>
      </c>
      <c r="B16" s="15">
        <v>53.488372093023301</v>
      </c>
      <c r="C16" s="15">
        <v>53.488372093023301</v>
      </c>
      <c r="D16" s="26" t="s">
        <v>76</v>
      </c>
      <c r="E16" s="15">
        <v>42.857142857142897</v>
      </c>
      <c r="F16" s="15">
        <v>42.857142857142897</v>
      </c>
      <c r="G16" s="26" t="s">
        <v>76</v>
      </c>
      <c r="H16" s="15">
        <v>63.636363636363598</v>
      </c>
      <c r="I16" s="15">
        <v>63.636363636363598</v>
      </c>
      <c r="J16" s="26" t="s">
        <v>76</v>
      </c>
      <c r="K16" s="20" t="s">
        <v>76</v>
      </c>
      <c r="L16" s="20" t="s">
        <v>76</v>
      </c>
      <c r="M16" s="26" t="s">
        <v>76</v>
      </c>
      <c r="N16" s="20" t="s">
        <v>76</v>
      </c>
      <c r="O16" s="20" t="s">
        <v>76</v>
      </c>
      <c r="P16" s="26" t="s">
        <v>76</v>
      </c>
    </row>
    <row r="17" spans="1:16">
      <c r="A17" s="9" t="s">
        <v>176</v>
      </c>
      <c r="B17" s="15">
        <v>53.521126760563398</v>
      </c>
      <c r="C17" s="15">
        <v>53.521126760563398</v>
      </c>
      <c r="D17" s="26" t="s">
        <v>76</v>
      </c>
      <c r="E17" s="15">
        <v>53.846153846153797</v>
      </c>
      <c r="F17" s="15">
        <v>53.846153846153797</v>
      </c>
      <c r="G17" s="26" t="s">
        <v>76</v>
      </c>
      <c r="H17" s="15">
        <v>53.125</v>
      </c>
      <c r="I17" s="15">
        <v>53.125</v>
      </c>
      <c r="J17" s="26" t="s">
        <v>76</v>
      </c>
      <c r="K17" s="20" t="s">
        <v>76</v>
      </c>
      <c r="L17" s="20" t="s">
        <v>76</v>
      </c>
      <c r="M17" s="26" t="s">
        <v>76</v>
      </c>
      <c r="N17" s="20" t="s">
        <v>76</v>
      </c>
      <c r="O17" s="20" t="s">
        <v>76</v>
      </c>
      <c r="P17" s="26" t="s">
        <v>76</v>
      </c>
    </row>
    <row r="18" spans="1:16">
      <c r="A18" s="9" t="s">
        <v>177</v>
      </c>
      <c r="B18" s="15">
        <v>39.436619718309899</v>
      </c>
      <c r="C18" s="15">
        <v>39.436619718309899</v>
      </c>
      <c r="D18" s="26" t="s">
        <v>76</v>
      </c>
      <c r="E18" s="15">
        <v>41.379310344827601</v>
      </c>
      <c r="F18" s="15">
        <v>41.379310344827601</v>
      </c>
      <c r="G18" s="26" t="s">
        <v>76</v>
      </c>
      <c r="H18" s="15">
        <v>37.5</v>
      </c>
      <c r="I18" s="15">
        <v>37.5</v>
      </c>
      <c r="J18" s="26" t="s">
        <v>76</v>
      </c>
      <c r="K18" s="20" t="s">
        <v>76</v>
      </c>
      <c r="L18" s="20" t="s">
        <v>76</v>
      </c>
      <c r="M18" s="26" t="s">
        <v>76</v>
      </c>
      <c r="N18" s="20" t="s">
        <v>76</v>
      </c>
      <c r="O18" s="20" t="s">
        <v>76</v>
      </c>
      <c r="P18" s="26" t="s">
        <v>76</v>
      </c>
    </row>
    <row r="19" spans="1:16">
      <c r="A19" s="9" t="s">
        <v>178</v>
      </c>
      <c r="B19" s="20" t="s">
        <v>76</v>
      </c>
      <c r="C19" s="20" t="s">
        <v>76</v>
      </c>
      <c r="D19" s="26" t="s">
        <v>76</v>
      </c>
      <c r="E19" s="20" t="s">
        <v>76</v>
      </c>
      <c r="F19" s="20" t="s">
        <v>76</v>
      </c>
      <c r="G19" s="26" t="s">
        <v>76</v>
      </c>
      <c r="H19" s="20" t="s">
        <v>76</v>
      </c>
      <c r="I19" s="20" t="s">
        <v>76</v>
      </c>
      <c r="J19" s="26" t="s">
        <v>76</v>
      </c>
      <c r="K19" s="20" t="s">
        <v>76</v>
      </c>
      <c r="L19" s="20" t="s">
        <v>76</v>
      </c>
      <c r="M19" s="26" t="s">
        <v>76</v>
      </c>
      <c r="N19" s="20" t="s">
        <v>76</v>
      </c>
      <c r="O19" s="20" t="s">
        <v>76</v>
      </c>
      <c r="P19" s="26" t="s">
        <v>76</v>
      </c>
    </row>
    <row r="20" spans="1:16">
      <c r="A20" s="9" t="s">
        <v>179</v>
      </c>
      <c r="B20" s="15">
        <v>26.829268292682901</v>
      </c>
      <c r="C20" s="15">
        <v>26.829268292682901</v>
      </c>
      <c r="D20" s="26" t="s">
        <v>76</v>
      </c>
      <c r="E20" s="15">
        <v>22.727272727272702</v>
      </c>
      <c r="F20" s="15">
        <v>22.727272727272702</v>
      </c>
      <c r="G20" s="26" t="s">
        <v>76</v>
      </c>
      <c r="H20" s="15">
        <v>35.294117647058798</v>
      </c>
      <c r="I20" s="15">
        <v>35.294117647058798</v>
      </c>
      <c r="J20" s="26" t="s">
        <v>76</v>
      </c>
      <c r="K20" s="20" t="s">
        <v>76</v>
      </c>
      <c r="L20" s="20" t="s">
        <v>76</v>
      </c>
      <c r="M20" s="26" t="s">
        <v>76</v>
      </c>
      <c r="N20" s="20" t="s">
        <v>76</v>
      </c>
      <c r="O20" s="20" t="s">
        <v>76</v>
      </c>
      <c r="P20" s="26" t="s">
        <v>76</v>
      </c>
    </row>
    <row r="21" spans="1:16">
      <c r="A21" s="9" t="s">
        <v>180</v>
      </c>
      <c r="B21" s="15">
        <v>41.6666666666667</v>
      </c>
      <c r="C21" s="15">
        <v>41.6666666666667</v>
      </c>
      <c r="D21" s="26" t="s">
        <v>76</v>
      </c>
      <c r="E21" s="15">
        <v>42.857142857142897</v>
      </c>
      <c r="F21" s="15">
        <v>42.857142857142897</v>
      </c>
      <c r="G21" s="26" t="s">
        <v>76</v>
      </c>
      <c r="H21" s="15">
        <v>38.461538461538503</v>
      </c>
      <c r="I21" s="15">
        <v>38.461538461538503</v>
      </c>
      <c r="J21" s="26" t="s">
        <v>76</v>
      </c>
      <c r="K21" s="20" t="s">
        <v>76</v>
      </c>
      <c r="L21" s="20" t="s">
        <v>76</v>
      </c>
      <c r="M21" s="26" t="s">
        <v>76</v>
      </c>
      <c r="N21" s="20" t="s">
        <v>76</v>
      </c>
      <c r="O21" s="20" t="s">
        <v>76</v>
      </c>
      <c r="P21" s="26" t="s">
        <v>76</v>
      </c>
    </row>
    <row r="22" spans="1:16">
      <c r="A22" s="9" t="s">
        <v>181</v>
      </c>
      <c r="B22" s="15">
        <v>47.619047619047599</v>
      </c>
      <c r="C22" s="15">
        <v>47.619047619047599</v>
      </c>
      <c r="D22" s="26" t="s">
        <v>76</v>
      </c>
      <c r="E22" s="20" t="s">
        <v>76</v>
      </c>
      <c r="F22" s="20" t="s">
        <v>76</v>
      </c>
      <c r="G22" s="26" t="s">
        <v>76</v>
      </c>
      <c r="H22" s="15">
        <v>54.545454545454497</v>
      </c>
      <c r="I22" s="15">
        <v>54.545454545454497</v>
      </c>
      <c r="J22" s="26" t="s">
        <v>76</v>
      </c>
      <c r="K22" s="20" t="s">
        <v>76</v>
      </c>
      <c r="L22" s="20" t="s">
        <v>76</v>
      </c>
      <c r="M22" s="26" t="s">
        <v>76</v>
      </c>
      <c r="N22" s="20" t="s">
        <v>76</v>
      </c>
      <c r="O22" s="20" t="s">
        <v>76</v>
      </c>
      <c r="P22" s="26" t="s">
        <v>76</v>
      </c>
    </row>
    <row r="23" spans="1:16">
      <c r="A23" s="9" t="s">
        <v>182</v>
      </c>
      <c r="B23" s="15">
        <v>29.411764705882401</v>
      </c>
      <c r="C23" s="15">
        <v>29.411764705882401</v>
      </c>
      <c r="D23" s="26" t="s">
        <v>76</v>
      </c>
      <c r="E23" s="20" t="s">
        <v>76</v>
      </c>
      <c r="F23" s="20" t="s">
        <v>76</v>
      </c>
      <c r="G23" s="26" t="s">
        <v>76</v>
      </c>
      <c r="H23" s="15">
        <v>26.086956521739101</v>
      </c>
      <c r="I23" s="15">
        <v>26.086956521739101</v>
      </c>
      <c r="J23" s="26" t="s">
        <v>76</v>
      </c>
      <c r="K23" s="20" t="s">
        <v>76</v>
      </c>
      <c r="L23" s="20" t="s">
        <v>76</v>
      </c>
      <c r="M23" s="26" t="s">
        <v>76</v>
      </c>
      <c r="N23" s="20" t="s">
        <v>76</v>
      </c>
      <c r="O23" s="20" t="s">
        <v>76</v>
      </c>
      <c r="P23" s="26" t="s">
        <v>76</v>
      </c>
    </row>
    <row r="24" spans="1:16">
      <c r="A24" s="9" t="s">
        <v>183</v>
      </c>
      <c r="B24" s="15">
        <v>30.508474576271201</v>
      </c>
      <c r="C24" s="15">
        <v>30.508474576271201</v>
      </c>
      <c r="D24" s="26" t="s">
        <v>76</v>
      </c>
      <c r="E24" s="15">
        <v>35.4838709677419</v>
      </c>
      <c r="F24" s="15">
        <v>35.4838709677419</v>
      </c>
      <c r="G24" s="26" t="s">
        <v>76</v>
      </c>
      <c r="H24" s="15">
        <v>29.1666666666667</v>
      </c>
      <c r="I24" s="15">
        <v>29.1666666666667</v>
      </c>
      <c r="J24" s="26" t="s">
        <v>76</v>
      </c>
      <c r="K24" s="20" t="s">
        <v>76</v>
      </c>
      <c r="L24" s="20" t="s">
        <v>76</v>
      </c>
      <c r="M24" s="26" t="s">
        <v>76</v>
      </c>
      <c r="N24" s="20" t="s">
        <v>76</v>
      </c>
      <c r="O24" s="20" t="s">
        <v>76</v>
      </c>
      <c r="P24" s="26" t="s">
        <v>76</v>
      </c>
    </row>
    <row r="25" spans="1:16">
      <c r="A25" s="9" t="s">
        <v>184</v>
      </c>
      <c r="B25" s="15">
        <v>53.846153846153797</v>
      </c>
      <c r="C25" s="15">
        <v>53.846153846153797</v>
      </c>
      <c r="D25" s="26" t="s">
        <v>76</v>
      </c>
      <c r="E25" s="15">
        <v>83.3333333333333</v>
      </c>
      <c r="F25" s="15">
        <v>83.3333333333333</v>
      </c>
      <c r="G25" s="26" t="s">
        <v>76</v>
      </c>
      <c r="H25" s="20" t="s">
        <v>76</v>
      </c>
      <c r="I25" s="20" t="s">
        <v>76</v>
      </c>
      <c r="J25" s="26" t="s">
        <v>76</v>
      </c>
      <c r="K25" s="20" t="s">
        <v>76</v>
      </c>
      <c r="L25" s="20" t="s">
        <v>76</v>
      </c>
      <c r="M25" s="26" t="s">
        <v>76</v>
      </c>
      <c r="N25" s="20" t="s">
        <v>76</v>
      </c>
      <c r="O25" s="20" t="s">
        <v>76</v>
      </c>
      <c r="P25" s="26" t="s">
        <v>76</v>
      </c>
    </row>
    <row r="26" spans="1:16">
      <c r="A26" s="9" t="s">
        <v>185</v>
      </c>
      <c r="B26" s="20" t="s">
        <v>76</v>
      </c>
      <c r="C26" s="20" t="s">
        <v>76</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c r="A27" s="9" t="s">
        <v>186</v>
      </c>
      <c r="B27" s="15">
        <v>29.4871794871795</v>
      </c>
      <c r="C27" s="15">
        <v>29.4871794871795</v>
      </c>
      <c r="D27" s="26" t="s">
        <v>76</v>
      </c>
      <c r="E27" s="15">
        <v>45.8333333333333</v>
      </c>
      <c r="F27" s="15">
        <v>45.8333333333333</v>
      </c>
      <c r="G27" s="26" t="s">
        <v>76</v>
      </c>
      <c r="H27" s="15">
        <v>21.153846153846199</v>
      </c>
      <c r="I27" s="15">
        <v>21.153846153846199</v>
      </c>
      <c r="J27" s="26" t="s">
        <v>76</v>
      </c>
      <c r="K27" s="20" t="s">
        <v>76</v>
      </c>
      <c r="L27" s="20" t="s">
        <v>76</v>
      </c>
      <c r="M27" s="26" t="s">
        <v>76</v>
      </c>
      <c r="N27" s="20" t="s">
        <v>76</v>
      </c>
      <c r="O27" s="20" t="s">
        <v>76</v>
      </c>
      <c r="P27" s="26" t="s">
        <v>76</v>
      </c>
    </row>
    <row r="28" spans="1:16">
      <c r="A28" s="9" t="s">
        <v>187</v>
      </c>
      <c r="B28" s="15">
        <v>46.788990825688103</v>
      </c>
      <c r="C28" s="15">
        <v>46.788990825688103</v>
      </c>
      <c r="D28" s="26" t="s">
        <v>76</v>
      </c>
      <c r="E28" s="15">
        <v>46.296296296296298</v>
      </c>
      <c r="F28" s="15">
        <v>46.296296296296298</v>
      </c>
      <c r="G28" s="26" t="s">
        <v>76</v>
      </c>
      <c r="H28" s="15">
        <v>48.148148148148103</v>
      </c>
      <c r="I28" s="15">
        <v>48.148148148148103</v>
      </c>
      <c r="J28" s="26" t="s">
        <v>76</v>
      </c>
      <c r="K28" s="20" t="s">
        <v>76</v>
      </c>
      <c r="L28" s="20" t="s">
        <v>76</v>
      </c>
      <c r="M28" s="26" t="s">
        <v>76</v>
      </c>
      <c r="N28" s="20" t="s">
        <v>76</v>
      </c>
      <c r="O28" s="20" t="s">
        <v>76</v>
      </c>
      <c r="P28" s="26" t="s">
        <v>76</v>
      </c>
    </row>
    <row r="29" spans="1:16">
      <c r="A29" s="9" t="s">
        <v>188</v>
      </c>
      <c r="B29" s="15">
        <v>63.235294117647101</v>
      </c>
      <c r="C29" s="15">
        <v>63.235294117647101</v>
      </c>
      <c r="D29" s="26" t="s">
        <v>76</v>
      </c>
      <c r="E29" s="15">
        <v>67.741935483871003</v>
      </c>
      <c r="F29" s="15">
        <v>67.741935483871003</v>
      </c>
      <c r="G29" s="26" t="s">
        <v>76</v>
      </c>
      <c r="H29" s="15">
        <v>59.459459459459502</v>
      </c>
      <c r="I29" s="15">
        <v>59.459459459459502</v>
      </c>
      <c r="J29" s="26" t="s">
        <v>76</v>
      </c>
      <c r="K29" s="20" t="s">
        <v>76</v>
      </c>
      <c r="L29" s="20" t="s">
        <v>76</v>
      </c>
      <c r="M29" s="26" t="s">
        <v>76</v>
      </c>
      <c r="N29" s="20" t="s">
        <v>76</v>
      </c>
      <c r="O29" s="20" t="s">
        <v>76</v>
      </c>
      <c r="P29" s="26" t="s">
        <v>76</v>
      </c>
    </row>
    <row r="30" spans="1:16">
      <c r="A30" s="9" t="s">
        <v>189</v>
      </c>
      <c r="B30" s="15">
        <v>41.6666666666667</v>
      </c>
      <c r="C30" s="15">
        <v>41.6666666666667</v>
      </c>
      <c r="D30" s="26" t="s">
        <v>76</v>
      </c>
      <c r="E30" s="15">
        <v>46.6666666666667</v>
      </c>
      <c r="F30" s="15">
        <v>46.6666666666667</v>
      </c>
      <c r="G30" s="26" t="s">
        <v>76</v>
      </c>
      <c r="H30" s="15">
        <v>38.571428571428598</v>
      </c>
      <c r="I30" s="15">
        <v>38.571428571428598</v>
      </c>
      <c r="J30" s="26" t="s">
        <v>76</v>
      </c>
      <c r="K30" s="20" t="s">
        <v>76</v>
      </c>
      <c r="L30" s="20" t="s">
        <v>76</v>
      </c>
      <c r="M30" s="26" t="s">
        <v>76</v>
      </c>
      <c r="N30" s="20" t="s">
        <v>76</v>
      </c>
      <c r="O30" s="20" t="s">
        <v>76</v>
      </c>
      <c r="P30" s="26" t="s">
        <v>76</v>
      </c>
    </row>
    <row r="31" spans="1:16">
      <c r="A31" s="9" t="s">
        <v>190</v>
      </c>
      <c r="B31" s="15">
        <v>68.75</v>
      </c>
      <c r="C31" s="15">
        <v>68.75</v>
      </c>
      <c r="D31" s="26" t="s">
        <v>76</v>
      </c>
      <c r="E31" s="15">
        <v>71.428571428571402</v>
      </c>
      <c r="F31" s="15">
        <v>71.428571428571402</v>
      </c>
      <c r="G31" s="26" t="s">
        <v>76</v>
      </c>
      <c r="H31" s="15">
        <v>66.6666666666667</v>
      </c>
      <c r="I31" s="15">
        <v>66.6666666666667</v>
      </c>
      <c r="J31" s="26" t="s">
        <v>76</v>
      </c>
      <c r="K31" s="20" t="s">
        <v>76</v>
      </c>
      <c r="L31" s="20" t="s">
        <v>76</v>
      </c>
      <c r="M31" s="26" t="s">
        <v>76</v>
      </c>
      <c r="N31" s="20" t="s">
        <v>76</v>
      </c>
      <c r="O31" s="20" t="s">
        <v>76</v>
      </c>
      <c r="P31" s="26" t="s">
        <v>76</v>
      </c>
    </row>
    <row r="32" spans="1:16">
      <c r="A32" s="9" t="s">
        <v>191</v>
      </c>
      <c r="B32" s="15">
        <v>33.3333333333333</v>
      </c>
      <c r="C32" s="15">
        <v>33.3333333333333</v>
      </c>
      <c r="D32" s="26" t="s">
        <v>76</v>
      </c>
      <c r="E32" s="15">
        <v>40</v>
      </c>
      <c r="F32" s="15">
        <v>40</v>
      </c>
      <c r="G32" s="26" t="s">
        <v>76</v>
      </c>
      <c r="H32" s="20" t="s">
        <v>76</v>
      </c>
      <c r="I32" s="20" t="s">
        <v>76</v>
      </c>
      <c r="J32" s="26" t="s">
        <v>76</v>
      </c>
      <c r="K32" s="20" t="s">
        <v>76</v>
      </c>
      <c r="L32" s="20" t="s">
        <v>76</v>
      </c>
      <c r="M32" s="26" t="s">
        <v>76</v>
      </c>
      <c r="N32" s="20" t="s">
        <v>76</v>
      </c>
      <c r="O32" s="20" t="s">
        <v>76</v>
      </c>
      <c r="P32" s="26" t="s">
        <v>76</v>
      </c>
    </row>
    <row r="33" spans="1:16">
      <c r="A33" s="9" t="s">
        <v>192</v>
      </c>
      <c r="B33" s="15">
        <v>57.142857142857103</v>
      </c>
      <c r="C33" s="15">
        <v>57.142857142857103</v>
      </c>
      <c r="D33" s="26" t="s">
        <v>76</v>
      </c>
      <c r="E33" s="20" t="s">
        <v>76</v>
      </c>
      <c r="F33" s="20" t="s">
        <v>76</v>
      </c>
      <c r="G33" s="26" t="s">
        <v>76</v>
      </c>
      <c r="H33" s="15">
        <v>61.538461538461497</v>
      </c>
      <c r="I33" s="15">
        <v>61.538461538461497</v>
      </c>
      <c r="J33" s="26" t="s">
        <v>76</v>
      </c>
      <c r="K33" s="20" t="s">
        <v>76</v>
      </c>
      <c r="L33" s="20" t="s">
        <v>76</v>
      </c>
      <c r="M33" s="26" t="s">
        <v>76</v>
      </c>
      <c r="N33" s="20" t="s">
        <v>76</v>
      </c>
      <c r="O33" s="20" t="s">
        <v>76</v>
      </c>
      <c r="P33" s="26" t="s">
        <v>76</v>
      </c>
    </row>
    <row r="34" spans="1:16">
      <c r="A34" s="9" t="s">
        <v>193</v>
      </c>
      <c r="B34" s="15">
        <v>28.571428571428601</v>
      </c>
      <c r="C34" s="15">
        <v>28.571428571428601</v>
      </c>
      <c r="D34" s="26" t="s">
        <v>76</v>
      </c>
      <c r="E34" s="15">
        <v>29.629629629629601</v>
      </c>
      <c r="F34" s="15">
        <v>29.629629629629601</v>
      </c>
      <c r="G34" s="26" t="s">
        <v>76</v>
      </c>
      <c r="H34" s="15">
        <v>28</v>
      </c>
      <c r="I34" s="15">
        <v>28</v>
      </c>
      <c r="J34" s="26" t="s">
        <v>76</v>
      </c>
      <c r="K34" s="20" t="s">
        <v>76</v>
      </c>
      <c r="L34" s="20" t="s">
        <v>76</v>
      </c>
      <c r="M34" s="26" t="s">
        <v>76</v>
      </c>
      <c r="N34" s="20" t="s">
        <v>76</v>
      </c>
      <c r="O34" s="20" t="s">
        <v>76</v>
      </c>
      <c r="P34" s="26" t="s">
        <v>76</v>
      </c>
    </row>
    <row r="35" spans="1:16">
      <c r="A35" s="9" t="s">
        <v>194</v>
      </c>
      <c r="B35" s="15">
        <v>58.928571428571402</v>
      </c>
      <c r="C35" s="15">
        <v>58.928571428571402</v>
      </c>
      <c r="D35" s="26" t="s">
        <v>76</v>
      </c>
      <c r="E35" s="15">
        <v>72</v>
      </c>
      <c r="F35" s="15">
        <v>72</v>
      </c>
      <c r="G35" s="26" t="s">
        <v>76</v>
      </c>
      <c r="H35" s="15">
        <v>50</v>
      </c>
      <c r="I35" s="15">
        <v>50</v>
      </c>
      <c r="J35" s="26" t="s">
        <v>76</v>
      </c>
      <c r="K35" s="20" t="s">
        <v>76</v>
      </c>
      <c r="L35" s="20" t="s">
        <v>76</v>
      </c>
      <c r="M35" s="26" t="s">
        <v>76</v>
      </c>
      <c r="N35" s="20" t="s">
        <v>76</v>
      </c>
      <c r="O35" s="20" t="s">
        <v>76</v>
      </c>
      <c r="P35" s="26" t="s">
        <v>76</v>
      </c>
    </row>
    <row r="36" spans="1:16">
      <c r="A36" s="9" t="s">
        <v>195</v>
      </c>
      <c r="B36" s="20" t="s">
        <v>76</v>
      </c>
      <c r="C36" s="20" t="s">
        <v>76</v>
      </c>
      <c r="D36" s="26" t="s">
        <v>76</v>
      </c>
      <c r="E36" s="20" t="s">
        <v>76</v>
      </c>
      <c r="F36" s="20" t="s">
        <v>76</v>
      </c>
      <c r="G36" s="26" t="s">
        <v>76</v>
      </c>
      <c r="H36" s="20" t="s">
        <v>76</v>
      </c>
      <c r="I36" s="20" t="s">
        <v>76</v>
      </c>
      <c r="J36" s="26" t="s">
        <v>76</v>
      </c>
      <c r="K36" s="20" t="s">
        <v>76</v>
      </c>
      <c r="L36" s="20" t="s">
        <v>76</v>
      </c>
      <c r="M36" s="26" t="s">
        <v>76</v>
      </c>
      <c r="N36" s="20" t="s">
        <v>76</v>
      </c>
      <c r="O36" s="20" t="s">
        <v>76</v>
      </c>
      <c r="P36" s="26" t="s">
        <v>76</v>
      </c>
    </row>
    <row r="37" spans="1:16">
      <c r="A37" s="9" t="s">
        <v>196</v>
      </c>
      <c r="B37" s="15">
        <v>21.6216216216216</v>
      </c>
      <c r="C37" s="15">
        <v>21.6216216216216</v>
      </c>
      <c r="D37" s="26" t="s">
        <v>76</v>
      </c>
      <c r="E37" s="15">
        <v>21.428571428571399</v>
      </c>
      <c r="F37" s="15">
        <v>21.428571428571399</v>
      </c>
      <c r="G37" s="26" t="s">
        <v>76</v>
      </c>
      <c r="H37" s="15">
        <v>22.2222222222222</v>
      </c>
      <c r="I37" s="15">
        <v>22.2222222222222</v>
      </c>
      <c r="J37" s="26" t="s">
        <v>76</v>
      </c>
      <c r="K37" s="20" t="s">
        <v>76</v>
      </c>
      <c r="L37" s="20" t="s">
        <v>76</v>
      </c>
      <c r="M37" s="26" t="s">
        <v>76</v>
      </c>
      <c r="N37" s="20" t="s">
        <v>76</v>
      </c>
      <c r="O37" s="20" t="s">
        <v>76</v>
      </c>
      <c r="P37" s="26" t="s">
        <v>76</v>
      </c>
    </row>
    <row r="38" spans="1:16">
      <c r="A38" s="9" t="s">
        <v>197</v>
      </c>
      <c r="B38" s="15">
        <v>50</v>
      </c>
      <c r="C38" s="15">
        <v>50</v>
      </c>
      <c r="D38" s="26" t="s">
        <v>76</v>
      </c>
      <c r="E38" s="15">
        <v>64.705882352941202</v>
      </c>
      <c r="F38" s="15">
        <v>64.705882352941202</v>
      </c>
      <c r="G38" s="26" t="s">
        <v>76</v>
      </c>
      <c r="H38" s="20" t="s">
        <v>76</v>
      </c>
      <c r="I38" s="20" t="s">
        <v>76</v>
      </c>
      <c r="J38" s="26" t="s">
        <v>76</v>
      </c>
      <c r="K38" s="20" t="s">
        <v>76</v>
      </c>
      <c r="L38" s="20" t="s">
        <v>76</v>
      </c>
      <c r="M38" s="26" t="s">
        <v>76</v>
      </c>
      <c r="N38" s="20" t="s">
        <v>76</v>
      </c>
      <c r="O38" s="20" t="s">
        <v>76</v>
      </c>
      <c r="P38" s="26" t="s">
        <v>76</v>
      </c>
    </row>
    <row r="39" spans="1:16">
      <c r="A39" s="9" t="s">
        <v>198</v>
      </c>
      <c r="B39" s="15">
        <v>36.6666666666667</v>
      </c>
      <c r="C39" s="15">
        <v>36.6666666666667</v>
      </c>
      <c r="D39" s="26" t="s">
        <v>76</v>
      </c>
      <c r="E39" s="15">
        <v>40.540540540540498</v>
      </c>
      <c r="F39" s="15">
        <v>40.540540540540498</v>
      </c>
      <c r="G39" s="26" t="s">
        <v>76</v>
      </c>
      <c r="H39" s="15">
        <v>34.7826086956522</v>
      </c>
      <c r="I39" s="15">
        <v>34.7826086956522</v>
      </c>
      <c r="J39" s="26" t="s">
        <v>76</v>
      </c>
      <c r="K39" s="20" t="s">
        <v>76</v>
      </c>
      <c r="L39" s="20" t="s">
        <v>76</v>
      </c>
      <c r="M39" s="26" t="s">
        <v>76</v>
      </c>
      <c r="N39" s="20" t="s">
        <v>76</v>
      </c>
      <c r="O39" s="20" t="s">
        <v>76</v>
      </c>
      <c r="P39" s="26" t="s">
        <v>76</v>
      </c>
    </row>
    <row r="40" spans="1:16">
      <c r="A40" s="9" t="s">
        <v>199</v>
      </c>
      <c r="B40" s="15">
        <v>37.5</v>
      </c>
      <c r="C40" s="15">
        <v>37.5</v>
      </c>
      <c r="D40" s="26" t="s">
        <v>76</v>
      </c>
      <c r="E40" s="15">
        <v>42.424242424242401</v>
      </c>
      <c r="F40" s="15">
        <v>42.424242424242401</v>
      </c>
      <c r="G40" s="26" t="s">
        <v>76</v>
      </c>
      <c r="H40" s="15">
        <v>32.258064516128997</v>
      </c>
      <c r="I40" s="15">
        <v>32.258064516128997</v>
      </c>
      <c r="J40" s="26" t="s">
        <v>76</v>
      </c>
      <c r="K40" s="20" t="s">
        <v>76</v>
      </c>
      <c r="L40" s="20" t="s">
        <v>76</v>
      </c>
      <c r="M40" s="26" t="s">
        <v>76</v>
      </c>
      <c r="N40" s="20" t="s">
        <v>76</v>
      </c>
      <c r="O40" s="20" t="s">
        <v>76</v>
      </c>
      <c r="P40" s="26" t="s">
        <v>76</v>
      </c>
    </row>
    <row r="41" spans="1:16">
      <c r="A41" s="9" t="s">
        <v>200</v>
      </c>
      <c r="B41" s="20" t="s">
        <v>76</v>
      </c>
      <c r="C41" s="20" t="s">
        <v>76</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c r="A42" s="9" t="s">
        <v>201</v>
      </c>
      <c r="B42" s="15">
        <v>27.5</v>
      </c>
      <c r="C42" s="15">
        <v>27.5</v>
      </c>
      <c r="D42" s="26" t="s">
        <v>76</v>
      </c>
      <c r="E42" s="15">
        <v>33.3333333333333</v>
      </c>
      <c r="F42" s="15">
        <v>33.3333333333333</v>
      </c>
      <c r="G42" s="26" t="s">
        <v>76</v>
      </c>
      <c r="H42" s="15">
        <v>24</v>
      </c>
      <c r="I42" s="15">
        <v>24</v>
      </c>
      <c r="J42" s="26" t="s">
        <v>76</v>
      </c>
      <c r="K42" s="20" t="s">
        <v>76</v>
      </c>
      <c r="L42" s="20" t="s">
        <v>76</v>
      </c>
      <c r="M42" s="26" t="s">
        <v>76</v>
      </c>
      <c r="N42" s="20" t="s">
        <v>76</v>
      </c>
      <c r="O42" s="20" t="s">
        <v>76</v>
      </c>
      <c r="P42" s="26" t="s">
        <v>76</v>
      </c>
    </row>
    <row r="43" spans="1:16">
      <c r="A43" s="9" t="s">
        <v>202</v>
      </c>
      <c r="B43" s="15">
        <v>48.051948051948102</v>
      </c>
      <c r="C43" s="15">
        <v>48.051948051948102</v>
      </c>
      <c r="D43" s="26" t="s">
        <v>76</v>
      </c>
      <c r="E43" s="15">
        <v>46.153846153846203</v>
      </c>
      <c r="F43" s="15">
        <v>46.153846153846203</v>
      </c>
      <c r="G43" s="26" t="s">
        <v>76</v>
      </c>
      <c r="H43" s="15">
        <v>50</v>
      </c>
      <c r="I43" s="15">
        <v>50</v>
      </c>
      <c r="J43" s="26" t="s">
        <v>76</v>
      </c>
      <c r="K43" s="20" t="s">
        <v>76</v>
      </c>
      <c r="L43" s="20" t="s">
        <v>76</v>
      </c>
      <c r="M43" s="26" t="s">
        <v>76</v>
      </c>
      <c r="N43" s="20" t="s">
        <v>76</v>
      </c>
      <c r="O43" s="20" t="s">
        <v>76</v>
      </c>
      <c r="P43" s="26" t="s">
        <v>76</v>
      </c>
    </row>
    <row r="44" spans="1:16">
      <c r="A44" s="9" t="s">
        <v>203</v>
      </c>
      <c r="B44" s="15">
        <v>41.025641025641001</v>
      </c>
      <c r="C44" s="15">
        <v>41.025641025641001</v>
      </c>
      <c r="D44" s="26" t="s">
        <v>76</v>
      </c>
      <c r="E44" s="15">
        <v>33.3333333333333</v>
      </c>
      <c r="F44" s="15">
        <v>33.3333333333333</v>
      </c>
      <c r="G44" s="26" t="s">
        <v>76</v>
      </c>
      <c r="H44" s="15">
        <v>44.4444444444444</v>
      </c>
      <c r="I44" s="15">
        <v>44.4444444444444</v>
      </c>
      <c r="J44" s="26" t="s">
        <v>76</v>
      </c>
      <c r="K44" s="20" t="s">
        <v>76</v>
      </c>
      <c r="L44" s="20" t="s">
        <v>76</v>
      </c>
      <c r="M44" s="26" t="s">
        <v>76</v>
      </c>
      <c r="N44" s="20" t="s">
        <v>76</v>
      </c>
      <c r="O44" s="20" t="s">
        <v>76</v>
      </c>
      <c r="P44" s="26" t="s">
        <v>76</v>
      </c>
    </row>
    <row r="45" spans="1:16">
      <c r="A45" s="9" t="s">
        <v>204</v>
      </c>
      <c r="B45" s="15">
        <v>16.363636363636399</v>
      </c>
      <c r="C45" s="15">
        <v>16.363636363636399</v>
      </c>
      <c r="D45" s="26" t="s">
        <v>76</v>
      </c>
      <c r="E45" s="15">
        <v>20</v>
      </c>
      <c r="F45" s="15">
        <v>20</v>
      </c>
      <c r="G45" s="26" t="s">
        <v>76</v>
      </c>
      <c r="H45" s="20" t="s">
        <v>76</v>
      </c>
      <c r="I45" s="20" t="s">
        <v>76</v>
      </c>
      <c r="J45" s="26" t="s">
        <v>76</v>
      </c>
      <c r="K45" s="20" t="s">
        <v>76</v>
      </c>
      <c r="L45" s="20" t="s">
        <v>76</v>
      </c>
      <c r="M45" s="26" t="s">
        <v>76</v>
      </c>
      <c r="N45" s="20" t="s">
        <v>76</v>
      </c>
      <c r="O45" s="20" t="s">
        <v>76</v>
      </c>
      <c r="P45" s="26" t="s">
        <v>76</v>
      </c>
    </row>
    <row r="46" spans="1:16">
      <c r="A46" s="9" t="s">
        <v>205</v>
      </c>
      <c r="B46" s="15">
        <v>63.636363636363598</v>
      </c>
      <c r="C46" s="15">
        <v>63.636363636363598</v>
      </c>
      <c r="D46" s="26" t="s">
        <v>76</v>
      </c>
      <c r="E46" s="20" t="s">
        <v>76</v>
      </c>
      <c r="F46" s="20" t="s">
        <v>76</v>
      </c>
      <c r="G46" s="26" t="s">
        <v>76</v>
      </c>
      <c r="H46" s="20" t="s">
        <v>76</v>
      </c>
      <c r="I46" s="20" t="s">
        <v>76</v>
      </c>
      <c r="J46" s="26" t="s">
        <v>76</v>
      </c>
      <c r="K46" s="20" t="s">
        <v>76</v>
      </c>
      <c r="L46" s="20" t="s">
        <v>76</v>
      </c>
      <c r="M46" s="26" t="s">
        <v>76</v>
      </c>
      <c r="N46" s="20" t="s">
        <v>76</v>
      </c>
      <c r="O46" s="20" t="s">
        <v>76</v>
      </c>
      <c r="P46" s="26" t="s">
        <v>76</v>
      </c>
    </row>
    <row r="47" spans="1:16">
      <c r="A47" s="9" t="s">
        <v>206</v>
      </c>
      <c r="B47" s="15">
        <v>38.461538461538503</v>
      </c>
      <c r="C47" s="15">
        <v>38.461538461538503</v>
      </c>
      <c r="D47" s="26" t="s">
        <v>76</v>
      </c>
      <c r="E47" s="15">
        <v>32.352941176470601</v>
      </c>
      <c r="F47" s="15">
        <v>32.352941176470601</v>
      </c>
      <c r="G47" s="26" t="s">
        <v>76</v>
      </c>
      <c r="H47" s="15">
        <v>45.161290322580598</v>
      </c>
      <c r="I47" s="15">
        <v>45.161290322580598</v>
      </c>
      <c r="J47" s="26" t="s">
        <v>76</v>
      </c>
      <c r="K47" s="20" t="s">
        <v>76</v>
      </c>
      <c r="L47" s="20" t="s">
        <v>76</v>
      </c>
      <c r="M47" s="26" t="s">
        <v>76</v>
      </c>
      <c r="N47" s="20" t="s">
        <v>76</v>
      </c>
      <c r="O47" s="20" t="s">
        <v>76</v>
      </c>
      <c r="P47" s="26" t="s">
        <v>76</v>
      </c>
    </row>
    <row r="48" spans="1:16">
      <c r="A48" s="9" t="s">
        <v>207</v>
      </c>
      <c r="B48" s="15">
        <v>36.734693877551003</v>
      </c>
      <c r="C48" s="15">
        <v>36.734693877551003</v>
      </c>
      <c r="D48" s="26" t="s">
        <v>76</v>
      </c>
      <c r="E48" s="15">
        <v>44.4444444444444</v>
      </c>
      <c r="F48" s="15">
        <v>44.4444444444444</v>
      </c>
      <c r="G48" s="26" t="s">
        <v>76</v>
      </c>
      <c r="H48" s="15">
        <v>33.3333333333333</v>
      </c>
      <c r="I48" s="15">
        <v>33.3333333333333</v>
      </c>
      <c r="J48" s="26" t="s">
        <v>76</v>
      </c>
      <c r="K48" s="20" t="s">
        <v>76</v>
      </c>
      <c r="L48" s="20" t="s">
        <v>76</v>
      </c>
      <c r="M48" s="26" t="s">
        <v>76</v>
      </c>
      <c r="N48" s="20" t="s">
        <v>76</v>
      </c>
      <c r="O48" s="20" t="s">
        <v>76</v>
      </c>
      <c r="P48" s="26" t="s">
        <v>76</v>
      </c>
    </row>
    <row r="49" spans="1:16">
      <c r="A49" s="9" t="s">
        <v>208</v>
      </c>
      <c r="B49" s="15">
        <v>43.835616438356197</v>
      </c>
      <c r="C49" s="15">
        <v>43.835616438356197</v>
      </c>
      <c r="D49" s="26" t="s">
        <v>76</v>
      </c>
      <c r="E49" s="15">
        <v>51.428571428571402</v>
      </c>
      <c r="F49" s="15">
        <v>51.428571428571402</v>
      </c>
      <c r="G49" s="26" t="s">
        <v>76</v>
      </c>
      <c r="H49" s="15">
        <v>36.842105263157897</v>
      </c>
      <c r="I49" s="15">
        <v>36.842105263157897</v>
      </c>
      <c r="J49" s="26" t="s">
        <v>76</v>
      </c>
      <c r="K49" s="20" t="s">
        <v>76</v>
      </c>
      <c r="L49" s="20" t="s">
        <v>76</v>
      </c>
      <c r="M49" s="26" t="s">
        <v>76</v>
      </c>
      <c r="N49" s="20" t="s">
        <v>76</v>
      </c>
      <c r="O49" s="20" t="s">
        <v>76</v>
      </c>
      <c r="P49" s="26" t="s">
        <v>76</v>
      </c>
    </row>
    <row r="50" spans="1:16">
      <c r="A50" s="9" t="s">
        <v>209</v>
      </c>
      <c r="B50" s="15">
        <v>24.137931034482801</v>
      </c>
      <c r="C50" s="15">
        <v>24.137931034482801</v>
      </c>
      <c r="D50" s="26" t="s">
        <v>76</v>
      </c>
      <c r="E50" s="15">
        <v>27.4509803921569</v>
      </c>
      <c r="F50" s="15">
        <v>27.4509803921569</v>
      </c>
      <c r="G50" s="26" t="s">
        <v>76</v>
      </c>
      <c r="H50" s="15">
        <v>20.634920634920601</v>
      </c>
      <c r="I50" s="15">
        <v>20.634920634920601</v>
      </c>
      <c r="J50" s="26" t="s">
        <v>76</v>
      </c>
      <c r="K50" s="20" t="s">
        <v>76</v>
      </c>
      <c r="L50" s="20" t="s">
        <v>76</v>
      </c>
      <c r="M50" s="26" t="s">
        <v>76</v>
      </c>
      <c r="N50" s="20" t="s">
        <v>76</v>
      </c>
      <c r="O50" s="20" t="s">
        <v>76</v>
      </c>
      <c r="P50" s="26" t="s">
        <v>76</v>
      </c>
    </row>
    <row r="51" spans="1:16">
      <c r="A51" s="9" t="s">
        <v>210</v>
      </c>
      <c r="B51" s="15">
        <v>56.25</v>
      </c>
      <c r="C51" s="15">
        <v>56.25</v>
      </c>
      <c r="D51" s="26" t="s">
        <v>76</v>
      </c>
      <c r="E51" s="15">
        <v>70</v>
      </c>
      <c r="F51" s="15">
        <v>70</v>
      </c>
      <c r="G51" s="26" t="s">
        <v>76</v>
      </c>
      <c r="H51" s="20" t="s">
        <v>76</v>
      </c>
      <c r="I51" s="20" t="s">
        <v>76</v>
      </c>
      <c r="J51" s="26" t="s">
        <v>76</v>
      </c>
      <c r="K51" s="20" t="s">
        <v>76</v>
      </c>
      <c r="L51" s="20" t="s">
        <v>76</v>
      </c>
      <c r="M51" s="26" t="s">
        <v>76</v>
      </c>
      <c r="N51" s="20" t="s">
        <v>76</v>
      </c>
      <c r="O51" s="20" t="s">
        <v>76</v>
      </c>
      <c r="P51" s="26" t="s">
        <v>76</v>
      </c>
    </row>
    <row r="52" spans="1:16">
      <c r="A52" s="9" t="s">
        <v>211</v>
      </c>
      <c r="B52" s="15">
        <v>54.285714285714299</v>
      </c>
      <c r="C52" s="15">
        <v>54.285714285714299</v>
      </c>
      <c r="D52" s="26" t="s">
        <v>76</v>
      </c>
      <c r="E52" s="15">
        <v>71.428571428571402</v>
      </c>
      <c r="F52" s="15">
        <v>71.428571428571402</v>
      </c>
      <c r="G52" s="26" t="s">
        <v>76</v>
      </c>
      <c r="H52" s="15">
        <v>40</v>
      </c>
      <c r="I52" s="15">
        <v>40</v>
      </c>
      <c r="J52" s="26" t="s">
        <v>76</v>
      </c>
      <c r="K52" s="20" t="s">
        <v>76</v>
      </c>
      <c r="L52" s="20" t="s">
        <v>76</v>
      </c>
      <c r="M52" s="26" t="s">
        <v>76</v>
      </c>
      <c r="N52" s="20" t="s">
        <v>76</v>
      </c>
      <c r="O52" s="20" t="s">
        <v>76</v>
      </c>
      <c r="P52" s="26" t="s">
        <v>76</v>
      </c>
    </row>
    <row r="53" spans="1:16">
      <c r="A53" s="9" t="s">
        <v>212</v>
      </c>
      <c r="B53" s="15">
        <v>74</v>
      </c>
      <c r="C53" s="15">
        <v>74</v>
      </c>
      <c r="D53" s="26" t="s">
        <v>76</v>
      </c>
      <c r="E53" s="15">
        <v>80</v>
      </c>
      <c r="F53" s="15">
        <v>80</v>
      </c>
      <c r="G53" s="26" t="s">
        <v>76</v>
      </c>
      <c r="H53" s="15">
        <v>68</v>
      </c>
      <c r="I53" s="15">
        <v>68</v>
      </c>
      <c r="J53" s="26" t="s">
        <v>76</v>
      </c>
      <c r="K53" s="20" t="s">
        <v>76</v>
      </c>
      <c r="L53" s="20" t="s">
        <v>76</v>
      </c>
      <c r="M53" s="26" t="s">
        <v>76</v>
      </c>
      <c r="N53" s="20" t="s">
        <v>76</v>
      </c>
      <c r="O53" s="20" t="s">
        <v>76</v>
      </c>
      <c r="P53" s="26" t="s">
        <v>76</v>
      </c>
    </row>
    <row r="54" spans="1:16">
      <c r="A54" s="9" t="s">
        <v>213</v>
      </c>
      <c r="B54" s="15">
        <v>22.641509433962302</v>
      </c>
      <c r="C54" s="15">
        <v>22.641509433962302</v>
      </c>
      <c r="D54" s="26" t="s">
        <v>76</v>
      </c>
      <c r="E54" s="15">
        <v>33.3333333333333</v>
      </c>
      <c r="F54" s="15">
        <v>33.3333333333333</v>
      </c>
      <c r="G54" s="26" t="s">
        <v>76</v>
      </c>
      <c r="H54" s="20" t="s">
        <v>76</v>
      </c>
      <c r="I54" s="20" t="s">
        <v>76</v>
      </c>
      <c r="J54" s="26" t="s">
        <v>76</v>
      </c>
      <c r="K54" s="20" t="s">
        <v>76</v>
      </c>
      <c r="L54" s="20" t="s">
        <v>76</v>
      </c>
      <c r="M54" s="26" t="s">
        <v>76</v>
      </c>
      <c r="N54" s="20" t="s">
        <v>76</v>
      </c>
      <c r="O54" s="20" t="s">
        <v>76</v>
      </c>
      <c r="P54" s="26" t="s">
        <v>76</v>
      </c>
    </row>
    <row r="55" spans="1:16">
      <c r="A55" s="9" t="s">
        <v>214</v>
      </c>
      <c r="B55" s="15">
        <v>52.238805970149301</v>
      </c>
      <c r="C55" s="15">
        <v>52.238805970149301</v>
      </c>
      <c r="D55" s="26" t="s">
        <v>76</v>
      </c>
      <c r="E55" s="15">
        <v>53.125</v>
      </c>
      <c r="F55" s="15">
        <v>53.125</v>
      </c>
      <c r="G55" s="26" t="s">
        <v>76</v>
      </c>
      <c r="H55" s="15">
        <v>51.428571428571402</v>
      </c>
      <c r="I55" s="15">
        <v>51.428571428571402</v>
      </c>
      <c r="J55" s="26" t="s">
        <v>76</v>
      </c>
      <c r="K55" s="20" t="s">
        <v>76</v>
      </c>
      <c r="L55" s="20" t="s">
        <v>76</v>
      </c>
      <c r="M55" s="26" t="s">
        <v>76</v>
      </c>
      <c r="N55" s="20" t="s">
        <v>76</v>
      </c>
      <c r="O55" s="20" t="s">
        <v>76</v>
      </c>
      <c r="P55" s="26" t="s">
        <v>76</v>
      </c>
    </row>
    <row r="56" spans="1:16">
      <c r="A56" s="9" t="s">
        <v>215</v>
      </c>
      <c r="B56" s="15">
        <v>27.027027027027</v>
      </c>
      <c r="C56" s="15">
        <v>27.027027027027</v>
      </c>
      <c r="D56" s="26" t="s">
        <v>76</v>
      </c>
      <c r="E56" s="15">
        <v>32.4324324324324</v>
      </c>
      <c r="F56" s="15">
        <v>32.4324324324324</v>
      </c>
      <c r="G56" s="26" t="s">
        <v>76</v>
      </c>
      <c r="H56" s="15">
        <v>22.2222222222222</v>
      </c>
      <c r="I56" s="15">
        <v>22.2222222222222</v>
      </c>
      <c r="J56" s="26" t="s">
        <v>76</v>
      </c>
      <c r="K56" s="20" t="s">
        <v>76</v>
      </c>
      <c r="L56" s="20" t="s">
        <v>76</v>
      </c>
      <c r="M56" s="26" t="s">
        <v>76</v>
      </c>
      <c r="N56" s="20" t="s">
        <v>76</v>
      </c>
      <c r="O56" s="20" t="s">
        <v>76</v>
      </c>
      <c r="P56" s="26" t="s">
        <v>76</v>
      </c>
    </row>
    <row r="57" spans="1:16">
      <c r="A57" s="9" t="s">
        <v>216</v>
      </c>
      <c r="B57" s="15">
        <v>43.589743589743598</v>
      </c>
      <c r="C57" s="15">
        <v>43.589743589743598</v>
      </c>
      <c r="D57" s="26" t="s">
        <v>76</v>
      </c>
      <c r="E57" s="15">
        <v>42.105263157894697</v>
      </c>
      <c r="F57" s="15">
        <v>42.105263157894697</v>
      </c>
      <c r="G57" s="26" t="s">
        <v>76</v>
      </c>
      <c r="H57" s="15">
        <v>44.4444444444444</v>
      </c>
      <c r="I57" s="15">
        <v>44.4444444444444</v>
      </c>
      <c r="J57" s="26" t="s">
        <v>76</v>
      </c>
      <c r="K57" s="20" t="s">
        <v>76</v>
      </c>
      <c r="L57" s="20" t="s">
        <v>76</v>
      </c>
      <c r="M57" s="26" t="s">
        <v>76</v>
      </c>
      <c r="N57" s="20" t="s">
        <v>76</v>
      </c>
      <c r="O57" s="20" t="s">
        <v>76</v>
      </c>
      <c r="P57" s="26" t="s">
        <v>76</v>
      </c>
    </row>
    <row r="58" spans="1:16">
      <c r="A58" s="9" t="s">
        <v>217</v>
      </c>
      <c r="B58" s="15">
        <v>72.413793103448299</v>
      </c>
      <c r="C58" s="15">
        <v>72.413793103448299</v>
      </c>
      <c r="D58" s="26" t="s">
        <v>76</v>
      </c>
      <c r="E58" s="15">
        <v>66.6666666666667</v>
      </c>
      <c r="F58" s="15">
        <v>66.6666666666667</v>
      </c>
      <c r="G58" s="26" t="s">
        <v>76</v>
      </c>
      <c r="H58" s="15">
        <v>76.470588235294102</v>
      </c>
      <c r="I58" s="15">
        <v>76.470588235294102</v>
      </c>
      <c r="J58" s="26" t="s">
        <v>76</v>
      </c>
      <c r="K58" s="20" t="s">
        <v>76</v>
      </c>
      <c r="L58" s="20" t="s">
        <v>76</v>
      </c>
      <c r="M58" s="26" t="s">
        <v>76</v>
      </c>
      <c r="N58" s="20" t="s">
        <v>76</v>
      </c>
      <c r="O58" s="20" t="s">
        <v>76</v>
      </c>
      <c r="P58" s="26" t="s">
        <v>76</v>
      </c>
    </row>
    <row r="59" spans="1:16">
      <c r="A59" s="9" t="s">
        <v>218</v>
      </c>
      <c r="B59" s="15">
        <v>34.939759036144601</v>
      </c>
      <c r="C59" s="15">
        <v>34.939759036144601</v>
      </c>
      <c r="D59" s="26" t="s">
        <v>76</v>
      </c>
      <c r="E59" s="15">
        <v>37.7777777777778</v>
      </c>
      <c r="F59" s="15">
        <v>37.7777777777778</v>
      </c>
      <c r="G59" s="26" t="s">
        <v>76</v>
      </c>
      <c r="H59" s="15">
        <v>33.3333333333333</v>
      </c>
      <c r="I59" s="15">
        <v>33.3333333333333</v>
      </c>
      <c r="J59" s="26" t="s">
        <v>76</v>
      </c>
      <c r="K59" s="20" t="s">
        <v>76</v>
      </c>
      <c r="L59" s="20" t="s">
        <v>76</v>
      </c>
      <c r="M59" s="26" t="s">
        <v>76</v>
      </c>
      <c r="N59" s="20" t="s">
        <v>76</v>
      </c>
      <c r="O59" s="20" t="s">
        <v>76</v>
      </c>
      <c r="P59" s="26" t="s">
        <v>76</v>
      </c>
    </row>
    <row r="60" spans="1:16">
      <c r="A60" s="9" t="s">
        <v>219</v>
      </c>
      <c r="B60" s="15">
        <v>64.179104477611901</v>
      </c>
      <c r="C60" s="15">
        <v>64.179104477611901</v>
      </c>
      <c r="D60" s="26" t="s">
        <v>76</v>
      </c>
      <c r="E60" s="15">
        <v>68.75</v>
      </c>
      <c r="F60" s="15">
        <v>68.75</v>
      </c>
      <c r="G60" s="26" t="s">
        <v>76</v>
      </c>
      <c r="H60" s="15">
        <v>60</v>
      </c>
      <c r="I60" s="15">
        <v>60</v>
      </c>
      <c r="J60" s="26" t="s">
        <v>76</v>
      </c>
      <c r="K60" s="20" t="s">
        <v>76</v>
      </c>
      <c r="L60" s="20" t="s">
        <v>76</v>
      </c>
      <c r="M60" s="26" t="s">
        <v>76</v>
      </c>
      <c r="N60" s="20" t="s">
        <v>76</v>
      </c>
      <c r="O60" s="20" t="s">
        <v>76</v>
      </c>
      <c r="P60" s="26" t="s">
        <v>76</v>
      </c>
    </row>
    <row r="61" spans="1:16">
      <c r="A61" s="9" t="s">
        <v>220</v>
      </c>
      <c r="B61" s="15">
        <v>29.1666666666667</v>
      </c>
      <c r="C61" s="15">
        <v>29.1666666666667</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c r="A62" s="9" t="s">
        <v>221</v>
      </c>
      <c r="B62" s="15">
        <v>63.157894736842103</v>
      </c>
      <c r="C62" s="15">
        <v>63.157894736842103</v>
      </c>
      <c r="D62" s="26" t="s">
        <v>76</v>
      </c>
      <c r="E62" s="15">
        <v>71.428571428571402</v>
      </c>
      <c r="F62" s="15">
        <v>71.428571428571402</v>
      </c>
      <c r="G62" s="26" t="s">
        <v>76</v>
      </c>
      <c r="H62" s="15">
        <v>58.3333333333333</v>
      </c>
      <c r="I62" s="15">
        <v>58.3333333333333</v>
      </c>
      <c r="J62" s="26" t="s">
        <v>76</v>
      </c>
      <c r="K62" s="20" t="s">
        <v>76</v>
      </c>
      <c r="L62" s="20" t="s">
        <v>76</v>
      </c>
      <c r="M62" s="26" t="s">
        <v>76</v>
      </c>
      <c r="N62" s="20" t="s">
        <v>76</v>
      </c>
      <c r="O62" s="20" t="s">
        <v>76</v>
      </c>
      <c r="P62" s="26" t="s">
        <v>76</v>
      </c>
    </row>
    <row r="63" spans="1:16">
      <c r="A63" s="9" t="s">
        <v>222</v>
      </c>
      <c r="B63" s="15">
        <v>33.035714285714299</v>
      </c>
      <c r="C63" s="15">
        <v>33.035714285714299</v>
      </c>
      <c r="D63" s="26" t="s">
        <v>76</v>
      </c>
      <c r="E63" s="15">
        <v>28.8135593220339</v>
      </c>
      <c r="F63" s="15">
        <v>28.8135593220339</v>
      </c>
      <c r="G63" s="26" t="s">
        <v>76</v>
      </c>
      <c r="H63" s="15">
        <v>36.538461538461497</v>
      </c>
      <c r="I63" s="15">
        <v>36.538461538461497</v>
      </c>
      <c r="J63" s="26" t="s">
        <v>76</v>
      </c>
      <c r="K63" s="20" t="s">
        <v>76</v>
      </c>
      <c r="L63" s="20" t="s">
        <v>76</v>
      </c>
      <c r="M63" s="26" t="s">
        <v>76</v>
      </c>
      <c r="N63" s="20" t="s">
        <v>76</v>
      </c>
      <c r="O63" s="20" t="s">
        <v>76</v>
      </c>
      <c r="P63" s="26" t="s">
        <v>76</v>
      </c>
    </row>
    <row r="64" spans="1:16">
      <c r="A64" s="9" t="s">
        <v>223</v>
      </c>
      <c r="B64" s="15">
        <v>62.5</v>
      </c>
      <c r="C64" s="15">
        <v>62.5</v>
      </c>
      <c r="D64" s="26" t="s">
        <v>76</v>
      </c>
      <c r="E64" s="15">
        <v>63.157894736842103</v>
      </c>
      <c r="F64" s="15">
        <v>63.157894736842103</v>
      </c>
      <c r="G64" s="26" t="s">
        <v>76</v>
      </c>
      <c r="H64" s="15">
        <v>61.904761904761898</v>
      </c>
      <c r="I64" s="15">
        <v>61.904761904761898</v>
      </c>
      <c r="J64" s="26" t="s">
        <v>76</v>
      </c>
      <c r="K64" s="20" t="s">
        <v>76</v>
      </c>
      <c r="L64" s="20" t="s">
        <v>76</v>
      </c>
      <c r="M64" s="26" t="s">
        <v>76</v>
      </c>
      <c r="N64" s="20" t="s">
        <v>76</v>
      </c>
      <c r="O64" s="20" t="s">
        <v>76</v>
      </c>
      <c r="P64" s="26" t="s">
        <v>76</v>
      </c>
    </row>
    <row r="65" spans="1:16">
      <c r="A65" s="9" t="s">
        <v>224</v>
      </c>
      <c r="B65" s="15">
        <v>30.46875</v>
      </c>
      <c r="C65" s="15">
        <v>30.46875</v>
      </c>
      <c r="D65" s="26" t="s">
        <v>76</v>
      </c>
      <c r="E65" s="15">
        <v>34.426229508196698</v>
      </c>
      <c r="F65" s="15">
        <v>34.426229508196698</v>
      </c>
      <c r="G65" s="26" t="s">
        <v>76</v>
      </c>
      <c r="H65" s="15">
        <v>27.272727272727298</v>
      </c>
      <c r="I65" s="15">
        <v>27.272727272727298</v>
      </c>
      <c r="J65" s="26" t="s">
        <v>76</v>
      </c>
      <c r="K65" s="20" t="s">
        <v>76</v>
      </c>
      <c r="L65" s="20" t="s">
        <v>76</v>
      </c>
      <c r="M65" s="26" t="s">
        <v>76</v>
      </c>
      <c r="N65" s="20" t="s">
        <v>76</v>
      </c>
      <c r="O65" s="20" t="s">
        <v>76</v>
      </c>
      <c r="P65" s="26" t="s">
        <v>76</v>
      </c>
    </row>
    <row r="66" spans="1:16">
      <c r="A66" s="9" t="s">
        <v>225</v>
      </c>
      <c r="B66" s="15">
        <v>50.495049504950501</v>
      </c>
      <c r="C66" s="15">
        <v>50.495049504950501</v>
      </c>
      <c r="D66" s="26" t="s">
        <v>76</v>
      </c>
      <c r="E66" s="15">
        <v>45.283018867924497</v>
      </c>
      <c r="F66" s="15">
        <v>45.283018867924497</v>
      </c>
      <c r="G66" s="26" t="s">
        <v>76</v>
      </c>
      <c r="H66" s="15">
        <v>56.25</v>
      </c>
      <c r="I66" s="15">
        <v>56.25</v>
      </c>
      <c r="J66" s="26" t="s">
        <v>76</v>
      </c>
      <c r="K66" s="20" t="s">
        <v>76</v>
      </c>
      <c r="L66" s="20" t="s">
        <v>76</v>
      </c>
      <c r="M66" s="26" t="s">
        <v>76</v>
      </c>
      <c r="N66" s="20" t="s">
        <v>76</v>
      </c>
      <c r="O66" s="20" t="s">
        <v>76</v>
      </c>
      <c r="P66" s="26" t="s">
        <v>76</v>
      </c>
    </row>
    <row r="67" spans="1:16">
      <c r="A67" s="9" t="s">
        <v>226</v>
      </c>
      <c r="B67" s="15">
        <v>23.529411764705898</v>
      </c>
      <c r="C67" s="15">
        <v>23.529411764705898</v>
      </c>
      <c r="D67" s="26" t="s">
        <v>76</v>
      </c>
      <c r="E67" s="15">
        <v>25</v>
      </c>
      <c r="F67" s="15">
        <v>25</v>
      </c>
      <c r="G67" s="26" t="s">
        <v>76</v>
      </c>
      <c r="H67" s="15">
        <v>22.2222222222222</v>
      </c>
      <c r="I67" s="15">
        <v>22.2222222222222</v>
      </c>
      <c r="J67" s="26" t="s">
        <v>76</v>
      </c>
      <c r="K67" s="20" t="s">
        <v>76</v>
      </c>
      <c r="L67" s="20" t="s">
        <v>76</v>
      </c>
      <c r="M67" s="26" t="s">
        <v>76</v>
      </c>
      <c r="N67" s="20" t="s">
        <v>76</v>
      </c>
      <c r="O67" s="20" t="s">
        <v>76</v>
      </c>
      <c r="P67" s="26" t="s">
        <v>76</v>
      </c>
    </row>
    <row r="68" spans="1:16">
      <c r="A68" s="9" t="s">
        <v>227</v>
      </c>
      <c r="B68" s="15">
        <v>17.7777777777778</v>
      </c>
      <c r="C68" s="15">
        <v>17.7777777777778</v>
      </c>
      <c r="D68" s="26" t="s">
        <v>76</v>
      </c>
      <c r="E68" s="15">
        <v>21.052631578947398</v>
      </c>
      <c r="F68" s="15">
        <v>21.052631578947398</v>
      </c>
      <c r="G68" s="26" t="s">
        <v>76</v>
      </c>
      <c r="H68" s="15">
        <v>15.384615384615399</v>
      </c>
      <c r="I68" s="15">
        <v>15.384615384615399</v>
      </c>
      <c r="J68" s="26" t="s">
        <v>76</v>
      </c>
      <c r="K68" s="20" t="s">
        <v>76</v>
      </c>
      <c r="L68" s="20" t="s">
        <v>76</v>
      </c>
      <c r="M68" s="26" t="s">
        <v>76</v>
      </c>
      <c r="N68" s="20" t="s">
        <v>76</v>
      </c>
      <c r="O68" s="20" t="s">
        <v>76</v>
      </c>
      <c r="P68" s="26" t="s">
        <v>76</v>
      </c>
    </row>
    <row r="69" spans="1:16">
      <c r="A69" s="9" t="s">
        <v>228</v>
      </c>
      <c r="B69" s="20" t="s">
        <v>76</v>
      </c>
      <c r="C69" s="20" t="s">
        <v>76</v>
      </c>
      <c r="D69" s="26" t="s">
        <v>76</v>
      </c>
      <c r="E69" s="20" t="s">
        <v>76</v>
      </c>
      <c r="F69" s="20" t="s">
        <v>76</v>
      </c>
      <c r="G69" s="26" t="s">
        <v>76</v>
      </c>
      <c r="H69" s="20" t="s">
        <v>76</v>
      </c>
      <c r="I69" s="20" t="s">
        <v>76</v>
      </c>
      <c r="J69" s="26" t="s">
        <v>76</v>
      </c>
      <c r="K69" s="20" t="s">
        <v>76</v>
      </c>
      <c r="L69" s="20" t="s">
        <v>76</v>
      </c>
      <c r="M69" s="26" t="s">
        <v>76</v>
      </c>
      <c r="N69" s="20" t="s">
        <v>76</v>
      </c>
      <c r="O69" s="20" t="s">
        <v>76</v>
      </c>
      <c r="P69" s="26" t="s">
        <v>76</v>
      </c>
    </row>
    <row r="70" spans="1:16">
      <c r="A70" s="9" t="s">
        <v>229</v>
      </c>
      <c r="B70" s="15">
        <v>32.876712328767098</v>
      </c>
      <c r="C70" s="15">
        <v>32.876712328767098</v>
      </c>
      <c r="D70" s="26" t="s">
        <v>76</v>
      </c>
      <c r="E70" s="15">
        <v>30</v>
      </c>
      <c r="F70" s="15">
        <v>30</v>
      </c>
      <c r="G70" s="26" t="s">
        <v>76</v>
      </c>
      <c r="H70" s="15">
        <v>36.363636363636402</v>
      </c>
      <c r="I70" s="15">
        <v>36.363636363636402</v>
      </c>
      <c r="J70" s="26" t="s">
        <v>76</v>
      </c>
      <c r="K70" s="20" t="s">
        <v>76</v>
      </c>
      <c r="L70" s="20" t="s">
        <v>76</v>
      </c>
      <c r="M70" s="26" t="s">
        <v>76</v>
      </c>
      <c r="N70" s="20" t="s">
        <v>76</v>
      </c>
      <c r="O70" s="20" t="s">
        <v>76</v>
      </c>
      <c r="P70" s="26" t="s">
        <v>76</v>
      </c>
    </row>
    <row r="71" spans="1:16">
      <c r="A71" s="9" t="s">
        <v>230</v>
      </c>
      <c r="B71" s="15">
        <v>36.6666666666667</v>
      </c>
      <c r="C71" s="15">
        <v>36.6666666666667</v>
      </c>
      <c r="D71" s="26" t="s">
        <v>76</v>
      </c>
      <c r="E71" s="15">
        <v>37.5</v>
      </c>
      <c r="F71" s="15">
        <v>37.5</v>
      </c>
      <c r="G71" s="26" t="s">
        <v>76</v>
      </c>
      <c r="H71" s="15">
        <v>32.142857142857103</v>
      </c>
      <c r="I71" s="15">
        <v>32.142857142857103</v>
      </c>
      <c r="J71" s="26" t="s">
        <v>76</v>
      </c>
      <c r="K71" s="20" t="s">
        <v>76</v>
      </c>
      <c r="L71" s="20" t="s">
        <v>76</v>
      </c>
      <c r="M71" s="26" t="s">
        <v>76</v>
      </c>
      <c r="N71" s="20" t="s">
        <v>76</v>
      </c>
      <c r="O71" s="20" t="s">
        <v>76</v>
      </c>
      <c r="P71" s="26" t="s">
        <v>76</v>
      </c>
    </row>
    <row r="72" spans="1:16">
      <c r="A72" s="9" t="s">
        <v>231</v>
      </c>
      <c r="B72" s="15">
        <v>36.144578313253</v>
      </c>
      <c r="C72" s="15">
        <v>36.144578313253</v>
      </c>
      <c r="D72" s="26" t="s">
        <v>76</v>
      </c>
      <c r="E72" s="15">
        <v>47.619047619047599</v>
      </c>
      <c r="F72" s="15">
        <v>47.619047619047599</v>
      </c>
      <c r="G72" s="26" t="s">
        <v>76</v>
      </c>
      <c r="H72" s="15">
        <v>25.6410256410256</v>
      </c>
      <c r="I72" s="15">
        <v>25.6410256410256</v>
      </c>
      <c r="J72" s="26" t="s">
        <v>76</v>
      </c>
      <c r="K72" s="20" t="s">
        <v>76</v>
      </c>
      <c r="L72" s="20" t="s">
        <v>76</v>
      </c>
      <c r="M72" s="26" t="s">
        <v>76</v>
      </c>
      <c r="N72" s="20" t="s">
        <v>76</v>
      </c>
      <c r="O72" s="20" t="s">
        <v>76</v>
      </c>
      <c r="P72" s="26" t="s">
        <v>76</v>
      </c>
    </row>
    <row r="73" spans="1:16">
      <c r="A73" s="9" t="s">
        <v>232</v>
      </c>
      <c r="B73" s="15">
        <v>36.585365853658502</v>
      </c>
      <c r="C73" s="15">
        <v>36.585365853658502</v>
      </c>
      <c r="D73" s="26" t="s">
        <v>76</v>
      </c>
      <c r="E73" s="15">
        <v>36.842105263157897</v>
      </c>
      <c r="F73" s="15">
        <v>36.842105263157897</v>
      </c>
      <c r="G73" s="26" t="s">
        <v>76</v>
      </c>
      <c r="H73" s="15">
        <v>35.714285714285701</v>
      </c>
      <c r="I73" s="15">
        <v>35.714285714285701</v>
      </c>
      <c r="J73" s="26" t="s">
        <v>76</v>
      </c>
      <c r="K73" s="20" t="s">
        <v>76</v>
      </c>
      <c r="L73" s="20" t="s">
        <v>76</v>
      </c>
      <c r="M73" s="26" t="s">
        <v>76</v>
      </c>
      <c r="N73" s="20" t="s">
        <v>76</v>
      </c>
      <c r="O73" s="20" t="s">
        <v>76</v>
      </c>
      <c r="P73" s="26" t="s">
        <v>76</v>
      </c>
    </row>
    <row r="74" spans="1:16">
      <c r="A74" s="9" t="s">
        <v>233</v>
      </c>
      <c r="B74" s="15">
        <v>21.495327102803699</v>
      </c>
      <c r="C74" s="15">
        <v>21.495327102803699</v>
      </c>
      <c r="D74" s="26" t="s">
        <v>76</v>
      </c>
      <c r="E74" s="15">
        <v>22.2222222222222</v>
      </c>
      <c r="F74" s="15">
        <v>22.2222222222222</v>
      </c>
      <c r="G74" s="26" t="s">
        <v>76</v>
      </c>
      <c r="H74" s="15">
        <v>19.047619047619001</v>
      </c>
      <c r="I74" s="15">
        <v>19.047619047619001</v>
      </c>
      <c r="J74" s="26" t="s">
        <v>76</v>
      </c>
      <c r="K74" s="20" t="s">
        <v>76</v>
      </c>
      <c r="L74" s="20" t="s">
        <v>76</v>
      </c>
      <c r="M74" s="26" t="s">
        <v>76</v>
      </c>
      <c r="N74" s="20" t="s">
        <v>76</v>
      </c>
      <c r="O74" s="20" t="s">
        <v>76</v>
      </c>
      <c r="P74" s="26" t="s">
        <v>76</v>
      </c>
    </row>
    <row r="75" spans="1:16">
      <c r="A75" s="9" t="s">
        <v>234</v>
      </c>
      <c r="B75" s="15">
        <v>45.454545454545503</v>
      </c>
      <c r="C75" s="15">
        <v>45.454545454545503</v>
      </c>
      <c r="D75" s="26" t="s">
        <v>76</v>
      </c>
      <c r="E75" s="15">
        <v>45.098039215686299</v>
      </c>
      <c r="F75" s="15">
        <v>45.098039215686299</v>
      </c>
      <c r="G75" s="26" t="s">
        <v>76</v>
      </c>
      <c r="H75" s="15">
        <v>45.652173913043498</v>
      </c>
      <c r="I75" s="15">
        <v>45.652173913043498</v>
      </c>
      <c r="J75" s="26" t="s">
        <v>76</v>
      </c>
      <c r="K75" s="20" t="s">
        <v>76</v>
      </c>
      <c r="L75" s="20" t="s">
        <v>76</v>
      </c>
      <c r="M75" s="26" t="s">
        <v>76</v>
      </c>
      <c r="N75" s="20" t="s">
        <v>76</v>
      </c>
      <c r="O75" s="20" t="s">
        <v>76</v>
      </c>
      <c r="P75" s="26" t="s">
        <v>76</v>
      </c>
    </row>
    <row r="76" spans="1:16">
      <c r="A76" s="9" t="s">
        <v>235</v>
      </c>
      <c r="B76" s="15">
        <v>30.434782608695699</v>
      </c>
      <c r="C76" s="15">
        <v>30.434782608695699</v>
      </c>
      <c r="D76" s="26" t="s">
        <v>76</v>
      </c>
      <c r="E76" s="15">
        <v>33.3333333333333</v>
      </c>
      <c r="F76" s="15">
        <v>33.3333333333333</v>
      </c>
      <c r="G76" s="26" t="s">
        <v>76</v>
      </c>
      <c r="H76" s="15">
        <v>28.571428571428601</v>
      </c>
      <c r="I76" s="15">
        <v>28.571428571428601</v>
      </c>
      <c r="J76" s="26" t="s">
        <v>76</v>
      </c>
      <c r="K76" s="20" t="s">
        <v>76</v>
      </c>
      <c r="L76" s="20" t="s">
        <v>76</v>
      </c>
      <c r="M76" s="26" t="s">
        <v>76</v>
      </c>
      <c r="N76" s="20" t="s">
        <v>76</v>
      </c>
      <c r="O76" s="20" t="s">
        <v>76</v>
      </c>
      <c r="P76" s="26" t="s">
        <v>76</v>
      </c>
    </row>
    <row r="77" spans="1:16">
      <c r="A77" s="9" t="s">
        <v>236</v>
      </c>
      <c r="B77" s="20" t="s">
        <v>76</v>
      </c>
      <c r="C77" s="20" t="s">
        <v>76</v>
      </c>
      <c r="D77" s="26" t="s">
        <v>76</v>
      </c>
      <c r="E77" s="20" t="s">
        <v>76</v>
      </c>
      <c r="F77" s="20" t="s">
        <v>76</v>
      </c>
      <c r="G77" s="26" t="s">
        <v>76</v>
      </c>
      <c r="H77" s="20" t="s">
        <v>76</v>
      </c>
      <c r="I77" s="20" t="s">
        <v>76</v>
      </c>
      <c r="J77" s="26" t="s">
        <v>76</v>
      </c>
      <c r="K77" s="20" t="s">
        <v>76</v>
      </c>
      <c r="L77" s="20" t="s">
        <v>76</v>
      </c>
      <c r="M77" s="26" t="s">
        <v>76</v>
      </c>
      <c r="N77" s="20" t="s">
        <v>76</v>
      </c>
      <c r="O77" s="20" t="s">
        <v>76</v>
      </c>
      <c r="P77" s="26" t="s">
        <v>76</v>
      </c>
    </row>
    <row r="78" spans="1:16">
      <c r="A78" s="9" t="s">
        <v>237</v>
      </c>
      <c r="B78" s="15">
        <v>36.507936507936499</v>
      </c>
      <c r="C78" s="15">
        <v>36.507936507936499</v>
      </c>
      <c r="D78" s="26" t="s">
        <v>76</v>
      </c>
      <c r="E78" s="15">
        <v>30.769230769230798</v>
      </c>
      <c r="F78" s="15">
        <v>30.769230769230798</v>
      </c>
      <c r="G78" s="26" t="s">
        <v>76</v>
      </c>
      <c r="H78" s="15">
        <v>40.540540540540498</v>
      </c>
      <c r="I78" s="15">
        <v>40.540540540540498</v>
      </c>
      <c r="J78" s="26" t="s">
        <v>76</v>
      </c>
      <c r="K78" s="20" t="s">
        <v>76</v>
      </c>
      <c r="L78" s="20" t="s">
        <v>76</v>
      </c>
      <c r="M78" s="26" t="s">
        <v>76</v>
      </c>
      <c r="N78" s="20" t="s">
        <v>76</v>
      </c>
      <c r="O78" s="20" t="s">
        <v>76</v>
      </c>
      <c r="P78" s="26" t="s">
        <v>76</v>
      </c>
    </row>
    <row r="79" spans="1:16">
      <c r="A79" s="9" t="s">
        <v>238</v>
      </c>
      <c r="B79" s="15">
        <v>43.5374149659864</v>
      </c>
      <c r="C79" s="15">
        <v>43.5374149659864</v>
      </c>
      <c r="D79" s="26" t="s">
        <v>76</v>
      </c>
      <c r="E79" s="15">
        <v>46.7532467532467</v>
      </c>
      <c r="F79" s="15">
        <v>46.7532467532467</v>
      </c>
      <c r="G79" s="26" t="s">
        <v>76</v>
      </c>
      <c r="H79" s="15">
        <v>38.805970149253703</v>
      </c>
      <c r="I79" s="15">
        <v>38.805970149253703</v>
      </c>
      <c r="J79" s="26" t="s">
        <v>76</v>
      </c>
      <c r="K79" s="20" t="s">
        <v>76</v>
      </c>
      <c r="L79" s="20" t="s">
        <v>76</v>
      </c>
      <c r="M79" s="26" t="s">
        <v>76</v>
      </c>
      <c r="N79" s="20" t="s">
        <v>76</v>
      </c>
      <c r="O79" s="20" t="s">
        <v>76</v>
      </c>
      <c r="P79" s="26" t="s">
        <v>76</v>
      </c>
    </row>
    <row r="80" spans="1:16" ht="21.95" customHeight="1">
      <c r="A80" s="22" t="s">
        <v>239</v>
      </c>
      <c r="B80" s="15">
        <v>36.058712741356999</v>
      </c>
      <c r="C80" s="20" t="s">
        <v>76</v>
      </c>
      <c r="D80" s="24">
        <v>36.058712741356999</v>
      </c>
      <c r="E80" s="15">
        <v>36.960191255596499</v>
      </c>
      <c r="F80" s="20" t="s">
        <v>76</v>
      </c>
      <c r="G80" s="24">
        <v>36.960191255596499</v>
      </c>
      <c r="H80" s="15">
        <v>35.985146248709</v>
      </c>
      <c r="I80" s="20" t="s">
        <v>76</v>
      </c>
      <c r="J80" s="24">
        <v>35.985146248709</v>
      </c>
      <c r="K80" s="20" t="s">
        <v>76</v>
      </c>
      <c r="L80" s="20" t="s">
        <v>76</v>
      </c>
      <c r="M80" s="26" t="s">
        <v>76</v>
      </c>
      <c r="N80" s="20" t="s">
        <v>76</v>
      </c>
      <c r="O80" s="20" t="s">
        <v>76</v>
      </c>
      <c r="P80" s="26" t="s">
        <v>76</v>
      </c>
    </row>
    <row r="81" spans="1:16">
      <c r="A81" s="9" t="s">
        <v>240</v>
      </c>
      <c r="B81" s="15">
        <v>36.421725239616599</v>
      </c>
      <c r="C81" s="20" t="s">
        <v>76</v>
      </c>
      <c r="D81" s="24">
        <v>36.421725239616599</v>
      </c>
      <c r="E81" s="15">
        <v>37.869822485207102</v>
      </c>
      <c r="F81" s="20" t="s">
        <v>76</v>
      </c>
      <c r="G81" s="24">
        <v>37.869822485207102</v>
      </c>
      <c r="H81" s="15">
        <v>36.296296296296298</v>
      </c>
      <c r="I81" s="20" t="s">
        <v>76</v>
      </c>
      <c r="J81" s="24">
        <v>36.296296296296298</v>
      </c>
      <c r="K81" s="20" t="s">
        <v>76</v>
      </c>
      <c r="L81" s="20" t="s">
        <v>76</v>
      </c>
      <c r="M81" s="26" t="s">
        <v>76</v>
      </c>
      <c r="N81" s="20" t="s">
        <v>76</v>
      </c>
      <c r="O81" s="20" t="s">
        <v>76</v>
      </c>
      <c r="P81" s="26" t="s">
        <v>76</v>
      </c>
    </row>
    <row r="82" spans="1:16">
      <c r="A82" s="9" t="s">
        <v>241</v>
      </c>
      <c r="B82" s="15">
        <v>27.358490566037698</v>
      </c>
      <c r="C82" s="20" t="s">
        <v>76</v>
      </c>
      <c r="D82" s="24">
        <v>27.358490566037698</v>
      </c>
      <c r="E82" s="15">
        <v>31.210191082802499</v>
      </c>
      <c r="F82" s="20" t="s">
        <v>76</v>
      </c>
      <c r="G82" s="24">
        <v>31.210191082802499</v>
      </c>
      <c r="H82" s="15">
        <v>23.870967741935502</v>
      </c>
      <c r="I82" s="20" t="s">
        <v>76</v>
      </c>
      <c r="J82" s="24">
        <v>23.870967741935502</v>
      </c>
      <c r="K82" s="20" t="s">
        <v>76</v>
      </c>
      <c r="L82" s="20" t="s">
        <v>76</v>
      </c>
      <c r="M82" s="26" t="s">
        <v>76</v>
      </c>
      <c r="N82" s="20" t="s">
        <v>76</v>
      </c>
      <c r="O82" s="20" t="s">
        <v>76</v>
      </c>
      <c r="P82" s="26" t="s">
        <v>76</v>
      </c>
    </row>
    <row r="83" spans="1:16">
      <c r="A83" s="9" t="s">
        <v>242</v>
      </c>
      <c r="B83" s="15">
        <v>32.903225806451601</v>
      </c>
      <c r="C83" s="20" t="s">
        <v>76</v>
      </c>
      <c r="D83" s="24">
        <v>32.903225806451601</v>
      </c>
      <c r="E83" s="15">
        <v>32.967032967032999</v>
      </c>
      <c r="F83" s="20" t="s">
        <v>76</v>
      </c>
      <c r="G83" s="24">
        <v>32.967032967032999</v>
      </c>
      <c r="H83" s="15">
        <v>31.746031746031701</v>
      </c>
      <c r="I83" s="20" t="s">
        <v>76</v>
      </c>
      <c r="J83" s="24">
        <v>31.746031746031701</v>
      </c>
      <c r="K83" s="20" t="s">
        <v>76</v>
      </c>
      <c r="L83" s="20" t="s">
        <v>76</v>
      </c>
      <c r="M83" s="26" t="s">
        <v>76</v>
      </c>
      <c r="N83" s="20" t="s">
        <v>76</v>
      </c>
      <c r="O83" s="20" t="s">
        <v>76</v>
      </c>
      <c r="P83" s="26" t="s">
        <v>76</v>
      </c>
    </row>
    <row r="84" spans="1:16">
      <c r="A84" s="9" t="s">
        <v>243</v>
      </c>
      <c r="B84" s="15">
        <v>50</v>
      </c>
      <c r="C84" s="20" t="s">
        <v>76</v>
      </c>
      <c r="D84" s="24">
        <v>50</v>
      </c>
      <c r="E84" s="20" t="s">
        <v>76</v>
      </c>
      <c r="F84" s="20" t="s">
        <v>76</v>
      </c>
      <c r="G84" s="26" t="s">
        <v>76</v>
      </c>
      <c r="H84" s="20" t="s">
        <v>76</v>
      </c>
      <c r="I84" s="20" t="s">
        <v>76</v>
      </c>
      <c r="J84" s="26" t="s">
        <v>76</v>
      </c>
      <c r="K84" s="20" t="s">
        <v>76</v>
      </c>
      <c r="L84" s="20" t="s">
        <v>76</v>
      </c>
      <c r="M84" s="26" t="s">
        <v>76</v>
      </c>
      <c r="N84" s="20" t="s">
        <v>76</v>
      </c>
      <c r="O84" s="20" t="s">
        <v>76</v>
      </c>
      <c r="P84" s="26" t="s">
        <v>76</v>
      </c>
    </row>
    <row r="85" spans="1:16">
      <c r="A85" s="9" t="s">
        <v>244</v>
      </c>
      <c r="B85" s="15">
        <v>40.718562874251496</v>
      </c>
      <c r="C85" s="20" t="s">
        <v>76</v>
      </c>
      <c r="D85" s="24">
        <v>40.718562874251496</v>
      </c>
      <c r="E85" s="15">
        <v>40.490797546012303</v>
      </c>
      <c r="F85" s="20" t="s">
        <v>76</v>
      </c>
      <c r="G85" s="24">
        <v>40.490797546012303</v>
      </c>
      <c r="H85" s="15">
        <v>43.870967741935502</v>
      </c>
      <c r="I85" s="20" t="s">
        <v>76</v>
      </c>
      <c r="J85" s="24">
        <v>43.870967741935502</v>
      </c>
      <c r="K85" s="20" t="s">
        <v>76</v>
      </c>
      <c r="L85" s="20" t="s">
        <v>76</v>
      </c>
      <c r="M85" s="26" t="s">
        <v>76</v>
      </c>
      <c r="N85" s="20" t="s">
        <v>76</v>
      </c>
      <c r="O85" s="20" t="s">
        <v>76</v>
      </c>
      <c r="P85" s="26" t="s">
        <v>76</v>
      </c>
    </row>
    <row r="86" spans="1:16">
      <c r="A86" s="9" t="s">
        <v>245</v>
      </c>
      <c r="B86" s="15">
        <v>30.167597765363102</v>
      </c>
      <c r="C86" s="20" t="s">
        <v>76</v>
      </c>
      <c r="D86" s="24">
        <v>30.167597765363102</v>
      </c>
      <c r="E86" s="15">
        <v>28.75</v>
      </c>
      <c r="F86" s="20" t="s">
        <v>76</v>
      </c>
      <c r="G86" s="24">
        <v>28.75</v>
      </c>
      <c r="H86" s="15">
        <v>32.183908045976999</v>
      </c>
      <c r="I86" s="20" t="s">
        <v>76</v>
      </c>
      <c r="J86" s="24">
        <v>32.183908045976999</v>
      </c>
      <c r="K86" s="20" t="s">
        <v>76</v>
      </c>
      <c r="L86" s="20" t="s">
        <v>76</v>
      </c>
      <c r="M86" s="26" t="s">
        <v>76</v>
      </c>
      <c r="N86" s="20" t="s">
        <v>76</v>
      </c>
      <c r="O86" s="20" t="s">
        <v>76</v>
      </c>
      <c r="P86" s="26" t="s">
        <v>76</v>
      </c>
    </row>
    <row r="87" spans="1:16">
      <c r="A87" s="9" t="s">
        <v>246</v>
      </c>
      <c r="B87" s="15">
        <v>35.294117647058798</v>
      </c>
      <c r="C87" s="20" t="s">
        <v>76</v>
      </c>
      <c r="D87" s="24">
        <v>35.294117647058798</v>
      </c>
      <c r="E87" s="15">
        <v>33.928571428571402</v>
      </c>
      <c r="F87" s="20" t="s">
        <v>76</v>
      </c>
      <c r="G87" s="24">
        <v>33.928571428571402</v>
      </c>
      <c r="H87" s="15">
        <v>37.450199203187303</v>
      </c>
      <c r="I87" s="20" t="s">
        <v>76</v>
      </c>
      <c r="J87" s="24">
        <v>37.450199203187303</v>
      </c>
      <c r="K87" s="20" t="s">
        <v>76</v>
      </c>
      <c r="L87" s="20" t="s">
        <v>76</v>
      </c>
      <c r="M87" s="26" t="s">
        <v>76</v>
      </c>
      <c r="N87" s="20" t="s">
        <v>76</v>
      </c>
      <c r="O87" s="20" t="s">
        <v>76</v>
      </c>
      <c r="P87" s="26" t="s">
        <v>76</v>
      </c>
    </row>
    <row r="88" spans="1:16">
      <c r="A88" s="9" t="s">
        <v>247</v>
      </c>
      <c r="B88" s="15">
        <v>38.398357289527702</v>
      </c>
      <c r="C88" s="20" t="s">
        <v>76</v>
      </c>
      <c r="D88" s="24">
        <v>38.398357289527702</v>
      </c>
      <c r="E88" s="15">
        <v>39.543726235741403</v>
      </c>
      <c r="F88" s="20" t="s">
        <v>76</v>
      </c>
      <c r="G88" s="24">
        <v>39.543726235741403</v>
      </c>
      <c r="H88" s="15">
        <v>39.024390243902403</v>
      </c>
      <c r="I88" s="20" t="s">
        <v>76</v>
      </c>
      <c r="J88" s="24">
        <v>39.024390243902403</v>
      </c>
      <c r="K88" s="20" t="s">
        <v>76</v>
      </c>
      <c r="L88" s="20" t="s">
        <v>76</v>
      </c>
      <c r="M88" s="26" t="s">
        <v>76</v>
      </c>
      <c r="N88" s="20" t="s">
        <v>76</v>
      </c>
      <c r="O88" s="20" t="s">
        <v>76</v>
      </c>
      <c r="P88" s="26" t="s">
        <v>76</v>
      </c>
    </row>
    <row r="89" spans="1:16">
      <c r="A89" s="9" t="s">
        <v>248</v>
      </c>
      <c r="B89" s="15">
        <v>40.7843137254902</v>
      </c>
      <c r="C89" s="20" t="s">
        <v>76</v>
      </c>
      <c r="D89" s="24">
        <v>40.7843137254902</v>
      </c>
      <c r="E89" s="15">
        <v>41.322314049586801</v>
      </c>
      <c r="F89" s="20" t="s">
        <v>76</v>
      </c>
      <c r="G89" s="24">
        <v>41.322314049586801</v>
      </c>
      <c r="H89" s="15">
        <v>42.857142857142897</v>
      </c>
      <c r="I89" s="20" t="s">
        <v>76</v>
      </c>
      <c r="J89" s="24">
        <v>42.857142857142897</v>
      </c>
      <c r="K89" s="20" t="s">
        <v>76</v>
      </c>
      <c r="L89" s="20" t="s">
        <v>76</v>
      </c>
      <c r="M89" s="26" t="s">
        <v>76</v>
      </c>
      <c r="N89" s="20" t="s">
        <v>76</v>
      </c>
      <c r="O89" s="20" t="s">
        <v>76</v>
      </c>
      <c r="P89" s="26" t="s">
        <v>76</v>
      </c>
    </row>
    <row r="90" spans="1:16">
      <c r="A90" s="9" t="s">
        <v>249</v>
      </c>
      <c r="B90" s="15">
        <v>39.461883408071699</v>
      </c>
      <c r="C90" s="20" t="s">
        <v>76</v>
      </c>
      <c r="D90" s="24">
        <v>39.461883408071699</v>
      </c>
      <c r="E90" s="15">
        <v>41.509433962264097</v>
      </c>
      <c r="F90" s="20" t="s">
        <v>76</v>
      </c>
      <c r="G90" s="24">
        <v>41.509433962264097</v>
      </c>
      <c r="H90" s="15">
        <v>36.936936936936902</v>
      </c>
      <c r="I90" s="20" t="s">
        <v>76</v>
      </c>
      <c r="J90" s="24">
        <v>36.936936936936902</v>
      </c>
      <c r="K90" s="20" t="s">
        <v>76</v>
      </c>
      <c r="L90" s="20" t="s">
        <v>76</v>
      </c>
      <c r="M90" s="26" t="s">
        <v>76</v>
      </c>
      <c r="N90" s="20" t="s">
        <v>76</v>
      </c>
      <c r="O90" s="20" t="s">
        <v>76</v>
      </c>
      <c r="P90" s="26" t="s">
        <v>76</v>
      </c>
    </row>
    <row r="91" spans="1:16">
      <c r="A91" s="9" t="s">
        <v>250</v>
      </c>
      <c r="B91" s="15">
        <v>38.787878787878803</v>
      </c>
      <c r="C91" s="20" t="s">
        <v>76</v>
      </c>
      <c r="D91" s="24">
        <v>38.787878787878803</v>
      </c>
      <c r="E91" s="15">
        <v>44.6254071661238</v>
      </c>
      <c r="F91" s="20" t="s">
        <v>76</v>
      </c>
      <c r="G91" s="24">
        <v>44.6254071661238</v>
      </c>
      <c r="H91" s="15">
        <v>33.753943217665601</v>
      </c>
      <c r="I91" s="20" t="s">
        <v>76</v>
      </c>
      <c r="J91" s="24">
        <v>33.753943217665601</v>
      </c>
      <c r="K91" s="15">
        <v>44.4444444444444</v>
      </c>
      <c r="L91" s="20" t="s">
        <v>76</v>
      </c>
      <c r="M91" s="24">
        <v>44.4444444444444</v>
      </c>
      <c r="N91" s="20" t="s">
        <v>76</v>
      </c>
      <c r="O91" s="20" t="s">
        <v>76</v>
      </c>
      <c r="P91" s="26" t="s">
        <v>76</v>
      </c>
    </row>
    <row r="92" spans="1:16">
      <c r="A92" s="11" t="s">
        <v>251</v>
      </c>
      <c r="B92" s="16">
        <v>48.179871520342601</v>
      </c>
      <c r="C92" s="28" t="s">
        <v>76</v>
      </c>
      <c r="D92" s="25">
        <v>48.179871520342601</v>
      </c>
      <c r="E92" s="16">
        <v>45.147679324894497</v>
      </c>
      <c r="F92" s="28" t="s">
        <v>76</v>
      </c>
      <c r="G92" s="25">
        <v>45.147679324894497</v>
      </c>
      <c r="H92" s="16">
        <v>52.017937219730896</v>
      </c>
      <c r="I92" s="28" t="s">
        <v>76</v>
      </c>
      <c r="J92" s="25">
        <v>52.017937219730896</v>
      </c>
      <c r="K92" s="28" t="s">
        <v>76</v>
      </c>
      <c r="L92" s="28" t="s">
        <v>76</v>
      </c>
      <c r="M92" s="29" t="s">
        <v>76</v>
      </c>
      <c r="N92" s="28" t="s">
        <v>76</v>
      </c>
      <c r="O92" s="28" t="s">
        <v>76</v>
      </c>
      <c r="P92" s="29" t="s">
        <v>76</v>
      </c>
    </row>
    <row r="93" spans="1:16" ht="30" customHeight="1">
      <c r="A93" t="s">
        <v>252</v>
      </c>
    </row>
    <row r="94" spans="1:16">
      <c r="A94" t="s">
        <v>143</v>
      </c>
    </row>
    <row r="95" spans="1:16">
      <c r="A95" t="s">
        <v>144</v>
      </c>
    </row>
    <row r="96" spans="1:16">
      <c r="A96" t="s">
        <v>145</v>
      </c>
    </row>
    <row r="97" spans="1:1">
      <c r="A97" t="s">
        <v>146</v>
      </c>
    </row>
    <row r="98" spans="1:1">
      <c r="A98" t="s">
        <v>147</v>
      </c>
    </row>
    <row r="99" spans="1:1">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99"/>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255</v>
      </c>
      <c r="B1" s="12"/>
      <c r="C1" s="12"/>
      <c r="D1" s="12"/>
      <c r="E1" s="12"/>
      <c r="F1" s="12"/>
      <c r="G1" s="12"/>
      <c r="H1" s="12"/>
      <c r="I1" s="12"/>
      <c r="J1" s="12"/>
      <c r="K1" s="12"/>
      <c r="L1" s="12"/>
      <c r="M1" s="12"/>
      <c r="N1" s="12"/>
      <c r="O1" s="12"/>
      <c r="P1" s="12"/>
    </row>
    <row r="2" spans="1:16" ht="60">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55.725851211528997</v>
      </c>
      <c r="C3" s="15">
        <v>56.192314351641897</v>
      </c>
      <c r="D3" s="24">
        <v>55.340366229266202</v>
      </c>
      <c r="E3" s="15">
        <v>58.287925506768303</v>
      </c>
      <c r="F3" s="15">
        <v>57.762951059865301</v>
      </c>
      <c r="G3" s="24">
        <v>58.728293325616903</v>
      </c>
      <c r="H3" s="15">
        <v>54.056392009489301</v>
      </c>
      <c r="I3" s="15">
        <v>55.018406743081201</v>
      </c>
      <c r="J3" s="24">
        <v>53.247764033970903</v>
      </c>
      <c r="K3" s="15">
        <v>42.289584203360299</v>
      </c>
      <c r="L3" s="15">
        <v>49.2879056221525</v>
      </c>
      <c r="M3" s="24">
        <v>40.5249714382919</v>
      </c>
      <c r="N3" s="15">
        <v>40.512934773314001</v>
      </c>
      <c r="O3" s="15">
        <v>46.403437959203899</v>
      </c>
      <c r="P3" s="24">
        <v>36.252750605419202</v>
      </c>
    </row>
    <row r="4" spans="1:16" ht="21.95" customHeight="1">
      <c r="A4" s="22" t="s">
        <v>69</v>
      </c>
      <c r="B4" s="15">
        <v>57.930304624100501</v>
      </c>
      <c r="C4" s="15">
        <v>58.491190438491103</v>
      </c>
      <c r="D4" s="24">
        <v>57.470269040960503</v>
      </c>
      <c r="E4" s="15">
        <v>60.605844472218998</v>
      </c>
      <c r="F4" s="15">
        <v>60.459933526631197</v>
      </c>
      <c r="G4" s="24">
        <v>60.727804367430103</v>
      </c>
      <c r="H4" s="15">
        <v>56.244100895132597</v>
      </c>
      <c r="I4" s="15">
        <v>57.052030791361297</v>
      </c>
      <c r="J4" s="24">
        <v>55.579956381822598</v>
      </c>
      <c r="K4" s="15">
        <v>39.745528907687799</v>
      </c>
      <c r="L4" s="15">
        <v>47.613441314077697</v>
      </c>
      <c r="M4" s="24">
        <v>37.324038252922598</v>
      </c>
      <c r="N4" s="15">
        <v>41.176285564939803</v>
      </c>
      <c r="O4" s="15">
        <v>45.844998510845897</v>
      </c>
      <c r="P4" s="24">
        <v>37.519514060332298</v>
      </c>
    </row>
    <row r="5" spans="1:16" ht="21.95" customHeight="1">
      <c r="A5" s="22" t="s">
        <v>70</v>
      </c>
      <c r="B5" s="15">
        <v>58.168390694852803</v>
      </c>
      <c r="C5" s="15">
        <v>58.293948547135599</v>
      </c>
      <c r="D5" s="24">
        <v>58.066993856445698</v>
      </c>
      <c r="E5" s="15">
        <v>60.840738205434803</v>
      </c>
      <c r="F5" s="15">
        <v>59.574024302750402</v>
      </c>
      <c r="G5" s="24">
        <v>61.871055974359201</v>
      </c>
      <c r="H5" s="15">
        <v>56.529519084435996</v>
      </c>
      <c r="I5" s="15">
        <v>57.733865565248401</v>
      </c>
      <c r="J5" s="24">
        <v>55.535664370934199</v>
      </c>
      <c r="K5" s="15">
        <v>42.162374820614602</v>
      </c>
      <c r="L5" s="20" t="s">
        <v>76</v>
      </c>
      <c r="M5" s="26" t="s">
        <v>76</v>
      </c>
      <c r="N5" s="15">
        <v>36.082033710232103</v>
      </c>
      <c r="O5" s="15">
        <v>40.826801768875598</v>
      </c>
      <c r="P5" s="26" t="s">
        <v>76</v>
      </c>
    </row>
    <row r="6" spans="1:16" ht="21.95" customHeight="1">
      <c r="A6" s="22" t="s">
        <v>165</v>
      </c>
      <c r="B6" s="15">
        <v>58.293948547135599</v>
      </c>
      <c r="C6" s="15">
        <v>58.293948547135599</v>
      </c>
      <c r="D6" s="26" t="s">
        <v>76</v>
      </c>
      <c r="E6" s="15">
        <v>59.574024302750402</v>
      </c>
      <c r="F6" s="15">
        <v>59.574024302750402</v>
      </c>
      <c r="G6" s="26" t="s">
        <v>76</v>
      </c>
      <c r="H6" s="15">
        <v>57.733865565248401</v>
      </c>
      <c r="I6" s="15">
        <v>57.733865565248401</v>
      </c>
      <c r="J6" s="26" t="s">
        <v>76</v>
      </c>
      <c r="K6" s="20" t="s">
        <v>76</v>
      </c>
      <c r="L6" s="20" t="s">
        <v>76</v>
      </c>
      <c r="M6" s="26" t="s">
        <v>76</v>
      </c>
      <c r="N6" s="15">
        <v>40.826801768875598</v>
      </c>
      <c r="O6" s="15">
        <v>40.826801768875598</v>
      </c>
      <c r="P6" s="26" t="s">
        <v>76</v>
      </c>
    </row>
    <row r="7" spans="1:16">
      <c r="A7" s="9" t="s">
        <v>166</v>
      </c>
      <c r="B7" s="15">
        <v>35.294117647058798</v>
      </c>
      <c r="C7" s="15">
        <v>35.294117647058798</v>
      </c>
      <c r="D7" s="26" t="s">
        <v>76</v>
      </c>
      <c r="E7" s="15">
        <v>55.5555555555556</v>
      </c>
      <c r="F7" s="15">
        <v>55.5555555555556</v>
      </c>
      <c r="G7" s="26" t="s">
        <v>76</v>
      </c>
      <c r="H7" s="20" t="s">
        <v>76</v>
      </c>
      <c r="I7" s="20" t="s">
        <v>76</v>
      </c>
      <c r="J7" s="26" t="s">
        <v>76</v>
      </c>
      <c r="K7" s="20" t="s">
        <v>76</v>
      </c>
      <c r="L7" s="20" t="s">
        <v>76</v>
      </c>
      <c r="M7" s="26" t="s">
        <v>76</v>
      </c>
      <c r="N7" s="20" t="s">
        <v>76</v>
      </c>
      <c r="O7" s="20" t="s">
        <v>76</v>
      </c>
      <c r="P7" s="26" t="s">
        <v>76</v>
      </c>
    </row>
    <row r="8" spans="1:16">
      <c r="A8" s="9" t="s">
        <v>167</v>
      </c>
      <c r="B8" s="15">
        <v>29.411764705882401</v>
      </c>
      <c r="C8" s="15">
        <v>29.411764705882401</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c r="A9" s="9" t="s">
        <v>168</v>
      </c>
      <c r="B9" s="15">
        <v>52.173913043478301</v>
      </c>
      <c r="C9" s="15">
        <v>52.173913043478301</v>
      </c>
      <c r="D9" s="26" t="s">
        <v>76</v>
      </c>
      <c r="E9" s="15">
        <v>50</v>
      </c>
      <c r="F9" s="15">
        <v>50</v>
      </c>
      <c r="G9" s="26" t="s">
        <v>76</v>
      </c>
      <c r="H9" s="15">
        <v>55.5555555555556</v>
      </c>
      <c r="I9" s="15">
        <v>55.5555555555556</v>
      </c>
      <c r="J9" s="26" t="s">
        <v>76</v>
      </c>
      <c r="K9" s="20" t="s">
        <v>76</v>
      </c>
      <c r="L9" s="20" t="s">
        <v>76</v>
      </c>
      <c r="M9" s="26" t="s">
        <v>76</v>
      </c>
      <c r="N9" s="20" t="s">
        <v>76</v>
      </c>
      <c r="O9" s="20" t="s">
        <v>76</v>
      </c>
      <c r="P9" s="26" t="s">
        <v>76</v>
      </c>
    </row>
    <row r="10" spans="1:16">
      <c r="A10" s="9" t="s">
        <v>169</v>
      </c>
      <c r="B10" s="15">
        <v>80</v>
      </c>
      <c r="C10" s="15">
        <v>80</v>
      </c>
      <c r="D10" s="26" t="s">
        <v>76</v>
      </c>
      <c r="E10" s="20" t="s">
        <v>76</v>
      </c>
      <c r="F10" s="20" t="s">
        <v>76</v>
      </c>
      <c r="G10" s="26" t="s">
        <v>76</v>
      </c>
      <c r="H10" s="20" t="s">
        <v>76</v>
      </c>
      <c r="I10" s="20" t="s">
        <v>76</v>
      </c>
      <c r="J10" s="26" t="s">
        <v>76</v>
      </c>
      <c r="K10" s="20" t="s">
        <v>76</v>
      </c>
      <c r="L10" s="20" t="s">
        <v>76</v>
      </c>
      <c r="M10" s="26" t="s">
        <v>76</v>
      </c>
      <c r="N10" s="20" t="s">
        <v>76</v>
      </c>
      <c r="O10" s="20" t="s">
        <v>76</v>
      </c>
      <c r="P10" s="26" t="s">
        <v>76</v>
      </c>
    </row>
    <row r="11" spans="1:16">
      <c r="A11" s="9" t="s">
        <v>170</v>
      </c>
      <c r="B11" s="15">
        <v>49.3055555555556</v>
      </c>
      <c r="C11" s="15">
        <v>49.3055555555556</v>
      </c>
      <c r="D11" s="26" t="s">
        <v>76</v>
      </c>
      <c r="E11" s="15">
        <v>45.679012345678998</v>
      </c>
      <c r="F11" s="15">
        <v>45.679012345678998</v>
      </c>
      <c r="G11" s="26" t="s">
        <v>76</v>
      </c>
      <c r="H11" s="15">
        <v>53.968253968253997</v>
      </c>
      <c r="I11" s="15">
        <v>53.968253968253997</v>
      </c>
      <c r="J11" s="26" t="s">
        <v>76</v>
      </c>
      <c r="K11" s="20" t="s">
        <v>76</v>
      </c>
      <c r="L11" s="20" t="s">
        <v>76</v>
      </c>
      <c r="M11" s="26" t="s">
        <v>76</v>
      </c>
      <c r="N11" s="20" t="s">
        <v>76</v>
      </c>
      <c r="O11" s="20" t="s">
        <v>76</v>
      </c>
      <c r="P11" s="26" t="s">
        <v>76</v>
      </c>
    </row>
    <row r="12" spans="1:16">
      <c r="A12" s="9" t="s">
        <v>171</v>
      </c>
      <c r="B12" s="15">
        <v>71.794871794871796</v>
      </c>
      <c r="C12" s="15">
        <v>71.794871794871796</v>
      </c>
      <c r="D12" s="26" t="s">
        <v>76</v>
      </c>
      <c r="E12" s="15">
        <v>72.2222222222222</v>
      </c>
      <c r="F12" s="15">
        <v>72.2222222222222</v>
      </c>
      <c r="G12" s="26" t="s">
        <v>76</v>
      </c>
      <c r="H12" s="15">
        <v>71.428571428571402</v>
      </c>
      <c r="I12" s="15">
        <v>71.428571428571402</v>
      </c>
      <c r="J12" s="26" t="s">
        <v>76</v>
      </c>
      <c r="K12" s="20" t="s">
        <v>76</v>
      </c>
      <c r="L12" s="20" t="s">
        <v>76</v>
      </c>
      <c r="M12" s="26" t="s">
        <v>76</v>
      </c>
      <c r="N12" s="20" t="s">
        <v>76</v>
      </c>
      <c r="O12" s="20" t="s">
        <v>76</v>
      </c>
      <c r="P12" s="26" t="s">
        <v>76</v>
      </c>
    </row>
    <row r="13" spans="1:16">
      <c r="A13" s="9" t="s">
        <v>172</v>
      </c>
      <c r="B13" s="15">
        <v>54.0983606557377</v>
      </c>
      <c r="C13" s="15">
        <v>54.0983606557377</v>
      </c>
      <c r="D13" s="26" t="s">
        <v>76</v>
      </c>
      <c r="E13" s="15">
        <v>62.068965517241402</v>
      </c>
      <c r="F13" s="15">
        <v>62.068965517241402</v>
      </c>
      <c r="G13" s="26" t="s">
        <v>76</v>
      </c>
      <c r="H13" s="15">
        <v>46.875</v>
      </c>
      <c r="I13" s="15">
        <v>46.875</v>
      </c>
      <c r="J13" s="26" t="s">
        <v>76</v>
      </c>
      <c r="K13" s="20" t="s">
        <v>76</v>
      </c>
      <c r="L13" s="20" t="s">
        <v>76</v>
      </c>
      <c r="M13" s="26" t="s">
        <v>76</v>
      </c>
      <c r="N13" s="20" t="s">
        <v>76</v>
      </c>
      <c r="O13" s="20" t="s">
        <v>76</v>
      </c>
      <c r="P13" s="26" t="s">
        <v>76</v>
      </c>
    </row>
    <row r="14" spans="1:16">
      <c r="A14" s="9" t="s">
        <v>173</v>
      </c>
      <c r="B14" s="15">
        <v>63.157894736842103</v>
      </c>
      <c r="C14" s="15">
        <v>63.157894736842103</v>
      </c>
      <c r="D14" s="26" t="s">
        <v>76</v>
      </c>
      <c r="E14" s="15">
        <v>54.054054054054099</v>
      </c>
      <c r="F14" s="15">
        <v>54.054054054054099</v>
      </c>
      <c r="G14" s="26" t="s">
        <v>76</v>
      </c>
      <c r="H14" s="15">
        <v>73.684210526315795</v>
      </c>
      <c r="I14" s="15">
        <v>73.684210526315795</v>
      </c>
      <c r="J14" s="26" t="s">
        <v>76</v>
      </c>
      <c r="K14" s="20" t="s">
        <v>76</v>
      </c>
      <c r="L14" s="20" t="s">
        <v>76</v>
      </c>
      <c r="M14" s="26" t="s">
        <v>76</v>
      </c>
      <c r="N14" s="20" t="s">
        <v>76</v>
      </c>
      <c r="O14" s="20" t="s">
        <v>76</v>
      </c>
      <c r="P14" s="26" t="s">
        <v>76</v>
      </c>
    </row>
    <row r="15" spans="1:16">
      <c r="A15" s="9" t="s">
        <v>174</v>
      </c>
      <c r="B15" s="15">
        <v>76.470588235294102</v>
      </c>
      <c r="C15" s="15">
        <v>76.470588235294102</v>
      </c>
      <c r="D15" s="26" t="s">
        <v>76</v>
      </c>
      <c r="E15" s="15">
        <v>80.487804878048806</v>
      </c>
      <c r="F15" s="15">
        <v>80.487804878048806</v>
      </c>
      <c r="G15" s="26" t="s">
        <v>76</v>
      </c>
      <c r="H15" s="15">
        <v>72.727272727272705</v>
      </c>
      <c r="I15" s="15">
        <v>72.727272727272705</v>
      </c>
      <c r="J15" s="26" t="s">
        <v>76</v>
      </c>
      <c r="K15" s="20" t="s">
        <v>76</v>
      </c>
      <c r="L15" s="20" t="s">
        <v>76</v>
      </c>
      <c r="M15" s="26" t="s">
        <v>76</v>
      </c>
      <c r="N15" s="20" t="s">
        <v>76</v>
      </c>
      <c r="O15" s="20" t="s">
        <v>76</v>
      </c>
      <c r="P15" s="26" t="s">
        <v>76</v>
      </c>
    </row>
    <row r="16" spans="1:16">
      <c r="A16" s="9" t="s">
        <v>175</v>
      </c>
      <c r="B16" s="15">
        <v>76.744186046511601</v>
      </c>
      <c r="C16" s="15">
        <v>76.744186046511601</v>
      </c>
      <c r="D16" s="26" t="s">
        <v>76</v>
      </c>
      <c r="E16" s="15">
        <v>71.428571428571402</v>
      </c>
      <c r="F16" s="15">
        <v>71.428571428571402</v>
      </c>
      <c r="G16" s="26" t="s">
        <v>76</v>
      </c>
      <c r="H16" s="15">
        <v>81.818181818181799</v>
      </c>
      <c r="I16" s="15">
        <v>81.818181818181799</v>
      </c>
      <c r="J16" s="26" t="s">
        <v>76</v>
      </c>
      <c r="K16" s="20" t="s">
        <v>76</v>
      </c>
      <c r="L16" s="20" t="s">
        <v>76</v>
      </c>
      <c r="M16" s="26" t="s">
        <v>76</v>
      </c>
      <c r="N16" s="20" t="s">
        <v>76</v>
      </c>
      <c r="O16" s="20" t="s">
        <v>76</v>
      </c>
      <c r="P16" s="26" t="s">
        <v>76</v>
      </c>
    </row>
    <row r="17" spans="1:16">
      <c r="A17" s="9" t="s">
        <v>176</v>
      </c>
      <c r="B17" s="15">
        <v>57.746478873239397</v>
      </c>
      <c r="C17" s="15">
        <v>57.746478873239397</v>
      </c>
      <c r="D17" s="26" t="s">
        <v>76</v>
      </c>
      <c r="E17" s="15">
        <v>66.6666666666667</v>
      </c>
      <c r="F17" s="15">
        <v>66.6666666666667</v>
      </c>
      <c r="G17" s="26" t="s">
        <v>76</v>
      </c>
      <c r="H17" s="15">
        <v>46.875</v>
      </c>
      <c r="I17" s="15">
        <v>46.875</v>
      </c>
      <c r="J17" s="26" t="s">
        <v>76</v>
      </c>
      <c r="K17" s="20" t="s">
        <v>76</v>
      </c>
      <c r="L17" s="20" t="s">
        <v>76</v>
      </c>
      <c r="M17" s="26" t="s">
        <v>76</v>
      </c>
      <c r="N17" s="20" t="s">
        <v>76</v>
      </c>
      <c r="O17" s="20" t="s">
        <v>76</v>
      </c>
      <c r="P17" s="26" t="s">
        <v>76</v>
      </c>
    </row>
    <row r="18" spans="1:16">
      <c r="A18" s="9" t="s">
        <v>177</v>
      </c>
      <c r="B18" s="15">
        <v>36.619718309859202</v>
      </c>
      <c r="C18" s="15">
        <v>36.619718309859202</v>
      </c>
      <c r="D18" s="26" t="s">
        <v>76</v>
      </c>
      <c r="E18" s="15">
        <v>34.482758620689701</v>
      </c>
      <c r="F18" s="15">
        <v>34.482758620689701</v>
      </c>
      <c r="G18" s="26" t="s">
        <v>76</v>
      </c>
      <c r="H18" s="15">
        <v>40</v>
      </c>
      <c r="I18" s="15">
        <v>40</v>
      </c>
      <c r="J18" s="26" t="s">
        <v>76</v>
      </c>
      <c r="K18" s="20" t="s">
        <v>76</v>
      </c>
      <c r="L18" s="20" t="s">
        <v>76</v>
      </c>
      <c r="M18" s="26" t="s">
        <v>76</v>
      </c>
      <c r="N18" s="20" t="s">
        <v>76</v>
      </c>
      <c r="O18" s="20" t="s">
        <v>76</v>
      </c>
      <c r="P18" s="26" t="s">
        <v>76</v>
      </c>
    </row>
    <row r="19" spans="1:16">
      <c r="A19" s="9" t="s">
        <v>178</v>
      </c>
      <c r="B19" s="15">
        <v>19.230769230769202</v>
      </c>
      <c r="C19" s="15">
        <v>19.230769230769202</v>
      </c>
      <c r="D19" s="26" t="s">
        <v>76</v>
      </c>
      <c r="E19" s="20" t="s">
        <v>76</v>
      </c>
      <c r="F19" s="20" t="s">
        <v>76</v>
      </c>
      <c r="G19" s="26" t="s">
        <v>76</v>
      </c>
      <c r="H19" s="20" t="s">
        <v>76</v>
      </c>
      <c r="I19" s="20" t="s">
        <v>76</v>
      </c>
      <c r="J19" s="26" t="s">
        <v>76</v>
      </c>
      <c r="K19" s="20" t="s">
        <v>76</v>
      </c>
      <c r="L19" s="20" t="s">
        <v>76</v>
      </c>
      <c r="M19" s="26" t="s">
        <v>76</v>
      </c>
      <c r="N19" s="20" t="s">
        <v>76</v>
      </c>
      <c r="O19" s="20" t="s">
        <v>76</v>
      </c>
      <c r="P19" s="26" t="s">
        <v>76</v>
      </c>
    </row>
    <row r="20" spans="1:16">
      <c r="A20" s="9" t="s">
        <v>179</v>
      </c>
      <c r="B20" s="15">
        <v>68.292682926829301</v>
      </c>
      <c r="C20" s="15">
        <v>68.292682926829301</v>
      </c>
      <c r="D20" s="26" t="s">
        <v>76</v>
      </c>
      <c r="E20" s="15">
        <v>59.090909090909101</v>
      </c>
      <c r="F20" s="15">
        <v>59.090909090909101</v>
      </c>
      <c r="G20" s="26" t="s">
        <v>76</v>
      </c>
      <c r="H20" s="15">
        <v>82.352941176470594</v>
      </c>
      <c r="I20" s="15">
        <v>82.352941176470594</v>
      </c>
      <c r="J20" s="26" t="s">
        <v>76</v>
      </c>
      <c r="K20" s="20" t="s">
        <v>76</v>
      </c>
      <c r="L20" s="20" t="s">
        <v>76</v>
      </c>
      <c r="M20" s="26" t="s">
        <v>76</v>
      </c>
      <c r="N20" s="20" t="s">
        <v>76</v>
      </c>
      <c r="O20" s="20" t="s">
        <v>76</v>
      </c>
      <c r="P20" s="26" t="s">
        <v>76</v>
      </c>
    </row>
    <row r="21" spans="1:16">
      <c r="A21" s="9" t="s">
        <v>180</v>
      </c>
      <c r="B21" s="15">
        <v>56.25</v>
      </c>
      <c r="C21" s="15">
        <v>56.25</v>
      </c>
      <c r="D21" s="26" t="s">
        <v>76</v>
      </c>
      <c r="E21" s="15">
        <v>47.619047619047599</v>
      </c>
      <c r="F21" s="15">
        <v>47.619047619047599</v>
      </c>
      <c r="G21" s="26" t="s">
        <v>76</v>
      </c>
      <c r="H21" s="15">
        <v>61.538461538461497</v>
      </c>
      <c r="I21" s="15">
        <v>61.538461538461497</v>
      </c>
      <c r="J21" s="26" t="s">
        <v>76</v>
      </c>
      <c r="K21" s="20" t="s">
        <v>76</v>
      </c>
      <c r="L21" s="20" t="s">
        <v>76</v>
      </c>
      <c r="M21" s="26" t="s">
        <v>76</v>
      </c>
      <c r="N21" s="20" t="s">
        <v>76</v>
      </c>
      <c r="O21" s="20" t="s">
        <v>76</v>
      </c>
      <c r="P21" s="26" t="s">
        <v>76</v>
      </c>
    </row>
    <row r="22" spans="1:16">
      <c r="A22" s="9" t="s">
        <v>181</v>
      </c>
      <c r="B22" s="15">
        <v>66.6666666666667</v>
      </c>
      <c r="C22" s="15">
        <v>66.6666666666667</v>
      </c>
      <c r="D22" s="26" t="s">
        <v>76</v>
      </c>
      <c r="E22" s="15">
        <v>60</v>
      </c>
      <c r="F22" s="15">
        <v>60</v>
      </c>
      <c r="G22" s="26" t="s">
        <v>76</v>
      </c>
      <c r="H22" s="15">
        <v>72.727272727272705</v>
      </c>
      <c r="I22" s="15">
        <v>72.727272727272705</v>
      </c>
      <c r="J22" s="26" t="s">
        <v>76</v>
      </c>
      <c r="K22" s="20" t="s">
        <v>76</v>
      </c>
      <c r="L22" s="20" t="s">
        <v>76</v>
      </c>
      <c r="M22" s="26" t="s">
        <v>76</v>
      </c>
      <c r="N22" s="20" t="s">
        <v>76</v>
      </c>
      <c r="O22" s="20" t="s">
        <v>76</v>
      </c>
      <c r="P22" s="26" t="s">
        <v>76</v>
      </c>
    </row>
    <row r="23" spans="1:16">
      <c r="A23" s="9" t="s">
        <v>182</v>
      </c>
      <c r="B23" s="15">
        <v>44.117647058823501</v>
      </c>
      <c r="C23" s="15">
        <v>44.117647058823501</v>
      </c>
      <c r="D23" s="26" t="s">
        <v>76</v>
      </c>
      <c r="E23" s="15">
        <v>50</v>
      </c>
      <c r="F23" s="15">
        <v>50</v>
      </c>
      <c r="G23" s="26" t="s">
        <v>76</v>
      </c>
      <c r="H23" s="15">
        <v>43.478260869565197</v>
      </c>
      <c r="I23" s="15">
        <v>43.478260869565197</v>
      </c>
      <c r="J23" s="26" t="s">
        <v>76</v>
      </c>
      <c r="K23" s="20" t="s">
        <v>76</v>
      </c>
      <c r="L23" s="20" t="s">
        <v>76</v>
      </c>
      <c r="M23" s="26" t="s">
        <v>76</v>
      </c>
      <c r="N23" s="20" t="s">
        <v>76</v>
      </c>
      <c r="O23" s="20" t="s">
        <v>76</v>
      </c>
      <c r="P23" s="26" t="s">
        <v>76</v>
      </c>
    </row>
    <row r="24" spans="1:16">
      <c r="A24" s="9" t="s">
        <v>183</v>
      </c>
      <c r="B24" s="15">
        <v>30.508474576271201</v>
      </c>
      <c r="C24" s="15">
        <v>30.508474576271201</v>
      </c>
      <c r="D24" s="26" t="s">
        <v>76</v>
      </c>
      <c r="E24" s="15">
        <v>22.580645161290299</v>
      </c>
      <c r="F24" s="15">
        <v>22.580645161290299</v>
      </c>
      <c r="G24" s="26" t="s">
        <v>76</v>
      </c>
      <c r="H24" s="15">
        <v>41.6666666666667</v>
      </c>
      <c r="I24" s="15">
        <v>41.6666666666667</v>
      </c>
      <c r="J24" s="26" t="s">
        <v>76</v>
      </c>
      <c r="K24" s="20" t="s">
        <v>76</v>
      </c>
      <c r="L24" s="20" t="s">
        <v>76</v>
      </c>
      <c r="M24" s="26" t="s">
        <v>76</v>
      </c>
      <c r="N24" s="20" t="s">
        <v>76</v>
      </c>
      <c r="O24" s="20" t="s">
        <v>76</v>
      </c>
      <c r="P24" s="26" t="s">
        <v>76</v>
      </c>
    </row>
    <row r="25" spans="1:16">
      <c r="A25" s="9" t="s">
        <v>184</v>
      </c>
      <c r="B25" s="15">
        <v>46.153846153846203</v>
      </c>
      <c r="C25" s="15">
        <v>46.153846153846203</v>
      </c>
      <c r="D25" s="26" t="s">
        <v>76</v>
      </c>
      <c r="E25" s="15">
        <v>83.3333333333333</v>
      </c>
      <c r="F25" s="15">
        <v>83.3333333333333</v>
      </c>
      <c r="G25" s="26" t="s">
        <v>76</v>
      </c>
      <c r="H25" s="20" t="s">
        <v>76</v>
      </c>
      <c r="I25" s="20" t="s">
        <v>76</v>
      </c>
      <c r="J25" s="26" t="s">
        <v>76</v>
      </c>
      <c r="K25" s="20" t="s">
        <v>76</v>
      </c>
      <c r="L25" s="20" t="s">
        <v>76</v>
      </c>
      <c r="M25" s="26" t="s">
        <v>76</v>
      </c>
      <c r="N25" s="20" t="s">
        <v>76</v>
      </c>
      <c r="O25" s="20" t="s">
        <v>76</v>
      </c>
      <c r="P25" s="26" t="s">
        <v>76</v>
      </c>
    </row>
    <row r="26" spans="1:16">
      <c r="A26" s="9" t="s">
        <v>185</v>
      </c>
      <c r="B26" s="15">
        <v>75</v>
      </c>
      <c r="C26" s="15">
        <v>75</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c r="A27" s="9" t="s">
        <v>186</v>
      </c>
      <c r="B27" s="15">
        <v>62.820512820512803</v>
      </c>
      <c r="C27" s="15">
        <v>62.820512820512803</v>
      </c>
      <c r="D27" s="26" t="s">
        <v>76</v>
      </c>
      <c r="E27" s="15">
        <v>58.3333333333333</v>
      </c>
      <c r="F27" s="15">
        <v>58.3333333333333</v>
      </c>
      <c r="G27" s="26" t="s">
        <v>76</v>
      </c>
      <c r="H27" s="15">
        <v>65.384615384615401</v>
      </c>
      <c r="I27" s="15">
        <v>65.384615384615401</v>
      </c>
      <c r="J27" s="26" t="s">
        <v>76</v>
      </c>
      <c r="K27" s="20" t="s">
        <v>76</v>
      </c>
      <c r="L27" s="20" t="s">
        <v>76</v>
      </c>
      <c r="M27" s="26" t="s">
        <v>76</v>
      </c>
      <c r="N27" s="20" t="s">
        <v>76</v>
      </c>
      <c r="O27" s="20" t="s">
        <v>76</v>
      </c>
      <c r="P27" s="26" t="s">
        <v>76</v>
      </c>
    </row>
    <row r="28" spans="1:16">
      <c r="A28" s="9" t="s">
        <v>187</v>
      </c>
      <c r="B28" s="15">
        <v>65.137614678899098</v>
      </c>
      <c r="C28" s="15">
        <v>65.137614678899098</v>
      </c>
      <c r="D28" s="26" t="s">
        <v>76</v>
      </c>
      <c r="E28" s="15">
        <v>57.407407407407398</v>
      </c>
      <c r="F28" s="15">
        <v>57.407407407407398</v>
      </c>
      <c r="G28" s="26" t="s">
        <v>76</v>
      </c>
      <c r="H28" s="15">
        <v>74.074074074074105</v>
      </c>
      <c r="I28" s="15">
        <v>74.074074074074105</v>
      </c>
      <c r="J28" s="26" t="s">
        <v>76</v>
      </c>
      <c r="K28" s="20" t="s">
        <v>76</v>
      </c>
      <c r="L28" s="20" t="s">
        <v>76</v>
      </c>
      <c r="M28" s="26" t="s">
        <v>76</v>
      </c>
      <c r="N28" s="20" t="s">
        <v>76</v>
      </c>
      <c r="O28" s="20" t="s">
        <v>76</v>
      </c>
      <c r="P28" s="26" t="s">
        <v>76</v>
      </c>
    </row>
    <row r="29" spans="1:16">
      <c r="A29" s="9" t="s">
        <v>188</v>
      </c>
      <c r="B29" s="15">
        <v>69.117647058823493</v>
      </c>
      <c r="C29" s="15">
        <v>69.117647058823493</v>
      </c>
      <c r="D29" s="26" t="s">
        <v>76</v>
      </c>
      <c r="E29" s="15">
        <v>70.9677419354839</v>
      </c>
      <c r="F29" s="15">
        <v>70.9677419354839</v>
      </c>
      <c r="G29" s="26" t="s">
        <v>76</v>
      </c>
      <c r="H29" s="15">
        <v>67.567567567567593</v>
      </c>
      <c r="I29" s="15">
        <v>67.567567567567593</v>
      </c>
      <c r="J29" s="26" t="s">
        <v>76</v>
      </c>
      <c r="K29" s="20" t="s">
        <v>76</v>
      </c>
      <c r="L29" s="20" t="s">
        <v>76</v>
      </c>
      <c r="M29" s="26" t="s">
        <v>76</v>
      </c>
      <c r="N29" s="20" t="s">
        <v>76</v>
      </c>
      <c r="O29" s="20" t="s">
        <v>76</v>
      </c>
      <c r="P29" s="26" t="s">
        <v>76</v>
      </c>
    </row>
    <row r="30" spans="1:16">
      <c r="A30" s="9" t="s">
        <v>189</v>
      </c>
      <c r="B30" s="15">
        <v>56.818181818181799</v>
      </c>
      <c r="C30" s="15">
        <v>56.818181818181799</v>
      </c>
      <c r="D30" s="26" t="s">
        <v>76</v>
      </c>
      <c r="E30" s="15">
        <v>61.6666666666667</v>
      </c>
      <c r="F30" s="15">
        <v>61.6666666666667</v>
      </c>
      <c r="G30" s="26" t="s">
        <v>76</v>
      </c>
      <c r="H30" s="15">
        <v>54.285714285714299</v>
      </c>
      <c r="I30" s="15">
        <v>54.285714285714299</v>
      </c>
      <c r="J30" s="26" t="s">
        <v>76</v>
      </c>
      <c r="K30" s="20" t="s">
        <v>76</v>
      </c>
      <c r="L30" s="20" t="s">
        <v>76</v>
      </c>
      <c r="M30" s="26" t="s">
        <v>76</v>
      </c>
      <c r="N30" s="20" t="s">
        <v>76</v>
      </c>
      <c r="O30" s="20" t="s">
        <v>76</v>
      </c>
      <c r="P30" s="26" t="s">
        <v>76</v>
      </c>
    </row>
    <row r="31" spans="1:16">
      <c r="A31" s="9" t="s">
        <v>190</v>
      </c>
      <c r="B31" s="15">
        <v>78.125</v>
      </c>
      <c r="C31" s="15">
        <v>78.125</v>
      </c>
      <c r="D31" s="26" t="s">
        <v>76</v>
      </c>
      <c r="E31" s="15">
        <v>78.571428571428598</v>
      </c>
      <c r="F31" s="15">
        <v>78.571428571428598</v>
      </c>
      <c r="G31" s="26" t="s">
        <v>76</v>
      </c>
      <c r="H31" s="15">
        <v>77.7777777777778</v>
      </c>
      <c r="I31" s="15">
        <v>77.7777777777778</v>
      </c>
      <c r="J31" s="26" t="s">
        <v>76</v>
      </c>
      <c r="K31" s="20" t="s">
        <v>76</v>
      </c>
      <c r="L31" s="20" t="s">
        <v>76</v>
      </c>
      <c r="M31" s="26" t="s">
        <v>76</v>
      </c>
      <c r="N31" s="20" t="s">
        <v>76</v>
      </c>
      <c r="O31" s="20" t="s">
        <v>76</v>
      </c>
      <c r="P31" s="26" t="s">
        <v>76</v>
      </c>
    </row>
    <row r="32" spans="1:16">
      <c r="A32" s="9" t="s">
        <v>191</v>
      </c>
      <c r="B32" s="15">
        <v>81.481481481481495</v>
      </c>
      <c r="C32" s="15">
        <v>81.481481481481495</v>
      </c>
      <c r="D32" s="26" t="s">
        <v>76</v>
      </c>
      <c r="E32" s="15">
        <v>93.3333333333333</v>
      </c>
      <c r="F32" s="15">
        <v>93.3333333333333</v>
      </c>
      <c r="G32" s="26" t="s">
        <v>76</v>
      </c>
      <c r="H32" s="15">
        <v>66.6666666666667</v>
      </c>
      <c r="I32" s="15">
        <v>66.6666666666667</v>
      </c>
      <c r="J32" s="26" t="s">
        <v>76</v>
      </c>
      <c r="K32" s="20" t="s">
        <v>76</v>
      </c>
      <c r="L32" s="20" t="s">
        <v>76</v>
      </c>
      <c r="M32" s="26" t="s">
        <v>76</v>
      </c>
      <c r="N32" s="20" t="s">
        <v>76</v>
      </c>
      <c r="O32" s="20" t="s">
        <v>76</v>
      </c>
      <c r="P32" s="26" t="s">
        <v>76</v>
      </c>
    </row>
    <row r="33" spans="1:16">
      <c r="A33" s="9" t="s">
        <v>192</v>
      </c>
      <c r="B33" s="15">
        <v>35.714285714285701</v>
      </c>
      <c r="C33" s="15">
        <v>35.714285714285701</v>
      </c>
      <c r="D33" s="26" t="s">
        <v>76</v>
      </c>
      <c r="E33" s="20" t="s">
        <v>76</v>
      </c>
      <c r="F33" s="20" t="s">
        <v>76</v>
      </c>
      <c r="G33" s="26" t="s">
        <v>76</v>
      </c>
      <c r="H33" s="20" t="s">
        <v>76</v>
      </c>
      <c r="I33" s="20" t="s">
        <v>76</v>
      </c>
      <c r="J33" s="26" t="s">
        <v>76</v>
      </c>
      <c r="K33" s="20" t="s">
        <v>76</v>
      </c>
      <c r="L33" s="20" t="s">
        <v>76</v>
      </c>
      <c r="M33" s="26" t="s">
        <v>76</v>
      </c>
      <c r="N33" s="20" t="s">
        <v>76</v>
      </c>
      <c r="O33" s="20" t="s">
        <v>76</v>
      </c>
      <c r="P33" s="26" t="s">
        <v>76</v>
      </c>
    </row>
    <row r="34" spans="1:16">
      <c r="A34" s="9" t="s">
        <v>193</v>
      </c>
      <c r="B34" s="15">
        <v>50.476190476190503</v>
      </c>
      <c r="C34" s="15">
        <v>50.476190476190503</v>
      </c>
      <c r="D34" s="26" t="s">
        <v>76</v>
      </c>
      <c r="E34" s="15">
        <v>55.5555555555556</v>
      </c>
      <c r="F34" s="15">
        <v>55.5555555555556</v>
      </c>
      <c r="G34" s="26" t="s">
        <v>76</v>
      </c>
      <c r="H34" s="15">
        <v>46</v>
      </c>
      <c r="I34" s="15">
        <v>46</v>
      </c>
      <c r="J34" s="26" t="s">
        <v>76</v>
      </c>
      <c r="K34" s="20" t="s">
        <v>76</v>
      </c>
      <c r="L34" s="20" t="s">
        <v>76</v>
      </c>
      <c r="M34" s="26" t="s">
        <v>76</v>
      </c>
      <c r="N34" s="20" t="s">
        <v>76</v>
      </c>
      <c r="O34" s="20" t="s">
        <v>76</v>
      </c>
      <c r="P34" s="26" t="s">
        <v>76</v>
      </c>
    </row>
    <row r="35" spans="1:16">
      <c r="A35" s="9" t="s">
        <v>194</v>
      </c>
      <c r="B35" s="15">
        <v>62.5</v>
      </c>
      <c r="C35" s="15">
        <v>62.5</v>
      </c>
      <c r="D35" s="26" t="s">
        <v>76</v>
      </c>
      <c r="E35" s="15">
        <v>80</v>
      </c>
      <c r="F35" s="15">
        <v>80</v>
      </c>
      <c r="G35" s="26" t="s">
        <v>76</v>
      </c>
      <c r="H35" s="15">
        <v>50</v>
      </c>
      <c r="I35" s="15">
        <v>50</v>
      </c>
      <c r="J35" s="26" t="s">
        <v>76</v>
      </c>
      <c r="K35" s="20" t="s">
        <v>76</v>
      </c>
      <c r="L35" s="20" t="s">
        <v>76</v>
      </c>
      <c r="M35" s="26" t="s">
        <v>76</v>
      </c>
      <c r="N35" s="20" t="s">
        <v>76</v>
      </c>
      <c r="O35" s="20" t="s">
        <v>76</v>
      </c>
      <c r="P35" s="26" t="s">
        <v>76</v>
      </c>
    </row>
    <row r="36" spans="1:16">
      <c r="A36" s="9" t="s">
        <v>195</v>
      </c>
      <c r="B36" s="20" t="s">
        <v>76</v>
      </c>
      <c r="C36" s="20" t="s">
        <v>76</v>
      </c>
      <c r="D36" s="26" t="s">
        <v>76</v>
      </c>
      <c r="E36" s="20" t="s">
        <v>76</v>
      </c>
      <c r="F36" s="20" t="s">
        <v>76</v>
      </c>
      <c r="G36" s="26" t="s">
        <v>76</v>
      </c>
      <c r="H36" s="20" t="s">
        <v>76</v>
      </c>
      <c r="I36" s="20" t="s">
        <v>76</v>
      </c>
      <c r="J36" s="26" t="s">
        <v>76</v>
      </c>
      <c r="K36" s="20" t="s">
        <v>76</v>
      </c>
      <c r="L36" s="20" t="s">
        <v>76</v>
      </c>
      <c r="M36" s="26" t="s">
        <v>76</v>
      </c>
      <c r="N36" s="20" t="s">
        <v>76</v>
      </c>
      <c r="O36" s="20" t="s">
        <v>76</v>
      </c>
      <c r="P36" s="26" t="s">
        <v>76</v>
      </c>
    </row>
    <row r="37" spans="1:16">
      <c r="A37" s="9" t="s">
        <v>196</v>
      </c>
      <c r="B37" s="15">
        <v>63.963963963963998</v>
      </c>
      <c r="C37" s="15">
        <v>63.963963963963998</v>
      </c>
      <c r="D37" s="26" t="s">
        <v>76</v>
      </c>
      <c r="E37" s="15">
        <v>67.857142857142804</v>
      </c>
      <c r="F37" s="15">
        <v>67.857142857142804</v>
      </c>
      <c r="G37" s="26" t="s">
        <v>76</v>
      </c>
      <c r="H37" s="15">
        <v>61.1111111111111</v>
      </c>
      <c r="I37" s="15">
        <v>61.1111111111111</v>
      </c>
      <c r="J37" s="26" t="s">
        <v>76</v>
      </c>
      <c r="K37" s="20" t="s">
        <v>76</v>
      </c>
      <c r="L37" s="20" t="s">
        <v>76</v>
      </c>
      <c r="M37" s="26" t="s">
        <v>76</v>
      </c>
      <c r="N37" s="20" t="s">
        <v>76</v>
      </c>
      <c r="O37" s="20" t="s">
        <v>76</v>
      </c>
      <c r="P37" s="26" t="s">
        <v>76</v>
      </c>
    </row>
    <row r="38" spans="1:16">
      <c r="A38" s="9" t="s">
        <v>197</v>
      </c>
      <c r="B38" s="15">
        <v>66.6666666666667</v>
      </c>
      <c r="C38" s="15">
        <v>66.6666666666667</v>
      </c>
      <c r="D38" s="26" t="s">
        <v>76</v>
      </c>
      <c r="E38" s="15">
        <v>70.588235294117595</v>
      </c>
      <c r="F38" s="15">
        <v>70.588235294117595</v>
      </c>
      <c r="G38" s="26" t="s">
        <v>76</v>
      </c>
      <c r="H38" s="15">
        <v>54.545454545454497</v>
      </c>
      <c r="I38" s="15">
        <v>54.545454545454497</v>
      </c>
      <c r="J38" s="26" t="s">
        <v>76</v>
      </c>
      <c r="K38" s="20" t="s">
        <v>76</v>
      </c>
      <c r="L38" s="20" t="s">
        <v>76</v>
      </c>
      <c r="M38" s="26" t="s">
        <v>76</v>
      </c>
      <c r="N38" s="20" t="s">
        <v>76</v>
      </c>
      <c r="O38" s="20" t="s">
        <v>76</v>
      </c>
      <c r="P38" s="26" t="s">
        <v>76</v>
      </c>
    </row>
    <row r="39" spans="1:16">
      <c r="A39" s="9" t="s">
        <v>198</v>
      </c>
      <c r="B39" s="15">
        <v>48.8888888888889</v>
      </c>
      <c r="C39" s="15">
        <v>48.8888888888889</v>
      </c>
      <c r="D39" s="26" t="s">
        <v>76</v>
      </c>
      <c r="E39" s="15">
        <v>51.351351351351397</v>
      </c>
      <c r="F39" s="15">
        <v>51.351351351351397</v>
      </c>
      <c r="G39" s="26" t="s">
        <v>76</v>
      </c>
      <c r="H39" s="15">
        <v>47.826086956521699</v>
      </c>
      <c r="I39" s="15">
        <v>47.826086956521699</v>
      </c>
      <c r="J39" s="26" t="s">
        <v>76</v>
      </c>
      <c r="K39" s="20" t="s">
        <v>76</v>
      </c>
      <c r="L39" s="20" t="s">
        <v>76</v>
      </c>
      <c r="M39" s="26" t="s">
        <v>76</v>
      </c>
      <c r="N39" s="20" t="s">
        <v>76</v>
      </c>
      <c r="O39" s="20" t="s">
        <v>76</v>
      </c>
      <c r="P39" s="26" t="s">
        <v>76</v>
      </c>
    </row>
    <row r="40" spans="1:16">
      <c r="A40" s="9" t="s">
        <v>199</v>
      </c>
      <c r="B40" s="15">
        <v>70.3125</v>
      </c>
      <c r="C40" s="15">
        <v>70.3125</v>
      </c>
      <c r="D40" s="26" t="s">
        <v>76</v>
      </c>
      <c r="E40" s="15">
        <v>72.727272727272705</v>
      </c>
      <c r="F40" s="15">
        <v>72.727272727272705</v>
      </c>
      <c r="G40" s="26" t="s">
        <v>76</v>
      </c>
      <c r="H40" s="15">
        <v>67.741935483871003</v>
      </c>
      <c r="I40" s="15">
        <v>67.741935483871003</v>
      </c>
      <c r="J40" s="26" t="s">
        <v>76</v>
      </c>
      <c r="K40" s="20" t="s">
        <v>76</v>
      </c>
      <c r="L40" s="20" t="s">
        <v>76</v>
      </c>
      <c r="M40" s="26" t="s">
        <v>76</v>
      </c>
      <c r="N40" s="20" t="s">
        <v>76</v>
      </c>
      <c r="O40" s="20" t="s">
        <v>76</v>
      </c>
      <c r="P40" s="26" t="s">
        <v>76</v>
      </c>
    </row>
    <row r="41" spans="1:16">
      <c r="A41" s="9" t="s">
        <v>200</v>
      </c>
      <c r="B41" s="20" t="s">
        <v>76</v>
      </c>
      <c r="C41" s="20" t="s">
        <v>76</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c r="A42" s="9" t="s">
        <v>201</v>
      </c>
      <c r="B42" s="15">
        <v>55</v>
      </c>
      <c r="C42" s="15">
        <v>55</v>
      </c>
      <c r="D42" s="26" t="s">
        <v>76</v>
      </c>
      <c r="E42" s="15">
        <v>46.6666666666667</v>
      </c>
      <c r="F42" s="15">
        <v>46.6666666666667</v>
      </c>
      <c r="G42" s="26" t="s">
        <v>76</v>
      </c>
      <c r="H42" s="15">
        <v>60</v>
      </c>
      <c r="I42" s="15">
        <v>60</v>
      </c>
      <c r="J42" s="26" t="s">
        <v>76</v>
      </c>
      <c r="K42" s="20" t="s">
        <v>76</v>
      </c>
      <c r="L42" s="20" t="s">
        <v>76</v>
      </c>
      <c r="M42" s="26" t="s">
        <v>76</v>
      </c>
      <c r="N42" s="20" t="s">
        <v>76</v>
      </c>
      <c r="O42" s="20" t="s">
        <v>76</v>
      </c>
      <c r="P42" s="26" t="s">
        <v>76</v>
      </c>
    </row>
    <row r="43" spans="1:16">
      <c r="A43" s="9" t="s">
        <v>202</v>
      </c>
      <c r="B43" s="15">
        <v>68.831168831168796</v>
      </c>
      <c r="C43" s="15">
        <v>68.831168831168796</v>
      </c>
      <c r="D43" s="26" t="s">
        <v>76</v>
      </c>
      <c r="E43" s="15">
        <v>71.794871794871796</v>
      </c>
      <c r="F43" s="15">
        <v>71.794871794871796</v>
      </c>
      <c r="G43" s="26" t="s">
        <v>76</v>
      </c>
      <c r="H43" s="15">
        <v>65.789473684210506</v>
      </c>
      <c r="I43" s="15">
        <v>65.789473684210506</v>
      </c>
      <c r="J43" s="26" t="s">
        <v>76</v>
      </c>
      <c r="K43" s="20" t="s">
        <v>76</v>
      </c>
      <c r="L43" s="20" t="s">
        <v>76</v>
      </c>
      <c r="M43" s="26" t="s">
        <v>76</v>
      </c>
      <c r="N43" s="20" t="s">
        <v>76</v>
      </c>
      <c r="O43" s="20" t="s">
        <v>76</v>
      </c>
      <c r="P43" s="26" t="s">
        <v>76</v>
      </c>
    </row>
    <row r="44" spans="1:16">
      <c r="A44" s="9" t="s">
        <v>203</v>
      </c>
      <c r="B44" s="15">
        <v>53.846153846153797</v>
      </c>
      <c r="C44" s="15">
        <v>53.846153846153797</v>
      </c>
      <c r="D44" s="26" t="s">
        <v>76</v>
      </c>
      <c r="E44" s="15">
        <v>61.1111111111111</v>
      </c>
      <c r="F44" s="15">
        <v>61.1111111111111</v>
      </c>
      <c r="G44" s="26" t="s">
        <v>76</v>
      </c>
      <c r="H44" s="15">
        <v>44.4444444444444</v>
      </c>
      <c r="I44" s="15">
        <v>44.4444444444444</v>
      </c>
      <c r="J44" s="26" t="s">
        <v>76</v>
      </c>
      <c r="K44" s="20" t="s">
        <v>76</v>
      </c>
      <c r="L44" s="20" t="s">
        <v>76</v>
      </c>
      <c r="M44" s="26" t="s">
        <v>76</v>
      </c>
      <c r="N44" s="20" t="s">
        <v>76</v>
      </c>
      <c r="O44" s="20" t="s">
        <v>76</v>
      </c>
      <c r="P44" s="26" t="s">
        <v>76</v>
      </c>
    </row>
    <row r="45" spans="1:16">
      <c r="A45" s="9" t="s">
        <v>204</v>
      </c>
      <c r="B45" s="15">
        <v>67.272727272727295</v>
      </c>
      <c r="C45" s="15">
        <v>67.272727272727295</v>
      </c>
      <c r="D45" s="26" t="s">
        <v>76</v>
      </c>
      <c r="E45" s="15">
        <v>77.142857142857196</v>
      </c>
      <c r="F45" s="15">
        <v>77.142857142857196</v>
      </c>
      <c r="G45" s="26" t="s">
        <v>76</v>
      </c>
      <c r="H45" s="15">
        <v>41.176470588235297</v>
      </c>
      <c r="I45" s="15">
        <v>41.176470588235297</v>
      </c>
      <c r="J45" s="26" t="s">
        <v>76</v>
      </c>
      <c r="K45" s="20" t="s">
        <v>76</v>
      </c>
      <c r="L45" s="20" t="s">
        <v>76</v>
      </c>
      <c r="M45" s="26" t="s">
        <v>76</v>
      </c>
      <c r="N45" s="20" t="s">
        <v>76</v>
      </c>
      <c r="O45" s="20" t="s">
        <v>76</v>
      </c>
      <c r="P45" s="26" t="s">
        <v>76</v>
      </c>
    </row>
    <row r="46" spans="1:16">
      <c r="A46" s="9" t="s">
        <v>205</v>
      </c>
      <c r="B46" s="15">
        <v>63.636363636363598</v>
      </c>
      <c r="C46" s="15">
        <v>63.636363636363598</v>
      </c>
      <c r="D46" s="26" t="s">
        <v>76</v>
      </c>
      <c r="E46" s="20" t="s">
        <v>76</v>
      </c>
      <c r="F46" s="20" t="s">
        <v>76</v>
      </c>
      <c r="G46" s="26" t="s">
        <v>76</v>
      </c>
      <c r="H46" s="20" t="s">
        <v>76</v>
      </c>
      <c r="I46" s="20" t="s">
        <v>76</v>
      </c>
      <c r="J46" s="26" t="s">
        <v>76</v>
      </c>
      <c r="K46" s="20" t="s">
        <v>76</v>
      </c>
      <c r="L46" s="20" t="s">
        <v>76</v>
      </c>
      <c r="M46" s="26" t="s">
        <v>76</v>
      </c>
      <c r="N46" s="20" t="s">
        <v>76</v>
      </c>
      <c r="O46" s="20" t="s">
        <v>76</v>
      </c>
      <c r="P46" s="26" t="s">
        <v>76</v>
      </c>
    </row>
    <row r="47" spans="1:16">
      <c r="A47" s="9" t="s">
        <v>206</v>
      </c>
      <c r="B47" s="15">
        <v>66.153846153846104</v>
      </c>
      <c r="C47" s="15">
        <v>66.153846153846104</v>
      </c>
      <c r="D47" s="26" t="s">
        <v>76</v>
      </c>
      <c r="E47" s="15">
        <v>55.882352941176499</v>
      </c>
      <c r="F47" s="15">
        <v>55.882352941176499</v>
      </c>
      <c r="G47" s="26" t="s">
        <v>76</v>
      </c>
      <c r="H47" s="15">
        <v>77.419354838709694</v>
      </c>
      <c r="I47" s="15">
        <v>77.419354838709694</v>
      </c>
      <c r="J47" s="26" t="s">
        <v>76</v>
      </c>
      <c r="K47" s="20" t="s">
        <v>76</v>
      </c>
      <c r="L47" s="20" t="s">
        <v>76</v>
      </c>
      <c r="M47" s="26" t="s">
        <v>76</v>
      </c>
      <c r="N47" s="20" t="s">
        <v>76</v>
      </c>
      <c r="O47" s="20" t="s">
        <v>76</v>
      </c>
      <c r="P47" s="26" t="s">
        <v>76</v>
      </c>
    </row>
    <row r="48" spans="1:16">
      <c r="A48" s="9" t="s">
        <v>207</v>
      </c>
      <c r="B48" s="15">
        <v>55.1020408163265</v>
      </c>
      <c r="C48" s="15">
        <v>55.1020408163265</v>
      </c>
      <c r="D48" s="26" t="s">
        <v>76</v>
      </c>
      <c r="E48" s="15">
        <v>66.6666666666667</v>
      </c>
      <c r="F48" s="15">
        <v>66.6666666666667</v>
      </c>
      <c r="G48" s="26" t="s">
        <v>76</v>
      </c>
      <c r="H48" s="15">
        <v>48.148148148148103</v>
      </c>
      <c r="I48" s="15">
        <v>48.148148148148103</v>
      </c>
      <c r="J48" s="26" t="s">
        <v>76</v>
      </c>
      <c r="K48" s="20" t="s">
        <v>76</v>
      </c>
      <c r="L48" s="20" t="s">
        <v>76</v>
      </c>
      <c r="M48" s="26" t="s">
        <v>76</v>
      </c>
      <c r="N48" s="20" t="s">
        <v>76</v>
      </c>
      <c r="O48" s="20" t="s">
        <v>76</v>
      </c>
      <c r="P48" s="26" t="s">
        <v>76</v>
      </c>
    </row>
    <row r="49" spans="1:16">
      <c r="A49" s="9" t="s">
        <v>208</v>
      </c>
      <c r="B49" s="15">
        <v>56.164383561643803</v>
      </c>
      <c r="C49" s="15">
        <v>56.164383561643803</v>
      </c>
      <c r="D49" s="26" t="s">
        <v>76</v>
      </c>
      <c r="E49" s="15">
        <v>45.714285714285701</v>
      </c>
      <c r="F49" s="15">
        <v>45.714285714285701</v>
      </c>
      <c r="G49" s="26" t="s">
        <v>76</v>
      </c>
      <c r="H49" s="15">
        <v>65.789473684210506</v>
      </c>
      <c r="I49" s="15">
        <v>65.789473684210506</v>
      </c>
      <c r="J49" s="26" t="s">
        <v>76</v>
      </c>
      <c r="K49" s="20" t="s">
        <v>76</v>
      </c>
      <c r="L49" s="20" t="s">
        <v>76</v>
      </c>
      <c r="M49" s="26" t="s">
        <v>76</v>
      </c>
      <c r="N49" s="20" t="s">
        <v>76</v>
      </c>
      <c r="O49" s="20" t="s">
        <v>76</v>
      </c>
      <c r="P49" s="26" t="s">
        <v>76</v>
      </c>
    </row>
    <row r="50" spans="1:16">
      <c r="A50" s="9" t="s">
        <v>209</v>
      </c>
      <c r="B50" s="15">
        <v>52.586206896551701</v>
      </c>
      <c r="C50" s="15">
        <v>52.586206896551701</v>
      </c>
      <c r="D50" s="26" t="s">
        <v>76</v>
      </c>
      <c r="E50" s="15">
        <v>58.823529411764703</v>
      </c>
      <c r="F50" s="15">
        <v>58.823529411764703</v>
      </c>
      <c r="G50" s="26" t="s">
        <v>76</v>
      </c>
      <c r="H50" s="15">
        <v>46.031746031746003</v>
      </c>
      <c r="I50" s="15">
        <v>46.031746031746003</v>
      </c>
      <c r="J50" s="26" t="s">
        <v>76</v>
      </c>
      <c r="K50" s="20" t="s">
        <v>76</v>
      </c>
      <c r="L50" s="20" t="s">
        <v>76</v>
      </c>
      <c r="M50" s="26" t="s">
        <v>76</v>
      </c>
      <c r="N50" s="20" t="s">
        <v>76</v>
      </c>
      <c r="O50" s="20" t="s">
        <v>76</v>
      </c>
      <c r="P50" s="26" t="s">
        <v>76</v>
      </c>
    </row>
    <row r="51" spans="1:16">
      <c r="A51" s="9" t="s">
        <v>210</v>
      </c>
      <c r="B51" s="15">
        <v>75</v>
      </c>
      <c r="C51" s="15">
        <v>75</v>
      </c>
      <c r="D51" s="26" t="s">
        <v>76</v>
      </c>
      <c r="E51" s="15">
        <v>80</v>
      </c>
      <c r="F51" s="15">
        <v>80</v>
      </c>
      <c r="G51" s="26" t="s">
        <v>76</v>
      </c>
      <c r="H51" s="20" t="s">
        <v>76</v>
      </c>
      <c r="I51" s="20" t="s">
        <v>76</v>
      </c>
      <c r="J51" s="26" t="s">
        <v>76</v>
      </c>
      <c r="K51" s="20" t="s">
        <v>76</v>
      </c>
      <c r="L51" s="20" t="s">
        <v>76</v>
      </c>
      <c r="M51" s="26" t="s">
        <v>76</v>
      </c>
      <c r="N51" s="20" t="s">
        <v>76</v>
      </c>
      <c r="O51" s="20" t="s">
        <v>76</v>
      </c>
      <c r="P51" s="26" t="s">
        <v>76</v>
      </c>
    </row>
    <row r="52" spans="1:16">
      <c r="A52" s="9" t="s">
        <v>211</v>
      </c>
      <c r="B52" s="15">
        <v>51.428571428571402</v>
      </c>
      <c r="C52" s="15">
        <v>51.428571428571402</v>
      </c>
      <c r="D52" s="26" t="s">
        <v>76</v>
      </c>
      <c r="E52" s="15">
        <v>57.142857142857103</v>
      </c>
      <c r="F52" s="15">
        <v>57.142857142857103</v>
      </c>
      <c r="G52" s="26" t="s">
        <v>76</v>
      </c>
      <c r="H52" s="15">
        <v>45</v>
      </c>
      <c r="I52" s="15">
        <v>45</v>
      </c>
      <c r="J52" s="26" t="s">
        <v>76</v>
      </c>
      <c r="K52" s="20" t="s">
        <v>76</v>
      </c>
      <c r="L52" s="20" t="s">
        <v>76</v>
      </c>
      <c r="M52" s="26" t="s">
        <v>76</v>
      </c>
      <c r="N52" s="20" t="s">
        <v>76</v>
      </c>
      <c r="O52" s="20" t="s">
        <v>76</v>
      </c>
      <c r="P52" s="26" t="s">
        <v>76</v>
      </c>
    </row>
    <row r="53" spans="1:16">
      <c r="A53" s="9" t="s">
        <v>212</v>
      </c>
      <c r="B53" s="15">
        <v>84</v>
      </c>
      <c r="C53" s="15">
        <v>84</v>
      </c>
      <c r="D53" s="26" t="s">
        <v>76</v>
      </c>
      <c r="E53" s="15">
        <v>84</v>
      </c>
      <c r="F53" s="15">
        <v>84</v>
      </c>
      <c r="G53" s="26" t="s">
        <v>76</v>
      </c>
      <c r="H53" s="15">
        <v>84</v>
      </c>
      <c r="I53" s="15">
        <v>84</v>
      </c>
      <c r="J53" s="26" t="s">
        <v>76</v>
      </c>
      <c r="K53" s="20" t="s">
        <v>76</v>
      </c>
      <c r="L53" s="20" t="s">
        <v>76</v>
      </c>
      <c r="M53" s="26" t="s">
        <v>76</v>
      </c>
      <c r="N53" s="20" t="s">
        <v>76</v>
      </c>
      <c r="O53" s="20" t="s">
        <v>76</v>
      </c>
      <c r="P53" s="26" t="s">
        <v>76</v>
      </c>
    </row>
    <row r="54" spans="1:16">
      <c r="A54" s="9" t="s">
        <v>213</v>
      </c>
      <c r="B54" s="15">
        <v>47.169811320754697</v>
      </c>
      <c r="C54" s="15">
        <v>47.169811320754697</v>
      </c>
      <c r="D54" s="26" t="s">
        <v>76</v>
      </c>
      <c r="E54" s="15">
        <v>58.3333333333333</v>
      </c>
      <c r="F54" s="15">
        <v>58.3333333333333</v>
      </c>
      <c r="G54" s="26" t="s">
        <v>76</v>
      </c>
      <c r="H54" s="15">
        <v>39.285714285714299</v>
      </c>
      <c r="I54" s="15">
        <v>39.285714285714299</v>
      </c>
      <c r="J54" s="26" t="s">
        <v>76</v>
      </c>
      <c r="K54" s="20" t="s">
        <v>76</v>
      </c>
      <c r="L54" s="20" t="s">
        <v>76</v>
      </c>
      <c r="M54" s="26" t="s">
        <v>76</v>
      </c>
      <c r="N54" s="20" t="s">
        <v>76</v>
      </c>
      <c r="O54" s="20" t="s">
        <v>76</v>
      </c>
      <c r="P54" s="26" t="s">
        <v>76</v>
      </c>
    </row>
    <row r="55" spans="1:16">
      <c r="A55" s="9" t="s">
        <v>214</v>
      </c>
      <c r="B55" s="15">
        <v>67.164179104477597</v>
      </c>
      <c r="C55" s="15">
        <v>67.164179104477597</v>
      </c>
      <c r="D55" s="26" t="s">
        <v>76</v>
      </c>
      <c r="E55" s="15">
        <v>65.625</v>
      </c>
      <c r="F55" s="15">
        <v>65.625</v>
      </c>
      <c r="G55" s="26" t="s">
        <v>76</v>
      </c>
      <c r="H55" s="15">
        <v>68.571428571428598</v>
      </c>
      <c r="I55" s="15">
        <v>68.571428571428598</v>
      </c>
      <c r="J55" s="26" t="s">
        <v>76</v>
      </c>
      <c r="K55" s="20" t="s">
        <v>76</v>
      </c>
      <c r="L55" s="20" t="s">
        <v>76</v>
      </c>
      <c r="M55" s="26" t="s">
        <v>76</v>
      </c>
      <c r="N55" s="20" t="s">
        <v>76</v>
      </c>
      <c r="O55" s="20" t="s">
        <v>76</v>
      </c>
      <c r="P55" s="26" t="s">
        <v>76</v>
      </c>
    </row>
    <row r="56" spans="1:16">
      <c r="A56" s="9" t="s">
        <v>215</v>
      </c>
      <c r="B56" s="15">
        <v>63.513513513513502</v>
      </c>
      <c r="C56" s="15">
        <v>63.513513513513502</v>
      </c>
      <c r="D56" s="26" t="s">
        <v>76</v>
      </c>
      <c r="E56" s="15">
        <v>62.162162162162197</v>
      </c>
      <c r="F56" s="15">
        <v>62.162162162162197</v>
      </c>
      <c r="G56" s="26" t="s">
        <v>76</v>
      </c>
      <c r="H56" s="15">
        <v>63.8888888888889</v>
      </c>
      <c r="I56" s="15">
        <v>63.8888888888889</v>
      </c>
      <c r="J56" s="26" t="s">
        <v>76</v>
      </c>
      <c r="K56" s="20" t="s">
        <v>76</v>
      </c>
      <c r="L56" s="20" t="s">
        <v>76</v>
      </c>
      <c r="M56" s="26" t="s">
        <v>76</v>
      </c>
      <c r="N56" s="20" t="s">
        <v>76</v>
      </c>
      <c r="O56" s="20" t="s">
        <v>76</v>
      </c>
      <c r="P56" s="26" t="s">
        <v>76</v>
      </c>
    </row>
    <row r="57" spans="1:16">
      <c r="A57" s="9" t="s">
        <v>216</v>
      </c>
      <c r="B57" s="15">
        <v>57.692307692307701</v>
      </c>
      <c r="C57" s="15">
        <v>57.692307692307701</v>
      </c>
      <c r="D57" s="26" t="s">
        <v>76</v>
      </c>
      <c r="E57" s="15">
        <v>65.789473684210506</v>
      </c>
      <c r="F57" s="15">
        <v>65.789473684210506</v>
      </c>
      <c r="G57" s="26" t="s">
        <v>76</v>
      </c>
      <c r="H57" s="15">
        <v>47.2222222222222</v>
      </c>
      <c r="I57" s="15">
        <v>47.2222222222222</v>
      </c>
      <c r="J57" s="26" t="s">
        <v>76</v>
      </c>
      <c r="K57" s="20" t="s">
        <v>76</v>
      </c>
      <c r="L57" s="20" t="s">
        <v>76</v>
      </c>
      <c r="M57" s="26" t="s">
        <v>76</v>
      </c>
      <c r="N57" s="20" t="s">
        <v>76</v>
      </c>
      <c r="O57" s="20" t="s">
        <v>76</v>
      </c>
      <c r="P57" s="26" t="s">
        <v>76</v>
      </c>
    </row>
    <row r="58" spans="1:16">
      <c r="A58" s="9" t="s">
        <v>217</v>
      </c>
      <c r="B58" s="15">
        <v>81.034482758620697</v>
      </c>
      <c r="C58" s="15">
        <v>81.034482758620697</v>
      </c>
      <c r="D58" s="26" t="s">
        <v>76</v>
      </c>
      <c r="E58" s="15">
        <v>83.3333333333333</v>
      </c>
      <c r="F58" s="15">
        <v>83.3333333333333</v>
      </c>
      <c r="G58" s="26" t="s">
        <v>76</v>
      </c>
      <c r="H58" s="15">
        <v>79.411764705882305</v>
      </c>
      <c r="I58" s="15">
        <v>79.411764705882305</v>
      </c>
      <c r="J58" s="26" t="s">
        <v>76</v>
      </c>
      <c r="K58" s="20" t="s">
        <v>76</v>
      </c>
      <c r="L58" s="20" t="s">
        <v>76</v>
      </c>
      <c r="M58" s="26" t="s">
        <v>76</v>
      </c>
      <c r="N58" s="20" t="s">
        <v>76</v>
      </c>
      <c r="O58" s="20" t="s">
        <v>76</v>
      </c>
      <c r="P58" s="26" t="s">
        <v>76</v>
      </c>
    </row>
    <row r="59" spans="1:16">
      <c r="A59" s="9" t="s">
        <v>218</v>
      </c>
      <c r="B59" s="15">
        <v>44.578313253011999</v>
      </c>
      <c r="C59" s="15">
        <v>44.578313253011999</v>
      </c>
      <c r="D59" s="26" t="s">
        <v>76</v>
      </c>
      <c r="E59" s="15">
        <v>53.3333333333333</v>
      </c>
      <c r="F59" s="15">
        <v>53.3333333333333</v>
      </c>
      <c r="G59" s="26" t="s">
        <v>76</v>
      </c>
      <c r="H59" s="15">
        <v>36.1111111111111</v>
      </c>
      <c r="I59" s="15">
        <v>36.1111111111111</v>
      </c>
      <c r="J59" s="26" t="s">
        <v>76</v>
      </c>
      <c r="K59" s="20" t="s">
        <v>76</v>
      </c>
      <c r="L59" s="20" t="s">
        <v>76</v>
      </c>
      <c r="M59" s="26" t="s">
        <v>76</v>
      </c>
      <c r="N59" s="20" t="s">
        <v>76</v>
      </c>
      <c r="O59" s="20" t="s">
        <v>76</v>
      </c>
      <c r="P59" s="26" t="s">
        <v>76</v>
      </c>
    </row>
    <row r="60" spans="1:16">
      <c r="A60" s="9" t="s">
        <v>219</v>
      </c>
      <c r="B60" s="15">
        <v>76.119402985074601</v>
      </c>
      <c r="C60" s="15">
        <v>76.119402985074601</v>
      </c>
      <c r="D60" s="26" t="s">
        <v>76</v>
      </c>
      <c r="E60" s="15">
        <v>78.125</v>
      </c>
      <c r="F60" s="15">
        <v>78.125</v>
      </c>
      <c r="G60" s="26" t="s">
        <v>76</v>
      </c>
      <c r="H60" s="15">
        <v>74.285714285714306</v>
      </c>
      <c r="I60" s="15">
        <v>74.285714285714306</v>
      </c>
      <c r="J60" s="26" t="s">
        <v>76</v>
      </c>
      <c r="K60" s="20" t="s">
        <v>76</v>
      </c>
      <c r="L60" s="20" t="s">
        <v>76</v>
      </c>
      <c r="M60" s="26" t="s">
        <v>76</v>
      </c>
      <c r="N60" s="20" t="s">
        <v>76</v>
      </c>
      <c r="O60" s="20" t="s">
        <v>76</v>
      </c>
      <c r="P60" s="26" t="s">
        <v>76</v>
      </c>
    </row>
    <row r="61" spans="1:16">
      <c r="A61" s="9" t="s">
        <v>220</v>
      </c>
      <c r="B61" s="15">
        <v>83.3333333333333</v>
      </c>
      <c r="C61" s="15">
        <v>83.3333333333333</v>
      </c>
      <c r="D61" s="26" t="s">
        <v>76</v>
      </c>
      <c r="E61" s="15">
        <v>83.3333333333333</v>
      </c>
      <c r="F61" s="15">
        <v>83.3333333333333</v>
      </c>
      <c r="G61" s="26" t="s">
        <v>76</v>
      </c>
      <c r="H61" s="15">
        <v>90.909090909090907</v>
      </c>
      <c r="I61" s="15">
        <v>90.909090909090907</v>
      </c>
      <c r="J61" s="26" t="s">
        <v>76</v>
      </c>
      <c r="K61" s="20" t="s">
        <v>76</v>
      </c>
      <c r="L61" s="20" t="s">
        <v>76</v>
      </c>
      <c r="M61" s="26" t="s">
        <v>76</v>
      </c>
      <c r="N61" s="20" t="s">
        <v>76</v>
      </c>
      <c r="O61" s="20" t="s">
        <v>76</v>
      </c>
      <c r="P61" s="26" t="s">
        <v>76</v>
      </c>
    </row>
    <row r="62" spans="1:16">
      <c r="A62" s="9" t="s">
        <v>221</v>
      </c>
      <c r="B62" s="15">
        <v>52.631578947368403</v>
      </c>
      <c r="C62" s="15">
        <v>52.631578947368403</v>
      </c>
      <c r="D62" s="26" t="s">
        <v>76</v>
      </c>
      <c r="E62" s="15">
        <v>85.714285714285694</v>
      </c>
      <c r="F62" s="15">
        <v>85.714285714285694</v>
      </c>
      <c r="G62" s="26" t="s">
        <v>76</v>
      </c>
      <c r="H62" s="20" t="s">
        <v>76</v>
      </c>
      <c r="I62" s="20" t="s">
        <v>76</v>
      </c>
      <c r="J62" s="26" t="s">
        <v>76</v>
      </c>
      <c r="K62" s="20" t="s">
        <v>76</v>
      </c>
      <c r="L62" s="20" t="s">
        <v>76</v>
      </c>
      <c r="M62" s="26" t="s">
        <v>76</v>
      </c>
      <c r="N62" s="20" t="s">
        <v>76</v>
      </c>
      <c r="O62" s="20" t="s">
        <v>76</v>
      </c>
      <c r="P62" s="26" t="s">
        <v>76</v>
      </c>
    </row>
    <row r="63" spans="1:16">
      <c r="A63" s="9" t="s">
        <v>222</v>
      </c>
      <c r="B63" s="15">
        <v>59.821428571428598</v>
      </c>
      <c r="C63" s="15">
        <v>59.821428571428598</v>
      </c>
      <c r="D63" s="26" t="s">
        <v>76</v>
      </c>
      <c r="E63" s="15">
        <v>52.542372881355902</v>
      </c>
      <c r="F63" s="15">
        <v>52.542372881355902</v>
      </c>
      <c r="G63" s="26" t="s">
        <v>76</v>
      </c>
      <c r="H63" s="15">
        <v>67.307692307692307</v>
      </c>
      <c r="I63" s="15">
        <v>67.307692307692307</v>
      </c>
      <c r="J63" s="26" t="s">
        <v>76</v>
      </c>
      <c r="K63" s="20" t="s">
        <v>76</v>
      </c>
      <c r="L63" s="20" t="s">
        <v>76</v>
      </c>
      <c r="M63" s="26" t="s">
        <v>76</v>
      </c>
      <c r="N63" s="20" t="s">
        <v>76</v>
      </c>
      <c r="O63" s="20" t="s">
        <v>76</v>
      </c>
      <c r="P63" s="26" t="s">
        <v>76</v>
      </c>
    </row>
    <row r="64" spans="1:16">
      <c r="A64" s="9" t="s">
        <v>223</v>
      </c>
      <c r="B64" s="15">
        <v>62.5</v>
      </c>
      <c r="C64" s="15">
        <v>62.5</v>
      </c>
      <c r="D64" s="26" t="s">
        <v>76</v>
      </c>
      <c r="E64" s="15">
        <v>47.368421052631597</v>
      </c>
      <c r="F64" s="15">
        <v>47.368421052631597</v>
      </c>
      <c r="G64" s="26" t="s">
        <v>76</v>
      </c>
      <c r="H64" s="15">
        <v>76.190476190476204</v>
      </c>
      <c r="I64" s="15">
        <v>76.190476190476204</v>
      </c>
      <c r="J64" s="26" t="s">
        <v>76</v>
      </c>
      <c r="K64" s="20" t="s">
        <v>76</v>
      </c>
      <c r="L64" s="20" t="s">
        <v>76</v>
      </c>
      <c r="M64" s="26" t="s">
        <v>76</v>
      </c>
      <c r="N64" s="20" t="s">
        <v>76</v>
      </c>
      <c r="O64" s="20" t="s">
        <v>76</v>
      </c>
      <c r="P64" s="26" t="s">
        <v>76</v>
      </c>
    </row>
    <row r="65" spans="1:16">
      <c r="A65" s="9" t="s">
        <v>224</v>
      </c>
      <c r="B65" s="15">
        <v>63.28125</v>
      </c>
      <c r="C65" s="15">
        <v>63.28125</v>
      </c>
      <c r="D65" s="26" t="s">
        <v>76</v>
      </c>
      <c r="E65" s="15">
        <v>62.2950819672131</v>
      </c>
      <c r="F65" s="15">
        <v>62.2950819672131</v>
      </c>
      <c r="G65" s="26" t="s">
        <v>76</v>
      </c>
      <c r="H65" s="15">
        <v>65.151515151515099</v>
      </c>
      <c r="I65" s="15">
        <v>65.151515151515099</v>
      </c>
      <c r="J65" s="26" t="s">
        <v>76</v>
      </c>
      <c r="K65" s="20" t="s">
        <v>76</v>
      </c>
      <c r="L65" s="20" t="s">
        <v>76</v>
      </c>
      <c r="M65" s="26" t="s">
        <v>76</v>
      </c>
      <c r="N65" s="20" t="s">
        <v>76</v>
      </c>
      <c r="O65" s="20" t="s">
        <v>76</v>
      </c>
      <c r="P65" s="26" t="s">
        <v>76</v>
      </c>
    </row>
    <row r="66" spans="1:16">
      <c r="A66" s="9" t="s">
        <v>225</v>
      </c>
      <c r="B66" s="15">
        <v>69.306930693069305</v>
      </c>
      <c r="C66" s="15">
        <v>69.306930693069305</v>
      </c>
      <c r="D66" s="26" t="s">
        <v>76</v>
      </c>
      <c r="E66" s="15">
        <v>66.037735849056602</v>
      </c>
      <c r="F66" s="15">
        <v>66.037735849056602</v>
      </c>
      <c r="G66" s="26" t="s">
        <v>76</v>
      </c>
      <c r="H66" s="15">
        <v>72.9166666666667</v>
      </c>
      <c r="I66" s="15">
        <v>72.9166666666667</v>
      </c>
      <c r="J66" s="26" t="s">
        <v>76</v>
      </c>
      <c r="K66" s="20" t="s">
        <v>76</v>
      </c>
      <c r="L66" s="20" t="s">
        <v>76</v>
      </c>
      <c r="M66" s="26" t="s">
        <v>76</v>
      </c>
      <c r="N66" s="20" t="s">
        <v>76</v>
      </c>
      <c r="O66" s="20" t="s">
        <v>76</v>
      </c>
      <c r="P66" s="26" t="s">
        <v>76</v>
      </c>
    </row>
    <row r="67" spans="1:16">
      <c r="A67" s="9" t="s">
        <v>226</v>
      </c>
      <c r="B67" s="15">
        <v>75.630252100840295</v>
      </c>
      <c r="C67" s="15">
        <v>75.630252100840295</v>
      </c>
      <c r="D67" s="26" t="s">
        <v>76</v>
      </c>
      <c r="E67" s="15">
        <v>75</v>
      </c>
      <c r="F67" s="15">
        <v>75</v>
      </c>
      <c r="G67" s="26" t="s">
        <v>76</v>
      </c>
      <c r="H67" s="15">
        <v>77.7777777777778</v>
      </c>
      <c r="I67" s="15">
        <v>77.7777777777778</v>
      </c>
      <c r="J67" s="26" t="s">
        <v>76</v>
      </c>
      <c r="K67" s="20" t="s">
        <v>76</v>
      </c>
      <c r="L67" s="20" t="s">
        <v>76</v>
      </c>
      <c r="M67" s="26" t="s">
        <v>76</v>
      </c>
      <c r="N67" s="20" t="s">
        <v>76</v>
      </c>
      <c r="O67" s="20" t="s">
        <v>76</v>
      </c>
      <c r="P67" s="26" t="s">
        <v>76</v>
      </c>
    </row>
    <row r="68" spans="1:16">
      <c r="A68" s="9" t="s">
        <v>227</v>
      </c>
      <c r="B68" s="15">
        <v>51.1111111111111</v>
      </c>
      <c r="C68" s="15">
        <v>51.1111111111111</v>
      </c>
      <c r="D68" s="26" t="s">
        <v>76</v>
      </c>
      <c r="E68" s="15">
        <v>50</v>
      </c>
      <c r="F68" s="15">
        <v>50</v>
      </c>
      <c r="G68" s="26" t="s">
        <v>76</v>
      </c>
      <c r="H68" s="15">
        <v>51.923076923076898</v>
      </c>
      <c r="I68" s="15">
        <v>51.923076923076898</v>
      </c>
      <c r="J68" s="26" t="s">
        <v>76</v>
      </c>
      <c r="K68" s="20" t="s">
        <v>76</v>
      </c>
      <c r="L68" s="20" t="s">
        <v>76</v>
      </c>
      <c r="M68" s="26" t="s">
        <v>76</v>
      </c>
      <c r="N68" s="20" t="s">
        <v>76</v>
      </c>
      <c r="O68" s="20" t="s">
        <v>76</v>
      </c>
      <c r="P68" s="26" t="s">
        <v>76</v>
      </c>
    </row>
    <row r="69" spans="1:16">
      <c r="A69" s="9" t="s">
        <v>228</v>
      </c>
      <c r="B69" s="15">
        <v>53.3333333333333</v>
      </c>
      <c r="C69" s="15">
        <v>53.3333333333333</v>
      </c>
      <c r="D69" s="26" t="s">
        <v>76</v>
      </c>
      <c r="E69" s="20" t="s">
        <v>76</v>
      </c>
      <c r="F69" s="20" t="s">
        <v>76</v>
      </c>
      <c r="G69" s="26" t="s">
        <v>76</v>
      </c>
      <c r="H69" s="20" t="s">
        <v>76</v>
      </c>
      <c r="I69" s="20" t="s">
        <v>76</v>
      </c>
      <c r="J69" s="26" t="s">
        <v>76</v>
      </c>
      <c r="K69" s="20" t="s">
        <v>76</v>
      </c>
      <c r="L69" s="20" t="s">
        <v>76</v>
      </c>
      <c r="M69" s="26" t="s">
        <v>76</v>
      </c>
      <c r="N69" s="20" t="s">
        <v>76</v>
      </c>
      <c r="O69" s="20" t="s">
        <v>76</v>
      </c>
      <c r="P69" s="26" t="s">
        <v>76</v>
      </c>
    </row>
    <row r="70" spans="1:16">
      <c r="A70" s="9" t="s">
        <v>229</v>
      </c>
      <c r="B70" s="15">
        <v>56.164383561643803</v>
      </c>
      <c r="C70" s="15">
        <v>56.164383561643803</v>
      </c>
      <c r="D70" s="26" t="s">
        <v>76</v>
      </c>
      <c r="E70" s="15">
        <v>57.5</v>
      </c>
      <c r="F70" s="15">
        <v>57.5</v>
      </c>
      <c r="G70" s="26" t="s">
        <v>76</v>
      </c>
      <c r="H70" s="15">
        <v>54.545454545454497</v>
      </c>
      <c r="I70" s="15">
        <v>54.545454545454497</v>
      </c>
      <c r="J70" s="26" t="s">
        <v>76</v>
      </c>
      <c r="K70" s="20" t="s">
        <v>76</v>
      </c>
      <c r="L70" s="20" t="s">
        <v>76</v>
      </c>
      <c r="M70" s="26" t="s">
        <v>76</v>
      </c>
      <c r="N70" s="20" t="s">
        <v>76</v>
      </c>
      <c r="O70" s="20" t="s">
        <v>76</v>
      </c>
      <c r="P70" s="26" t="s">
        <v>76</v>
      </c>
    </row>
    <row r="71" spans="1:16">
      <c r="A71" s="9" t="s">
        <v>230</v>
      </c>
      <c r="B71" s="15">
        <v>61.6666666666667</v>
      </c>
      <c r="C71" s="15">
        <v>61.6666666666667</v>
      </c>
      <c r="D71" s="26" t="s">
        <v>76</v>
      </c>
      <c r="E71" s="15">
        <v>70.8333333333333</v>
      </c>
      <c r="F71" s="15">
        <v>70.8333333333333</v>
      </c>
      <c r="G71" s="26" t="s">
        <v>76</v>
      </c>
      <c r="H71" s="15">
        <v>53.571428571428598</v>
      </c>
      <c r="I71" s="15">
        <v>53.571428571428598</v>
      </c>
      <c r="J71" s="26" t="s">
        <v>76</v>
      </c>
      <c r="K71" s="20" t="s">
        <v>76</v>
      </c>
      <c r="L71" s="20" t="s">
        <v>76</v>
      </c>
      <c r="M71" s="26" t="s">
        <v>76</v>
      </c>
      <c r="N71" s="20" t="s">
        <v>76</v>
      </c>
      <c r="O71" s="20" t="s">
        <v>76</v>
      </c>
      <c r="P71" s="26" t="s">
        <v>76</v>
      </c>
    </row>
    <row r="72" spans="1:16">
      <c r="A72" s="9" t="s">
        <v>231</v>
      </c>
      <c r="B72" s="15">
        <v>53.012048192771097</v>
      </c>
      <c r="C72" s="15">
        <v>53.012048192771097</v>
      </c>
      <c r="D72" s="26" t="s">
        <v>76</v>
      </c>
      <c r="E72" s="15">
        <v>57.142857142857103</v>
      </c>
      <c r="F72" s="15">
        <v>57.142857142857103</v>
      </c>
      <c r="G72" s="26" t="s">
        <v>76</v>
      </c>
      <c r="H72" s="15">
        <v>51.282051282051299</v>
      </c>
      <c r="I72" s="15">
        <v>51.282051282051299</v>
      </c>
      <c r="J72" s="26" t="s">
        <v>76</v>
      </c>
      <c r="K72" s="20" t="s">
        <v>76</v>
      </c>
      <c r="L72" s="20" t="s">
        <v>76</v>
      </c>
      <c r="M72" s="26" t="s">
        <v>76</v>
      </c>
      <c r="N72" s="20" t="s">
        <v>76</v>
      </c>
      <c r="O72" s="20" t="s">
        <v>76</v>
      </c>
      <c r="P72" s="26" t="s">
        <v>76</v>
      </c>
    </row>
    <row r="73" spans="1:16">
      <c r="A73" s="9" t="s">
        <v>232</v>
      </c>
      <c r="B73" s="15">
        <v>42.682926829268297</v>
      </c>
      <c r="C73" s="15">
        <v>42.682926829268297</v>
      </c>
      <c r="D73" s="26" t="s">
        <v>76</v>
      </c>
      <c r="E73" s="15">
        <v>44.7368421052632</v>
      </c>
      <c r="F73" s="15">
        <v>44.7368421052632</v>
      </c>
      <c r="G73" s="26" t="s">
        <v>76</v>
      </c>
      <c r="H73" s="15">
        <v>42.857142857142897</v>
      </c>
      <c r="I73" s="15">
        <v>42.857142857142897</v>
      </c>
      <c r="J73" s="26" t="s">
        <v>76</v>
      </c>
      <c r="K73" s="20" t="s">
        <v>76</v>
      </c>
      <c r="L73" s="20" t="s">
        <v>76</v>
      </c>
      <c r="M73" s="26" t="s">
        <v>76</v>
      </c>
      <c r="N73" s="20" t="s">
        <v>76</v>
      </c>
      <c r="O73" s="20" t="s">
        <v>76</v>
      </c>
      <c r="P73" s="26" t="s">
        <v>76</v>
      </c>
    </row>
    <row r="74" spans="1:16">
      <c r="A74" s="9" t="s">
        <v>233</v>
      </c>
      <c r="B74" s="15">
        <v>56.074766355140198</v>
      </c>
      <c r="C74" s="15">
        <v>56.074766355140198</v>
      </c>
      <c r="D74" s="26" t="s">
        <v>76</v>
      </c>
      <c r="E74" s="15">
        <v>60.317460317460302</v>
      </c>
      <c r="F74" s="15">
        <v>60.317460317460302</v>
      </c>
      <c r="G74" s="26" t="s">
        <v>76</v>
      </c>
      <c r="H74" s="15">
        <v>52.380952380952401</v>
      </c>
      <c r="I74" s="15">
        <v>52.380952380952401</v>
      </c>
      <c r="J74" s="26" t="s">
        <v>76</v>
      </c>
      <c r="K74" s="20" t="s">
        <v>76</v>
      </c>
      <c r="L74" s="20" t="s">
        <v>76</v>
      </c>
      <c r="M74" s="26" t="s">
        <v>76</v>
      </c>
      <c r="N74" s="20" t="s">
        <v>76</v>
      </c>
      <c r="O74" s="20" t="s">
        <v>76</v>
      </c>
      <c r="P74" s="26" t="s">
        <v>76</v>
      </c>
    </row>
    <row r="75" spans="1:16">
      <c r="A75" s="9" t="s">
        <v>234</v>
      </c>
      <c r="B75" s="15">
        <v>66.6666666666667</v>
      </c>
      <c r="C75" s="15">
        <v>66.6666666666667</v>
      </c>
      <c r="D75" s="26" t="s">
        <v>76</v>
      </c>
      <c r="E75" s="15">
        <v>66.6666666666667</v>
      </c>
      <c r="F75" s="15">
        <v>66.6666666666667</v>
      </c>
      <c r="G75" s="26" t="s">
        <v>76</v>
      </c>
      <c r="H75" s="15">
        <v>67.391304347826093</v>
      </c>
      <c r="I75" s="15">
        <v>67.391304347826093</v>
      </c>
      <c r="J75" s="26" t="s">
        <v>76</v>
      </c>
      <c r="K75" s="20" t="s">
        <v>76</v>
      </c>
      <c r="L75" s="20" t="s">
        <v>76</v>
      </c>
      <c r="M75" s="26" t="s">
        <v>76</v>
      </c>
      <c r="N75" s="20" t="s">
        <v>76</v>
      </c>
      <c r="O75" s="20" t="s">
        <v>76</v>
      </c>
      <c r="P75" s="26" t="s">
        <v>76</v>
      </c>
    </row>
    <row r="76" spans="1:16">
      <c r="A76" s="9" t="s">
        <v>235</v>
      </c>
      <c r="B76" s="15">
        <v>33.3333333333333</v>
      </c>
      <c r="C76" s="15">
        <v>33.3333333333333</v>
      </c>
      <c r="D76" s="26" t="s">
        <v>76</v>
      </c>
      <c r="E76" s="15">
        <v>33.3333333333333</v>
      </c>
      <c r="F76" s="15">
        <v>33.3333333333333</v>
      </c>
      <c r="G76" s="26" t="s">
        <v>76</v>
      </c>
      <c r="H76" s="15">
        <v>34.285714285714299</v>
      </c>
      <c r="I76" s="15">
        <v>34.285714285714299</v>
      </c>
      <c r="J76" s="26" t="s">
        <v>76</v>
      </c>
      <c r="K76" s="20" t="s">
        <v>76</v>
      </c>
      <c r="L76" s="20" t="s">
        <v>76</v>
      </c>
      <c r="M76" s="26" t="s">
        <v>76</v>
      </c>
      <c r="N76" s="20" t="s">
        <v>76</v>
      </c>
      <c r="O76" s="20" t="s">
        <v>76</v>
      </c>
      <c r="P76" s="26" t="s">
        <v>76</v>
      </c>
    </row>
    <row r="77" spans="1:16">
      <c r="A77" s="9" t="s">
        <v>236</v>
      </c>
      <c r="B77" s="15">
        <v>77.7777777777778</v>
      </c>
      <c r="C77" s="15">
        <v>77.7777777777778</v>
      </c>
      <c r="D77" s="26" t="s">
        <v>76</v>
      </c>
      <c r="E77" s="20" t="s">
        <v>76</v>
      </c>
      <c r="F77" s="20" t="s">
        <v>76</v>
      </c>
      <c r="G77" s="26" t="s">
        <v>76</v>
      </c>
      <c r="H77" s="20" t="s">
        <v>76</v>
      </c>
      <c r="I77" s="20" t="s">
        <v>76</v>
      </c>
      <c r="J77" s="26" t="s">
        <v>76</v>
      </c>
      <c r="K77" s="20" t="s">
        <v>76</v>
      </c>
      <c r="L77" s="20" t="s">
        <v>76</v>
      </c>
      <c r="M77" s="26" t="s">
        <v>76</v>
      </c>
      <c r="N77" s="20" t="s">
        <v>76</v>
      </c>
      <c r="O77" s="20" t="s">
        <v>76</v>
      </c>
      <c r="P77" s="26" t="s">
        <v>76</v>
      </c>
    </row>
    <row r="78" spans="1:16">
      <c r="A78" s="9" t="s">
        <v>237</v>
      </c>
      <c r="B78" s="15">
        <v>55.5555555555556</v>
      </c>
      <c r="C78" s="15">
        <v>55.5555555555556</v>
      </c>
      <c r="D78" s="26" t="s">
        <v>76</v>
      </c>
      <c r="E78" s="15">
        <v>46.153846153846203</v>
      </c>
      <c r="F78" s="15">
        <v>46.153846153846203</v>
      </c>
      <c r="G78" s="26" t="s">
        <v>76</v>
      </c>
      <c r="H78" s="15">
        <v>62.162162162162197</v>
      </c>
      <c r="I78" s="15">
        <v>62.162162162162197</v>
      </c>
      <c r="J78" s="26" t="s">
        <v>76</v>
      </c>
      <c r="K78" s="20" t="s">
        <v>76</v>
      </c>
      <c r="L78" s="20" t="s">
        <v>76</v>
      </c>
      <c r="M78" s="26" t="s">
        <v>76</v>
      </c>
      <c r="N78" s="20" t="s">
        <v>76</v>
      </c>
      <c r="O78" s="20" t="s">
        <v>76</v>
      </c>
      <c r="P78" s="26" t="s">
        <v>76</v>
      </c>
    </row>
    <row r="79" spans="1:16">
      <c r="A79" s="9" t="s">
        <v>238</v>
      </c>
      <c r="B79" s="15">
        <v>59.183673469387799</v>
      </c>
      <c r="C79" s="15">
        <v>59.183673469387799</v>
      </c>
      <c r="D79" s="26" t="s">
        <v>76</v>
      </c>
      <c r="E79" s="15">
        <v>55.8441558441558</v>
      </c>
      <c r="F79" s="15">
        <v>55.8441558441558</v>
      </c>
      <c r="G79" s="26" t="s">
        <v>76</v>
      </c>
      <c r="H79" s="15">
        <v>62.686567164179102</v>
      </c>
      <c r="I79" s="15">
        <v>62.686567164179102</v>
      </c>
      <c r="J79" s="26" t="s">
        <v>76</v>
      </c>
      <c r="K79" s="20" t="s">
        <v>76</v>
      </c>
      <c r="L79" s="20" t="s">
        <v>76</v>
      </c>
      <c r="M79" s="26" t="s">
        <v>76</v>
      </c>
      <c r="N79" s="20" t="s">
        <v>76</v>
      </c>
      <c r="O79" s="20" t="s">
        <v>76</v>
      </c>
      <c r="P79" s="26" t="s">
        <v>76</v>
      </c>
    </row>
    <row r="80" spans="1:16" ht="21.95" customHeight="1">
      <c r="A80" s="22" t="s">
        <v>239</v>
      </c>
      <c r="B80" s="15">
        <v>58.066993856445698</v>
      </c>
      <c r="C80" s="20" t="s">
        <v>76</v>
      </c>
      <c r="D80" s="24">
        <v>58.066993856445698</v>
      </c>
      <c r="E80" s="15">
        <v>61.871055974359201</v>
      </c>
      <c r="F80" s="20" t="s">
        <v>76</v>
      </c>
      <c r="G80" s="24">
        <v>61.871055974359201</v>
      </c>
      <c r="H80" s="15">
        <v>55.535664370934199</v>
      </c>
      <c r="I80" s="20" t="s">
        <v>76</v>
      </c>
      <c r="J80" s="24">
        <v>55.535664370934199</v>
      </c>
      <c r="K80" s="20" t="s">
        <v>76</v>
      </c>
      <c r="L80" s="20" t="s">
        <v>76</v>
      </c>
      <c r="M80" s="26" t="s">
        <v>76</v>
      </c>
      <c r="N80" s="20" t="s">
        <v>76</v>
      </c>
      <c r="O80" s="20" t="s">
        <v>76</v>
      </c>
      <c r="P80" s="26" t="s">
        <v>76</v>
      </c>
    </row>
    <row r="81" spans="1:16">
      <c r="A81" s="9" t="s">
        <v>240</v>
      </c>
      <c r="B81" s="15">
        <v>54.313099041533498</v>
      </c>
      <c r="C81" s="20" t="s">
        <v>76</v>
      </c>
      <c r="D81" s="24">
        <v>54.313099041533498</v>
      </c>
      <c r="E81" s="15">
        <v>57.396449704142</v>
      </c>
      <c r="F81" s="20" t="s">
        <v>76</v>
      </c>
      <c r="G81" s="24">
        <v>57.396449704142</v>
      </c>
      <c r="H81" s="15">
        <v>51.1111111111111</v>
      </c>
      <c r="I81" s="20" t="s">
        <v>76</v>
      </c>
      <c r="J81" s="24">
        <v>51.1111111111111</v>
      </c>
      <c r="K81" s="20" t="s">
        <v>76</v>
      </c>
      <c r="L81" s="20" t="s">
        <v>76</v>
      </c>
      <c r="M81" s="26" t="s">
        <v>76</v>
      </c>
      <c r="N81" s="20" t="s">
        <v>76</v>
      </c>
      <c r="O81" s="20" t="s">
        <v>76</v>
      </c>
      <c r="P81" s="26" t="s">
        <v>76</v>
      </c>
    </row>
    <row r="82" spans="1:16">
      <c r="A82" s="9" t="s">
        <v>241</v>
      </c>
      <c r="B82" s="15">
        <v>43.396226415094297</v>
      </c>
      <c r="C82" s="20" t="s">
        <v>76</v>
      </c>
      <c r="D82" s="24">
        <v>43.396226415094297</v>
      </c>
      <c r="E82" s="15">
        <v>52.229299363057301</v>
      </c>
      <c r="F82" s="20" t="s">
        <v>76</v>
      </c>
      <c r="G82" s="24">
        <v>52.229299363057301</v>
      </c>
      <c r="H82" s="15">
        <v>34.838709677419402</v>
      </c>
      <c r="I82" s="20" t="s">
        <v>76</v>
      </c>
      <c r="J82" s="24">
        <v>34.838709677419402</v>
      </c>
      <c r="K82" s="20" t="s">
        <v>76</v>
      </c>
      <c r="L82" s="20" t="s">
        <v>76</v>
      </c>
      <c r="M82" s="26" t="s">
        <v>76</v>
      </c>
      <c r="N82" s="20" t="s">
        <v>76</v>
      </c>
      <c r="O82" s="20" t="s">
        <v>76</v>
      </c>
      <c r="P82" s="26" t="s">
        <v>76</v>
      </c>
    </row>
    <row r="83" spans="1:16">
      <c r="A83" s="9" t="s">
        <v>242</v>
      </c>
      <c r="B83" s="15">
        <v>60.645161290322598</v>
      </c>
      <c r="C83" s="20" t="s">
        <v>76</v>
      </c>
      <c r="D83" s="24">
        <v>60.645161290322598</v>
      </c>
      <c r="E83" s="15">
        <v>64.835164835164804</v>
      </c>
      <c r="F83" s="20" t="s">
        <v>76</v>
      </c>
      <c r="G83" s="24">
        <v>64.835164835164804</v>
      </c>
      <c r="H83" s="15">
        <v>53.968253968253997</v>
      </c>
      <c r="I83" s="20" t="s">
        <v>76</v>
      </c>
      <c r="J83" s="24">
        <v>53.968253968253997</v>
      </c>
      <c r="K83" s="20" t="s">
        <v>76</v>
      </c>
      <c r="L83" s="20" t="s">
        <v>76</v>
      </c>
      <c r="M83" s="26" t="s">
        <v>76</v>
      </c>
      <c r="N83" s="20" t="s">
        <v>76</v>
      </c>
      <c r="O83" s="20" t="s">
        <v>76</v>
      </c>
      <c r="P83" s="26" t="s">
        <v>76</v>
      </c>
    </row>
    <row r="84" spans="1:16">
      <c r="A84" s="9" t="s">
        <v>243</v>
      </c>
      <c r="B84" s="20" t="s">
        <v>76</v>
      </c>
      <c r="C84" s="20" t="s">
        <v>76</v>
      </c>
      <c r="D84" s="26" t="s">
        <v>76</v>
      </c>
      <c r="E84" s="20" t="s">
        <v>76</v>
      </c>
      <c r="F84" s="20" t="s">
        <v>76</v>
      </c>
      <c r="G84" s="26" t="s">
        <v>76</v>
      </c>
      <c r="H84" s="20" t="s">
        <v>76</v>
      </c>
      <c r="I84" s="20" t="s">
        <v>76</v>
      </c>
      <c r="J84" s="26" t="s">
        <v>76</v>
      </c>
      <c r="K84" s="20" t="s">
        <v>76</v>
      </c>
      <c r="L84" s="20" t="s">
        <v>76</v>
      </c>
      <c r="M84" s="26" t="s">
        <v>76</v>
      </c>
      <c r="N84" s="20" t="s">
        <v>76</v>
      </c>
      <c r="O84" s="20" t="s">
        <v>76</v>
      </c>
      <c r="P84" s="26" t="s">
        <v>76</v>
      </c>
    </row>
    <row r="85" spans="1:16">
      <c r="A85" s="9" t="s">
        <v>244</v>
      </c>
      <c r="B85" s="15">
        <v>52.694610778443099</v>
      </c>
      <c r="C85" s="20" t="s">
        <v>76</v>
      </c>
      <c r="D85" s="24">
        <v>52.694610778443099</v>
      </c>
      <c r="E85" s="15">
        <v>57.668711656441701</v>
      </c>
      <c r="F85" s="20" t="s">
        <v>76</v>
      </c>
      <c r="G85" s="24">
        <v>57.668711656441701</v>
      </c>
      <c r="H85" s="15">
        <v>51.612903225806399</v>
      </c>
      <c r="I85" s="20" t="s">
        <v>76</v>
      </c>
      <c r="J85" s="24">
        <v>51.612903225806399</v>
      </c>
      <c r="K85" s="20" t="s">
        <v>76</v>
      </c>
      <c r="L85" s="20" t="s">
        <v>76</v>
      </c>
      <c r="M85" s="26" t="s">
        <v>76</v>
      </c>
      <c r="N85" s="20" t="s">
        <v>76</v>
      </c>
      <c r="O85" s="20" t="s">
        <v>76</v>
      </c>
      <c r="P85" s="26" t="s">
        <v>76</v>
      </c>
    </row>
    <row r="86" spans="1:16">
      <c r="A86" s="9" t="s">
        <v>245</v>
      </c>
      <c r="B86" s="15">
        <v>57.541899441340803</v>
      </c>
      <c r="C86" s="20" t="s">
        <v>76</v>
      </c>
      <c r="D86" s="24">
        <v>57.541899441340803</v>
      </c>
      <c r="E86" s="15">
        <v>58.75</v>
      </c>
      <c r="F86" s="20" t="s">
        <v>76</v>
      </c>
      <c r="G86" s="24">
        <v>58.75</v>
      </c>
      <c r="H86" s="15">
        <v>59.7701149425287</v>
      </c>
      <c r="I86" s="20" t="s">
        <v>76</v>
      </c>
      <c r="J86" s="24">
        <v>59.7701149425287</v>
      </c>
      <c r="K86" s="20" t="s">
        <v>76</v>
      </c>
      <c r="L86" s="20" t="s">
        <v>76</v>
      </c>
      <c r="M86" s="26" t="s">
        <v>76</v>
      </c>
      <c r="N86" s="20" t="s">
        <v>76</v>
      </c>
      <c r="O86" s="20" t="s">
        <v>76</v>
      </c>
      <c r="P86" s="26" t="s">
        <v>76</v>
      </c>
    </row>
    <row r="87" spans="1:16">
      <c r="A87" s="9" t="s">
        <v>246</v>
      </c>
      <c r="B87" s="15">
        <v>60.110294117647101</v>
      </c>
      <c r="C87" s="20" t="s">
        <v>76</v>
      </c>
      <c r="D87" s="24">
        <v>60.110294117647101</v>
      </c>
      <c r="E87" s="15">
        <v>59.285714285714299</v>
      </c>
      <c r="F87" s="20" t="s">
        <v>76</v>
      </c>
      <c r="G87" s="24">
        <v>59.285714285714299</v>
      </c>
      <c r="H87" s="15">
        <v>63.346613545816702</v>
      </c>
      <c r="I87" s="20" t="s">
        <v>76</v>
      </c>
      <c r="J87" s="24">
        <v>63.346613545816702</v>
      </c>
      <c r="K87" s="20" t="s">
        <v>76</v>
      </c>
      <c r="L87" s="20" t="s">
        <v>76</v>
      </c>
      <c r="M87" s="26" t="s">
        <v>76</v>
      </c>
      <c r="N87" s="20" t="s">
        <v>76</v>
      </c>
      <c r="O87" s="20" t="s">
        <v>76</v>
      </c>
      <c r="P87" s="26" t="s">
        <v>76</v>
      </c>
    </row>
    <row r="88" spans="1:16">
      <c r="A88" s="9" t="s">
        <v>247</v>
      </c>
      <c r="B88" s="15">
        <v>52.977412731006197</v>
      </c>
      <c r="C88" s="20" t="s">
        <v>76</v>
      </c>
      <c r="D88" s="24">
        <v>52.977412731006197</v>
      </c>
      <c r="E88" s="15">
        <v>56.653992395437299</v>
      </c>
      <c r="F88" s="20" t="s">
        <v>76</v>
      </c>
      <c r="G88" s="24">
        <v>56.653992395437299</v>
      </c>
      <c r="H88" s="15">
        <v>50.243902439024403</v>
      </c>
      <c r="I88" s="20" t="s">
        <v>76</v>
      </c>
      <c r="J88" s="24">
        <v>50.243902439024403</v>
      </c>
      <c r="K88" s="20" t="s">
        <v>76</v>
      </c>
      <c r="L88" s="20" t="s">
        <v>76</v>
      </c>
      <c r="M88" s="26" t="s">
        <v>76</v>
      </c>
      <c r="N88" s="20" t="s">
        <v>76</v>
      </c>
      <c r="O88" s="20" t="s">
        <v>76</v>
      </c>
      <c r="P88" s="26" t="s">
        <v>76</v>
      </c>
    </row>
    <row r="89" spans="1:16">
      <c r="A89" s="9" t="s">
        <v>248</v>
      </c>
      <c r="B89" s="15">
        <v>47.843137254901997</v>
      </c>
      <c r="C89" s="20" t="s">
        <v>76</v>
      </c>
      <c r="D89" s="24">
        <v>47.843137254901997</v>
      </c>
      <c r="E89" s="15">
        <v>49.586776859504099</v>
      </c>
      <c r="F89" s="20" t="s">
        <v>76</v>
      </c>
      <c r="G89" s="24">
        <v>49.586776859504099</v>
      </c>
      <c r="H89" s="15">
        <v>49.579831932773097</v>
      </c>
      <c r="I89" s="20" t="s">
        <v>76</v>
      </c>
      <c r="J89" s="24">
        <v>49.579831932773097</v>
      </c>
      <c r="K89" s="20" t="s">
        <v>76</v>
      </c>
      <c r="L89" s="20" t="s">
        <v>76</v>
      </c>
      <c r="M89" s="26" t="s">
        <v>76</v>
      </c>
      <c r="N89" s="20" t="s">
        <v>76</v>
      </c>
      <c r="O89" s="20" t="s">
        <v>76</v>
      </c>
      <c r="P89" s="26" t="s">
        <v>76</v>
      </c>
    </row>
    <row r="90" spans="1:16">
      <c r="A90" s="9" t="s">
        <v>249</v>
      </c>
      <c r="B90" s="15">
        <v>66.367713004484301</v>
      </c>
      <c r="C90" s="20" t="s">
        <v>76</v>
      </c>
      <c r="D90" s="24">
        <v>66.367713004484301</v>
      </c>
      <c r="E90" s="15">
        <v>72.641509433962298</v>
      </c>
      <c r="F90" s="20" t="s">
        <v>76</v>
      </c>
      <c r="G90" s="24">
        <v>72.641509433962298</v>
      </c>
      <c r="H90" s="15">
        <v>62.162162162162197</v>
      </c>
      <c r="I90" s="20" t="s">
        <v>76</v>
      </c>
      <c r="J90" s="24">
        <v>62.162162162162197</v>
      </c>
      <c r="K90" s="20" t="s">
        <v>76</v>
      </c>
      <c r="L90" s="20" t="s">
        <v>76</v>
      </c>
      <c r="M90" s="26" t="s">
        <v>76</v>
      </c>
      <c r="N90" s="20" t="s">
        <v>76</v>
      </c>
      <c r="O90" s="20" t="s">
        <v>76</v>
      </c>
      <c r="P90" s="26" t="s">
        <v>76</v>
      </c>
    </row>
    <row r="91" spans="1:16">
      <c r="A91" s="9" t="s">
        <v>250</v>
      </c>
      <c r="B91" s="15">
        <v>67.878787878787904</v>
      </c>
      <c r="C91" s="20" t="s">
        <v>76</v>
      </c>
      <c r="D91" s="24">
        <v>67.878787878787904</v>
      </c>
      <c r="E91" s="15">
        <v>71.986970684039093</v>
      </c>
      <c r="F91" s="20" t="s">
        <v>76</v>
      </c>
      <c r="G91" s="24">
        <v>71.986970684039093</v>
      </c>
      <c r="H91" s="15">
        <v>65.299684542586704</v>
      </c>
      <c r="I91" s="20" t="s">
        <v>76</v>
      </c>
      <c r="J91" s="24">
        <v>65.299684542586704</v>
      </c>
      <c r="K91" s="15">
        <v>72.2222222222222</v>
      </c>
      <c r="L91" s="20" t="s">
        <v>76</v>
      </c>
      <c r="M91" s="24">
        <v>72.2222222222222</v>
      </c>
      <c r="N91" s="15">
        <v>38.8888888888889</v>
      </c>
      <c r="O91" s="20" t="s">
        <v>76</v>
      </c>
      <c r="P91" s="24">
        <v>38.8888888888889</v>
      </c>
    </row>
    <row r="92" spans="1:16">
      <c r="A92" s="11" t="s">
        <v>251</v>
      </c>
      <c r="B92" s="16">
        <v>67.023554603854393</v>
      </c>
      <c r="C92" s="28" t="s">
        <v>76</v>
      </c>
      <c r="D92" s="25">
        <v>67.023554603854393</v>
      </c>
      <c r="E92" s="16">
        <v>65.822784810126606</v>
      </c>
      <c r="F92" s="28" t="s">
        <v>76</v>
      </c>
      <c r="G92" s="25">
        <v>65.822784810126606</v>
      </c>
      <c r="H92" s="16">
        <v>68.161434977578494</v>
      </c>
      <c r="I92" s="28" t="s">
        <v>76</v>
      </c>
      <c r="J92" s="25">
        <v>68.161434977578494</v>
      </c>
      <c r="K92" s="28" t="s">
        <v>76</v>
      </c>
      <c r="L92" s="28" t="s">
        <v>76</v>
      </c>
      <c r="M92" s="29" t="s">
        <v>76</v>
      </c>
      <c r="N92" s="28" t="s">
        <v>76</v>
      </c>
      <c r="O92" s="28" t="s">
        <v>76</v>
      </c>
      <c r="P92" s="29" t="s">
        <v>76</v>
      </c>
    </row>
    <row r="93" spans="1:16" ht="30" customHeight="1">
      <c r="A93" t="s">
        <v>252</v>
      </c>
    </row>
    <row r="94" spans="1:16">
      <c r="A94" t="s">
        <v>143</v>
      </c>
    </row>
    <row r="95" spans="1:16">
      <c r="A95" t="s">
        <v>144</v>
      </c>
    </row>
    <row r="96" spans="1:16">
      <c r="A96" t="s">
        <v>145</v>
      </c>
    </row>
    <row r="97" spans="1:1">
      <c r="A97" t="s">
        <v>146</v>
      </c>
    </row>
    <row r="98" spans="1:1">
      <c r="A98" t="s">
        <v>147</v>
      </c>
    </row>
    <row r="99" spans="1:1">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99"/>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256</v>
      </c>
      <c r="B1" s="12"/>
      <c r="C1" s="12"/>
      <c r="D1" s="12"/>
      <c r="E1" s="12"/>
      <c r="F1" s="12"/>
      <c r="G1" s="12"/>
      <c r="H1" s="12"/>
      <c r="I1" s="12"/>
      <c r="J1" s="12"/>
      <c r="K1" s="12"/>
      <c r="L1" s="12"/>
      <c r="M1" s="12"/>
      <c r="N1" s="12"/>
      <c r="O1" s="12"/>
      <c r="P1" s="12"/>
    </row>
    <row r="2" spans="1:16" ht="60">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97.158281712586799</v>
      </c>
      <c r="C3" s="15">
        <v>98.145931468014396</v>
      </c>
      <c r="D3" s="24">
        <v>96.342088286541298</v>
      </c>
      <c r="E3" s="15">
        <v>97.462224342863607</v>
      </c>
      <c r="F3" s="15">
        <v>98.297997676545904</v>
      </c>
      <c r="G3" s="24">
        <v>96.761147019620793</v>
      </c>
      <c r="H3" s="15">
        <v>96.942823315686994</v>
      </c>
      <c r="I3" s="15">
        <v>97.991250504636398</v>
      </c>
      <c r="J3" s="24">
        <v>96.061560767749398</v>
      </c>
      <c r="K3" s="15">
        <v>96.805723840536004</v>
      </c>
      <c r="L3" s="15">
        <v>98.8287646086481</v>
      </c>
      <c r="M3" s="24">
        <v>96.295618152323698</v>
      </c>
      <c r="N3" s="15">
        <v>94.996182240277093</v>
      </c>
      <c r="O3" s="15">
        <v>97.827578136239097</v>
      </c>
      <c r="P3" s="24">
        <v>92.948433926022204</v>
      </c>
    </row>
    <row r="4" spans="1:16" ht="21.95" customHeight="1">
      <c r="A4" s="22" t="s">
        <v>69</v>
      </c>
      <c r="B4" s="15">
        <v>97.321836746232194</v>
      </c>
      <c r="C4" s="15">
        <v>98.110146543153107</v>
      </c>
      <c r="D4" s="24">
        <v>96.675269213559801</v>
      </c>
      <c r="E4" s="15">
        <v>97.5884227206421</v>
      </c>
      <c r="F4" s="15">
        <v>98.297875187283793</v>
      </c>
      <c r="G4" s="24">
        <v>96.995425751564298</v>
      </c>
      <c r="H4" s="15">
        <v>97.171795948092495</v>
      </c>
      <c r="I4" s="15">
        <v>97.9534863629722</v>
      </c>
      <c r="J4" s="24">
        <v>96.529221137366207</v>
      </c>
      <c r="K4" s="15">
        <v>96.430971612630898</v>
      </c>
      <c r="L4" s="15">
        <v>99.101364680404203</v>
      </c>
      <c r="M4" s="24">
        <v>95.609110421991502</v>
      </c>
      <c r="N4" s="15">
        <v>94.708799657604899</v>
      </c>
      <c r="O4" s="15">
        <v>96.778139614293295</v>
      </c>
      <c r="P4" s="24">
        <v>93.087988210287605</v>
      </c>
    </row>
    <row r="5" spans="1:16" ht="21.95" customHeight="1">
      <c r="A5" s="22" t="s">
        <v>70</v>
      </c>
      <c r="B5" s="15">
        <v>97.151646125554507</v>
      </c>
      <c r="C5" s="15">
        <v>97.967853934662003</v>
      </c>
      <c r="D5" s="24">
        <v>96.492500641445204</v>
      </c>
      <c r="E5" s="15">
        <v>96.902807800424199</v>
      </c>
      <c r="F5" s="15">
        <v>97.891119652010303</v>
      </c>
      <c r="G5" s="24">
        <v>96.098936255500107</v>
      </c>
      <c r="H5" s="15">
        <v>97.596769901550203</v>
      </c>
      <c r="I5" s="15">
        <v>98.015165262220805</v>
      </c>
      <c r="J5" s="24">
        <v>97.251500323455602</v>
      </c>
      <c r="K5" s="15">
        <v>92.673750516681807</v>
      </c>
      <c r="L5" s="20" t="s">
        <v>76</v>
      </c>
      <c r="M5" s="24">
        <v>91.075837702791006</v>
      </c>
      <c r="N5" s="15">
        <v>94.803361548676094</v>
      </c>
      <c r="O5" s="15">
        <v>98.426250593342303</v>
      </c>
      <c r="P5" s="24">
        <v>92.315061341354195</v>
      </c>
    </row>
    <row r="6" spans="1:16" ht="21.95" customHeight="1">
      <c r="A6" s="22" t="s">
        <v>165</v>
      </c>
      <c r="B6" s="15">
        <v>97.967853934662003</v>
      </c>
      <c r="C6" s="15">
        <v>97.967853934662003</v>
      </c>
      <c r="D6" s="26" t="s">
        <v>76</v>
      </c>
      <c r="E6" s="15">
        <v>97.891119652010303</v>
      </c>
      <c r="F6" s="15">
        <v>97.891119652010303</v>
      </c>
      <c r="G6" s="26" t="s">
        <v>76</v>
      </c>
      <c r="H6" s="15">
        <v>98.015165262220805</v>
      </c>
      <c r="I6" s="15">
        <v>98.015165262220805</v>
      </c>
      <c r="J6" s="26" t="s">
        <v>76</v>
      </c>
      <c r="K6" s="20" t="s">
        <v>76</v>
      </c>
      <c r="L6" s="20" t="s">
        <v>76</v>
      </c>
      <c r="M6" s="26" t="s">
        <v>76</v>
      </c>
      <c r="N6" s="15">
        <v>98.426250593342303</v>
      </c>
      <c r="O6" s="15">
        <v>98.426250593342303</v>
      </c>
      <c r="P6" s="26" t="s">
        <v>76</v>
      </c>
    </row>
    <row r="7" spans="1:16">
      <c r="A7" s="9" t="s">
        <v>166</v>
      </c>
      <c r="B7" s="15">
        <v>100</v>
      </c>
      <c r="C7" s="15">
        <v>100</v>
      </c>
      <c r="D7" s="26" t="s">
        <v>76</v>
      </c>
      <c r="E7" s="15">
        <v>100</v>
      </c>
      <c r="F7" s="15">
        <v>100</v>
      </c>
      <c r="G7" s="26" t="s">
        <v>76</v>
      </c>
      <c r="H7" s="15">
        <v>100</v>
      </c>
      <c r="I7" s="15">
        <v>100</v>
      </c>
      <c r="J7" s="26" t="s">
        <v>76</v>
      </c>
      <c r="K7" s="20" t="s">
        <v>76</v>
      </c>
      <c r="L7" s="20" t="s">
        <v>76</v>
      </c>
      <c r="M7" s="26" t="s">
        <v>76</v>
      </c>
      <c r="N7" s="20" t="s">
        <v>76</v>
      </c>
      <c r="O7" s="20" t="s">
        <v>76</v>
      </c>
      <c r="P7" s="26" t="s">
        <v>76</v>
      </c>
    </row>
    <row r="8" spans="1:16">
      <c r="A8" s="9" t="s">
        <v>167</v>
      </c>
      <c r="B8" s="15">
        <v>100</v>
      </c>
      <c r="C8" s="15">
        <v>100</v>
      </c>
      <c r="D8" s="26" t="s">
        <v>76</v>
      </c>
      <c r="E8" s="15">
        <v>100</v>
      </c>
      <c r="F8" s="15">
        <v>100</v>
      </c>
      <c r="G8" s="26" t="s">
        <v>76</v>
      </c>
      <c r="H8" s="15">
        <v>100</v>
      </c>
      <c r="I8" s="15">
        <v>100</v>
      </c>
      <c r="J8" s="26" t="s">
        <v>76</v>
      </c>
      <c r="K8" s="20" t="s">
        <v>76</v>
      </c>
      <c r="L8" s="20" t="s">
        <v>76</v>
      </c>
      <c r="M8" s="26" t="s">
        <v>76</v>
      </c>
      <c r="N8" s="20" t="s">
        <v>76</v>
      </c>
      <c r="O8" s="20" t="s">
        <v>76</v>
      </c>
      <c r="P8" s="26" t="s">
        <v>76</v>
      </c>
    </row>
    <row r="9" spans="1:16">
      <c r="A9" s="9" t="s">
        <v>168</v>
      </c>
      <c r="B9" s="15">
        <v>100</v>
      </c>
      <c r="C9" s="15">
        <v>100</v>
      </c>
      <c r="D9" s="26" t="s">
        <v>76</v>
      </c>
      <c r="E9" s="15">
        <v>100</v>
      </c>
      <c r="F9" s="15">
        <v>100</v>
      </c>
      <c r="G9" s="26" t="s">
        <v>76</v>
      </c>
      <c r="H9" s="15">
        <v>100</v>
      </c>
      <c r="I9" s="15">
        <v>100</v>
      </c>
      <c r="J9" s="26" t="s">
        <v>76</v>
      </c>
      <c r="K9" s="20" t="s">
        <v>76</v>
      </c>
      <c r="L9" s="20" t="s">
        <v>76</v>
      </c>
      <c r="M9" s="26" t="s">
        <v>76</v>
      </c>
      <c r="N9" s="20" t="s">
        <v>76</v>
      </c>
      <c r="O9" s="20" t="s">
        <v>76</v>
      </c>
      <c r="P9" s="26" t="s">
        <v>76</v>
      </c>
    </row>
    <row r="10" spans="1:16">
      <c r="A10" s="9" t="s">
        <v>169</v>
      </c>
      <c r="B10" s="15">
        <v>100</v>
      </c>
      <c r="C10" s="15">
        <v>100</v>
      </c>
      <c r="D10" s="26" t="s">
        <v>76</v>
      </c>
      <c r="E10" s="15">
        <v>100</v>
      </c>
      <c r="F10" s="15">
        <v>100</v>
      </c>
      <c r="G10" s="26" t="s">
        <v>76</v>
      </c>
      <c r="H10" s="15">
        <v>100</v>
      </c>
      <c r="I10" s="15">
        <v>100</v>
      </c>
      <c r="J10" s="26" t="s">
        <v>76</v>
      </c>
      <c r="K10" s="20" t="s">
        <v>76</v>
      </c>
      <c r="L10" s="20" t="s">
        <v>76</v>
      </c>
      <c r="M10" s="26" t="s">
        <v>76</v>
      </c>
      <c r="N10" s="20" t="s">
        <v>76</v>
      </c>
      <c r="O10" s="20" t="s">
        <v>76</v>
      </c>
      <c r="P10" s="26" t="s">
        <v>76</v>
      </c>
    </row>
    <row r="11" spans="1:16">
      <c r="A11" s="9" t="s">
        <v>170</v>
      </c>
      <c r="B11" s="15">
        <v>98.6111111111111</v>
      </c>
      <c r="C11" s="15">
        <v>98.6111111111111</v>
      </c>
      <c r="D11" s="26" t="s">
        <v>76</v>
      </c>
      <c r="E11" s="15">
        <v>98.765432098765402</v>
      </c>
      <c r="F11" s="15">
        <v>98.765432098765402</v>
      </c>
      <c r="G11" s="26" t="s">
        <v>76</v>
      </c>
      <c r="H11" s="15">
        <v>98.412698412698404</v>
      </c>
      <c r="I11" s="15">
        <v>98.412698412698404</v>
      </c>
      <c r="J11" s="26" t="s">
        <v>76</v>
      </c>
      <c r="K11" s="20" t="s">
        <v>76</v>
      </c>
      <c r="L11" s="20" t="s">
        <v>76</v>
      </c>
      <c r="M11" s="26" t="s">
        <v>76</v>
      </c>
      <c r="N11" s="20" t="s">
        <v>76</v>
      </c>
      <c r="O11" s="20" t="s">
        <v>76</v>
      </c>
      <c r="P11" s="26" t="s">
        <v>76</v>
      </c>
    </row>
    <row r="12" spans="1:16">
      <c r="A12" s="9" t="s">
        <v>171</v>
      </c>
      <c r="B12" s="15">
        <v>100</v>
      </c>
      <c r="C12" s="15">
        <v>100</v>
      </c>
      <c r="D12" s="26" t="s">
        <v>76</v>
      </c>
      <c r="E12" s="15">
        <v>100</v>
      </c>
      <c r="F12" s="15">
        <v>100</v>
      </c>
      <c r="G12" s="26" t="s">
        <v>76</v>
      </c>
      <c r="H12" s="15">
        <v>100</v>
      </c>
      <c r="I12" s="15">
        <v>100</v>
      </c>
      <c r="J12" s="26" t="s">
        <v>76</v>
      </c>
      <c r="K12" s="20" t="s">
        <v>76</v>
      </c>
      <c r="L12" s="20" t="s">
        <v>76</v>
      </c>
      <c r="M12" s="26" t="s">
        <v>76</v>
      </c>
      <c r="N12" s="20" t="s">
        <v>76</v>
      </c>
      <c r="O12" s="20" t="s">
        <v>76</v>
      </c>
      <c r="P12" s="26" t="s">
        <v>76</v>
      </c>
    </row>
    <row r="13" spans="1:16">
      <c r="A13" s="9" t="s">
        <v>172</v>
      </c>
      <c r="B13" s="15">
        <v>100</v>
      </c>
      <c r="C13" s="15">
        <v>100</v>
      </c>
      <c r="D13" s="26" t="s">
        <v>76</v>
      </c>
      <c r="E13" s="15">
        <v>100</v>
      </c>
      <c r="F13" s="15">
        <v>100</v>
      </c>
      <c r="G13" s="26" t="s">
        <v>76</v>
      </c>
      <c r="H13" s="15">
        <v>100</v>
      </c>
      <c r="I13" s="15">
        <v>100</v>
      </c>
      <c r="J13" s="26" t="s">
        <v>76</v>
      </c>
      <c r="K13" s="20" t="s">
        <v>76</v>
      </c>
      <c r="L13" s="20" t="s">
        <v>76</v>
      </c>
      <c r="M13" s="26" t="s">
        <v>76</v>
      </c>
      <c r="N13" s="20" t="s">
        <v>76</v>
      </c>
      <c r="O13" s="20" t="s">
        <v>76</v>
      </c>
      <c r="P13" s="26" t="s">
        <v>76</v>
      </c>
    </row>
    <row r="14" spans="1:16">
      <c r="A14" s="9" t="s">
        <v>173</v>
      </c>
      <c r="B14" s="15">
        <v>98.684210526315795</v>
      </c>
      <c r="C14" s="15">
        <v>98.684210526315795</v>
      </c>
      <c r="D14" s="26" t="s">
        <v>76</v>
      </c>
      <c r="E14" s="15">
        <v>97.297297297297305</v>
      </c>
      <c r="F14" s="15">
        <v>97.297297297297305</v>
      </c>
      <c r="G14" s="26" t="s">
        <v>76</v>
      </c>
      <c r="H14" s="15">
        <v>100</v>
      </c>
      <c r="I14" s="15">
        <v>100</v>
      </c>
      <c r="J14" s="26" t="s">
        <v>76</v>
      </c>
      <c r="K14" s="20" t="s">
        <v>76</v>
      </c>
      <c r="L14" s="20" t="s">
        <v>76</v>
      </c>
      <c r="M14" s="26" t="s">
        <v>76</v>
      </c>
      <c r="N14" s="20" t="s">
        <v>76</v>
      </c>
      <c r="O14" s="20" t="s">
        <v>76</v>
      </c>
      <c r="P14" s="26" t="s">
        <v>76</v>
      </c>
    </row>
    <row r="15" spans="1:16">
      <c r="A15" s="9" t="s">
        <v>174</v>
      </c>
      <c r="B15" s="15">
        <v>95.294117647058798</v>
      </c>
      <c r="C15" s="15">
        <v>95.294117647058798</v>
      </c>
      <c r="D15" s="26" t="s">
        <v>76</v>
      </c>
      <c r="E15" s="15">
        <v>97.560975609756099</v>
      </c>
      <c r="F15" s="15">
        <v>97.560975609756099</v>
      </c>
      <c r="G15" s="26" t="s">
        <v>76</v>
      </c>
      <c r="H15" s="15">
        <v>93.181818181818201</v>
      </c>
      <c r="I15" s="15">
        <v>93.181818181818201</v>
      </c>
      <c r="J15" s="26" t="s">
        <v>76</v>
      </c>
      <c r="K15" s="20" t="s">
        <v>76</v>
      </c>
      <c r="L15" s="20" t="s">
        <v>76</v>
      </c>
      <c r="M15" s="26" t="s">
        <v>76</v>
      </c>
      <c r="N15" s="20" t="s">
        <v>76</v>
      </c>
      <c r="O15" s="20" t="s">
        <v>76</v>
      </c>
      <c r="P15" s="26" t="s">
        <v>76</v>
      </c>
    </row>
    <row r="16" spans="1:16">
      <c r="A16" s="9" t="s">
        <v>175</v>
      </c>
      <c r="B16" s="15">
        <v>100</v>
      </c>
      <c r="C16" s="15">
        <v>100</v>
      </c>
      <c r="D16" s="26" t="s">
        <v>76</v>
      </c>
      <c r="E16" s="15">
        <v>100</v>
      </c>
      <c r="F16" s="15">
        <v>100</v>
      </c>
      <c r="G16" s="26" t="s">
        <v>76</v>
      </c>
      <c r="H16" s="15">
        <v>100</v>
      </c>
      <c r="I16" s="15">
        <v>100</v>
      </c>
      <c r="J16" s="26" t="s">
        <v>76</v>
      </c>
      <c r="K16" s="20" t="s">
        <v>76</v>
      </c>
      <c r="L16" s="20" t="s">
        <v>76</v>
      </c>
      <c r="M16" s="26" t="s">
        <v>76</v>
      </c>
      <c r="N16" s="20" t="s">
        <v>76</v>
      </c>
      <c r="O16" s="20" t="s">
        <v>76</v>
      </c>
      <c r="P16" s="26" t="s">
        <v>76</v>
      </c>
    </row>
    <row r="17" spans="1:16">
      <c r="A17" s="9" t="s">
        <v>176</v>
      </c>
      <c r="B17" s="15">
        <v>97.183098591549296</v>
      </c>
      <c r="C17" s="15">
        <v>97.183098591549296</v>
      </c>
      <c r="D17" s="26" t="s">
        <v>76</v>
      </c>
      <c r="E17" s="15">
        <v>100</v>
      </c>
      <c r="F17" s="15">
        <v>100</v>
      </c>
      <c r="G17" s="26" t="s">
        <v>76</v>
      </c>
      <c r="H17" s="15">
        <v>93.75</v>
      </c>
      <c r="I17" s="15">
        <v>93.75</v>
      </c>
      <c r="J17" s="26" t="s">
        <v>76</v>
      </c>
      <c r="K17" s="20" t="s">
        <v>76</v>
      </c>
      <c r="L17" s="20" t="s">
        <v>76</v>
      </c>
      <c r="M17" s="26" t="s">
        <v>76</v>
      </c>
      <c r="N17" s="20" t="s">
        <v>76</v>
      </c>
      <c r="O17" s="20" t="s">
        <v>76</v>
      </c>
      <c r="P17" s="26" t="s">
        <v>76</v>
      </c>
    </row>
    <row r="18" spans="1:16">
      <c r="A18" s="9" t="s">
        <v>177</v>
      </c>
      <c r="B18" s="15">
        <v>100</v>
      </c>
      <c r="C18" s="15">
        <v>100</v>
      </c>
      <c r="D18" s="26" t="s">
        <v>76</v>
      </c>
      <c r="E18" s="15">
        <v>100</v>
      </c>
      <c r="F18" s="15">
        <v>100</v>
      </c>
      <c r="G18" s="26" t="s">
        <v>76</v>
      </c>
      <c r="H18" s="15">
        <v>100</v>
      </c>
      <c r="I18" s="15">
        <v>100</v>
      </c>
      <c r="J18" s="26" t="s">
        <v>76</v>
      </c>
      <c r="K18" s="20" t="s">
        <v>76</v>
      </c>
      <c r="L18" s="20" t="s">
        <v>76</v>
      </c>
      <c r="M18" s="26" t="s">
        <v>76</v>
      </c>
      <c r="N18" s="20" t="s">
        <v>76</v>
      </c>
      <c r="O18" s="20" t="s">
        <v>76</v>
      </c>
      <c r="P18" s="26" t="s">
        <v>76</v>
      </c>
    </row>
    <row r="19" spans="1:16">
      <c r="A19" s="9" t="s">
        <v>178</v>
      </c>
      <c r="B19" s="15">
        <v>92.307692307692307</v>
      </c>
      <c r="C19" s="15">
        <v>92.307692307692307</v>
      </c>
      <c r="D19" s="26" t="s">
        <v>76</v>
      </c>
      <c r="E19" s="15">
        <v>100</v>
      </c>
      <c r="F19" s="15">
        <v>100</v>
      </c>
      <c r="G19" s="26" t="s">
        <v>76</v>
      </c>
      <c r="H19" s="15">
        <v>87.5</v>
      </c>
      <c r="I19" s="15">
        <v>87.5</v>
      </c>
      <c r="J19" s="26" t="s">
        <v>76</v>
      </c>
      <c r="K19" s="20" t="s">
        <v>76</v>
      </c>
      <c r="L19" s="20" t="s">
        <v>76</v>
      </c>
      <c r="M19" s="26" t="s">
        <v>76</v>
      </c>
      <c r="N19" s="20" t="s">
        <v>76</v>
      </c>
      <c r="O19" s="20" t="s">
        <v>76</v>
      </c>
      <c r="P19" s="26" t="s">
        <v>76</v>
      </c>
    </row>
    <row r="20" spans="1:16">
      <c r="A20" s="9" t="s">
        <v>179</v>
      </c>
      <c r="B20" s="15">
        <v>100</v>
      </c>
      <c r="C20" s="15">
        <v>100</v>
      </c>
      <c r="D20" s="26" t="s">
        <v>76</v>
      </c>
      <c r="E20" s="15">
        <v>100</v>
      </c>
      <c r="F20" s="15">
        <v>100</v>
      </c>
      <c r="G20" s="26" t="s">
        <v>76</v>
      </c>
      <c r="H20" s="15">
        <v>100</v>
      </c>
      <c r="I20" s="15">
        <v>100</v>
      </c>
      <c r="J20" s="26" t="s">
        <v>76</v>
      </c>
      <c r="K20" s="20" t="s">
        <v>76</v>
      </c>
      <c r="L20" s="20" t="s">
        <v>76</v>
      </c>
      <c r="M20" s="26" t="s">
        <v>76</v>
      </c>
      <c r="N20" s="20" t="s">
        <v>76</v>
      </c>
      <c r="O20" s="20" t="s">
        <v>76</v>
      </c>
      <c r="P20" s="26" t="s">
        <v>76</v>
      </c>
    </row>
    <row r="21" spans="1:16">
      <c r="A21" s="9" t="s">
        <v>180</v>
      </c>
      <c r="B21" s="15">
        <v>100</v>
      </c>
      <c r="C21" s="15">
        <v>100</v>
      </c>
      <c r="D21" s="26" t="s">
        <v>76</v>
      </c>
      <c r="E21" s="15">
        <v>100</v>
      </c>
      <c r="F21" s="15">
        <v>100</v>
      </c>
      <c r="G21" s="26" t="s">
        <v>76</v>
      </c>
      <c r="H21" s="15">
        <v>100</v>
      </c>
      <c r="I21" s="15">
        <v>100</v>
      </c>
      <c r="J21" s="26" t="s">
        <v>76</v>
      </c>
      <c r="K21" s="20" t="s">
        <v>76</v>
      </c>
      <c r="L21" s="20" t="s">
        <v>76</v>
      </c>
      <c r="M21" s="26" t="s">
        <v>76</v>
      </c>
      <c r="N21" s="20" t="s">
        <v>76</v>
      </c>
      <c r="O21" s="20" t="s">
        <v>76</v>
      </c>
      <c r="P21" s="26" t="s">
        <v>76</v>
      </c>
    </row>
    <row r="22" spans="1:16">
      <c r="A22" s="9" t="s">
        <v>181</v>
      </c>
      <c r="B22" s="15">
        <v>90.476190476190496</v>
      </c>
      <c r="C22" s="15">
        <v>90.476190476190496</v>
      </c>
      <c r="D22" s="26" t="s">
        <v>76</v>
      </c>
      <c r="E22" s="15">
        <v>90</v>
      </c>
      <c r="F22" s="15">
        <v>90</v>
      </c>
      <c r="G22" s="26" t="s">
        <v>76</v>
      </c>
      <c r="H22" s="15">
        <v>90.909090909090907</v>
      </c>
      <c r="I22" s="15">
        <v>90.909090909090907</v>
      </c>
      <c r="J22" s="26" t="s">
        <v>76</v>
      </c>
      <c r="K22" s="20" t="s">
        <v>76</v>
      </c>
      <c r="L22" s="20" t="s">
        <v>76</v>
      </c>
      <c r="M22" s="26" t="s">
        <v>76</v>
      </c>
      <c r="N22" s="20" t="s">
        <v>76</v>
      </c>
      <c r="O22" s="20" t="s">
        <v>76</v>
      </c>
      <c r="P22" s="26" t="s">
        <v>76</v>
      </c>
    </row>
    <row r="23" spans="1:16">
      <c r="A23" s="9" t="s">
        <v>182</v>
      </c>
      <c r="B23" s="15">
        <v>100</v>
      </c>
      <c r="C23" s="15">
        <v>100</v>
      </c>
      <c r="D23" s="26" t="s">
        <v>76</v>
      </c>
      <c r="E23" s="15">
        <v>100</v>
      </c>
      <c r="F23" s="15">
        <v>100</v>
      </c>
      <c r="G23" s="26" t="s">
        <v>76</v>
      </c>
      <c r="H23" s="15">
        <v>100</v>
      </c>
      <c r="I23" s="15">
        <v>100</v>
      </c>
      <c r="J23" s="26" t="s">
        <v>76</v>
      </c>
      <c r="K23" s="20" t="s">
        <v>76</v>
      </c>
      <c r="L23" s="20" t="s">
        <v>76</v>
      </c>
      <c r="M23" s="26" t="s">
        <v>76</v>
      </c>
      <c r="N23" s="20" t="s">
        <v>76</v>
      </c>
      <c r="O23" s="20" t="s">
        <v>76</v>
      </c>
      <c r="P23" s="26" t="s">
        <v>76</v>
      </c>
    </row>
    <row r="24" spans="1:16">
      <c r="A24" s="9" t="s">
        <v>183</v>
      </c>
      <c r="B24" s="15">
        <v>98.305084745762699</v>
      </c>
      <c r="C24" s="15">
        <v>98.305084745762699</v>
      </c>
      <c r="D24" s="26" t="s">
        <v>76</v>
      </c>
      <c r="E24" s="15">
        <v>96.774193548387103</v>
      </c>
      <c r="F24" s="15">
        <v>96.774193548387103</v>
      </c>
      <c r="G24" s="26" t="s">
        <v>76</v>
      </c>
      <c r="H24" s="15">
        <v>100</v>
      </c>
      <c r="I24" s="15">
        <v>100</v>
      </c>
      <c r="J24" s="26" t="s">
        <v>76</v>
      </c>
      <c r="K24" s="20" t="s">
        <v>76</v>
      </c>
      <c r="L24" s="20" t="s">
        <v>76</v>
      </c>
      <c r="M24" s="26" t="s">
        <v>76</v>
      </c>
      <c r="N24" s="20" t="s">
        <v>76</v>
      </c>
      <c r="O24" s="20" t="s">
        <v>76</v>
      </c>
      <c r="P24" s="26" t="s">
        <v>76</v>
      </c>
    </row>
    <row r="25" spans="1:16">
      <c r="A25" s="9" t="s">
        <v>184</v>
      </c>
      <c r="B25" s="15">
        <v>92.307692307692307</v>
      </c>
      <c r="C25" s="15">
        <v>92.307692307692307</v>
      </c>
      <c r="D25" s="26" t="s">
        <v>76</v>
      </c>
      <c r="E25" s="15">
        <v>83.3333333333333</v>
      </c>
      <c r="F25" s="15">
        <v>83.3333333333333</v>
      </c>
      <c r="G25" s="26" t="s">
        <v>76</v>
      </c>
      <c r="H25" s="15">
        <v>100</v>
      </c>
      <c r="I25" s="15">
        <v>100</v>
      </c>
      <c r="J25" s="26" t="s">
        <v>76</v>
      </c>
      <c r="K25" s="20" t="s">
        <v>76</v>
      </c>
      <c r="L25" s="20" t="s">
        <v>76</v>
      </c>
      <c r="M25" s="26" t="s">
        <v>76</v>
      </c>
      <c r="N25" s="20" t="s">
        <v>76</v>
      </c>
      <c r="O25" s="20" t="s">
        <v>76</v>
      </c>
      <c r="P25" s="26" t="s">
        <v>76</v>
      </c>
    </row>
    <row r="26" spans="1:16">
      <c r="A26" s="9" t="s">
        <v>185</v>
      </c>
      <c r="B26" s="15">
        <v>100</v>
      </c>
      <c r="C26" s="15">
        <v>100</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c r="A27" s="9" t="s">
        <v>186</v>
      </c>
      <c r="B27" s="15">
        <v>100</v>
      </c>
      <c r="C27" s="15">
        <v>100</v>
      </c>
      <c r="D27" s="26" t="s">
        <v>76</v>
      </c>
      <c r="E27" s="15">
        <v>100</v>
      </c>
      <c r="F27" s="15">
        <v>100</v>
      </c>
      <c r="G27" s="26" t="s">
        <v>76</v>
      </c>
      <c r="H27" s="15">
        <v>100</v>
      </c>
      <c r="I27" s="15">
        <v>100</v>
      </c>
      <c r="J27" s="26" t="s">
        <v>76</v>
      </c>
      <c r="K27" s="20" t="s">
        <v>76</v>
      </c>
      <c r="L27" s="20" t="s">
        <v>76</v>
      </c>
      <c r="M27" s="26" t="s">
        <v>76</v>
      </c>
      <c r="N27" s="20" t="s">
        <v>76</v>
      </c>
      <c r="O27" s="20" t="s">
        <v>76</v>
      </c>
      <c r="P27" s="26" t="s">
        <v>76</v>
      </c>
    </row>
    <row r="28" spans="1:16">
      <c r="A28" s="9" t="s">
        <v>187</v>
      </c>
      <c r="B28" s="15">
        <v>99.082568807339399</v>
      </c>
      <c r="C28" s="15">
        <v>99.082568807339399</v>
      </c>
      <c r="D28" s="26" t="s">
        <v>76</v>
      </c>
      <c r="E28" s="15">
        <v>98.148148148148096</v>
      </c>
      <c r="F28" s="15">
        <v>98.148148148148096</v>
      </c>
      <c r="G28" s="26" t="s">
        <v>76</v>
      </c>
      <c r="H28" s="15">
        <v>100</v>
      </c>
      <c r="I28" s="15">
        <v>100</v>
      </c>
      <c r="J28" s="26" t="s">
        <v>76</v>
      </c>
      <c r="K28" s="20" t="s">
        <v>76</v>
      </c>
      <c r="L28" s="20" t="s">
        <v>76</v>
      </c>
      <c r="M28" s="26" t="s">
        <v>76</v>
      </c>
      <c r="N28" s="20" t="s">
        <v>76</v>
      </c>
      <c r="O28" s="20" t="s">
        <v>76</v>
      </c>
      <c r="P28" s="26" t="s">
        <v>76</v>
      </c>
    </row>
    <row r="29" spans="1:16">
      <c r="A29" s="9" t="s">
        <v>188</v>
      </c>
      <c r="B29" s="15">
        <v>98.529411764705898</v>
      </c>
      <c r="C29" s="15">
        <v>98.529411764705898</v>
      </c>
      <c r="D29" s="26" t="s">
        <v>76</v>
      </c>
      <c r="E29" s="15">
        <v>96.774193548387103</v>
      </c>
      <c r="F29" s="15">
        <v>96.774193548387103</v>
      </c>
      <c r="G29" s="26" t="s">
        <v>76</v>
      </c>
      <c r="H29" s="15">
        <v>100</v>
      </c>
      <c r="I29" s="15">
        <v>100</v>
      </c>
      <c r="J29" s="26" t="s">
        <v>76</v>
      </c>
      <c r="K29" s="20" t="s">
        <v>76</v>
      </c>
      <c r="L29" s="20" t="s">
        <v>76</v>
      </c>
      <c r="M29" s="26" t="s">
        <v>76</v>
      </c>
      <c r="N29" s="20" t="s">
        <v>76</v>
      </c>
      <c r="O29" s="20" t="s">
        <v>76</v>
      </c>
      <c r="P29" s="26" t="s">
        <v>76</v>
      </c>
    </row>
    <row r="30" spans="1:16">
      <c r="A30" s="9" t="s">
        <v>189</v>
      </c>
      <c r="B30" s="15">
        <v>97.727272727272705</v>
      </c>
      <c r="C30" s="15">
        <v>97.727272727272705</v>
      </c>
      <c r="D30" s="26" t="s">
        <v>76</v>
      </c>
      <c r="E30" s="15">
        <v>96.6666666666667</v>
      </c>
      <c r="F30" s="15">
        <v>96.6666666666667</v>
      </c>
      <c r="G30" s="26" t="s">
        <v>76</v>
      </c>
      <c r="H30" s="15">
        <v>98.571428571428598</v>
      </c>
      <c r="I30" s="15">
        <v>98.571428571428598</v>
      </c>
      <c r="J30" s="26" t="s">
        <v>76</v>
      </c>
      <c r="K30" s="20" t="s">
        <v>76</v>
      </c>
      <c r="L30" s="20" t="s">
        <v>76</v>
      </c>
      <c r="M30" s="26" t="s">
        <v>76</v>
      </c>
      <c r="N30" s="20" t="s">
        <v>76</v>
      </c>
      <c r="O30" s="20" t="s">
        <v>76</v>
      </c>
      <c r="P30" s="26" t="s">
        <v>76</v>
      </c>
    </row>
    <row r="31" spans="1:16">
      <c r="A31" s="9" t="s">
        <v>190</v>
      </c>
      <c r="B31" s="15">
        <v>100</v>
      </c>
      <c r="C31" s="15">
        <v>100</v>
      </c>
      <c r="D31" s="26" t="s">
        <v>76</v>
      </c>
      <c r="E31" s="15">
        <v>100</v>
      </c>
      <c r="F31" s="15">
        <v>100</v>
      </c>
      <c r="G31" s="26" t="s">
        <v>76</v>
      </c>
      <c r="H31" s="15">
        <v>100</v>
      </c>
      <c r="I31" s="15">
        <v>100</v>
      </c>
      <c r="J31" s="26" t="s">
        <v>76</v>
      </c>
      <c r="K31" s="20" t="s">
        <v>76</v>
      </c>
      <c r="L31" s="20" t="s">
        <v>76</v>
      </c>
      <c r="M31" s="26" t="s">
        <v>76</v>
      </c>
      <c r="N31" s="20" t="s">
        <v>76</v>
      </c>
      <c r="O31" s="20" t="s">
        <v>76</v>
      </c>
      <c r="P31" s="26" t="s">
        <v>76</v>
      </c>
    </row>
    <row r="32" spans="1:16">
      <c r="A32" s="9" t="s">
        <v>191</v>
      </c>
      <c r="B32" s="15">
        <v>100</v>
      </c>
      <c r="C32" s="15">
        <v>100</v>
      </c>
      <c r="D32" s="26" t="s">
        <v>76</v>
      </c>
      <c r="E32" s="15">
        <v>100</v>
      </c>
      <c r="F32" s="15">
        <v>100</v>
      </c>
      <c r="G32" s="26" t="s">
        <v>76</v>
      </c>
      <c r="H32" s="15">
        <v>100</v>
      </c>
      <c r="I32" s="15">
        <v>100</v>
      </c>
      <c r="J32" s="26" t="s">
        <v>76</v>
      </c>
      <c r="K32" s="20" t="s">
        <v>76</v>
      </c>
      <c r="L32" s="20" t="s">
        <v>76</v>
      </c>
      <c r="M32" s="26" t="s">
        <v>76</v>
      </c>
      <c r="N32" s="20" t="s">
        <v>76</v>
      </c>
      <c r="O32" s="20" t="s">
        <v>76</v>
      </c>
      <c r="P32" s="26" t="s">
        <v>76</v>
      </c>
    </row>
    <row r="33" spans="1:16">
      <c r="A33" s="9" t="s">
        <v>192</v>
      </c>
      <c r="B33" s="15">
        <v>100</v>
      </c>
      <c r="C33" s="15">
        <v>100</v>
      </c>
      <c r="D33" s="26" t="s">
        <v>76</v>
      </c>
      <c r="E33" s="20" t="s">
        <v>76</v>
      </c>
      <c r="F33" s="20" t="s">
        <v>76</v>
      </c>
      <c r="G33" s="26" t="s">
        <v>76</v>
      </c>
      <c r="H33" s="15">
        <v>100</v>
      </c>
      <c r="I33" s="15">
        <v>100</v>
      </c>
      <c r="J33" s="26" t="s">
        <v>76</v>
      </c>
      <c r="K33" s="20" t="s">
        <v>76</v>
      </c>
      <c r="L33" s="20" t="s">
        <v>76</v>
      </c>
      <c r="M33" s="26" t="s">
        <v>76</v>
      </c>
      <c r="N33" s="20" t="s">
        <v>76</v>
      </c>
      <c r="O33" s="20" t="s">
        <v>76</v>
      </c>
      <c r="P33" s="26" t="s">
        <v>76</v>
      </c>
    </row>
    <row r="34" spans="1:16">
      <c r="A34" s="9" t="s">
        <v>193</v>
      </c>
      <c r="B34" s="15">
        <v>97.142857142857096</v>
      </c>
      <c r="C34" s="15">
        <v>97.142857142857096</v>
      </c>
      <c r="D34" s="26" t="s">
        <v>76</v>
      </c>
      <c r="E34" s="15">
        <v>98.148148148148096</v>
      </c>
      <c r="F34" s="15">
        <v>98.148148148148096</v>
      </c>
      <c r="G34" s="26" t="s">
        <v>76</v>
      </c>
      <c r="H34" s="15">
        <v>96</v>
      </c>
      <c r="I34" s="15">
        <v>96</v>
      </c>
      <c r="J34" s="26" t="s">
        <v>76</v>
      </c>
      <c r="K34" s="20" t="s">
        <v>76</v>
      </c>
      <c r="L34" s="20" t="s">
        <v>76</v>
      </c>
      <c r="M34" s="26" t="s">
        <v>76</v>
      </c>
      <c r="N34" s="20" t="s">
        <v>76</v>
      </c>
      <c r="O34" s="20" t="s">
        <v>76</v>
      </c>
      <c r="P34" s="26" t="s">
        <v>76</v>
      </c>
    </row>
    <row r="35" spans="1:16">
      <c r="A35" s="9" t="s">
        <v>194</v>
      </c>
      <c r="B35" s="15">
        <v>96.428571428571402</v>
      </c>
      <c r="C35" s="15">
        <v>96.428571428571402</v>
      </c>
      <c r="D35" s="26" t="s">
        <v>76</v>
      </c>
      <c r="E35" s="15">
        <v>96</v>
      </c>
      <c r="F35" s="15">
        <v>96</v>
      </c>
      <c r="G35" s="26" t="s">
        <v>76</v>
      </c>
      <c r="H35" s="15">
        <v>96.6666666666667</v>
      </c>
      <c r="I35" s="15">
        <v>96.6666666666667</v>
      </c>
      <c r="J35" s="26" t="s">
        <v>76</v>
      </c>
      <c r="K35" s="20" t="s">
        <v>76</v>
      </c>
      <c r="L35" s="20" t="s">
        <v>76</v>
      </c>
      <c r="M35" s="26" t="s">
        <v>76</v>
      </c>
      <c r="N35" s="20" t="s">
        <v>76</v>
      </c>
      <c r="O35" s="20" t="s">
        <v>76</v>
      </c>
      <c r="P35" s="26" t="s">
        <v>76</v>
      </c>
    </row>
    <row r="36" spans="1:16">
      <c r="A36" s="9" t="s">
        <v>195</v>
      </c>
      <c r="B36" s="15">
        <v>100</v>
      </c>
      <c r="C36" s="15">
        <v>100</v>
      </c>
      <c r="D36" s="26" t="s">
        <v>76</v>
      </c>
      <c r="E36" s="15">
        <v>100</v>
      </c>
      <c r="F36" s="15">
        <v>100</v>
      </c>
      <c r="G36" s="26" t="s">
        <v>76</v>
      </c>
      <c r="H36" s="20" t="s">
        <v>76</v>
      </c>
      <c r="I36" s="20" t="s">
        <v>76</v>
      </c>
      <c r="J36" s="26" t="s">
        <v>76</v>
      </c>
      <c r="K36" s="20" t="s">
        <v>76</v>
      </c>
      <c r="L36" s="20" t="s">
        <v>76</v>
      </c>
      <c r="M36" s="26" t="s">
        <v>76</v>
      </c>
      <c r="N36" s="20" t="s">
        <v>76</v>
      </c>
      <c r="O36" s="20" t="s">
        <v>76</v>
      </c>
      <c r="P36" s="26" t="s">
        <v>76</v>
      </c>
    </row>
    <row r="37" spans="1:16">
      <c r="A37" s="9" t="s">
        <v>196</v>
      </c>
      <c r="B37" s="15">
        <v>89.189189189189193</v>
      </c>
      <c r="C37" s="15">
        <v>89.189189189189193</v>
      </c>
      <c r="D37" s="26" t="s">
        <v>76</v>
      </c>
      <c r="E37" s="15">
        <v>91.071428571428598</v>
      </c>
      <c r="F37" s="15">
        <v>91.071428571428598</v>
      </c>
      <c r="G37" s="26" t="s">
        <v>76</v>
      </c>
      <c r="H37" s="15">
        <v>87.037037037036995</v>
      </c>
      <c r="I37" s="15">
        <v>87.037037037036995</v>
      </c>
      <c r="J37" s="26" t="s">
        <v>76</v>
      </c>
      <c r="K37" s="20" t="s">
        <v>76</v>
      </c>
      <c r="L37" s="20" t="s">
        <v>76</v>
      </c>
      <c r="M37" s="26" t="s">
        <v>76</v>
      </c>
      <c r="N37" s="20" t="s">
        <v>76</v>
      </c>
      <c r="O37" s="20" t="s">
        <v>76</v>
      </c>
      <c r="P37" s="26" t="s">
        <v>76</v>
      </c>
    </row>
    <row r="38" spans="1:16">
      <c r="A38" s="9" t="s">
        <v>197</v>
      </c>
      <c r="B38" s="15">
        <v>100</v>
      </c>
      <c r="C38" s="15">
        <v>100</v>
      </c>
      <c r="D38" s="26" t="s">
        <v>76</v>
      </c>
      <c r="E38" s="15">
        <v>100</v>
      </c>
      <c r="F38" s="15">
        <v>100</v>
      </c>
      <c r="G38" s="26" t="s">
        <v>76</v>
      </c>
      <c r="H38" s="15">
        <v>100</v>
      </c>
      <c r="I38" s="15">
        <v>100</v>
      </c>
      <c r="J38" s="26" t="s">
        <v>76</v>
      </c>
      <c r="K38" s="20" t="s">
        <v>76</v>
      </c>
      <c r="L38" s="20" t="s">
        <v>76</v>
      </c>
      <c r="M38" s="26" t="s">
        <v>76</v>
      </c>
      <c r="N38" s="20" t="s">
        <v>76</v>
      </c>
      <c r="O38" s="20" t="s">
        <v>76</v>
      </c>
      <c r="P38" s="26" t="s">
        <v>76</v>
      </c>
    </row>
    <row r="39" spans="1:16">
      <c r="A39" s="9" t="s">
        <v>198</v>
      </c>
      <c r="B39" s="15">
        <v>97.7777777777778</v>
      </c>
      <c r="C39" s="15">
        <v>97.7777777777778</v>
      </c>
      <c r="D39" s="26" t="s">
        <v>76</v>
      </c>
      <c r="E39" s="15">
        <v>100</v>
      </c>
      <c r="F39" s="15">
        <v>100</v>
      </c>
      <c r="G39" s="26" t="s">
        <v>76</v>
      </c>
      <c r="H39" s="15">
        <v>95.652173913043498</v>
      </c>
      <c r="I39" s="15">
        <v>95.652173913043498</v>
      </c>
      <c r="J39" s="26" t="s">
        <v>76</v>
      </c>
      <c r="K39" s="20" t="s">
        <v>76</v>
      </c>
      <c r="L39" s="20" t="s">
        <v>76</v>
      </c>
      <c r="M39" s="26" t="s">
        <v>76</v>
      </c>
      <c r="N39" s="15">
        <v>100</v>
      </c>
      <c r="O39" s="15">
        <v>100</v>
      </c>
      <c r="P39" s="26" t="s">
        <v>76</v>
      </c>
    </row>
    <row r="40" spans="1:16">
      <c r="A40" s="9" t="s">
        <v>199</v>
      </c>
      <c r="B40" s="15">
        <v>93.75</v>
      </c>
      <c r="C40" s="15">
        <v>93.75</v>
      </c>
      <c r="D40" s="26" t="s">
        <v>76</v>
      </c>
      <c r="E40" s="15">
        <v>93.939393939393895</v>
      </c>
      <c r="F40" s="15">
        <v>93.939393939393895</v>
      </c>
      <c r="G40" s="26" t="s">
        <v>76</v>
      </c>
      <c r="H40" s="15">
        <v>93.548387096774206</v>
      </c>
      <c r="I40" s="15">
        <v>93.548387096774206</v>
      </c>
      <c r="J40" s="26" t="s">
        <v>76</v>
      </c>
      <c r="K40" s="20" t="s">
        <v>76</v>
      </c>
      <c r="L40" s="20" t="s">
        <v>76</v>
      </c>
      <c r="M40" s="26" t="s">
        <v>76</v>
      </c>
      <c r="N40" s="20" t="s">
        <v>76</v>
      </c>
      <c r="O40" s="20" t="s">
        <v>76</v>
      </c>
      <c r="P40" s="26" t="s">
        <v>76</v>
      </c>
    </row>
    <row r="41" spans="1:16">
      <c r="A41" s="9" t="s">
        <v>200</v>
      </c>
      <c r="B41" s="15">
        <v>87.5</v>
      </c>
      <c r="C41" s="15">
        <v>87.5</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c r="A42" s="9" t="s">
        <v>201</v>
      </c>
      <c r="B42" s="15">
        <v>100</v>
      </c>
      <c r="C42" s="15">
        <v>100</v>
      </c>
      <c r="D42" s="26" t="s">
        <v>76</v>
      </c>
      <c r="E42" s="15">
        <v>100</v>
      </c>
      <c r="F42" s="15">
        <v>100</v>
      </c>
      <c r="G42" s="26" t="s">
        <v>76</v>
      </c>
      <c r="H42" s="15">
        <v>100</v>
      </c>
      <c r="I42" s="15">
        <v>100</v>
      </c>
      <c r="J42" s="26" t="s">
        <v>76</v>
      </c>
      <c r="K42" s="20" t="s">
        <v>76</v>
      </c>
      <c r="L42" s="20" t="s">
        <v>76</v>
      </c>
      <c r="M42" s="26" t="s">
        <v>76</v>
      </c>
      <c r="N42" s="20" t="s">
        <v>76</v>
      </c>
      <c r="O42" s="20" t="s">
        <v>76</v>
      </c>
      <c r="P42" s="26" t="s">
        <v>76</v>
      </c>
    </row>
    <row r="43" spans="1:16">
      <c r="A43" s="9" t="s">
        <v>202</v>
      </c>
      <c r="B43" s="15">
        <v>100</v>
      </c>
      <c r="C43" s="15">
        <v>100</v>
      </c>
      <c r="D43" s="26" t="s">
        <v>76</v>
      </c>
      <c r="E43" s="15">
        <v>100</v>
      </c>
      <c r="F43" s="15">
        <v>100</v>
      </c>
      <c r="G43" s="26" t="s">
        <v>76</v>
      </c>
      <c r="H43" s="15">
        <v>100</v>
      </c>
      <c r="I43" s="15">
        <v>100</v>
      </c>
      <c r="J43" s="26" t="s">
        <v>76</v>
      </c>
      <c r="K43" s="20" t="s">
        <v>76</v>
      </c>
      <c r="L43" s="20" t="s">
        <v>76</v>
      </c>
      <c r="M43" s="26" t="s">
        <v>76</v>
      </c>
      <c r="N43" s="20" t="s">
        <v>76</v>
      </c>
      <c r="O43" s="20" t="s">
        <v>76</v>
      </c>
      <c r="P43" s="26" t="s">
        <v>76</v>
      </c>
    </row>
    <row r="44" spans="1:16">
      <c r="A44" s="9" t="s">
        <v>203</v>
      </c>
      <c r="B44" s="15">
        <v>100</v>
      </c>
      <c r="C44" s="15">
        <v>100</v>
      </c>
      <c r="D44" s="26" t="s">
        <v>76</v>
      </c>
      <c r="E44" s="15">
        <v>100</v>
      </c>
      <c r="F44" s="15">
        <v>100</v>
      </c>
      <c r="G44" s="26" t="s">
        <v>76</v>
      </c>
      <c r="H44" s="15">
        <v>100</v>
      </c>
      <c r="I44" s="15">
        <v>100</v>
      </c>
      <c r="J44" s="26" t="s">
        <v>76</v>
      </c>
      <c r="K44" s="20" t="s">
        <v>76</v>
      </c>
      <c r="L44" s="20" t="s">
        <v>76</v>
      </c>
      <c r="M44" s="26" t="s">
        <v>76</v>
      </c>
      <c r="N44" s="20" t="s">
        <v>76</v>
      </c>
      <c r="O44" s="20" t="s">
        <v>76</v>
      </c>
      <c r="P44" s="26" t="s">
        <v>76</v>
      </c>
    </row>
    <row r="45" spans="1:16">
      <c r="A45" s="9" t="s">
        <v>204</v>
      </c>
      <c r="B45" s="15">
        <v>100</v>
      </c>
      <c r="C45" s="15">
        <v>100</v>
      </c>
      <c r="D45" s="26" t="s">
        <v>76</v>
      </c>
      <c r="E45" s="15">
        <v>100</v>
      </c>
      <c r="F45" s="15">
        <v>100</v>
      </c>
      <c r="G45" s="26" t="s">
        <v>76</v>
      </c>
      <c r="H45" s="15">
        <v>100</v>
      </c>
      <c r="I45" s="15">
        <v>100</v>
      </c>
      <c r="J45" s="26" t="s">
        <v>76</v>
      </c>
      <c r="K45" s="20" t="s">
        <v>76</v>
      </c>
      <c r="L45" s="20" t="s">
        <v>76</v>
      </c>
      <c r="M45" s="26" t="s">
        <v>76</v>
      </c>
      <c r="N45" s="20" t="s">
        <v>76</v>
      </c>
      <c r="O45" s="20" t="s">
        <v>76</v>
      </c>
      <c r="P45" s="26" t="s">
        <v>76</v>
      </c>
    </row>
    <row r="46" spans="1:16">
      <c r="A46" s="9" t="s">
        <v>205</v>
      </c>
      <c r="B46" s="15">
        <v>81.818181818181799</v>
      </c>
      <c r="C46" s="15">
        <v>81.818181818181799</v>
      </c>
      <c r="D46" s="26" t="s">
        <v>76</v>
      </c>
      <c r="E46" s="15">
        <v>75</v>
      </c>
      <c r="F46" s="15">
        <v>75</v>
      </c>
      <c r="G46" s="26" t="s">
        <v>76</v>
      </c>
      <c r="H46" s="20" t="s">
        <v>76</v>
      </c>
      <c r="I46" s="20" t="s">
        <v>76</v>
      </c>
      <c r="J46" s="26" t="s">
        <v>76</v>
      </c>
      <c r="K46" s="20" t="s">
        <v>76</v>
      </c>
      <c r="L46" s="20" t="s">
        <v>76</v>
      </c>
      <c r="M46" s="26" t="s">
        <v>76</v>
      </c>
      <c r="N46" s="20" t="s">
        <v>76</v>
      </c>
      <c r="O46" s="20" t="s">
        <v>76</v>
      </c>
      <c r="P46" s="26" t="s">
        <v>76</v>
      </c>
    </row>
    <row r="47" spans="1:16">
      <c r="A47" s="9" t="s">
        <v>206</v>
      </c>
      <c r="B47" s="15">
        <v>98.461538461538495</v>
      </c>
      <c r="C47" s="15">
        <v>98.461538461538495</v>
      </c>
      <c r="D47" s="26" t="s">
        <v>76</v>
      </c>
      <c r="E47" s="15">
        <v>97.058823529411796</v>
      </c>
      <c r="F47" s="15">
        <v>97.058823529411796</v>
      </c>
      <c r="G47" s="26" t="s">
        <v>76</v>
      </c>
      <c r="H47" s="15">
        <v>100</v>
      </c>
      <c r="I47" s="15">
        <v>100</v>
      </c>
      <c r="J47" s="26" t="s">
        <v>76</v>
      </c>
      <c r="K47" s="20" t="s">
        <v>76</v>
      </c>
      <c r="L47" s="20" t="s">
        <v>76</v>
      </c>
      <c r="M47" s="26" t="s">
        <v>76</v>
      </c>
      <c r="N47" s="20" t="s">
        <v>76</v>
      </c>
      <c r="O47" s="20" t="s">
        <v>76</v>
      </c>
      <c r="P47" s="26" t="s">
        <v>76</v>
      </c>
    </row>
    <row r="48" spans="1:16">
      <c r="A48" s="9" t="s">
        <v>207</v>
      </c>
      <c r="B48" s="15">
        <v>100</v>
      </c>
      <c r="C48" s="15">
        <v>100</v>
      </c>
      <c r="D48" s="26" t="s">
        <v>76</v>
      </c>
      <c r="E48" s="15">
        <v>100</v>
      </c>
      <c r="F48" s="15">
        <v>100</v>
      </c>
      <c r="G48" s="26" t="s">
        <v>76</v>
      </c>
      <c r="H48" s="15">
        <v>100</v>
      </c>
      <c r="I48" s="15">
        <v>100</v>
      </c>
      <c r="J48" s="26" t="s">
        <v>76</v>
      </c>
      <c r="K48" s="20" t="s">
        <v>76</v>
      </c>
      <c r="L48" s="20" t="s">
        <v>76</v>
      </c>
      <c r="M48" s="26" t="s">
        <v>76</v>
      </c>
      <c r="N48" s="20" t="s">
        <v>76</v>
      </c>
      <c r="O48" s="20" t="s">
        <v>76</v>
      </c>
      <c r="P48" s="26" t="s">
        <v>76</v>
      </c>
    </row>
    <row r="49" spans="1:16">
      <c r="A49" s="9" t="s">
        <v>208</v>
      </c>
      <c r="B49" s="15">
        <v>84.931506849315099</v>
      </c>
      <c r="C49" s="15">
        <v>84.931506849315099</v>
      </c>
      <c r="D49" s="26" t="s">
        <v>76</v>
      </c>
      <c r="E49" s="15">
        <v>77.142857142857196</v>
      </c>
      <c r="F49" s="15">
        <v>77.142857142857196</v>
      </c>
      <c r="G49" s="26" t="s">
        <v>76</v>
      </c>
      <c r="H49" s="15">
        <v>92.105263157894697</v>
      </c>
      <c r="I49" s="15">
        <v>92.105263157894697</v>
      </c>
      <c r="J49" s="26" t="s">
        <v>76</v>
      </c>
      <c r="K49" s="20" t="s">
        <v>76</v>
      </c>
      <c r="L49" s="20" t="s">
        <v>76</v>
      </c>
      <c r="M49" s="26" t="s">
        <v>76</v>
      </c>
      <c r="N49" s="20" t="s">
        <v>76</v>
      </c>
      <c r="O49" s="20" t="s">
        <v>76</v>
      </c>
      <c r="P49" s="26" t="s">
        <v>76</v>
      </c>
    </row>
    <row r="50" spans="1:16">
      <c r="A50" s="9" t="s">
        <v>209</v>
      </c>
      <c r="B50" s="15">
        <v>100</v>
      </c>
      <c r="C50" s="15">
        <v>100</v>
      </c>
      <c r="D50" s="26" t="s">
        <v>76</v>
      </c>
      <c r="E50" s="15">
        <v>100</v>
      </c>
      <c r="F50" s="15">
        <v>100</v>
      </c>
      <c r="G50" s="26" t="s">
        <v>76</v>
      </c>
      <c r="H50" s="15">
        <v>100</v>
      </c>
      <c r="I50" s="15">
        <v>100</v>
      </c>
      <c r="J50" s="26" t="s">
        <v>76</v>
      </c>
      <c r="K50" s="20" t="s">
        <v>76</v>
      </c>
      <c r="L50" s="20" t="s">
        <v>76</v>
      </c>
      <c r="M50" s="26" t="s">
        <v>76</v>
      </c>
      <c r="N50" s="20" t="s">
        <v>76</v>
      </c>
      <c r="O50" s="20" t="s">
        <v>76</v>
      </c>
      <c r="P50" s="26" t="s">
        <v>76</v>
      </c>
    </row>
    <row r="51" spans="1:16">
      <c r="A51" s="9" t="s">
        <v>210</v>
      </c>
      <c r="B51" s="15">
        <v>100</v>
      </c>
      <c r="C51" s="15">
        <v>100</v>
      </c>
      <c r="D51" s="26" t="s">
        <v>76</v>
      </c>
      <c r="E51" s="15">
        <v>100</v>
      </c>
      <c r="F51" s="15">
        <v>100</v>
      </c>
      <c r="G51" s="26" t="s">
        <v>76</v>
      </c>
      <c r="H51" s="15">
        <v>100</v>
      </c>
      <c r="I51" s="15">
        <v>100</v>
      </c>
      <c r="J51" s="26" t="s">
        <v>76</v>
      </c>
      <c r="K51" s="20" t="s">
        <v>76</v>
      </c>
      <c r="L51" s="20" t="s">
        <v>76</v>
      </c>
      <c r="M51" s="26" t="s">
        <v>76</v>
      </c>
      <c r="N51" s="20" t="s">
        <v>76</v>
      </c>
      <c r="O51" s="20" t="s">
        <v>76</v>
      </c>
      <c r="P51" s="26" t="s">
        <v>76</v>
      </c>
    </row>
    <row r="52" spans="1:16">
      <c r="A52" s="9" t="s">
        <v>211</v>
      </c>
      <c r="B52" s="15">
        <v>97.142857142857196</v>
      </c>
      <c r="C52" s="15">
        <v>97.142857142857196</v>
      </c>
      <c r="D52" s="26" t="s">
        <v>76</v>
      </c>
      <c r="E52" s="15">
        <v>92.857142857142804</v>
      </c>
      <c r="F52" s="15">
        <v>92.857142857142804</v>
      </c>
      <c r="G52" s="26" t="s">
        <v>76</v>
      </c>
      <c r="H52" s="15">
        <v>100</v>
      </c>
      <c r="I52" s="15">
        <v>100</v>
      </c>
      <c r="J52" s="26" t="s">
        <v>76</v>
      </c>
      <c r="K52" s="20" t="s">
        <v>76</v>
      </c>
      <c r="L52" s="20" t="s">
        <v>76</v>
      </c>
      <c r="M52" s="26" t="s">
        <v>76</v>
      </c>
      <c r="N52" s="20" t="s">
        <v>76</v>
      </c>
      <c r="O52" s="20" t="s">
        <v>76</v>
      </c>
      <c r="P52" s="26" t="s">
        <v>76</v>
      </c>
    </row>
    <row r="53" spans="1:16">
      <c r="A53" s="9" t="s">
        <v>212</v>
      </c>
      <c r="B53" s="15">
        <v>100</v>
      </c>
      <c r="C53" s="15">
        <v>100</v>
      </c>
      <c r="D53" s="26" t="s">
        <v>76</v>
      </c>
      <c r="E53" s="15">
        <v>100</v>
      </c>
      <c r="F53" s="15">
        <v>100</v>
      </c>
      <c r="G53" s="26" t="s">
        <v>76</v>
      </c>
      <c r="H53" s="15">
        <v>100</v>
      </c>
      <c r="I53" s="15">
        <v>100</v>
      </c>
      <c r="J53" s="26" t="s">
        <v>76</v>
      </c>
      <c r="K53" s="20" t="s">
        <v>76</v>
      </c>
      <c r="L53" s="20" t="s">
        <v>76</v>
      </c>
      <c r="M53" s="26" t="s">
        <v>76</v>
      </c>
      <c r="N53" s="20" t="s">
        <v>76</v>
      </c>
      <c r="O53" s="20" t="s">
        <v>76</v>
      </c>
      <c r="P53" s="26" t="s">
        <v>76</v>
      </c>
    </row>
    <row r="54" spans="1:16">
      <c r="A54" s="9" t="s">
        <v>213</v>
      </c>
      <c r="B54" s="15">
        <v>98.113207547169793</v>
      </c>
      <c r="C54" s="15">
        <v>98.113207547169793</v>
      </c>
      <c r="D54" s="26" t="s">
        <v>76</v>
      </c>
      <c r="E54" s="15">
        <v>95.8333333333333</v>
      </c>
      <c r="F54" s="15">
        <v>95.8333333333333</v>
      </c>
      <c r="G54" s="26" t="s">
        <v>76</v>
      </c>
      <c r="H54" s="15">
        <v>100</v>
      </c>
      <c r="I54" s="15">
        <v>100</v>
      </c>
      <c r="J54" s="26" t="s">
        <v>76</v>
      </c>
      <c r="K54" s="20" t="s">
        <v>76</v>
      </c>
      <c r="L54" s="20" t="s">
        <v>76</v>
      </c>
      <c r="M54" s="26" t="s">
        <v>76</v>
      </c>
      <c r="N54" s="20" t="s">
        <v>76</v>
      </c>
      <c r="O54" s="20" t="s">
        <v>76</v>
      </c>
      <c r="P54" s="26" t="s">
        <v>76</v>
      </c>
    </row>
    <row r="55" spans="1:16">
      <c r="A55" s="9" t="s">
        <v>214</v>
      </c>
      <c r="B55" s="15">
        <v>100</v>
      </c>
      <c r="C55" s="15">
        <v>100</v>
      </c>
      <c r="D55" s="26" t="s">
        <v>76</v>
      </c>
      <c r="E55" s="15">
        <v>100</v>
      </c>
      <c r="F55" s="15">
        <v>100</v>
      </c>
      <c r="G55" s="26" t="s">
        <v>76</v>
      </c>
      <c r="H55" s="15">
        <v>100</v>
      </c>
      <c r="I55" s="15">
        <v>100</v>
      </c>
      <c r="J55" s="26" t="s">
        <v>76</v>
      </c>
      <c r="K55" s="20" t="s">
        <v>76</v>
      </c>
      <c r="L55" s="20" t="s">
        <v>76</v>
      </c>
      <c r="M55" s="26" t="s">
        <v>76</v>
      </c>
      <c r="N55" s="20" t="s">
        <v>76</v>
      </c>
      <c r="O55" s="20" t="s">
        <v>76</v>
      </c>
      <c r="P55" s="26" t="s">
        <v>76</v>
      </c>
    </row>
    <row r="56" spans="1:16">
      <c r="A56" s="9" t="s">
        <v>215</v>
      </c>
      <c r="B56" s="15">
        <v>100</v>
      </c>
      <c r="C56" s="15">
        <v>100</v>
      </c>
      <c r="D56" s="26" t="s">
        <v>76</v>
      </c>
      <c r="E56" s="15">
        <v>100</v>
      </c>
      <c r="F56" s="15">
        <v>100</v>
      </c>
      <c r="G56" s="26" t="s">
        <v>76</v>
      </c>
      <c r="H56" s="15">
        <v>100</v>
      </c>
      <c r="I56" s="15">
        <v>100</v>
      </c>
      <c r="J56" s="26" t="s">
        <v>76</v>
      </c>
      <c r="K56" s="20" t="s">
        <v>76</v>
      </c>
      <c r="L56" s="20" t="s">
        <v>76</v>
      </c>
      <c r="M56" s="26" t="s">
        <v>76</v>
      </c>
      <c r="N56" s="20" t="s">
        <v>76</v>
      </c>
      <c r="O56" s="20" t="s">
        <v>76</v>
      </c>
      <c r="P56" s="26" t="s">
        <v>76</v>
      </c>
    </row>
    <row r="57" spans="1:16">
      <c r="A57" s="9" t="s">
        <v>216</v>
      </c>
      <c r="B57" s="15">
        <v>98.717948717948701</v>
      </c>
      <c r="C57" s="15">
        <v>98.717948717948701</v>
      </c>
      <c r="D57" s="26" t="s">
        <v>76</v>
      </c>
      <c r="E57" s="15">
        <v>97.368421052631604</v>
      </c>
      <c r="F57" s="15">
        <v>97.368421052631604</v>
      </c>
      <c r="G57" s="26" t="s">
        <v>76</v>
      </c>
      <c r="H57" s="15">
        <v>100</v>
      </c>
      <c r="I57" s="15">
        <v>100</v>
      </c>
      <c r="J57" s="26" t="s">
        <v>76</v>
      </c>
      <c r="K57" s="20" t="s">
        <v>76</v>
      </c>
      <c r="L57" s="20" t="s">
        <v>76</v>
      </c>
      <c r="M57" s="26" t="s">
        <v>76</v>
      </c>
      <c r="N57" s="20" t="s">
        <v>76</v>
      </c>
      <c r="O57" s="20" t="s">
        <v>76</v>
      </c>
      <c r="P57" s="26" t="s">
        <v>76</v>
      </c>
    </row>
    <row r="58" spans="1:16">
      <c r="A58" s="9" t="s">
        <v>217</v>
      </c>
      <c r="B58" s="15">
        <v>100</v>
      </c>
      <c r="C58" s="15">
        <v>100</v>
      </c>
      <c r="D58" s="26" t="s">
        <v>76</v>
      </c>
      <c r="E58" s="15">
        <v>100</v>
      </c>
      <c r="F58" s="15">
        <v>100</v>
      </c>
      <c r="G58" s="26" t="s">
        <v>76</v>
      </c>
      <c r="H58" s="15">
        <v>100</v>
      </c>
      <c r="I58" s="15">
        <v>100</v>
      </c>
      <c r="J58" s="26" t="s">
        <v>76</v>
      </c>
      <c r="K58" s="20" t="s">
        <v>76</v>
      </c>
      <c r="L58" s="20" t="s">
        <v>76</v>
      </c>
      <c r="M58" s="26" t="s">
        <v>76</v>
      </c>
      <c r="N58" s="20" t="s">
        <v>76</v>
      </c>
      <c r="O58" s="20" t="s">
        <v>76</v>
      </c>
      <c r="P58" s="26" t="s">
        <v>76</v>
      </c>
    </row>
    <row r="59" spans="1:16">
      <c r="A59" s="9" t="s">
        <v>218</v>
      </c>
      <c r="B59" s="15">
        <v>92.771084337349393</v>
      </c>
      <c r="C59" s="15">
        <v>92.771084337349393</v>
      </c>
      <c r="D59" s="26" t="s">
        <v>76</v>
      </c>
      <c r="E59" s="15">
        <v>95.5555555555556</v>
      </c>
      <c r="F59" s="15">
        <v>95.5555555555556</v>
      </c>
      <c r="G59" s="26" t="s">
        <v>76</v>
      </c>
      <c r="H59" s="15">
        <v>88.8888888888889</v>
      </c>
      <c r="I59" s="15">
        <v>88.8888888888889</v>
      </c>
      <c r="J59" s="26" t="s">
        <v>76</v>
      </c>
      <c r="K59" s="20" t="s">
        <v>76</v>
      </c>
      <c r="L59" s="20" t="s">
        <v>76</v>
      </c>
      <c r="M59" s="26" t="s">
        <v>76</v>
      </c>
      <c r="N59" s="20" t="s">
        <v>76</v>
      </c>
      <c r="O59" s="20" t="s">
        <v>76</v>
      </c>
      <c r="P59" s="26" t="s">
        <v>76</v>
      </c>
    </row>
    <row r="60" spans="1:16">
      <c r="A60" s="9" t="s">
        <v>219</v>
      </c>
      <c r="B60" s="15">
        <v>98.507462686567195</v>
      </c>
      <c r="C60" s="15">
        <v>98.507462686567195</v>
      </c>
      <c r="D60" s="26" t="s">
        <v>76</v>
      </c>
      <c r="E60" s="15">
        <v>96.875</v>
      </c>
      <c r="F60" s="15">
        <v>96.875</v>
      </c>
      <c r="G60" s="26" t="s">
        <v>76</v>
      </c>
      <c r="H60" s="15">
        <v>100</v>
      </c>
      <c r="I60" s="15">
        <v>100</v>
      </c>
      <c r="J60" s="26" t="s">
        <v>76</v>
      </c>
      <c r="K60" s="20" t="s">
        <v>76</v>
      </c>
      <c r="L60" s="20" t="s">
        <v>76</v>
      </c>
      <c r="M60" s="26" t="s">
        <v>76</v>
      </c>
      <c r="N60" s="20" t="s">
        <v>76</v>
      </c>
      <c r="O60" s="20" t="s">
        <v>76</v>
      </c>
      <c r="P60" s="26" t="s">
        <v>76</v>
      </c>
    </row>
    <row r="61" spans="1:16">
      <c r="A61" s="9" t="s">
        <v>220</v>
      </c>
      <c r="B61" s="15">
        <v>100</v>
      </c>
      <c r="C61" s="15">
        <v>100</v>
      </c>
      <c r="D61" s="26" t="s">
        <v>76</v>
      </c>
      <c r="E61" s="15">
        <v>100</v>
      </c>
      <c r="F61" s="15">
        <v>100</v>
      </c>
      <c r="G61" s="26" t="s">
        <v>76</v>
      </c>
      <c r="H61" s="15">
        <v>100</v>
      </c>
      <c r="I61" s="15">
        <v>100</v>
      </c>
      <c r="J61" s="26" t="s">
        <v>76</v>
      </c>
      <c r="K61" s="20" t="s">
        <v>76</v>
      </c>
      <c r="L61" s="20" t="s">
        <v>76</v>
      </c>
      <c r="M61" s="26" t="s">
        <v>76</v>
      </c>
      <c r="N61" s="20" t="s">
        <v>76</v>
      </c>
      <c r="O61" s="20" t="s">
        <v>76</v>
      </c>
      <c r="P61" s="26" t="s">
        <v>76</v>
      </c>
    </row>
    <row r="62" spans="1:16">
      <c r="A62" s="9" t="s">
        <v>221</v>
      </c>
      <c r="B62" s="15">
        <v>100</v>
      </c>
      <c r="C62" s="15">
        <v>100</v>
      </c>
      <c r="D62" s="26" t="s">
        <v>76</v>
      </c>
      <c r="E62" s="15">
        <v>100</v>
      </c>
      <c r="F62" s="15">
        <v>100</v>
      </c>
      <c r="G62" s="26" t="s">
        <v>76</v>
      </c>
      <c r="H62" s="15">
        <v>100</v>
      </c>
      <c r="I62" s="15">
        <v>100</v>
      </c>
      <c r="J62" s="26" t="s">
        <v>76</v>
      </c>
      <c r="K62" s="20" t="s">
        <v>76</v>
      </c>
      <c r="L62" s="20" t="s">
        <v>76</v>
      </c>
      <c r="M62" s="26" t="s">
        <v>76</v>
      </c>
      <c r="N62" s="20" t="s">
        <v>76</v>
      </c>
      <c r="O62" s="20" t="s">
        <v>76</v>
      </c>
      <c r="P62" s="26" t="s">
        <v>76</v>
      </c>
    </row>
    <row r="63" spans="1:16">
      <c r="A63" s="9" t="s">
        <v>222</v>
      </c>
      <c r="B63" s="15">
        <v>99.107142857142804</v>
      </c>
      <c r="C63" s="15">
        <v>99.107142857142804</v>
      </c>
      <c r="D63" s="26" t="s">
        <v>76</v>
      </c>
      <c r="E63" s="15">
        <v>100</v>
      </c>
      <c r="F63" s="15">
        <v>100</v>
      </c>
      <c r="G63" s="26" t="s">
        <v>76</v>
      </c>
      <c r="H63" s="15">
        <v>98.076923076923094</v>
      </c>
      <c r="I63" s="15">
        <v>98.076923076923094</v>
      </c>
      <c r="J63" s="26" t="s">
        <v>76</v>
      </c>
      <c r="K63" s="20" t="s">
        <v>76</v>
      </c>
      <c r="L63" s="20" t="s">
        <v>76</v>
      </c>
      <c r="M63" s="26" t="s">
        <v>76</v>
      </c>
      <c r="N63" s="20" t="s">
        <v>76</v>
      </c>
      <c r="O63" s="20" t="s">
        <v>76</v>
      </c>
      <c r="P63" s="26" t="s">
        <v>76</v>
      </c>
    </row>
    <row r="64" spans="1:16">
      <c r="A64" s="9" t="s">
        <v>223</v>
      </c>
      <c r="B64" s="15">
        <v>100</v>
      </c>
      <c r="C64" s="15">
        <v>100</v>
      </c>
      <c r="D64" s="26" t="s">
        <v>76</v>
      </c>
      <c r="E64" s="15">
        <v>100</v>
      </c>
      <c r="F64" s="15">
        <v>100</v>
      </c>
      <c r="G64" s="26" t="s">
        <v>76</v>
      </c>
      <c r="H64" s="15">
        <v>100</v>
      </c>
      <c r="I64" s="15">
        <v>100</v>
      </c>
      <c r="J64" s="26" t="s">
        <v>76</v>
      </c>
      <c r="K64" s="20" t="s">
        <v>76</v>
      </c>
      <c r="L64" s="20" t="s">
        <v>76</v>
      </c>
      <c r="M64" s="26" t="s">
        <v>76</v>
      </c>
      <c r="N64" s="20" t="s">
        <v>76</v>
      </c>
      <c r="O64" s="20" t="s">
        <v>76</v>
      </c>
      <c r="P64" s="26" t="s">
        <v>76</v>
      </c>
    </row>
    <row r="65" spans="1:16">
      <c r="A65" s="9" t="s">
        <v>224</v>
      </c>
      <c r="B65" s="15">
        <v>98.4375</v>
      </c>
      <c r="C65" s="15">
        <v>98.4375</v>
      </c>
      <c r="D65" s="26" t="s">
        <v>76</v>
      </c>
      <c r="E65" s="15">
        <v>98.360655737704903</v>
      </c>
      <c r="F65" s="15">
        <v>98.360655737704903</v>
      </c>
      <c r="G65" s="26" t="s">
        <v>76</v>
      </c>
      <c r="H65" s="15">
        <v>98.484848484848499</v>
      </c>
      <c r="I65" s="15">
        <v>98.484848484848499</v>
      </c>
      <c r="J65" s="26" t="s">
        <v>76</v>
      </c>
      <c r="K65" s="20" t="s">
        <v>76</v>
      </c>
      <c r="L65" s="20" t="s">
        <v>76</v>
      </c>
      <c r="M65" s="26" t="s">
        <v>76</v>
      </c>
      <c r="N65" s="20" t="s">
        <v>76</v>
      </c>
      <c r="O65" s="20" t="s">
        <v>76</v>
      </c>
      <c r="P65" s="26" t="s">
        <v>76</v>
      </c>
    </row>
    <row r="66" spans="1:16">
      <c r="A66" s="9" t="s">
        <v>225</v>
      </c>
      <c r="B66" s="15">
        <v>97.029702970296995</v>
      </c>
      <c r="C66" s="15">
        <v>97.029702970296995</v>
      </c>
      <c r="D66" s="26" t="s">
        <v>76</v>
      </c>
      <c r="E66" s="15">
        <v>98.113207547169793</v>
      </c>
      <c r="F66" s="15">
        <v>98.113207547169793</v>
      </c>
      <c r="G66" s="26" t="s">
        <v>76</v>
      </c>
      <c r="H66" s="15">
        <v>95.8333333333333</v>
      </c>
      <c r="I66" s="15">
        <v>95.8333333333333</v>
      </c>
      <c r="J66" s="26" t="s">
        <v>76</v>
      </c>
      <c r="K66" s="20" t="s">
        <v>76</v>
      </c>
      <c r="L66" s="20" t="s">
        <v>76</v>
      </c>
      <c r="M66" s="26" t="s">
        <v>76</v>
      </c>
      <c r="N66" s="20" t="s">
        <v>76</v>
      </c>
      <c r="O66" s="20" t="s">
        <v>76</v>
      </c>
      <c r="P66" s="26" t="s">
        <v>76</v>
      </c>
    </row>
    <row r="67" spans="1:16">
      <c r="A67" s="9" t="s">
        <v>226</v>
      </c>
      <c r="B67" s="15">
        <v>99.159663865546193</v>
      </c>
      <c r="C67" s="15">
        <v>99.159663865546193</v>
      </c>
      <c r="D67" s="26" t="s">
        <v>76</v>
      </c>
      <c r="E67" s="15">
        <v>100</v>
      </c>
      <c r="F67" s="15">
        <v>100</v>
      </c>
      <c r="G67" s="26" t="s">
        <v>76</v>
      </c>
      <c r="H67" s="15">
        <v>98.148148148148096</v>
      </c>
      <c r="I67" s="15">
        <v>98.148148148148096</v>
      </c>
      <c r="J67" s="26" t="s">
        <v>76</v>
      </c>
      <c r="K67" s="20" t="s">
        <v>76</v>
      </c>
      <c r="L67" s="20" t="s">
        <v>76</v>
      </c>
      <c r="M67" s="26" t="s">
        <v>76</v>
      </c>
      <c r="N67" s="20" t="s">
        <v>76</v>
      </c>
      <c r="O67" s="20" t="s">
        <v>76</v>
      </c>
      <c r="P67" s="26" t="s">
        <v>76</v>
      </c>
    </row>
    <row r="68" spans="1:16">
      <c r="A68" s="9" t="s">
        <v>227</v>
      </c>
      <c r="B68" s="15">
        <v>97.7777777777778</v>
      </c>
      <c r="C68" s="15">
        <v>97.7777777777778</v>
      </c>
      <c r="D68" s="26" t="s">
        <v>76</v>
      </c>
      <c r="E68" s="15">
        <v>100</v>
      </c>
      <c r="F68" s="15">
        <v>100</v>
      </c>
      <c r="G68" s="26" t="s">
        <v>76</v>
      </c>
      <c r="H68" s="15">
        <v>96.153846153846104</v>
      </c>
      <c r="I68" s="15">
        <v>96.153846153846104</v>
      </c>
      <c r="J68" s="26" t="s">
        <v>76</v>
      </c>
      <c r="K68" s="20" t="s">
        <v>76</v>
      </c>
      <c r="L68" s="20" t="s">
        <v>76</v>
      </c>
      <c r="M68" s="26" t="s">
        <v>76</v>
      </c>
      <c r="N68" s="20" t="s">
        <v>76</v>
      </c>
      <c r="O68" s="20" t="s">
        <v>76</v>
      </c>
      <c r="P68" s="26" t="s">
        <v>76</v>
      </c>
    </row>
    <row r="69" spans="1:16">
      <c r="A69" s="9" t="s">
        <v>228</v>
      </c>
      <c r="B69" s="15">
        <v>100</v>
      </c>
      <c r="C69" s="15">
        <v>100</v>
      </c>
      <c r="D69" s="26" t="s">
        <v>76</v>
      </c>
      <c r="E69" s="15">
        <v>100</v>
      </c>
      <c r="F69" s="15">
        <v>100</v>
      </c>
      <c r="G69" s="26" t="s">
        <v>76</v>
      </c>
      <c r="H69" s="15">
        <v>100</v>
      </c>
      <c r="I69" s="15">
        <v>100</v>
      </c>
      <c r="J69" s="26" t="s">
        <v>76</v>
      </c>
      <c r="K69" s="20" t="s">
        <v>76</v>
      </c>
      <c r="L69" s="20" t="s">
        <v>76</v>
      </c>
      <c r="M69" s="26" t="s">
        <v>76</v>
      </c>
      <c r="N69" s="20" t="s">
        <v>76</v>
      </c>
      <c r="O69" s="20" t="s">
        <v>76</v>
      </c>
      <c r="P69" s="26" t="s">
        <v>76</v>
      </c>
    </row>
    <row r="70" spans="1:16">
      <c r="A70" s="9" t="s">
        <v>229</v>
      </c>
      <c r="B70" s="15">
        <v>100</v>
      </c>
      <c r="C70" s="15">
        <v>100</v>
      </c>
      <c r="D70" s="26" t="s">
        <v>76</v>
      </c>
      <c r="E70" s="15">
        <v>100</v>
      </c>
      <c r="F70" s="15">
        <v>100</v>
      </c>
      <c r="G70" s="26" t="s">
        <v>76</v>
      </c>
      <c r="H70" s="15">
        <v>100</v>
      </c>
      <c r="I70" s="15">
        <v>100</v>
      </c>
      <c r="J70" s="26" t="s">
        <v>76</v>
      </c>
      <c r="K70" s="20" t="s">
        <v>76</v>
      </c>
      <c r="L70" s="20" t="s">
        <v>76</v>
      </c>
      <c r="M70" s="26" t="s">
        <v>76</v>
      </c>
      <c r="N70" s="20" t="s">
        <v>76</v>
      </c>
      <c r="O70" s="20" t="s">
        <v>76</v>
      </c>
      <c r="P70" s="26" t="s">
        <v>76</v>
      </c>
    </row>
    <row r="71" spans="1:16">
      <c r="A71" s="9" t="s">
        <v>230</v>
      </c>
      <c r="B71" s="15">
        <v>98.3333333333333</v>
      </c>
      <c r="C71" s="15">
        <v>98.3333333333333</v>
      </c>
      <c r="D71" s="26" t="s">
        <v>76</v>
      </c>
      <c r="E71" s="15">
        <v>100</v>
      </c>
      <c r="F71" s="15">
        <v>100</v>
      </c>
      <c r="G71" s="26" t="s">
        <v>76</v>
      </c>
      <c r="H71" s="15">
        <v>100</v>
      </c>
      <c r="I71" s="15">
        <v>100</v>
      </c>
      <c r="J71" s="26" t="s">
        <v>76</v>
      </c>
      <c r="K71" s="20" t="s">
        <v>76</v>
      </c>
      <c r="L71" s="20" t="s">
        <v>76</v>
      </c>
      <c r="M71" s="26" t="s">
        <v>76</v>
      </c>
      <c r="N71" s="15">
        <v>85.714285714285694</v>
      </c>
      <c r="O71" s="15">
        <v>85.714285714285694</v>
      </c>
      <c r="P71" s="26" t="s">
        <v>76</v>
      </c>
    </row>
    <row r="72" spans="1:16">
      <c r="A72" s="9" t="s">
        <v>231</v>
      </c>
      <c r="B72" s="15">
        <v>97.590361445783103</v>
      </c>
      <c r="C72" s="15">
        <v>97.590361445783103</v>
      </c>
      <c r="D72" s="26" t="s">
        <v>76</v>
      </c>
      <c r="E72" s="15">
        <v>95.238095238095198</v>
      </c>
      <c r="F72" s="15">
        <v>95.238095238095198</v>
      </c>
      <c r="G72" s="26" t="s">
        <v>76</v>
      </c>
      <c r="H72" s="15">
        <v>100</v>
      </c>
      <c r="I72" s="15">
        <v>100</v>
      </c>
      <c r="J72" s="26" t="s">
        <v>76</v>
      </c>
      <c r="K72" s="20" t="s">
        <v>76</v>
      </c>
      <c r="L72" s="20" t="s">
        <v>76</v>
      </c>
      <c r="M72" s="26" t="s">
        <v>76</v>
      </c>
      <c r="N72" s="20" t="s">
        <v>76</v>
      </c>
      <c r="O72" s="20" t="s">
        <v>76</v>
      </c>
      <c r="P72" s="26" t="s">
        <v>76</v>
      </c>
    </row>
    <row r="73" spans="1:16">
      <c r="A73" s="9" t="s">
        <v>232</v>
      </c>
      <c r="B73" s="15">
        <v>97.560975609756099</v>
      </c>
      <c r="C73" s="15">
        <v>97.560975609756099</v>
      </c>
      <c r="D73" s="26" t="s">
        <v>76</v>
      </c>
      <c r="E73" s="15">
        <v>94.736842105263193</v>
      </c>
      <c r="F73" s="15">
        <v>94.736842105263193</v>
      </c>
      <c r="G73" s="26" t="s">
        <v>76</v>
      </c>
      <c r="H73" s="15">
        <v>100</v>
      </c>
      <c r="I73" s="15">
        <v>100</v>
      </c>
      <c r="J73" s="26" t="s">
        <v>76</v>
      </c>
      <c r="K73" s="20" t="s">
        <v>76</v>
      </c>
      <c r="L73" s="20" t="s">
        <v>76</v>
      </c>
      <c r="M73" s="26" t="s">
        <v>76</v>
      </c>
      <c r="N73" s="20" t="s">
        <v>76</v>
      </c>
      <c r="O73" s="20" t="s">
        <v>76</v>
      </c>
      <c r="P73" s="26" t="s">
        <v>76</v>
      </c>
    </row>
    <row r="74" spans="1:16">
      <c r="A74" s="9" t="s">
        <v>233</v>
      </c>
      <c r="B74" s="15">
        <v>99.065420560747697</v>
      </c>
      <c r="C74" s="15">
        <v>99.065420560747697</v>
      </c>
      <c r="D74" s="26" t="s">
        <v>76</v>
      </c>
      <c r="E74" s="15">
        <v>98.412698412698404</v>
      </c>
      <c r="F74" s="15">
        <v>98.412698412698404</v>
      </c>
      <c r="G74" s="26" t="s">
        <v>76</v>
      </c>
      <c r="H74" s="15">
        <v>100</v>
      </c>
      <c r="I74" s="15">
        <v>100</v>
      </c>
      <c r="J74" s="26" t="s">
        <v>76</v>
      </c>
      <c r="K74" s="20" t="s">
        <v>76</v>
      </c>
      <c r="L74" s="20" t="s">
        <v>76</v>
      </c>
      <c r="M74" s="26" t="s">
        <v>76</v>
      </c>
      <c r="N74" s="20" t="s">
        <v>76</v>
      </c>
      <c r="O74" s="20" t="s">
        <v>76</v>
      </c>
      <c r="P74" s="26" t="s">
        <v>76</v>
      </c>
    </row>
    <row r="75" spans="1:16">
      <c r="A75" s="9" t="s">
        <v>234</v>
      </c>
      <c r="B75" s="15">
        <v>100</v>
      </c>
      <c r="C75" s="15">
        <v>100</v>
      </c>
      <c r="D75" s="26" t="s">
        <v>76</v>
      </c>
      <c r="E75" s="15">
        <v>100</v>
      </c>
      <c r="F75" s="15">
        <v>100</v>
      </c>
      <c r="G75" s="26" t="s">
        <v>76</v>
      </c>
      <c r="H75" s="15">
        <v>100</v>
      </c>
      <c r="I75" s="15">
        <v>100</v>
      </c>
      <c r="J75" s="26" t="s">
        <v>76</v>
      </c>
      <c r="K75" s="20" t="s">
        <v>76</v>
      </c>
      <c r="L75" s="20" t="s">
        <v>76</v>
      </c>
      <c r="M75" s="26" t="s">
        <v>76</v>
      </c>
      <c r="N75" s="20" t="s">
        <v>76</v>
      </c>
      <c r="O75" s="20" t="s">
        <v>76</v>
      </c>
      <c r="P75" s="26" t="s">
        <v>76</v>
      </c>
    </row>
    <row r="76" spans="1:16">
      <c r="A76" s="9" t="s">
        <v>235</v>
      </c>
      <c r="B76" s="15">
        <v>100</v>
      </c>
      <c r="C76" s="15">
        <v>100</v>
      </c>
      <c r="D76" s="26" t="s">
        <v>76</v>
      </c>
      <c r="E76" s="15">
        <v>100</v>
      </c>
      <c r="F76" s="15">
        <v>100</v>
      </c>
      <c r="G76" s="26" t="s">
        <v>76</v>
      </c>
      <c r="H76" s="15">
        <v>100</v>
      </c>
      <c r="I76" s="15">
        <v>100</v>
      </c>
      <c r="J76" s="26" t="s">
        <v>76</v>
      </c>
      <c r="K76" s="20" t="s">
        <v>76</v>
      </c>
      <c r="L76" s="20" t="s">
        <v>76</v>
      </c>
      <c r="M76" s="26" t="s">
        <v>76</v>
      </c>
      <c r="N76" s="20" t="s">
        <v>76</v>
      </c>
      <c r="O76" s="20" t="s">
        <v>76</v>
      </c>
      <c r="P76" s="26" t="s">
        <v>76</v>
      </c>
    </row>
    <row r="77" spans="1:16">
      <c r="A77" s="9" t="s">
        <v>236</v>
      </c>
      <c r="B77" s="15">
        <v>100</v>
      </c>
      <c r="C77" s="15">
        <v>100</v>
      </c>
      <c r="D77" s="26" t="s">
        <v>76</v>
      </c>
      <c r="E77" s="15">
        <v>100</v>
      </c>
      <c r="F77" s="15">
        <v>100</v>
      </c>
      <c r="G77" s="26" t="s">
        <v>76</v>
      </c>
      <c r="H77" s="20" t="s">
        <v>76</v>
      </c>
      <c r="I77" s="20" t="s">
        <v>76</v>
      </c>
      <c r="J77" s="26" t="s">
        <v>76</v>
      </c>
      <c r="K77" s="20" t="s">
        <v>76</v>
      </c>
      <c r="L77" s="20" t="s">
        <v>76</v>
      </c>
      <c r="M77" s="26" t="s">
        <v>76</v>
      </c>
      <c r="N77" s="20" t="s">
        <v>76</v>
      </c>
      <c r="O77" s="20" t="s">
        <v>76</v>
      </c>
      <c r="P77" s="26" t="s">
        <v>76</v>
      </c>
    </row>
    <row r="78" spans="1:16">
      <c r="A78" s="9" t="s">
        <v>237</v>
      </c>
      <c r="B78" s="15">
        <v>100</v>
      </c>
      <c r="C78" s="15">
        <v>100</v>
      </c>
      <c r="D78" s="26" t="s">
        <v>76</v>
      </c>
      <c r="E78" s="15">
        <v>100</v>
      </c>
      <c r="F78" s="15">
        <v>100</v>
      </c>
      <c r="G78" s="26" t="s">
        <v>76</v>
      </c>
      <c r="H78" s="15">
        <v>100</v>
      </c>
      <c r="I78" s="15">
        <v>100</v>
      </c>
      <c r="J78" s="26" t="s">
        <v>76</v>
      </c>
      <c r="K78" s="20" t="s">
        <v>76</v>
      </c>
      <c r="L78" s="20" t="s">
        <v>76</v>
      </c>
      <c r="M78" s="26" t="s">
        <v>76</v>
      </c>
      <c r="N78" s="20" t="s">
        <v>76</v>
      </c>
      <c r="O78" s="20" t="s">
        <v>76</v>
      </c>
      <c r="P78" s="26" t="s">
        <v>76</v>
      </c>
    </row>
    <row r="79" spans="1:16">
      <c r="A79" s="9" t="s">
        <v>238</v>
      </c>
      <c r="B79" s="15">
        <v>98.639455782312893</v>
      </c>
      <c r="C79" s="15">
        <v>98.639455782312893</v>
      </c>
      <c r="D79" s="26" t="s">
        <v>76</v>
      </c>
      <c r="E79" s="15">
        <v>98.701298701298697</v>
      </c>
      <c r="F79" s="15">
        <v>98.701298701298697</v>
      </c>
      <c r="G79" s="26" t="s">
        <v>76</v>
      </c>
      <c r="H79" s="15">
        <v>98.507462686567195</v>
      </c>
      <c r="I79" s="15">
        <v>98.507462686567195</v>
      </c>
      <c r="J79" s="26" t="s">
        <v>76</v>
      </c>
      <c r="K79" s="20" t="s">
        <v>76</v>
      </c>
      <c r="L79" s="20" t="s">
        <v>76</v>
      </c>
      <c r="M79" s="26" t="s">
        <v>76</v>
      </c>
      <c r="N79" s="20" t="s">
        <v>76</v>
      </c>
      <c r="O79" s="20" t="s">
        <v>76</v>
      </c>
      <c r="P79" s="26" t="s">
        <v>76</v>
      </c>
    </row>
    <row r="80" spans="1:16" ht="21.95" customHeight="1">
      <c r="A80" s="22" t="s">
        <v>239</v>
      </c>
      <c r="B80" s="15">
        <v>96.492500641445204</v>
      </c>
      <c r="C80" s="20" t="s">
        <v>76</v>
      </c>
      <c r="D80" s="24">
        <v>96.492500641445204</v>
      </c>
      <c r="E80" s="15">
        <v>96.098936255500107</v>
      </c>
      <c r="F80" s="20" t="s">
        <v>76</v>
      </c>
      <c r="G80" s="24">
        <v>96.098936255500107</v>
      </c>
      <c r="H80" s="15">
        <v>97.251500323455602</v>
      </c>
      <c r="I80" s="20" t="s">
        <v>76</v>
      </c>
      <c r="J80" s="24">
        <v>97.251500323455602</v>
      </c>
      <c r="K80" s="15">
        <v>91.075837702791006</v>
      </c>
      <c r="L80" s="20" t="s">
        <v>76</v>
      </c>
      <c r="M80" s="24">
        <v>91.075837702791006</v>
      </c>
      <c r="N80" s="15">
        <v>92.315061341354195</v>
      </c>
      <c r="O80" s="20" t="s">
        <v>76</v>
      </c>
      <c r="P80" s="24">
        <v>92.315061341354195</v>
      </c>
    </row>
    <row r="81" spans="1:16">
      <c r="A81" s="9" t="s">
        <v>240</v>
      </c>
      <c r="B81" s="15">
        <v>97.763578274760405</v>
      </c>
      <c r="C81" s="20" t="s">
        <v>76</v>
      </c>
      <c r="D81" s="24">
        <v>97.763578274760405</v>
      </c>
      <c r="E81" s="15">
        <v>97.633136094674597</v>
      </c>
      <c r="F81" s="20" t="s">
        <v>76</v>
      </c>
      <c r="G81" s="24">
        <v>97.633136094674597</v>
      </c>
      <c r="H81" s="15">
        <v>97.7777777777778</v>
      </c>
      <c r="I81" s="20" t="s">
        <v>76</v>
      </c>
      <c r="J81" s="24">
        <v>97.7777777777778</v>
      </c>
      <c r="K81" s="20" t="s">
        <v>76</v>
      </c>
      <c r="L81" s="20" t="s">
        <v>76</v>
      </c>
      <c r="M81" s="26" t="s">
        <v>76</v>
      </c>
      <c r="N81" s="15">
        <v>100</v>
      </c>
      <c r="O81" s="20" t="s">
        <v>76</v>
      </c>
      <c r="P81" s="24">
        <v>100</v>
      </c>
    </row>
    <row r="82" spans="1:16">
      <c r="A82" s="9" t="s">
        <v>241</v>
      </c>
      <c r="B82" s="15">
        <v>94.654088050314499</v>
      </c>
      <c r="C82" s="20" t="s">
        <v>76</v>
      </c>
      <c r="D82" s="24">
        <v>94.654088050314499</v>
      </c>
      <c r="E82" s="15">
        <v>94.904458598726094</v>
      </c>
      <c r="F82" s="20" t="s">
        <v>76</v>
      </c>
      <c r="G82" s="24">
        <v>94.904458598726094</v>
      </c>
      <c r="H82" s="15">
        <v>94.193548387096797</v>
      </c>
      <c r="I82" s="20" t="s">
        <v>76</v>
      </c>
      <c r="J82" s="24">
        <v>94.193548387096797</v>
      </c>
      <c r="K82" s="20" t="s">
        <v>76</v>
      </c>
      <c r="L82" s="20" t="s">
        <v>76</v>
      </c>
      <c r="M82" s="26" t="s">
        <v>76</v>
      </c>
      <c r="N82" s="15">
        <v>100</v>
      </c>
      <c r="O82" s="20" t="s">
        <v>76</v>
      </c>
      <c r="P82" s="24">
        <v>100</v>
      </c>
    </row>
    <row r="83" spans="1:16">
      <c r="A83" s="9" t="s">
        <v>242</v>
      </c>
      <c r="B83" s="15">
        <v>98.709677419354804</v>
      </c>
      <c r="C83" s="20" t="s">
        <v>76</v>
      </c>
      <c r="D83" s="24">
        <v>98.709677419354804</v>
      </c>
      <c r="E83" s="15">
        <v>100</v>
      </c>
      <c r="F83" s="20" t="s">
        <v>76</v>
      </c>
      <c r="G83" s="24">
        <v>100</v>
      </c>
      <c r="H83" s="15">
        <v>96.825396825396794</v>
      </c>
      <c r="I83" s="20" t="s">
        <v>76</v>
      </c>
      <c r="J83" s="24">
        <v>96.825396825396794</v>
      </c>
      <c r="K83" s="20" t="s">
        <v>76</v>
      </c>
      <c r="L83" s="20" t="s">
        <v>76</v>
      </c>
      <c r="M83" s="26" t="s">
        <v>76</v>
      </c>
      <c r="N83" s="20" t="s">
        <v>76</v>
      </c>
      <c r="O83" s="20" t="s">
        <v>76</v>
      </c>
      <c r="P83" s="26" t="s">
        <v>76</v>
      </c>
    </row>
    <row r="84" spans="1:16">
      <c r="A84" s="9" t="s">
        <v>243</v>
      </c>
      <c r="B84" s="15">
        <v>90</v>
      </c>
      <c r="C84" s="20" t="s">
        <v>76</v>
      </c>
      <c r="D84" s="24">
        <v>90</v>
      </c>
      <c r="E84" s="15">
        <v>87.5</v>
      </c>
      <c r="F84" s="20" t="s">
        <v>76</v>
      </c>
      <c r="G84" s="24">
        <v>87.5</v>
      </c>
      <c r="H84" s="20" t="s">
        <v>76</v>
      </c>
      <c r="I84" s="20" t="s">
        <v>76</v>
      </c>
      <c r="J84" s="26" t="s">
        <v>76</v>
      </c>
      <c r="K84" s="20" t="s">
        <v>76</v>
      </c>
      <c r="L84" s="20" t="s">
        <v>76</v>
      </c>
      <c r="M84" s="26" t="s">
        <v>76</v>
      </c>
      <c r="N84" s="20" t="s">
        <v>76</v>
      </c>
      <c r="O84" s="20" t="s">
        <v>76</v>
      </c>
      <c r="P84" s="26" t="s">
        <v>76</v>
      </c>
    </row>
    <row r="85" spans="1:16">
      <c r="A85" s="9" t="s">
        <v>244</v>
      </c>
      <c r="B85" s="15">
        <v>93.413173652694596</v>
      </c>
      <c r="C85" s="20" t="s">
        <v>76</v>
      </c>
      <c r="D85" s="24">
        <v>93.413173652694596</v>
      </c>
      <c r="E85" s="15">
        <v>92.638036809816001</v>
      </c>
      <c r="F85" s="20" t="s">
        <v>76</v>
      </c>
      <c r="G85" s="24">
        <v>92.638036809816001</v>
      </c>
      <c r="H85" s="15">
        <v>96.129032258064498</v>
      </c>
      <c r="I85" s="20" t="s">
        <v>76</v>
      </c>
      <c r="J85" s="24">
        <v>96.129032258064498</v>
      </c>
      <c r="K85" s="20" t="s">
        <v>76</v>
      </c>
      <c r="L85" s="20" t="s">
        <v>76</v>
      </c>
      <c r="M85" s="26" t="s">
        <v>76</v>
      </c>
      <c r="N85" s="15">
        <v>80</v>
      </c>
      <c r="O85" s="20" t="s">
        <v>76</v>
      </c>
      <c r="P85" s="24">
        <v>80</v>
      </c>
    </row>
    <row r="86" spans="1:16">
      <c r="A86" s="9" t="s">
        <v>245</v>
      </c>
      <c r="B86" s="15">
        <v>96.6480446927374</v>
      </c>
      <c r="C86" s="20" t="s">
        <v>76</v>
      </c>
      <c r="D86" s="24">
        <v>96.6480446927374</v>
      </c>
      <c r="E86" s="15">
        <v>96.25</v>
      </c>
      <c r="F86" s="20" t="s">
        <v>76</v>
      </c>
      <c r="G86" s="24">
        <v>96.25</v>
      </c>
      <c r="H86" s="15">
        <v>97.701149425287397</v>
      </c>
      <c r="I86" s="20" t="s">
        <v>76</v>
      </c>
      <c r="J86" s="24">
        <v>97.701149425287397</v>
      </c>
      <c r="K86" s="15">
        <v>83.3333333333333</v>
      </c>
      <c r="L86" s="20" t="s">
        <v>76</v>
      </c>
      <c r="M86" s="24">
        <v>83.3333333333333</v>
      </c>
      <c r="N86" s="15">
        <v>100</v>
      </c>
      <c r="O86" s="20" t="s">
        <v>76</v>
      </c>
      <c r="P86" s="24">
        <v>100</v>
      </c>
    </row>
    <row r="87" spans="1:16">
      <c r="A87" s="9" t="s">
        <v>246</v>
      </c>
      <c r="B87" s="15">
        <v>95.588235294117595</v>
      </c>
      <c r="C87" s="20" t="s">
        <v>76</v>
      </c>
      <c r="D87" s="24">
        <v>95.588235294117595</v>
      </c>
      <c r="E87" s="15">
        <v>94.642857142857196</v>
      </c>
      <c r="F87" s="20" t="s">
        <v>76</v>
      </c>
      <c r="G87" s="24">
        <v>94.642857142857196</v>
      </c>
      <c r="H87" s="15">
        <v>96.812749003984095</v>
      </c>
      <c r="I87" s="20" t="s">
        <v>76</v>
      </c>
      <c r="J87" s="24">
        <v>96.812749003984095</v>
      </c>
      <c r="K87" s="15">
        <v>100</v>
      </c>
      <c r="L87" s="20" t="s">
        <v>76</v>
      </c>
      <c r="M87" s="24">
        <v>100</v>
      </c>
      <c r="N87" s="15">
        <v>87.5</v>
      </c>
      <c r="O87" s="20" t="s">
        <v>76</v>
      </c>
      <c r="P87" s="24">
        <v>87.5</v>
      </c>
    </row>
    <row r="88" spans="1:16">
      <c r="A88" s="9" t="s">
        <v>247</v>
      </c>
      <c r="B88" s="15">
        <v>96.303901437371707</v>
      </c>
      <c r="C88" s="20" t="s">
        <v>76</v>
      </c>
      <c r="D88" s="24">
        <v>96.303901437371707</v>
      </c>
      <c r="E88" s="15">
        <v>95.057034220532302</v>
      </c>
      <c r="F88" s="20" t="s">
        <v>76</v>
      </c>
      <c r="G88" s="24">
        <v>95.057034220532302</v>
      </c>
      <c r="H88" s="15">
        <v>97.560975609756099</v>
      </c>
      <c r="I88" s="20" t="s">
        <v>76</v>
      </c>
      <c r="J88" s="24">
        <v>97.560975609756099</v>
      </c>
      <c r="K88" s="15">
        <v>100</v>
      </c>
      <c r="L88" s="20" t="s">
        <v>76</v>
      </c>
      <c r="M88" s="24">
        <v>100</v>
      </c>
      <c r="N88" s="15">
        <v>100</v>
      </c>
      <c r="O88" s="20" t="s">
        <v>76</v>
      </c>
      <c r="P88" s="24">
        <v>100</v>
      </c>
    </row>
    <row r="89" spans="1:16">
      <c r="A89" s="9" t="s">
        <v>248</v>
      </c>
      <c r="B89" s="15">
        <v>98.039215686274503</v>
      </c>
      <c r="C89" s="20" t="s">
        <v>76</v>
      </c>
      <c r="D89" s="24">
        <v>98.039215686274503</v>
      </c>
      <c r="E89" s="15">
        <v>97.520661157024804</v>
      </c>
      <c r="F89" s="20" t="s">
        <v>76</v>
      </c>
      <c r="G89" s="24">
        <v>97.520661157024804</v>
      </c>
      <c r="H89" s="15">
        <v>99.159663865546193</v>
      </c>
      <c r="I89" s="20" t="s">
        <v>76</v>
      </c>
      <c r="J89" s="24">
        <v>99.159663865546193</v>
      </c>
      <c r="K89" s="15">
        <v>90</v>
      </c>
      <c r="L89" s="20" t="s">
        <v>76</v>
      </c>
      <c r="M89" s="24">
        <v>90</v>
      </c>
      <c r="N89" s="15">
        <v>100</v>
      </c>
      <c r="O89" s="20" t="s">
        <v>76</v>
      </c>
      <c r="P89" s="24">
        <v>100</v>
      </c>
    </row>
    <row r="90" spans="1:16">
      <c r="A90" s="9" t="s">
        <v>249</v>
      </c>
      <c r="B90" s="15">
        <v>96.412556053811699</v>
      </c>
      <c r="C90" s="20" t="s">
        <v>76</v>
      </c>
      <c r="D90" s="24">
        <v>96.412556053811699</v>
      </c>
      <c r="E90" s="15">
        <v>98.113207547169793</v>
      </c>
      <c r="F90" s="20" t="s">
        <v>76</v>
      </c>
      <c r="G90" s="24">
        <v>98.113207547169793</v>
      </c>
      <c r="H90" s="15">
        <v>95.495495495495504</v>
      </c>
      <c r="I90" s="20" t="s">
        <v>76</v>
      </c>
      <c r="J90" s="24">
        <v>95.495495495495504</v>
      </c>
      <c r="K90" s="20" t="s">
        <v>76</v>
      </c>
      <c r="L90" s="20" t="s">
        <v>76</v>
      </c>
      <c r="M90" s="26" t="s">
        <v>76</v>
      </c>
      <c r="N90" s="20" t="s">
        <v>76</v>
      </c>
      <c r="O90" s="20" t="s">
        <v>76</v>
      </c>
      <c r="P90" s="26" t="s">
        <v>76</v>
      </c>
    </row>
    <row r="91" spans="1:16">
      <c r="A91" s="9" t="s">
        <v>250</v>
      </c>
      <c r="B91" s="15">
        <v>98.636363636363598</v>
      </c>
      <c r="C91" s="20" t="s">
        <v>76</v>
      </c>
      <c r="D91" s="24">
        <v>98.636363636363598</v>
      </c>
      <c r="E91" s="15">
        <v>98.371335504886005</v>
      </c>
      <c r="F91" s="20" t="s">
        <v>76</v>
      </c>
      <c r="G91" s="24">
        <v>98.371335504886005</v>
      </c>
      <c r="H91" s="15">
        <v>99.053627760252397</v>
      </c>
      <c r="I91" s="20" t="s">
        <v>76</v>
      </c>
      <c r="J91" s="24">
        <v>99.053627760252397</v>
      </c>
      <c r="K91" s="15">
        <v>94.4444444444444</v>
      </c>
      <c r="L91" s="20" t="s">
        <v>76</v>
      </c>
      <c r="M91" s="24">
        <v>94.4444444444444</v>
      </c>
      <c r="N91" s="15">
        <v>100</v>
      </c>
      <c r="O91" s="20" t="s">
        <v>76</v>
      </c>
      <c r="P91" s="24">
        <v>100</v>
      </c>
    </row>
    <row r="92" spans="1:16">
      <c r="A92" s="11" t="s">
        <v>251</v>
      </c>
      <c r="B92" s="16">
        <v>98.286937901498902</v>
      </c>
      <c r="C92" s="28" t="s">
        <v>76</v>
      </c>
      <c r="D92" s="25">
        <v>98.286937901498902</v>
      </c>
      <c r="E92" s="16">
        <v>96.624472573839697</v>
      </c>
      <c r="F92" s="28" t="s">
        <v>76</v>
      </c>
      <c r="G92" s="25">
        <v>96.624472573839697</v>
      </c>
      <c r="H92" s="16">
        <v>100</v>
      </c>
      <c r="I92" s="28" t="s">
        <v>76</v>
      </c>
      <c r="J92" s="25">
        <v>100</v>
      </c>
      <c r="K92" s="28" t="s">
        <v>76</v>
      </c>
      <c r="L92" s="28" t="s">
        <v>76</v>
      </c>
      <c r="M92" s="29" t="s">
        <v>76</v>
      </c>
      <c r="N92" s="28" t="s">
        <v>76</v>
      </c>
      <c r="O92" s="28" t="s">
        <v>76</v>
      </c>
      <c r="P92" s="29" t="s">
        <v>76</v>
      </c>
    </row>
    <row r="93" spans="1:16" ht="30" customHeight="1">
      <c r="A93" t="s">
        <v>252</v>
      </c>
    </row>
    <row r="94" spans="1:16">
      <c r="A94" t="s">
        <v>143</v>
      </c>
    </row>
    <row r="95" spans="1:16">
      <c r="A95" t="s">
        <v>144</v>
      </c>
    </row>
    <row r="96" spans="1:16">
      <c r="A96" t="s">
        <v>145</v>
      </c>
    </row>
    <row r="97" spans="1:1">
      <c r="A97" t="s">
        <v>146</v>
      </c>
    </row>
    <row r="98" spans="1:1">
      <c r="A98" t="s">
        <v>147</v>
      </c>
    </row>
    <row r="99" spans="1:1">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70"/>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257</v>
      </c>
      <c r="B1" s="12"/>
      <c r="C1" s="12"/>
      <c r="D1" s="12"/>
      <c r="E1" s="12"/>
      <c r="F1" s="12"/>
      <c r="G1" s="12"/>
      <c r="H1" s="12"/>
      <c r="I1" s="12"/>
      <c r="J1" s="12"/>
      <c r="K1" s="12"/>
      <c r="L1" s="12"/>
      <c r="M1" s="12"/>
      <c r="N1" s="12"/>
      <c r="O1" s="12"/>
      <c r="P1" s="12"/>
    </row>
    <row r="2" spans="1:16" ht="60">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9" t="s">
        <v>258</v>
      </c>
      <c r="B3" s="15">
        <v>21.329879266766099</v>
      </c>
      <c r="C3" s="15">
        <v>24.537844816322</v>
      </c>
      <c r="D3" s="24">
        <v>18.739220390958501</v>
      </c>
      <c r="E3" s="15">
        <v>22.7889079533368</v>
      </c>
      <c r="F3" s="15">
        <v>27.857992147557201</v>
      </c>
      <c r="G3" s="24">
        <v>18.665824195898502</v>
      </c>
      <c r="H3" s="15">
        <v>19.343308054413502</v>
      </c>
      <c r="I3" s="15">
        <v>20.8438454085872</v>
      </c>
      <c r="J3" s="24">
        <v>18.105029746641801</v>
      </c>
      <c r="K3" s="20" t="s">
        <v>76</v>
      </c>
      <c r="L3" s="20" t="s">
        <v>76</v>
      </c>
      <c r="M3" s="26" t="s">
        <v>76</v>
      </c>
      <c r="N3" s="15">
        <v>28.194310077732599</v>
      </c>
      <c r="O3" s="20" t="s">
        <v>76</v>
      </c>
      <c r="P3" s="26" t="s">
        <v>76</v>
      </c>
    </row>
    <row r="4" spans="1:16">
      <c r="A4" s="9" t="s">
        <v>259</v>
      </c>
      <c r="B4" s="15">
        <v>28.132588996389</v>
      </c>
      <c r="C4" s="15">
        <v>20.782165460400201</v>
      </c>
      <c r="D4" s="24">
        <v>34.068575427755299</v>
      </c>
      <c r="E4" s="15">
        <v>29.844241019497499</v>
      </c>
      <c r="F4" s="15">
        <v>21.290821874513199</v>
      </c>
      <c r="G4" s="24">
        <v>36.801407678409099</v>
      </c>
      <c r="H4" s="15">
        <v>26.808362566355299</v>
      </c>
      <c r="I4" s="15">
        <v>20.256554646999302</v>
      </c>
      <c r="J4" s="24">
        <v>32.215066771791697</v>
      </c>
      <c r="K4" s="20" t="s">
        <v>76</v>
      </c>
      <c r="L4" s="20" t="s">
        <v>76</v>
      </c>
      <c r="M4" s="26" t="s">
        <v>76</v>
      </c>
      <c r="N4" s="15">
        <v>18.987371184761599</v>
      </c>
      <c r="O4" s="20" t="s">
        <v>76</v>
      </c>
      <c r="P4" s="26" t="s">
        <v>76</v>
      </c>
    </row>
    <row r="5" spans="1:16">
      <c r="A5" s="9" t="s">
        <v>260</v>
      </c>
      <c r="B5" s="15">
        <v>27.3974104639804</v>
      </c>
      <c r="C5" s="15">
        <v>22.142845559399699</v>
      </c>
      <c r="D5" s="24">
        <v>31.640842944246199</v>
      </c>
      <c r="E5" s="15">
        <v>26.5786111280661</v>
      </c>
      <c r="F5" s="15">
        <v>23.406802089105899</v>
      </c>
      <c r="G5" s="24">
        <v>29.1584921931988</v>
      </c>
      <c r="H5" s="15">
        <v>28.289744360834799</v>
      </c>
      <c r="I5" s="15">
        <v>20.960484469001301</v>
      </c>
      <c r="J5" s="24">
        <v>34.338020007445401</v>
      </c>
      <c r="K5" s="15">
        <v>37.923096067706702</v>
      </c>
      <c r="L5" s="20" t="s">
        <v>76</v>
      </c>
      <c r="M5" s="26" t="s">
        <v>76</v>
      </c>
      <c r="N5" s="15">
        <v>20.515486944805598</v>
      </c>
      <c r="O5" s="20" t="s">
        <v>76</v>
      </c>
      <c r="P5" s="26" t="s">
        <v>76</v>
      </c>
    </row>
    <row r="6" spans="1:16">
      <c r="A6" s="9" t="s">
        <v>261</v>
      </c>
      <c r="B6" s="15">
        <v>46.009311113150297</v>
      </c>
      <c r="C6" s="15">
        <v>50.059008538003198</v>
      </c>
      <c r="D6" s="24">
        <v>42.738894266098299</v>
      </c>
      <c r="E6" s="15">
        <v>54.287160258335703</v>
      </c>
      <c r="F6" s="15">
        <v>56.155678228527698</v>
      </c>
      <c r="G6" s="24">
        <v>52.767348040151603</v>
      </c>
      <c r="H6" s="15">
        <v>37.3059394792297</v>
      </c>
      <c r="I6" s="15">
        <v>43.357836247141897</v>
      </c>
      <c r="J6" s="24">
        <v>32.311773577437798</v>
      </c>
      <c r="K6" s="15">
        <v>39.6954328177831</v>
      </c>
      <c r="L6" s="20" t="s">
        <v>76</v>
      </c>
      <c r="M6" s="26" t="s">
        <v>76</v>
      </c>
      <c r="N6" s="15">
        <v>49.797368489057703</v>
      </c>
      <c r="O6" s="15">
        <v>61.033757598096798</v>
      </c>
      <c r="P6" s="24">
        <v>42.079906263507098</v>
      </c>
    </row>
    <row r="7" spans="1:16">
      <c r="A7" s="9" t="s">
        <v>262</v>
      </c>
      <c r="B7" s="15">
        <v>23.410790969043202</v>
      </c>
      <c r="C7" s="15">
        <v>29.294027571135299</v>
      </c>
      <c r="D7" s="24">
        <v>18.659661667235099</v>
      </c>
      <c r="E7" s="15">
        <v>29.409067329726799</v>
      </c>
      <c r="F7" s="15">
        <v>35.415119426352703</v>
      </c>
      <c r="G7" s="24">
        <v>24.523874088280699</v>
      </c>
      <c r="H7" s="15">
        <v>17.049586201116998</v>
      </c>
      <c r="I7" s="15">
        <v>22.8604265018256</v>
      </c>
      <c r="J7" s="24">
        <v>12.254345699919799</v>
      </c>
      <c r="K7" s="20" t="s">
        <v>76</v>
      </c>
      <c r="L7" s="20" t="s">
        <v>76</v>
      </c>
      <c r="M7" s="26" t="s">
        <v>76</v>
      </c>
      <c r="N7" s="15">
        <v>22.884411333016502</v>
      </c>
      <c r="O7" s="20" t="s">
        <v>76</v>
      </c>
      <c r="P7" s="26" t="s">
        <v>76</v>
      </c>
    </row>
    <row r="8" spans="1:16">
      <c r="A8" s="9" t="s">
        <v>263</v>
      </c>
      <c r="B8" s="15">
        <v>1.2265448996450199</v>
      </c>
      <c r="C8" s="15">
        <v>1.7748139723157299</v>
      </c>
      <c r="D8" s="24">
        <v>0.78377887940463198</v>
      </c>
      <c r="E8" s="15">
        <v>1.5399681507335701</v>
      </c>
      <c r="F8" s="15">
        <v>2.2405324687887198</v>
      </c>
      <c r="G8" s="26" t="s">
        <v>76</v>
      </c>
      <c r="H8" s="15">
        <v>0.76120879011671105</v>
      </c>
      <c r="I8" s="20" t="s">
        <v>76</v>
      </c>
      <c r="J8" s="26" t="s">
        <v>76</v>
      </c>
      <c r="K8" s="20" t="s">
        <v>76</v>
      </c>
      <c r="L8" s="20" t="s">
        <v>76</v>
      </c>
      <c r="M8" s="26" t="s">
        <v>76</v>
      </c>
      <c r="N8" s="20" t="s">
        <v>76</v>
      </c>
      <c r="O8" s="20" t="s">
        <v>76</v>
      </c>
      <c r="P8" s="26" t="s">
        <v>76</v>
      </c>
    </row>
    <row r="9" spans="1:16">
      <c r="A9" s="9" t="s">
        <v>264</v>
      </c>
      <c r="B9" s="15">
        <v>15.346828254652999</v>
      </c>
      <c r="C9" s="15">
        <v>19.593813608201401</v>
      </c>
      <c r="D9" s="24">
        <v>11.917087463603</v>
      </c>
      <c r="E9" s="15">
        <v>15.515457715240499</v>
      </c>
      <c r="F9" s="15">
        <v>20.905243952557399</v>
      </c>
      <c r="G9" s="24">
        <v>11.1315218326046</v>
      </c>
      <c r="H9" s="15">
        <v>15.157619895334101</v>
      </c>
      <c r="I9" s="15">
        <v>18.007891679154501</v>
      </c>
      <c r="J9" s="24">
        <v>12.8055093588377</v>
      </c>
      <c r="K9" s="20" t="s">
        <v>76</v>
      </c>
      <c r="L9" s="20" t="s">
        <v>76</v>
      </c>
      <c r="M9" s="26" t="s">
        <v>76</v>
      </c>
      <c r="N9" s="20" t="s">
        <v>76</v>
      </c>
      <c r="O9" s="20" t="s">
        <v>76</v>
      </c>
      <c r="P9" s="26" t="s">
        <v>76</v>
      </c>
    </row>
    <row r="10" spans="1:16">
      <c r="A10" s="9" t="s">
        <v>265</v>
      </c>
      <c r="B10" s="15">
        <v>17.063246167639999</v>
      </c>
      <c r="C10" s="15">
        <v>16.092843940342199</v>
      </c>
      <c r="D10" s="24">
        <v>17.846914540762199</v>
      </c>
      <c r="E10" s="15">
        <v>22.415220622287599</v>
      </c>
      <c r="F10" s="15">
        <v>21.5642201012915</v>
      </c>
      <c r="G10" s="24">
        <v>23.107406092335701</v>
      </c>
      <c r="H10" s="15">
        <v>11.3719519242728</v>
      </c>
      <c r="I10" s="15">
        <v>10.1196561751124</v>
      </c>
      <c r="J10" s="24">
        <v>12.405375488695899</v>
      </c>
      <c r="K10" s="20" t="s">
        <v>76</v>
      </c>
      <c r="L10" s="20" t="s">
        <v>76</v>
      </c>
      <c r="M10" s="26" t="s">
        <v>76</v>
      </c>
      <c r="N10" s="20" t="s">
        <v>76</v>
      </c>
      <c r="O10" s="20" t="s">
        <v>76</v>
      </c>
      <c r="P10" s="26" t="s">
        <v>76</v>
      </c>
    </row>
    <row r="11" spans="1:16">
      <c r="A11" s="9" t="s">
        <v>266</v>
      </c>
      <c r="B11" s="15">
        <v>20.5366516598339</v>
      </c>
      <c r="C11" s="15">
        <v>20.015058729891301</v>
      </c>
      <c r="D11" s="24">
        <v>20.9578748097213</v>
      </c>
      <c r="E11" s="15">
        <v>21.557971895345599</v>
      </c>
      <c r="F11" s="15">
        <v>20.813619845838598</v>
      </c>
      <c r="G11" s="24">
        <v>22.163411798797501</v>
      </c>
      <c r="H11" s="15">
        <v>19.353596186232402</v>
      </c>
      <c r="I11" s="15">
        <v>18.919554541891699</v>
      </c>
      <c r="J11" s="24">
        <v>19.711777441341901</v>
      </c>
      <c r="K11" s="20" t="s">
        <v>76</v>
      </c>
      <c r="L11" s="20" t="s">
        <v>76</v>
      </c>
      <c r="M11" s="26" t="s">
        <v>76</v>
      </c>
      <c r="N11" s="20" t="s">
        <v>76</v>
      </c>
      <c r="O11" s="20" t="s">
        <v>76</v>
      </c>
      <c r="P11" s="26" t="s">
        <v>76</v>
      </c>
    </row>
    <row r="12" spans="1:16">
      <c r="A12" s="9" t="s">
        <v>267</v>
      </c>
      <c r="B12" s="15">
        <v>6.4367907097881396</v>
      </c>
      <c r="C12" s="15">
        <v>7.9557241485810302</v>
      </c>
      <c r="D12" s="24">
        <v>5.21014462080052</v>
      </c>
      <c r="E12" s="15">
        <v>7.1263445884049696</v>
      </c>
      <c r="F12" s="15">
        <v>8.5063747547823105</v>
      </c>
      <c r="G12" s="24">
        <v>6.0038578145114299</v>
      </c>
      <c r="H12" s="15">
        <v>5.3852498600790399</v>
      </c>
      <c r="I12" s="15">
        <v>7.0664660893926596</v>
      </c>
      <c r="J12" s="24">
        <v>3.9978711442861599</v>
      </c>
      <c r="K12" s="20" t="s">
        <v>76</v>
      </c>
      <c r="L12" s="20" t="s">
        <v>76</v>
      </c>
      <c r="M12" s="26" t="s">
        <v>76</v>
      </c>
      <c r="N12" s="20" t="s">
        <v>76</v>
      </c>
      <c r="O12" s="20" t="s">
        <v>76</v>
      </c>
      <c r="P12" s="26" t="s">
        <v>76</v>
      </c>
    </row>
    <row r="13" spans="1:16">
      <c r="A13" s="9" t="s">
        <v>268</v>
      </c>
      <c r="B13" s="15">
        <v>4.8048522942341796</v>
      </c>
      <c r="C13" s="15">
        <v>6.9514244565052303</v>
      </c>
      <c r="D13" s="24">
        <v>3.0713435832323199</v>
      </c>
      <c r="E13" s="15">
        <v>1.70571256731244</v>
      </c>
      <c r="F13" s="15">
        <v>1.97377695422981</v>
      </c>
      <c r="G13" s="24">
        <v>1.4876747764020399</v>
      </c>
      <c r="H13" s="15">
        <v>7.9091554139490601</v>
      </c>
      <c r="I13" s="15">
        <v>11.970219241090399</v>
      </c>
      <c r="J13" s="24">
        <v>4.5578711359281998</v>
      </c>
      <c r="K13" s="20" t="s">
        <v>76</v>
      </c>
      <c r="L13" s="20" t="s">
        <v>76</v>
      </c>
      <c r="M13" s="26" t="s">
        <v>76</v>
      </c>
      <c r="N13" s="20" t="s">
        <v>76</v>
      </c>
      <c r="O13" s="20" t="s">
        <v>76</v>
      </c>
      <c r="P13" s="26" t="s">
        <v>76</v>
      </c>
    </row>
    <row r="14" spans="1:16">
      <c r="A14" s="9" t="s">
        <v>269</v>
      </c>
      <c r="B14" s="15">
        <v>28.3883570704009</v>
      </c>
      <c r="C14" s="15">
        <v>32.651023903709003</v>
      </c>
      <c r="D14" s="24">
        <v>24.945952376295299</v>
      </c>
      <c r="E14" s="15">
        <v>28.9031926439025</v>
      </c>
      <c r="F14" s="15">
        <v>33.213198683533399</v>
      </c>
      <c r="G14" s="24">
        <v>25.397526686188701</v>
      </c>
      <c r="H14" s="15">
        <v>27.492193260613501</v>
      </c>
      <c r="I14" s="15">
        <v>31.8948124921152</v>
      </c>
      <c r="J14" s="24">
        <v>23.8590495227497</v>
      </c>
      <c r="K14" s="15">
        <v>39.5696947874887</v>
      </c>
      <c r="L14" s="20" t="s">
        <v>76</v>
      </c>
      <c r="M14" s="26" t="s">
        <v>76</v>
      </c>
      <c r="N14" s="15">
        <v>31.4874197117779</v>
      </c>
      <c r="O14" s="20" t="s">
        <v>76</v>
      </c>
      <c r="P14" s="26" t="s">
        <v>76</v>
      </c>
    </row>
    <row r="15" spans="1:16">
      <c r="A15" s="9" t="s">
        <v>270</v>
      </c>
      <c r="B15" s="15">
        <v>34.070205225213698</v>
      </c>
      <c r="C15" s="15">
        <v>38.952571878562999</v>
      </c>
      <c r="D15" s="24">
        <v>30.127349134630801</v>
      </c>
      <c r="E15" s="15">
        <v>41.490977281762603</v>
      </c>
      <c r="F15" s="15">
        <v>46.299905478945298</v>
      </c>
      <c r="G15" s="24">
        <v>37.579498801468802</v>
      </c>
      <c r="H15" s="15">
        <v>26.6109770014479</v>
      </c>
      <c r="I15" s="15">
        <v>31.108340470187201</v>
      </c>
      <c r="J15" s="24">
        <v>22.899648116489001</v>
      </c>
      <c r="K15" s="20" t="s">
        <v>76</v>
      </c>
      <c r="L15" s="20" t="s">
        <v>76</v>
      </c>
      <c r="M15" s="26" t="s">
        <v>76</v>
      </c>
      <c r="N15" s="15">
        <v>31.829779158895601</v>
      </c>
      <c r="O15" s="15">
        <v>45.900948823462102</v>
      </c>
      <c r="P15" s="26" t="s">
        <v>76</v>
      </c>
    </row>
    <row r="16" spans="1:16">
      <c r="A16" s="9" t="s">
        <v>271</v>
      </c>
      <c r="B16" s="15">
        <v>2.2616820337506498</v>
      </c>
      <c r="C16" s="15">
        <v>3.2287235551020999</v>
      </c>
      <c r="D16" s="24">
        <v>1.48072766816825</v>
      </c>
      <c r="E16" s="15">
        <v>2.71888299835389</v>
      </c>
      <c r="F16" s="15">
        <v>4.01395441454593</v>
      </c>
      <c r="G16" s="24">
        <v>1.66549983953556</v>
      </c>
      <c r="H16" s="15">
        <v>1.6417732434949901</v>
      </c>
      <c r="I16" s="15">
        <v>2.27319796808793</v>
      </c>
      <c r="J16" s="26" t="s">
        <v>76</v>
      </c>
      <c r="K16" s="20" t="s">
        <v>76</v>
      </c>
      <c r="L16" s="20" t="s">
        <v>76</v>
      </c>
      <c r="M16" s="26" t="s">
        <v>76</v>
      </c>
      <c r="N16" s="20" t="s">
        <v>76</v>
      </c>
      <c r="O16" s="20" t="s">
        <v>76</v>
      </c>
      <c r="P16" s="26" t="s">
        <v>76</v>
      </c>
    </row>
    <row r="17" spans="1:16">
      <c r="A17" s="9" t="s">
        <v>272</v>
      </c>
      <c r="B17" s="15">
        <v>66.416304642599997</v>
      </c>
      <c r="C17" s="15">
        <v>67.1401286334834</v>
      </c>
      <c r="D17" s="24">
        <v>65.831765620114496</v>
      </c>
      <c r="E17" s="15">
        <v>66.820354532765904</v>
      </c>
      <c r="F17" s="15">
        <v>67.215875173940404</v>
      </c>
      <c r="G17" s="24">
        <v>66.498646573521995</v>
      </c>
      <c r="H17" s="15">
        <v>66.168468598986493</v>
      </c>
      <c r="I17" s="15">
        <v>66.912608023227193</v>
      </c>
      <c r="J17" s="24">
        <v>65.554387447036504</v>
      </c>
      <c r="K17" s="15">
        <v>70.068900567640796</v>
      </c>
      <c r="L17" s="20" t="s">
        <v>76</v>
      </c>
      <c r="M17" s="24">
        <v>65.684731440731795</v>
      </c>
      <c r="N17" s="15">
        <v>59.602649054243798</v>
      </c>
      <c r="O17" s="15">
        <v>65.754700120672197</v>
      </c>
      <c r="P17" s="24">
        <v>55.377250551745703</v>
      </c>
    </row>
    <row r="18" spans="1:16">
      <c r="A18" s="9" t="s">
        <v>273</v>
      </c>
      <c r="B18" s="15">
        <v>37.591626402252203</v>
      </c>
      <c r="C18" s="15">
        <v>46.367823069177902</v>
      </c>
      <c r="D18" s="24">
        <v>30.5042274137713</v>
      </c>
      <c r="E18" s="15">
        <v>21.249535173927999</v>
      </c>
      <c r="F18" s="15">
        <v>32.813198441582301</v>
      </c>
      <c r="G18" s="24">
        <v>11.8439008682852</v>
      </c>
      <c r="H18" s="15">
        <v>54.2840423017674</v>
      </c>
      <c r="I18" s="15">
        <v>60.363606528480403</v>
      </c>
      <c r="J18" s="24">
        <v>49.267044569785597</v>
      </c>
      <c r="K18" s="15">
        <v>49.541389449866998</v>
      </c>
      <c r="L18" s="20" t="s">
        <v>76</v>
      </c>
      <c r="M18" s="24">
        <v>48.961379010840197</v>
      </c>
      <c r="N18" s="15">
        <v>43.501458375743198</v>
      </c>
      <c r="O18" s="15">
        <v>48.824632947149503</v>
      </c>
      <c r="P18" s="24">
        <v>39.845355131526397</v>
      </c>
    </row>
    <row r="19" spans="1:16">
      <c r="A19" s="9" t="s">
        <v>274</v>
      </c>
      <c r="B19" s="15">
        <v>38.793854133700997</v>
      </c>
      <c r="C19" s="15">
        <v>42.709139025223898</v>
      </c>
      <c r="D19" s="24">
        <v>35.631984905727798</v>
      </c>
      <c r="E19" s="15">
        <v>40.871482005565298</v>
      </c>
      <c r="F19" s="15">
        <v>45.855215505632401</v>
      </c>
      <c r="G19" s="24">
        <v>36.817820661972803</v>
      </c>
      <c r="H19" s="15">
        <v>36.396060386015002</v>
      </c>
      <c r="I19" s="15">
        <v>39.255894005993397</v>
      </c>
      <c r="J19" s="24">
        <v>34.036059200036298</v>
      </c>
      <c r="K19" s="15">
        <v>39.493074036188602</v>
      </c>
      <c r="L19" s="20" t="s">
        <v>76</v>
      </c>
      <c r="M19" s="26" t="s">
        <v>76</v>
      </c>
      <c r="N19" s="15">
        <v>44.141914281162101</v>
      </c>
      <c r="O19" s="15">
        <v>48.666201952801799</v>
      </c>
      <c r="P19" s="24">
        <v>41.034508613329201</v>
      </c>
    </row>
    <row r="20" spans="1:16">
      <c r="A20" s="9" t="s">
        <v>275</v>
      </c>
      <c r="B20" s="15">
        <v>3.1987541028502502</v>
      </c>
      <c r="C20" s="15">
        <v>4.4892066757481501</v>
      </c>
      <c r="D20" s="24">
        <v>2.1566224589335898</v>
      </c>
      <c r="E20" s="15">
        <v>3.8566585268651399</v>
      </c>
      <c r="F20" s="15">
        <v>5.4647707763779403</v>
      </c>
      <c r="G20" s="24">
        <v>2.5486547056495801</v>
      </c>
      <c r="H20" s="15">
        <v>2.3854049679021099</v>
      </c>
      <c r="I20" s="15">
        <v>3.3449489451462302</v>
      </c>
      <c r="J20" s="24">
        <v>1.5935669712874601</v>
      </c>
      <c r="K20" s="20" t="s">
        <v>76</v>
      </c>
      <c r="L20" s="20" t="s">
        <v>76</v>
      </c>
      <c r="M20" s="26" t="s">
        <v>76</v>
      </c>
      <c r="N20" s="20" t="s">
        <v>76</v>
      </c>
      <c r="O20" s="20" t="s">
        <v>76</v>
      </c>
      <c r="P20" s="26" t="s">
        <v>76</v>
      </c>
    </row>
    <row r="21" spans="1:16">
      <c r="A21" s="9" t="s">
        <v>276</v>
      </c>
      <c r="B21" s="15">
        <v>14.827574932337001</v>
      </c>
      <c r="C21" s="15">
        <v>14.3332948155642</v>
      </c>
      <c r="D21" s="24">
        <v>15.226741055498801</v>
      </c>
      <c r="E21" s="15">
        <v>11.875622553953701</v>
      </c>
      <c r="F21" s="15">
        <v>14.1790343114056</v>
      </c>
      <c r="G21" s="24">
        <v>10.0020771086698</v>
      </c>
      <c r="H21" s="15">
        <v>17.797162714080802</v>
      </c>
      <c r="I21" s="15">
        <v>14.320449754856901</v>
      </c>
      <c r="J21" s="24">
        <v>20.666227071446599</v>
      </c>
      <c r="K21" s="20" t="s">
        <v>76</v>
      </c>
      <c r="L21" s="20" t="s">
        <v>76</v>
      </c>
      <c r="M21" s="26" t="s">
        <v>76</v>
      </c>
      <c r="N21" s="20" t="s">
        <v>76</v>
      </c>
      <c r="O21" s="20" t="s">
        <v>76</v>
      </c>
      <c r="P21" s="26" t="s">
        <v>76</v>
      </c>
    </row>
    <row r="22" spans="1:16">
      <c r="A22" s="9" t="s">
        <v>277</v>
      </c>
      <c r="B22" s="15">
        <v>17.076436491288302</v>
      </c>
      <c r="C22" s="15">
        <v>18.9253362561772</v>
      </c>
      <c r="D22" s="24">
        <v>15.5833192765317</v>
      </c>
      <c r="E22" s="15">
        <v>22.687836781394001</v>
      </c>
      <c r="F22" s="15">
        <v>23.345151520955302</v>
      </c>
      <c r="G22" s="24">
        <v>22.153191148697601</v>
      </c>
      <c r="H22" s="15">
        <v>11.2562780545113</v>
      </c>
      <c r="I22" s="15">
        <v>14.191406150489099</v>
      </c>
      <c r="J22" s="24">
        <v>8.8341421165612992</v>
      </c>
      <c r="K22" s="20" t="s">
        <v>76</v>
      </c>
      <c r="L22" s="20" t="s">
        <v>76</v>
      </c>
      <c r="M22" s="26" t="s">
        <v>76</v>
      </c>
      <c r="N22" s="20" t="s">
        <v>76</v>
      </c>
      <c r="O22" s="20" t="s">
        <v>76</v>
      </c>
      <c r="P22" s="26" t="s">
        <v>76</v>
      </c>
    </row>
    <row r="23" spans="1:16">
      <c r="A23" s="9" t="s">
        <v>278</v>
      </c>
      <c r="B23" s="15">
        <v>25.855371351963498</v>
      </c>
      <c r="C23" s="15">
        <v>24.884144487877599</v>
      </c>
      <c r="D23" s="24">
        <v>26.639705677565999</v>
      </c>
      <c r="E23" s="15">
        <v>19.161228133784601</v>
      </c>
      <c r="F23" s="15">
        <v>21.410452087163399</v>
      </c>
      <c r="G23" s="24">
        <v>17.3317578796525</v>
      </c>
      <c r="H23" s="15">
        <v>32.924460277358598</v>
      </c>
      <c r="I23" s="15">
        <v>28.332029303944701</v>
      </c>
      <c r="J23" s="24">
        <v>36.714241077216499</v>
      </c>
      <c r="K23" s="20" t="s">
        <v>76</v>
      </c>
      <c r="L23" s="20" t="s">
        <v>76</v>
      </c>
      <c r="M23" s="26" t="s">
        <v>76</v>
      </c>
      <c r="N23" s="15">
        <v>25.4475540374692</v>
      </c>
      <c r="O23" s="20" t="s">
        <v>76</v>
      </c>
      <c r="P23" s="26" t="s">
        <v>76</v>
      </c>
    </row>
    <row r="24" spans="1:16">
      <c r="A24" s="9" t="s">
        <v>279</v>
      </c>
      <c r="B24" s="15">
        <v>63.594869884824803</v>
      </c>
      <c r="C24" s="15">
        <v>67.390106725580395</v>
      </c>
      <c r="D24" s="24">
        <v>60.529947941178399</v>
      </c>
      <c r="E24" s="15">
        <v>76.355617126178998</v>
      </c>
      <c r="F24" s="15">
        <v>78.716192297998504</v>
      </c>
      <c r="G24" s="24">
        <v>74.435576192505494</v>
      </c>
      <c r="H24" s="15">
        <v>50.835154226883397</v>
      </c>
      <c r="I24" s="15">
        <v>55.556181908449801</v>
      </c>
      <c r="J24" s="24">
        <v>46.939252433960398</v>
      </c>
      <c r="K24" s="15">
        <v>52.587728247827201</v>
      </c>
      <c r="L24" s="20" t="s">
        <v>76</v>
      </c>
      <c r="M24" s="24">
        <v>51.251172319802102</v>
      </c>
      <c r="N24" s="15">
        <v>52.598344885520099</v>
      </c>
      <c r="O24" s="15">
        <v>70.426522019722398</v>
      </c>
      <c r="P24" s="24">
        <v>40.3534606750801</v>
      </c>
    </row>
    <row r="25" spans="1:16">
      <c r="A25" s="9" t="s">
        <v>280</v>
      </c>
      <c r="B25" s="15">
        <v>1.8744091669263501</v>
      </c>
      <c r="C25" s="15">
        <v>2.8584436455288502</v>
      </c>
      <c r="D25" s="24">
        <v>1.07973178753704</v>
      </c>
      <c r="E25" s="15">
        <v>2.0507336468110799</v>
      </c>
      <c r="F25" s="15">
        <v>3.04096192864694</v>
      </c>
      <c r="G25" s="26" t="s">
        <v>76</v>
      </c>
      <c r="H25" s="15">
        <v>1.4260144165101301</v>
      </c>
      <c r="I25" s="15">
        <v>2.4589059173273999</v>
      </c>
      <c r="J25" s="26" t="s">
        <v>76</v>
      </c>
      <c r="K25" s="20" t="s">
        <v>76</v>
      </c>
      <c r="L25" s="20" t="s">
        <v>76</v>
      </c>
      <c r="M25" s="26" t="s">
        <v>76</v>
      </c>
      <c r="N25" s="20" t="s">
        <v>76</v>
      </c>
      <c r="O25" s="20" t="s">
        <v>76</v>
      </c>
      <c r="P25" s="26" t="s">
        <v>76</v>
      </c>
    </row>
    <row r="26" spans="1:16">
      <c r="A26" s="9" t="s">
        <v>281</v>
      </c>
      <c r="B26" s="15">
        <v>31.207037877123199</v>
      </c>
      <c r="C26" s="15">
        <v>34.814201348415402</v>
      </c>
      <c r="D26" s="24">
        <v>28.293998469737598</v>
      </c>
      <c r="E26" s="15">
        <v>35.351527045886797</v>
      </c>
      <c r="F26" s="15">
        <v>39.307988827439601</v>
      </c>
      <c r="G26" s="24">
        <v>32.133426362721003</v>
      </c>
      <c r="H26" s="15">
        <v>26.7961171449479</v>
      </c>
      <c r="I26" s="15">
        <v>30.011850008994799</v>
      </c>
      <c r="J26" s="24">
        <v>24.142419629146701</v>
      </c>
      <c r="K26" s="20" t="s">
        <v>76</v>
      </c>
      <c r="L26" s="20" t="s">
        <v>76</v>
      </c>
      <c r="M26" s="26" t="s">
        <v>76</v>
      </c>
      <c r="N26" s="15">
        <v>32.071891578930099</v>
      </c>
      <c r="O26" s="20" t="s">
        <v>76</v>
      </c>
      <c r="P26" s="26" t="s">
        <v>76</v>
      </c>
    </row>
    <row r="27" spans="1:16">
      <c r="A27" s="9" t="s">
        <v>282</v>
      </c>
      <c r="B27" s="15">
        <v>17.4859506616834</v>
      </c>
      <c r="C27" s="15">
        <v>22.559725214914099</v>
      </c>
      <c r="D27" s="24">
        <v>13.3885191658889</v>
      </c>
      <c r="E27" s="15">
        <v>8.0411653033345996</v>
      </c>
      <c r="F27" s="15">
        <v>9.8564352884186608</v>
      </c>
      <c r="G27" s="24">
        <v>6.5646638478253596</v>
      </c>
      <c r="H27" s="15">
        <v>27.394130731702401</v>
      </c>
      <c r="I27" s="15">
        <v>36.048556867993902</v>
      </c>
      <c r="J27" s="24">
        <v>20.252297093923001</v>
      </c>
      <c r="K27" s="20" t="s">
        <v>76</v>
      </c>
      <c r="L27" s="20" t="s">
        <v>76</v>
      </c>
      <c r="M27" s="26" t="s">
        <v>76</v>
      </c>
      <c r="N27" s="20" t="s">
        <v>76</v>
      </c>
      <c r="O27" s="20" t="s">
        <v>76</v>
      </c>
      <c r="P27" s="26" t="s">
        <v>76</v>
      </c>
    </row>
    <row r="28" spans="1:16">
      <c r="A28" s="9" t="s">
        <v>283</v>
      </c>
      <c r="B28" s="15">
        <v>18.476457852549999</v>
      </c>
      <c r="C28" s="15">
        <v>23.804252618268698</v>
      </c>
      <c r="D28" s="24">
        <v>14.1738870845438</v>
      </c>
      <c r="E28" s="15">
        <v>10.862545087538001</v>
      </c>
      <c r="F28" s="15">
        <v>15.0873128138112</v>
      </c>
      <c r="G28" s="24">
        <v>7.4262101355545598</v>
      </c>
      <c r="H28" s="15">
        <v>26.1544522019203</v>
      </c>
      <c r="I28" s="15">
        <v>32.510671580827101</v>
      </c>
      <c r="J28" s="24">
        <v>20.909152206924499</v>
      </c>
      <c r="K28" s="20" t="s">
        <v>76</v>
      </c>
      <c r="L28" s="20" t="s">
        <v>76</v>
      </c>
      <c r="M28" s="26" t="s">
        <v>76</v>
      </c>
      <c r="N28" s="15">
        <v>18.637846502681501</v>
      </c>
      <c r="O28" s="20" t="s">
        <v>76</v>
      </c>
      <c r="P28" s="26" t="s">
        <v>76</v>
      </c>
    </row>
    <row r="29" spans="1:16">
      <c r="A29" s="9" t="s">
        <v>284</v>
      </c>
      <c r="B29" s="15">
        <v>2.5021329004882702</v>
      </c>
      <c r="C29" s="15">
        <v>3.4499823890511498</v>
      </c>
      <c r="D29" s="24">
        <v>1.7366774576095101</v>
      </c>
      <c r="E29" s="15">
        <v>3.02076893240837</v>
      </c>
      <c r="F29" s="15">
        <v>4.23648106941521</v>
      </c>
      <c r="G29" s="24">
        <v>2.0319348997188902</v>
      </c>
      <c r="H29" s="15">
        <v>1.80837228145092</v>
      </c>
      <c r="I29" s="15">
        <v>2.4175497595542899</v>
      </c>
      <c r="J29" s="26" t="s">
        <v>76</v>
      </c>
      <c r="K29" s="20" t="s">
        <v>76</v>
      </c>
      <c r="L29" s="20" t="s">
        <v>76</v>
      </c>
      <c r="M29" s="26" t="s">
        <v>76</v>
      </c>
      <c r="N29" s="20" t="s">
        <v>76</v>
      </c>
      <c r="O29" s="20" t="s">
        <v>76</v>
      </c>
      <c r="P29" s="26" t="s">
        <v>76</v>
      </c>
    </row>
    <row r="30" spans="1:16">
      <c r="A30" s="9" t="s">
        <v>285</v>
      </c>
      <c r="B30" s="15">
        <v>7.4161446553297399</v>
      </c>
      <c r="C30" s="15">
        <v>8.4418921403212703</v>
      </c>
      <c r="D30" s="24">
        <v>6.5877810755841599</v>
      </c>
      <c r="E30" s="15">
        <v>8.7142737809145796</v>
      </c>
      <c r="F30" s="15">
        <v>11.052406384389799</v>
      </c>
      <c r="G30" s="24">
        <v>6.81248714830806</v>
      </c>
      <c r="H30" s="15">
        <v>5.6906109643282603</v>
      </c>
      <c r="I30" s="15">
        <v>5.5739242495010703</v>
      </c>
      <c r="J30" s="24">
        <v>5.7869035540286999</v>
      </c>
      <c r="K30" s="20" t="s">
        <v>76</v>
      </c>
      <c r="L30" s="20" t="s">
        <v>76</v>
      </c>
      <c r="M30" s="26" t="s">
        <v>76</v>
      </c>
      <c r="N30" s="20" t="s">
        <v>76</v>
      </c>
      <c r="O30" s="20" t="s">
        <v>76</v>
      </c>
      <c r="P30" s="26" t="s">
        <v>76</v>
      </c>
    </row>
    <row r="31" spans="1:16">
      <c r="A31" s="9" t="s">
        <v>286</v>
      </c>
      <c r="B31" s="15">
        <v>10.925601024191501</v>
      </c>
      <c r="C31" s="15">
        <v>13.8849139554664</v>
      </c>
      <c r="D31" s="24">
        <v>8.5357467089663803</v>
      </c>
      <c r="E31" s="15">
        <v>12.888113306137001</v>
      </c>
      <c r="F31" s="15">
        <v>17.616470712885999</v>
      </c>
      <c r="G31" s="24">
        <v>9.0421693690924805</v>
      </c>
      <c r="H31" s="15">
        <v>8.6562020276164393</v>
      </c>
      <c r="I31" s="15">
        <v>9.9701483334700693</v>
      </c>
      <c r="J31" s="24">
        <v>7.5719029906149702</v>
      </c>
      <c r="K31" s="20" t="s">
        <v>76</v>
      </c>
      <c r="L31" s="20" t="s">
        <v>76</v>
      </c>
      <c r="M31" s="26" t="s">
        <v>76</v>
      </c>
      <c r="N31" s="20" t="s">
        <v>76</v>
      </c>
      <c r="O31" s="20" t="s">
        <v>76</v>
      </c>
      <c r="P31" s="26" t="s">
        <v>76</v>
      </c>
    </row>
    <row r="32" spans="1:16">
      <c r="A32" s="9" t="s">
        <v>287</v>
      </c>
      <c r="B32" s="15">
        <v>1.4365201196383801</v>
      </c>
      <c r="C32" s="15">
        <v>1.6747264731486999</v>
      </c>
      <c r="D32" s="24">
        <v>1.24415165605538</v>
      </c>
      <c r="E32" s="15">
        <v>1.3255695258917599</v>
      </c>
      <c r="F32" s="15">
        <v>1.4845642542772699</v>
      </c>
      <c r="G32" s="26" t="s">
        <v>76</v>
      </c>
      <c r="H32" s="15">
        <v>1.4218319586786099</v>
      </c>
      <c r="I32" s="15">
        <v>1.7651102322360701</v>
      </c>
      <c r="J32" s="26" t="s">
        <v>76</v>
      </c>
      <c r="K32" s="20" t="s">
        <v>76</v>
      </c>
      <c r="L32" s="20" t="s">
        <v>76</v>
      </c>
      <c r="M32" s="26" t="s">
        <v>76</v>
      </c>
      <c r="N32" s="20" t="s">
        <v>76</v>
      </c>
      <c r="O32" s="20" t="s">
        <v>76</v>
      </c>
      <c r="P32" s="26" t="s">
        <v>76</v>
      </c>
    </row>
    <row r="33" spans="1:16">
      <c r="A33" s="9" t="s">
        <v>288</v>
      </c>
      <c r="B33" s="15">
        <v>8.0029984437833797</v>
      </c>
      <c r="C33" s="15">
        <v>11.065205116746499</v>
      </c>
      <c r="D33" s="24">
        <v>5.5300501610415704</v>
      </c>
      <c r="E33" s="15">
        <v>7.4180213451670198</v>
      </c>
      <c r="F33" s="15">
        <v>10.072943507392401</v>
      </c>
      <c r="G33" s="24">
        <v>5.2585649177485596</v>
      </c>
      <c r="H33" s="15">
        <v>8.4682010840766004</v>
      </c>
      <c r="I33" s="15">
        <v>11.781334062506501</v>
      </c>
      <c r="J33" s="24">
        <v>5.7341267296185201</v>
      </c>
      <c r="K33" s="20" t="s">
        <v>76</v>
      </c>
      <c r="L33" s="20" t="s">
        <v>76</v>
      </c>
      <c r="M33" s="26" t="s">
        <v>76</v>
      </c>
      <c r="N33" s="20" t="s">
        <v>76</v>
      </c>
      <c r="O33" s="20" t="s">
        <v>76</v>
      </c>
      <c r="P33" s="26" t="s">
        <v>76</v>
      </c>
    </row>
    <row r="34" spans="1:16">
      <c r="A34" s="9" t="s">
        <v>289</v>
      </c>
      <c r="B34" s="15">
        <v>23.230247826386901</v>
      </c>
      <c r="C34" s="15">
        <v>22.117815709318599</v>
      </c>
      <c r="D34" s="24">
        <v>24.128615372202798</v>
      </c>
      <c r="E34" s="15">
        <v>29.833524036251301</v>
      </c>
      <c r="F34" s="15">
        <v>28.327673021439601</v>
      </c>
      <c r="G34" s="24">
        <v>31.058350774653199</v>
      </c>
      <c r="H34" s="15">
        <v>16.253748793194699</v>
      </c>
      <c r="I34" s="15">
        <v>15.476636395249701</v>
      </c>
      <c r="J34" s="24">
        <v>16.895040009570799</v>
      </c>
      <c r="K34" s="20" t="s">
        <v>76</v>
      </c>
      <c r="L34" s="20" t="s">
        <v>76</v>
      </c>
      <c r="M34" s="26" t="s">
        <v>76</v>
      </c>
      <c r="N34" s="15">
        <v>23.269223742331899</v>
      </c>
      <c r="O34" s="20" t="s">
        <v>76</v>
      </c>
      <c r="P34" s="26" t="s">
        <v>76</v>
      </c>
    </row>
    <row r="35" spans="1:16">
      <c r="A35" s="9" t="s">
        <v>290</v>
      </c>
      <c r="B35" s="15">
        <v>25.881918033076001</v>
      </c>
      <c r="C35" s="15">
        <v>23.383825589657899</v>
      </c>
      <c r="D35" s="24">
        <v>27.899304211685301</v>
      </c>
      <c r="E35" s="15">
        <v>34.098267289157903</v>
      </c>
      <c r="F35" s="15">
        <v>28.710924138725101</v>
      </c>
      <c r="G35" s="24">
        <v>38.480216017612896</v>
      </c>
      <c r="H35" s="15">
        <v>17.458244189710701</v>
      </c>
      <c r="I35" s="15">
        <v>17.850849806003499</v>
      </c>
      <c r="J35" s="24">
        <v>17.134256908212901</v>
      </c>
      <c r="K35" s="20" t="s">
        <v>76</v>
      </c>
      <c r="L35" s="20" t="s">
        <v>76</v>
      </c>
      <c r="M35" s="26" t="s">
        <v>76</v>
      </c>
      <c r="N35" s="15">
        <v>21.243404227833199</v>
      </c>
      <c r="O35" s="20" t="s">
        <v>76</v>
      </c>
      <c r="P35" s="26" t="s">
        <v>76</v>
      </c>
    </row>
    <row r="36" spans="1:16">
      <c r="A36" s="9" t="s">
        <v>291</v>
      </c>
      <c r="B36" s="15">
        <v>28.072451880659901</v>
      </c>
      <c r="C36" s="15">
        <v>27.0662139394002</v>
      </c>
      <c r="D36" s="24">
        <v>28.885060125177901</v>
      </c>
      <c r="E36" s="15">
        <v>13.0349744075224</v>
      </c>
      <c r="F36" s="15">
        <v>18.855416969097501</v>
      </c>
      <c r="G36" s="24">
        <v>8.3007519588018308</v>
      </c>
      <c r="H36" s="15">
        <v>43.732172871623298</v>
      </c>
      <c r="I36" s="15">
        <v>35.793469787749402</v>
      </c>
      <c r="J36" s="24">
        <v>50.283375208078603</v>
      </c>
      <c r="K36" s="20" t="s">
        <v>76</v>
      </c>
      <c r="L36" s="20" t="s">
        <v>76</v>
      </c>
      <c r="M36" s="26" t="s">
        <v>76</v>
      </c>
      <c r="N36" s="15">
        <v>27.568336811256799</v>
      </c>
      <c r="O36" s="20" t="s">
        <v>76</v>
      </c>
      <c r="P36" s="26" t="s">
        <v>76</v>
      </c>
    </row>
    <row r="37" spans="1:16">
      <c r="A37" s="9" t="s">
        <v>292</v>
      </c>
      <c r="B37" s="15">
        <v>22.488115865651501</v>
      </c>
      <c r="C37" s="15">
        <v>20.837880800739502</v>
      </c>
      <c r="D37" s="24">
        <v>23.820797296309401</v>
      </c>
      <c r="E37" s="15">
        <v>19.951843545484699</v>
      </c>
      <c r="F37" s="15">
        <v>18.854897849138901</v>
      </c>
      <c r="G37" s="24">
        <v>20.844075516804399</v>
      </c>
      <c r="H37" s="15">
        <v>25.216706026407898</v>
      </c>
      <c r="I37" s="15">
        <v>22.7696511363817</v>
      </c>
      <c r="J37" s="24">
        <v>27.236072608531099</v>
      </c>
      <c r="K37" s="20" t="s">
        <v>76</v>
      </c>
      <c r="L37" s="20" t="s">
        <v>76</v>
      </c>
      <c r="M37" s="26" t="s">
        <v>76</v>
      </c>
      <c r="N37" s="15">
        <v>18.6174281478634</v>
      </c>
      <c r="O37" s="20" t="s">
        <v>76</v>
      </c>
      <c r="P37" s="26" t="s">
        <v>76</v>
      </c>
    </row>
    <row r="38" spans="1:16">
      <c r="A38" s="9" t="s">
        <v>293</v>
      </c>
      <c r="B38" s="15">
        <v>23.072480048991501</v>
      </c>
      <c r="C38" s="15">
        <v>31.108508270698302</v>
      </c>
      <c r="D38" s="24">
        <v>16.582819384871499</v>
      </c>
      <c r="E38" s="15">
        <v>28.608390357412901</v>
      </c>
      <c r="F38" s="15">
        <v>36.093932245917401</v>
      </c>
      <c r="G38" s="24">
        <v>22.519812027759901</v>
      </c>
      <c r="H38" s="15">
        <v>16.974775303169199</v>
      </c>
      <c r="I38" s="15">
        <v>25.531165294974301</v>
      </c>
      <c r="J38" s="24">
        <v>9.9138433708740408</v>
      </c>
      <c r="K38" s="20" t="s">
        <v>76</v>
      </c>
      <c r="L38" s="20" t="s">
        <v>76</v>
      </c>
      <c r="M38" s="26" t="s">
        <v>76</v>
      </c>
      <c r="N38" s="15">
        <v>33.123633821455499</v>
      </c>
      <c r="O38" s="20" t="s">
        <v>76</v>
      </c>
      <c r="P38" s="26" t="s">
        <v>76</v>
      </c>
    </row>
    <row r="39" spans="1:16">
      <c r="A39" s="9" t="s">
        <v>294</v>
      </c>
      <c r="B39" s="15">
        <v>43.387153939955098</v>
      </c>
      <c r="C39" s="15">
        <v>38.997477023084699</v>
      </c>
      <c r="D39" s="24">
        <v>46.932128251849498</v>
      </c>
      <c r="E39" s="15">
        <v>52.054750410574798</v>
      </c>
      <c r="F39" s="15">
        <v>48.478399767408199</v>
      </c>
      <c r="G39" s="24">
        <v>54.963676891724397</v>
      </c>
      <c r="H39" s="15">
        <v>34.683425580845402</v>
      </c>
      <c r="I39" s="15">
        <v>28.989069077841201</v>
      </c>
      <c r="J39" s="24">
        <v>39.382540944269003</v>
      </c>
      <c r="K39" s="15">
        <v>40.864911345805503</v>
      </c>
      <c r="L39" s="20" t="s">
        <v>76</v>
      </c>
      <c r="M39" s="26" t="s">
        <v>76</v>
      </c>
      <c r="N39" s="15">
        <v>34.067249451198002</v>
      </c>
      <c r="O39" s="15">
        <v>41.0031294147606</v>
      </c>
      <c r="P39" s="26" t="s">
        <v>76</v>
      </c>
    </row>
    <row r="40" spans="1:16">
      <c r="A40" s="9" t="s">
        <v>295</v>
      </c>
      <c r="B40" s="15">
        <v>14.1660565656105</v>
      </c>
      <c r="C40" s="15">
        <v>17.524292305875299</v>
      </c>
      <c r="D40" s="24">
        <v>11.4540438917912</v>
      </c>
      <c r="E40" s="15">
        <v>7.4372085975047302</v>
      </c>
      <c r="F40" s="15">
        <v>10.185899150870201</v>
      </c>
      <c r="G40" s="24">
        <v>5.20148298305807</v>
      </c>
      <c r="H40" s="15">
        <v>20.654525958750501</v>
      </c>
      <c r="I40" s="15">
        <v>25.019420369883399</v>
      </c>
      <c r="J40" s="24">
        <v>17.052513619646799</v>
      </c>
      <c r="K40" s="20" t="s">
        <v>76</v>
      </c>
      <c r="L40" s="20" t="s">
        <v>76</v>
      </c>
      <c r="M40" s="26" t="s">
        <v>76</v>
      </c>
      <c r="N40" s="15">
        <v>21.6826788427983</v>
      </c>
      <c r="O40" s="20" t="s">
        <v>76</v>
      </c>
      <c r="P40" s="26" t="s">
        <v>76</v>
      </c>
    </row>
    <row r="41" spans="1:16">
      <c r="A41" s="9" t="s">
        <v>296</v>
      </c>
      <c r="B41" s="15">
        <v>36.851663002955398</v>
      </c>
      <c r="C41" s="15">
        <v>38.676648686097501</v>
      </c>
      <c r="D41" s="24">
        <v>35.377858099125298</v>
      </c>
      <c r="E41" s="15">
        <v>38.722224852632898</v>
      </c>
      <c r="F41" s="15">
        <v>41.811240507969103</v>
      </c>
      <c r="G41" s="24">
        <v>36.209686140115402</v>
      </c>
      <c r="H41" s="15">
        <v>35.173994575901297</v>
      </c>
      <c r="I41" s="15">
        <v>35.585290628183699</v>
      </c>
      <c r="J41" s="24">
        <v>34.834583512126798</v>
      </c>
      <c r="K41" s="20" t="s">
        <v>76</v>
      </c>
      <c r="L41" s="20" t="s">
        <v>76</v>
      </c>
      <c r="M41" s="26" t="s">
        <v>76</v>
      </c>
      <c r="N41" s="15">
        <v>31.2561039584314</v>
      </c>
      <c r="O41" s="20" t="s">
        <v>76</v>
      </c>
      <c r="P41" s="26" t="s">
        <v>76</v>
      </c>
    </row>
    <row r="42" spans="1:16">
      <c r="A42" s="9" t="s">
        <v>297</v>
      </c>
      <c r="B42" s="15">
        <v>6.9281753390321903</v>
      </c>
      <c r="C42" s="15">
        <v>9.5695940297068098</v>
      </c>
      <c r="D42" s="24">
        <v>4.79504308745061</v>
      </c>
      <c r="E42" s="15">
        <v>7.4072893983871104</v>
      </c>
      <c r="F42" s="15">
        <v>9.7683544029668994</v>
      </c>
      <c r="G42" s="24">
        <v>5.4868500453106304</v>
      </c>
      <c r="H42" s="15">
        <v>6.2019115028513996</v>
      </c>
      <c r="I42" s="15">
        <v>9.2498808440669098</v>
      </c>
      <c r="J42" s="24">
        <v>3.68665634610214</v>
      </c>
      <c r="K42" s="20" t="s">
        <v>76</v>
      </c>
      <c r="L42" s="20" t="s">
        <v>76</v>
      </c>
      <c r="M42" s="26" t="s">
        <v>76</v>
      </c>
      <c r="N42" s="20" t="s">
        <v>76</v>
      </c>
      <c r="O42" s="20" t="s">
        <v>76</v>
      </c>
      <c r="P42" s="26" t="s">
        <v>76</v>
      </c>
    </row>
    <row r="43" spans="1:16">
      <c r="A43" s="9" t="s">
        <v>298</v>
      </c>
      <c r="B43" s="15">
        <v>45.378189956001101</v>
      </c>
      <c r="C43" s="15">
        <v>47.551587392596403</v>
      </c>
      <c r="D43" s="24">
        <v>43.6230179403438</v>
      </c>
      <c r="E43" s="15">
        <v>57.455175782633901</v>
      </c>
      <c r="F43" s="15">
        <v>58.502987711228499</v>
      </c>
      <c r="G43" s="24">
        <v>56.602908158323203</v>
      </c>
      <c r="H43" s="15">
        <v>33.218572294341698</v>
      </c>
      <c r="I43" s="15">
        <v>35.810134562360702</v>
      </c>
      <c r="J43" s="24">
        <v>31.079954864524598</v>
      </c>
      <c r="K43" s="15">
        <v>33.058775546534697</v>
      </c>
      <c r="L43" s="20" t="s">
        <v>76</v>
      </c>
      <c r="M43" s="26" t="s">
        <v>76</v>
      </c>
      <c r="N43" s="15">
        <v>38.294774580448397</v>
      </c>
      <c r="O43" s="15">
        <v>54.774557288615902</v>
      </c>
      <c r="P43" s="26" t="s">
        <v>76</v>
      </c>
    </row>
    <row r="44" spans="1:16">
      <c r="A44" s="9" t="s">
        <v>299</v>
      </c>
      <c r="B44" s="15">
        <v>72.437147768366501</v>
      </c>
      <c r="C44" s="15">
        <v>70.646466353200907</v>
      </c>
      <c r="D44" s="24">
        <v>73.883249551655396</v>
      </c>
      <c r="E44" s="15">
        <v>74.055804488127293</v>
      </c>
      <c r="F44" s="15">
        <v>73.651300892748196</v>
      </c>
      <c r="G44" s="24">
        <v>74.384818988583604</v>
      </c>
      <c r="H44" s="15">
        <v>70.793783585526199</v>
      </c>
      <c r="I44" s="15">
        <v>67.295704584078905</v>
      </c>
      <c r="J44" s="24">
        <v>73.680479697632705</v>
      </c>
      <c r="K44" s="15">
        <v>75.504358122620204</v>
      </c>
      <c r="L44" s="20" t="s">
        <v>76</v>
      </c>
      <c r="M44" s="24">
        <v>77.130666989698696</v>
      </c>
      <c r="N44" s="15">
        <v>69.151863803169306</v>
      </c>
      <c r="O44" s="15">
        <v>77.796617355376199</v>
      </c>
      <c r="P44" s="24">
        <v>63.214408421290301</v>
      </c>
    </row>
    <row r="45" spans="1:16">
      <c r="A45" s="9" t="s">
        <v>300</v>
      </c>
      <c r="B45" s="15">
        <v>4.6490130439998403</v>
      </c>
      <c r="C45" s="15">
        <v>6.4410502220328398</v>
      </c>
      <c r="D45" s="24">
        <v>3.2018163863889</v>
      </c>
      <c r="E45" s="15">
        <v>5.0672012796976196</v>
      </c>
      <c r="F45" s="15">
        <v>7.6228840027264697</v>
      </c>
      <c r="G45" s="24">
        <v>2.9884640718011499</v>
      </c>
      <c r="H45" s="15">
        <v>4.0318791170748201</v>
      </c>
      <c r="I45" s="15">
        <v>5.1527219183074804</v>
      </c>
      <c r="J45" s="24">
        <v>3.1069335811786298</v>
      </c>
      <c r="K45" s="20" t="s">
        <v>76</v>
      </c>
      <c r="L45" s="20" t="s">
        <v>76</v>
      </c>
      <c r="M45" s="26" t="s">
        <v>76</v>
      </c>
      <c r="N45" s="20" t="s">
        <v>76</v>
      </c>
      <c r="O45" s="20" t="s">
        <v>76</v>
      </c>
      <c r="P45" s="26" t="s">
        <v>76</v>
      </c>
    </row>
    <row r="46" spans="1:16">
      <c r="A46" s="9" t="s">
        <v>301</v>
      </c>
      <c r="B46" s="15">
        <v>20.992144639413301</v>
      </c>
      <c r="C46" s="15">
        <v>23.336170515661699</v>
      </c>
      <c r="D46" s="24">
        <v>19.099178101083101</v>
      </c>
      <c r="E46" s="15">
        <v>18.140309972006499</v>
      </c>
      <c r="F46" s="15">
        <v>22.714631458743298</v>
      </c>
      <c r="G46" s="24">
        <v>14.4196555301708</v>
      </c>
      <c r="H46" s="15">
        <v>23.333864888746501</v>
      </c>
      <c r="I46" s="15">
        <v>23.541039573834102</v>
      </c>
      <c r="J46" s="24">
        <v>23.162899522406502</v>
      </c>
      <c r="K46" s="20" t="s">
        <v>76</v>
      </c>
      <c r="L46" s="20" t="s">
        <v>76</v>
      </c>
      <c r="M46" s="26" t="s">
        <v>76</v>
      </c>
      <c r="N46" s="15">
        <v>28.975582395226599</v>
      </c>
      <c r="O46" s="20" t="s">
        <v>76</v>
      </c>
      <c r="P46" s="26" t="s">
        <v>76</v>
      </c>
    </row>
    <row r="47" spans="1:16">
      <c r="A47" s="9" t="s">
        <v>302</v>
      </c>
      <c r="B47" s="15">
        <v>9.9264757742552696</v>
      </c>
      <c r="C47" s="15">
        <v>9.5350759542075991</v>
      </c>
      <c r="D47" s="24">
        <v>10.242558787658099</v>
      </c>
      <c r="E47" s="15">
        <v>10.3825257426059</v>
      </c>
      <c r="F47" s="15">
        <v>10.197711268937599</v>
      </c>
      <c r="G47" s="24">
        <v>10.5328498495501</v>
      </c>
      <c r="H47" s="15">
        <v>9.2762239452055599</v>
      </c>
      <c r="I47" s="15">
        <v>8.6906918828840993</v>
      </c>
      <c r="J47" s="24">
        <v>9.7594186149422093</v>
      </c>
      <c r="K47" s="20" t="s">
        <v>76</v>
      </c>
      <c r="L47" s="20" t="s">
        <v>76</v>
      </c>
      <c r="M47" s="26" t="s">
        <v>76</v>
      </c>
      <c r="N47" s="20" t="s">
        <v>76</v>
      </c>
      <c r="O47" s="20" t="s">
        <v>76</v>
      </c>
      <c r="P47" s="26" t="s">
        <v>76</v>
      </c>
    </row>
    <row r="48" spans="1:16">
      <c r="A48" s="9" t="s">
        <v>303</v>
      </c>
      <c r="B48" s="15">
        <v>10.0382299499314</v>
      </c>
      <c r="C48" s="15">
        <v>10.1007329160604</v>
      </c>
      <c r="D48" s="24">
        <v>9.9877543879388799</v>
      </c>
      <c r="E48" s="15">
        <v>11.664385883808</v>
      </c>
      <c r="F48" s="15">
        <v>11.2704961392174</v>
      </c>
      <c r="G48" s="24">
        <v>11.9847673069444</v>
      </c>
      <c r="H48" s="15">
        <v>8.2115290560305993</v>
      </c>
      <c r="I48" s="15">
        <v>8.8469613207179894</v>
      </c>
      <c r="J48" s="24">
        <v>7.6871555792677304</v>
      </c>
      <c r="K48" s="20" t="s">
        <v>76</v>
      </c>
      <c r="L48" s="20" t="s">
        <v>76</v>
      </c>
      <c r="M48" s="26" t="s">
        <v>76</v>
      </c>
      <c r="N48" s="20" t="s">
        <v>76</v>
      </c>
      <c r="O48" s="20" t="s">
        <v>76</v>
      </c>
      <c r="P48" s="26" t="s">
        <v>76</v>
      </c>
    </row>
    <row r="49" spans="1:16">
      <c r="A49" s="9" t="s">
        <v>304</v>
      </c>
      <c r="B49" s="15">
        <v>14.164303280191801</v>
      </c>
      <c r="C49" s="15">
        <v>14.6099745522344</v>
      </c>
      <c r="D49" s="24">
        <v>13.8043922341492</v>
      </c>
      <c r="E49" s="15">
        <v>14.7815829531903</v>
      </c>
      <c r="F49" s="15">
        <v>15.204093208179801</v>
      </c>
      <c r="G49" s="24">
        <v>14.437922224160699</v>
      </c>
      <c r="H49" s="15">
        <v>13.3285583360076</v>
      </c>
      <c r="I49" s="15">
        <v>13.6977419325495</v>
      </c>
      <c r="J49" s="24">
        <v>13.023899449701799</v>
      </c>
      <c r="K49" s="20" t="s">
        <v>76</v>
      </c>
      <c r="L49" s="20" t="s">
        <v>76</v>
      </c>
      <c r="M49" s="26" t="s">
        <v>76</v>
      </c>
      <c r="N49" s="20" t="s">
        <v>76</v>
      </c>
      <c r="O49" s="20" t="s">
        <v>76</v>
      </c>
      <c r="P49" s="26" t="s">
        <v>76</v>
      </c>
    </row>
    <row r="50" spans="1:16">
      <c r="A50" s="9" t="s">
        <v>305</v>
      </c>
      <c r="B50" s="15">
        <v>60.446343594748903</v>
      </c>
      <c r="C50" s="15">
        <v>68.831175592659207</v>
      </c>
      <c r="D50" s="24">
        <v>53.674999232728197</v>
      </c>
      <c r="E50" s="15">
        <v>58.787263743517698</v>
      </c>
      <c r="F50" s="15">
        <v>68.053158860167798</v>
      </c>
      <c r="G50" s="24">
        <v>51.250584495391202</v>
      </c>
      <c r="H50" s="15">
        <v>62.381403878575803</v>
      </c>
      <c r="I50" s="15">
        <v>69.555859012480298</v>
      </c>
      <c r="J50" s="24">
        <v>56.460876716966197</v>
      </c>
      <c r="K50" s="15">
        <v>58.075345404586898</v>
      </c>
      <c r="L50" s="20" t="s">
        <v>76</v>
      </c>
      <c r="M50" s="24">
        <v>55.849164113001699</v>
      </c>
      <c r="N50" s="15">
        <v>56.669981520677602</v>
      </c>
      <c r="O50" s="15">
        <v>71.5296700118747</v>
      </c>
      <c r="P50" s="24">
        <v>46.463937256687998</v>
      </c>
    </row>
    <row r="51" spans="1:16">
      <c r="A51" s="9" t="s">
        <v>306</v>
      </c>
      <c r="B51" s="15">
        <v>34.675852832154497</v>
      </c>
      <c r="C51" s="15">
        <v>31.685718771741101</v>
      </c>
      <c r="D51" s="24">
        <v>37.090597387169097</v>
      </c>
      <c r="E51" s="15">
        <v>39.761771265374499</v>
      </c>
      <c r="F51" s="15">
        <v>37.922941417885298</v>
      </c>
      <c r="G51" s="24">
        <v>41.257435804842999</v>
      </c>
      <c r="H51" s="15">
        <v>29.319976603330801</v>
      </c>
      <c r="I51" s="15">
        <v>25.166440897440602</v>
      </c>
      <c r="J51" s="24">
        <v>32.747570825395997</v>
      </c>
      <c r="K51" s="15">
        <v>39.144086679038402</v>
      </c>
      <c r="L51" s="20" t="s">
        <v>76</v>
      </c>
      <c r="M51" s="26" t="s">
        <v>76</v>
      </c>
      <c r="N51" s="15">
        <v>32.453555735379297</v>
      </c>
      <c r="O51" s="20" t="s">
        <v>76</v>
      </c>
      <c r="P51" s="26" t="s">
        <v>76</v>
      </c>
    </row>
    <row r="52" spans="1:16">
      <c r="A52" s="9" t="s">
        <v>307</v>
      </c>
      <c r="B52" s="15">
        <v>16.273182608425799</v>
      </c>
      <c r="C52" s="15">
        <v>16.419390505900601</v>
      </c>
      <c r="D52" s="24">
        <v>16.1551093992673</v>
      </c>
      <c r="E52" s="15">
        <v>20.702534395179999</v>
      </c>
      <c r="F52" s="15">
        <v>21.0891721020806</v>
      </c>
      <c r="G52" s="24">
        <v>20.3880516230941</v>
      </c>
      <c r="H52" s="15">
        <v>11.2431451958088</v>
      </c>
      <c r="I52" s="15">
        <v>11.431827283378199</v>
      </c>
      <c r="J52" s="24">
        <v>11.087440350839501</v>
      </c>
      <c r="K52" s="20" t="s">
        <v>76</v>
      </c>
      <c r="L52" s="20" t="s">
        <v>76</v>
      </c>
      <c r="M52" s="26" t="s">
        <v>76</v>
      </c>
      <c r="N52" s="20" t="s">
        <v>76</v>
      </c>
      <c r="O52" s="20" t="s">
        <v>76</v>
      </c>
      <c r="P52" s="26" t="s">
        <v>76</v>
      </c>
    </row>
    <row r="53" spans="1:16">
      <c r="A53" s="9" t="s">
        <v>308</v>
      </c>
      <c r="B53" s="15">
        <v>36.472072968954102</v>
      </c>
      <c r="C53" s="15">
        <v>35.187537403922299</v>
      </c>
      <c r="D53" s="24">
        <v>37.509426210886801</v>
      </c>
      <c r="E53" s="15">
        <v>37.847454226692797</v>
      </c>
      <c r="F53" s="15">
        <v>37.6292615700306</v>
      </c>
      <c r="G53" s="24">
        <v>38.024927427808997</v>
      </c>
      <c r="H53" s="15">
        <v>35.0374811804652</v>
      </c>
      <c r="I53" s="15">
        <v>32.317003195230598</v>
      </c>
      <c r="J53" s="24">
        <v>37.282482857042297</v>
      </c>
      <c r="K53" s="15">
        <v>36.347183681981797</v>
      </c>
      <c r="L53" s="20" t="s">
        <v>76</v>
      </c>
      <c r="M53" s="26" t="s">
        <v>76</v>
      </c>
      <c r="N53" s="15">
        <v>36.265335617922297</v>
      </c>
      <c r="O53" s="15">
        <v>41.328335138215998</v>
      </c>
      <c r="P53" s="26" t="s">
        <v>76</v>
      </c>
    </row>
    <row r="54" spans="1:16">
      <c r="A54" s="9" t="s">
        <v>309</v>
      </c>
      <c r="B54" s="15">
        <v>40.383817258672799</v>
      </c>
      <c r="C54" s="15">
        <v>49.220927090996398</v>
      </c>
      <c r="D54" s="24">
        <v>33.247226584634802</v>
      </c>
      <c r="E54" s="15">
        <v>39.552749478294899</v>
      </c>
      <c r="F54" s="15">
        <v>49.508178291207898</v>
      </c>
      <c r="G54" s="24">
        <v>31.455218392965001</v>
      </c>
      <c r="H54" s="15">
        <v>41.045109043282501</v>
      </c>
      <c r="I54" s="15">
        <v>48.751631524386198</v>
      </c>
      <c r="J54" s="24">
        <v>34.685507537753502</v>
      </c>
      <c r="K54" s="15">
        <v>48.054314786359598</v>
      </c>
      <c r="L54" s="20" t="s">
        <v>76</v>
      </c>
      <c r="M54" s="24">
        <v>44.360146642686303</v>
      </c>
      <c r="N54" s="15">
        <v>41.657575100231</v>
      </c>
      <c r="O54" s="15">
        <v>50.295438069048799</v>
      </c>
      <c r="P54" s="26" t="s">
        <v>76</v>
      </c>
    </row>
    <row r="55" spans="1:16">
      <c r="A55" s="9" t="s">
        <v>310</v>
      </c>
      <c r="B55" s="15">
        <v>5.7912091160638299</v>
      </c>
      <c r="C55" s="15">
        <v>8.1330234701168997</v>
      </c>
      <c r="D55" s="24">
        <v>3.90002853818602</v>
      </c>
      <c r="E55" s="15">
        <v>6.4721209138920903</v>
      </c>
      <c r="F55" s="15">
        <v>9.2396050522850004</v>
      </c>
      <c r="G55" s="24">
        <v>4.2211090027098299</v>
      </c>
      <c r="H55" s="15">
        <v>5.0052779448975899</v>
      </c>
      <c r="I55" s="15">
        <v>6.7115884826113499</v>
      </c>
      <c r="J55" s="24">
        <v>3.5971908224435998</v>
      </c>
      <c r="K55" s="20" t="s">
        <v>76</v>
      </c>
      <c r="L55" s="20" t="s">
        <v>76</v>
      </c>
      <c r="M55" s="26" t="s">
        <v>76</v>
      </c>
      <c r="N55" s="20" t="s">
        <v>76</v>
      </c>
      <c r="O55" s="20" t="s">
        <v>76</v>
      </c>
      <c r="P55" s="26" t="s">
        <v>76</v>
      </c>
    </row>
    <row r="56" spans="1:16">
      <c r="A56" s="9" t="s">
        <v>311</v>
      </c>
      <c r="B56" s="15">
        <v>13.703543327484301</v>
      </c>
      <c r="C56" s="15">
        <v>13.906293144093</v>
      </c>
      <c r="D56" s="24">
        <v>13.539808523025901</v>
      </c>
      <c r="E56" s="15">
        <v>13.1814940997664</v>
      </c>
      <c r="F56" s="15">
        <v>15.174324603633501</v>
      </c>
      <c r="G56" s="24">
        <v>11.560568747768899</v>
      </c>
      <c r="H56" s="15">
        <v>14.118670623976801</v>
      </c>
      <c r="I56" s="15">
        <v>12.686472435346399</v>
      </c>
      <c r="J56" s="24">
        <v>15.3005538636564</v>
      </c>
      <c r="K56" s="20" t="s">
        <v>76</v>
      </c>
      <c r="L56" s="20" t="s">
        <v>76</v>
      </c>
      <c r="M56" s="26" t="s">
        <v>76</v>
      </c>
      <c r="N56" s="20" t="s">
        <v>76</v>
      </c>
      <c r="O56" s="20" t="s">
        <v>76</v>
      </c>
      <c r="P56" s="26" t="s">
        <v>76</v>
      </c>
    </row>
    <row r="57" spans="1:16">
      <c r="A57" s="9" t="s">
        <v>312</v>
      </c>
      <c r="B57" s="15">
        <v>9.9259730039771803</v>
      </c>
      <c r="C57" s="15">
        <v>13.651641806190399</v>
      </c>
      <c r="D57" s="24">
        <v>6.91723216755849</v>
      </c>
      <c r="E57" s="15">
        <v>9.6772892439225497</v>
      </c>
      <c r="F57" s="15">
        <v>12.673846771004801</v>
      </c>
      <c r="G57" s="24">
        <v>7.2399539788605001</v>
      </c>
      <c r="H57" s="15">
        <v>10.0447738206236</v>
      </c>
      <c r="I57" s="15">
        <v>14.652960702218801</v>
      </c>
      <c r="J57" s="24">
        <v>6.2419908790556198</v>
      </c>
      <c r="K57" s="20" t="s">
        <v>76</v>
      </c>
      <c r="L57" s="20" t="s">
        <v>76</v>
      </c>
      <c r="M57" s="26" t="s">
        <v>76</v>
      </c>
      <c r="N57" s="20" t="s">
        <v>76</v>
      </c>
      <c r="O57" s="20" t="s">
        <v>76</v>
      </c>
      <c r="P57" s="26" t="s">
        <v>76</v>
      </c>
    </row>
    <row r="58" spans="1:16">
      <c r="A58" s="9" t="s">
        <v>313</v>
      </c>
      <c r="B58" s="15">
        <v>28.967710276468299</v>
      </c>
      <c r="C58" s="15">
        <v>22.786359685730201</v>
      </c>
      <c r="D58" s="24">
        <v>33.959587690672798</v>
      </c>
      <c r="E58" s="15">
        <v>38.754725137062003</v>
      </c>
      <c r="F58" s="15">
        <v>30.429866169147601</v>
      </c>
      <c r="G58" s="24">
        <v>45.525985877356497</v>
      </c>
      <c r="H58" s="15">
        <v>18.706915842936599</v>
      </c>
      <c r="I58" s="15">
        <v>14.164331809563899</v>
      </c>
      <c r="J58" s="24">
        <v>22.455561789076999</v>
      </c>
      <c r="K58" s="20" t="s">
        <v>76</v>
      </c>
      <c r="L58" s="20" t="s">
        <v>76</v>
      </c>
      <c r="M58" s="26" t="s">
        <v>76</v>
      </c>
      <c r="N58" s="15">
        <v>27.130640446602101</v>
      </c>
      <c r="O58" s="20" t="s">
        <v>76</v>
      </c>
      <c r="P58" s="26" t="s">
        <v>76</v>
      </c>
    </row>
    <row r="59" spans="1:16">
      <c r="A59" s="9" t="s">
        <v>314</v>
      </c>
      <c r="B59" s="15">
        <v>0.83732121247702895</v>
      </c>
      <c r="C59" s="15">
        <v>0.72840466922755198</v>
      </c>
      <c r="D59" s="24">
        <v>0.92527901786262701</v>
      </c>
      <c r="E59" s="15">
        <v>0.82351830343208099</v>
      </c>
      <c r="F59" s="20" t="s">
        <v>76</v>
      </c>
      <c r="G59" s="26" t="s">
        <v>76</v>
      </c>
      <c r="H59" s="20" t="s">
        <v>76</v>
      </c>
      <c r="I59" s="20" t="s">
        <v>76</v>
      </c>
      <c r="J59" s="26" t="s">
        <v>76</v>
      </c>
      <c r="K59" s="20" t="s">
        <v>76</v>
      </c>
      <c r="L59" s="20" t="s">
        <v>76</v>
      </c>
      <c r="M59" s="26" t="s">
        <v>76</v>
      </c>
      <c r="N59" s="20" t="s">
        <v>76</v>
      </c>
      <c r="O59" s="20" t="s">
        <v>76</v>
      </c>
      <c r="P59" s="26" t="s">
        <v>76</v>
      </c>
    </row>
    <row r="60" spans="1:16">
      <c r="A60" s="9" t="s">
        <v>315</v>
      </c>
      <c r="B60" s="15">
        <v>0.92513387131948499</v>
      </c>
      <c r="C60" s="15">
        <v>0.81202770083295195</v>
      </c>
      <c r="D60" s="24">
        <v>1.0164750967637901</v>
      </c>
      <c r="E60" s="15">
        <v>1.08647347417797</v>
      </c>
      <c r="F60" s="20" t="s">
        <v>76</v>
      </c>
      <c r="G60" s="26" t="s">
        <v>76</v>
      </c>
      <c r="H60" s="20" t="s">
        <v>76</v>
      </c>
      <c r="I60" s="20" t="s">
        <v>76</v>
      </c>
      <c r="J60" s="26" t="s">
        <v>76</v>
      </c>
      <c r="K60" s="20" t="s">
        <v>76</v>
      </c>
      <c r="L60" s="20" t="s">
        <v>76</v>
      </c>
      <c r="M60" s="26" t="s">
        <v>76</v>
      </c>
      <c r="N60" s="20" t="s">
        <v>76</v>
      </c>
      <c r="O60" s="20" t="s">
        <v>76</v>
      </c>
      <c r="P60" s="26" t="s">
        <v>76</v>
      </c>
    </row>
    <row r="61" spans="1:16">
      <c r="A61" s="9" t="s">
        <v>316</v>
      </c>
      <c r="B61" s="15">
        <v>0.98205859151010799</v>
      </c>
      <c r="C61" s="15">
        <v>0.98956930384782404</v>
      </c>
      <c r="D61" s="24">
        <v>0.97599316054435603</v>
      </c>
      <c r="E61" s="15">
        <v>1.1652495863833401</v>
      </c>
      <c r="F61" s="20" t="s">
        <v>76</v>
      </c>
      <c r="G61" s="26" t="s">
        <v>76</v>
      </c>
      <c r="H61" s="20" t="s">
        <v>76</v>
      </c>
      <c r="I61" s="20" t="s">
        <v>76</v>
      </c>
      <c r="J61" s="26" t="s">
        <v>76</v>
      </c>
      <c r="K61" s="20" t="s">
        <v>76</v>
      </c>
      <c r="L61" s="20" t="s">
        <v>76</v>
      </c>
      <c r="M61" s="26" t="s">
        <v>76</v>
      </c>
      <c r="N61" s="20" t="s">
        <v>76</v>
      </c>
      <c r="O61" s="20" t="s">
        <v>76</v>
      </c>
      <c r="P61" s="26" t="s">
        <v>76</v>
      </c>
    </row>
    <row r="62" spans="1:16">
      <c r="A62" s="9" t="s">
        <v>317</v>
      </c>
      <c r="B62" s="15">
        <v>2.3962938618624601</v>
      </c>
      <c r="C62" s="15">
        <v>3.13728859394985</v>
      </c>
      <c r="D62" s="24">
        <v>1.7978882524647399</v>
      </c>
      <c r="E62" s="15">
        <v>2.6064646366171198</v>
      </c>
      <c r="F62" s="15">
        <v>3.5087564146721801</v>
      </c>
      <c r="G62" s="24">
        <v>1.8725599642878299</v>
      </c>
      <c r="H62" s="15">
        <v>2.0023692928016299</v>
      </c>
      <c r="I62" s="15">
        <v>2.6734984907836701</v>
      </c>
      <c r="J62" s="26" t="s">
        <v>76</v>
      </c>
      <c r="K62" s="20" t="s">
        <v>76</v>
      </c>
      <c r="L62" s="20" t="s">
        <v>76</v>
      </c>
      <c r="M62" s="26" t="s">
        <v>76</v>
      </c>
      <c r="N62" s="20" t="s">
        <v>76</v>
      </c>
      <c r="O62" s="20" t="s">
        <v>76</v>
      </c>
      <c r="P62" s="26" t="s">
        <v>76</v>
      </c>
    </row>
    <row r="63" spans="1:16">
      <c r="A63" s="9" t="s">
        <v>318</v>
      </c>
      <c r="B63" s="15">
        <v>10.0498263969526</v>
      </c>
      <c r="C63" s="15">
        <v>13.4887459386067</v>
      </c>
      <c r="D63" s="24">
        <v>7.2726558518987297</v>
      </c>
      <c r="E63" s="15">
        <v>13.469234636578401</v>
      </c>
      <c r="F63" s="15">
        <v>18.8043271457176</v>
      </c>
      <c r="G63" s="24">
        <v>9.1297854528495694</v>
      </c>
      <c r="H63" s="15">
        <v>6.0898887474828198</v>
      </c>
      <c r="I63" s="15">
        <v>7.5906786374177004</v>
      </c>
      <c r="J63" s="24">
        <v>4.8514020413303003</v>
      </c>
      <c r="K63" s="20" t="s">
        <v>76</v>
      </c>
      <c r="L63" s="20" t="s">
        <v>76</v>
      </c>
      <c r="M63" s="26" t="s">
        <v>76</v>
      </c>
      <c r="N63" s="20" t="s">
        <v>76</v>
      </c>
      <c r="O63" s="20" t="s">
        <v>76</v>
      </c>
      <c r="P63" s="26" t="s">
        <v>76</v>
      </c>
    </row>
    <row r="64" spans="1:16">
      <c r="A64" s="11" t="s">
        <v>319</v>
      </c>
      <c r="B64" s="16">
        <v>8.9714309426420602</v>
      </c>
      <c r="C64" s="16">
        <v>11.390737902335699</v>
      </c>
      <c r="D64" s="25">
        <v>7.0176696096062301</v>
      </c>
      <c r="E64" s="16">
        <v>9.5785580670585198</v>
      </c>
      <c r="F64" s="16">
        <v>11.9795232217121</v>
      </c>
      <c r="G64" s="25">
        <v>7.6256647924480498</v>
      </c>
      <c r="H64" s="16">
        <v>8.0920869556373205</v>
      </c>
      <c r="I64" s="16">
        <v>10.474070416896099</v>
      </c>
      <c r="J64" s="25">
        <v>6.1264188292533897</v>
      </c>
      <c r="K64" s="28" t="s">
        <v>76</v>
      </c>
      <c r="L64" s="28" t="s">
        <v>76</v>
      </c>
      <c r="M64" s="29" t="s">
        <v>76</v>
      </c>
      <c r="N64" s="28" t="s">
        <v>76</v>
      </c>
      <c r="O64" s="28" t="s">
        <v>76</v>
      </c>
      <c r="P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N71"/>
  <sheetViews>
    <sheetView zoomScale="55" workbookViewId="0"/>
  </sheetViews>
  <sheetFormatPr defaultColWidth="10.88671875" defaultRowHeight="15"/>
  <cols>
    <col min="1" max="1" width="51.6640625" customWidth="1"/>
    <col min="2" max="91" width="13.6640625" customWidth="1"/>
  </cols>
  <sheetData>
    <row r="1" spans="1:92" ht="39.950000000000003" customHeight="1">
      <c r="A1" s="10" t="s">
        <v>320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0">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c r="A3" s="9" t="s">
        <v>258</v>
      </c>
      <c r="B3" s="35">
        <v>21.217485631714499</v>
      </c>
      <c r="C3" s="32">
        <v>22.286434371547401</v>
      </c>
      <c r="D3" s="32">
        <v>21.329879266766099</v>
      </c>
      <c r="E3" s="32">
        <v>24.537844816322</v>
      </c>
      <c r="F3" s="15">
        <v>35.294117647058798</v>
      </c>
      <c r="G3" s="20" t="s">
        <v>76</v>
      </c>
      <c r="H3" s="15">
        <v>26.086956521739101</v>
      </c>
      <c r="I3" s="20" t="s">
        <v>76</v>
      </c>
      <c r="J3" s="15">
        <v>21.5277777777778</v>
      </c>
      <c r="K3" s="15">
        <v>23.076923076923102</v>
      </c>
      <c r="L3" s="15">
        <v>86.885245901639394</v>
      </c>
      <c r="M3" s="15">
        <v>11.842105263157899</v>
      </c>
      <c r="N3" s="15">
        <v>11.764705882352899</v>
      </c>
      <c r="O3" s="15">
        <v>18.604651162790699</v>
      </c>
      <c r="P3" s="15">
        <v>23.943661971830998</v>
      </c>
      <c r="Q3" s="15">
        <v>47.887323943661997</v>
      </c>
      <c r="R3" s="20" t="s">
        <v>76</v>
      </c>
      <c r="S3" s="15">
        <v>29.268292682926798</v>
      </c>
      <c r="T3" s="15">
        <v>31.25</v>
      </c>
      <c r="U3" s="15">
        <v>28.571428571428601</v>
      </c>
      <c r="V3" s="15">
        <v>26.470588235294102</v>
      </c>
      <c r="W3" s="15">
        <v>25.4237288135593</v>
      </c>
      <c r="X3" s="15">
        <v>38.461538461538503</v>
      </c>
      <c r="Y3" s="20" t="s">
        <v>76</v>
      </c>
      <c r="Z3" s="15">
        <v>37.179487179487197</v>
      </c>
      <c r="AA3" s="15">
        <v>33.944954128440401</v>
      </c>
      <c r="AB3" s="15">
        <v>29.411764705882401</v>
      </c>
      <c r="AC3" s="15">
        <v>28.7878787878788</v>
      </c>
      <c r="AD3" s="15">
        <v>56.25</v>
      </c>
      <c r="AE3" s="15">
        <v>22.2222222222222</v>
      </c>
      <c r="AF3" s="15">
        <v>57.142857142857103</v>
      </c>
      <c r="AG3" s="15">
        <v>12.380952380952399</v>
      </c>
      <c r="AH3" s="15">
        <v>10.714285714285699</v>
      </c>
      <c r="AI3" s="20" t="s">
        <v>76</v>
      </c>
      <c r="AJ3" s="15">
        <v>29.729729729729701</v>
      </c>
      <c r="AK3" s="15">
        <v>23.3333333333333</v>
      </c>
      <c r="AL3" s="15">
        <v>36.6666666666667</v>
      </c>
      <c r="AM3" s="15">
        <v>15.625</v>
      </c>
      <c r="AN3" s="20" t="s">
        <v>76</v>
      </c>
      <c r="AO3" s="15">
        <v>17.5</v>
      </c>
      <c r="AP3" s="15">
        <v>16.883116883116902</v>
      </c>
      <c r="AQ3" s="15">
        <v>17.948717948717899</v>
      </c>
      <c r="AR3" s="15">
        <v>12.7272727272727</v>
      </c>
      <c r="AS3" s="20" t="s">
        <v>76</v>
      </c>
      <c r="AT3" s="15">
        <v>41.538461538461497</v>
      </c>
      <c r="AU3" s="15">
        <v>26.530612244897998</v>
      </c>
      <c r="AV3" s="15">
        <v>15.068493150684899</v>
      </c>
      <c r="AW3" s="15">
        <v>16.379310344827601</v>
      </c>
      <c r="AX3" s="15">
        <v>50</v>
      </c>
      <c r="AY3" s="15">
        <v>28.571428571428601</v>
      </c>
      <c r="AZ3" s="15">
        <v>48</v>
      </c>
      <c r="BA3" s="15">
        <v>22.641509433962302</v>
      </c>
      <c r="BB3" s="15">
        <v>26.865671641791</v>
      </c>
      <c r="BC3" s="15">
        <v>12.1621621621622</v>
      </c>
      <c r="BD3" s="15">
        <v>26.923076923076898</v>
      </c>
      <c r="BE3" s="15">
        <v>51.724137931034498</v>
      </c>
      <c r="BF3" s="15">
        <v>12.048192771084301</v>
      </c>
      <c r="BG3" s="15">
        <v>22.388059701492502</v>
      </c>
      <c r="BH3" s="15">
        <v>20.8333333333333</v>
      </c>
      <c r="BI3" s="15">
        <v>26.315789473684202</v>
      </c>
      <c r="BJ3" s="15">
        <v>23.214285714285701</v>
      </c>
      <c r="BK3" s="15">
        <v>42.5</v>
      </c>
      <c r="BL3" s="15">
        <v>15.625</v>
      </c>
      <c r="BM3" s="15">
        <v>22.7722772277228</v>
      </c>
      <c r="BN3" s="15">
        <v>30.252100840336102</v>
      </c>
      <c r="BO3" s="15">
        <v>21.1111111111111</v>
      </c>
      <c r="BP3" s="15">
        <v>33.3333333333333</v>
      </c>
      <c r="BQ3" s="15">
        <v>10.958904109589</v>
      </c>
      <c r="BR3" s="15">
        <v>21.6666666666667</v>
      </c>
      <c r="BS3" s="15">
        <v>26.506024096385499</v>
      </c>
      <c r="BT3" s="15">
        <v>18.292682926829301</v>
      </c>
      <c r="BU3" s="15">
        <v>17.757009345794401</v>
      </c>
      <c r="BV3" s="15">
        <v>43.434343434343397</v>
      </c>
      <c r="BW3" s="20" t="s">
        <v>76</v>
      </c>
      <c r="BX3" s="20" t="s">
        <v>76</v>
      </c>
      <c r="BY3" s="15">
        <v>31.746031746031701</v>
      </c>
      <c r="BZ3" s="15">
        <v>17.006802721088398</v>
      </c>
      <c r="CA3" s="32">
        <v>18.739220390958501</v>
      </c>
      <c r="CB3" s="15">
        <v>14.057507987220401</v>
      </c>
      <c r="CC3" s="15">
        <v>18.867924528301899</v>
      </c>
      <c r="CD3" s="15">
        <v>18.064516129032299</v>
      </c>
      <c r="CE3" s="20" t="s">
        <v>76</v>
      </c>
      <c r="CF3" s="15">
        <v>15.568862275449099</v>
      </c>
      <c r="CG3" s="15">
        <v>24.581005586592202</v>
      </c>
      <c r="CH3" s="15">
        <v>20.036764705882401</v>
      </c>
      <c r="CI3" s="15">
        <v>22.5872689938398</v>
      </c>
      <c r="CJ3" s="15">
        <v>25.490196078431399</v>
      </c>
      <c r="CK3" s="15">
        <v>19.730941704035899</v>
      </c>
      <c r="CL3" s="15">
        <v>22.272727272727298</v>
      </c>
      <c r="CM3" s="24">
        <v>15.4175588865096</v>
      </c>
      <c r="CN3" s="37"/>
    </row>
    <row r="4" spans="1:92">
      <c r="A4" s="9" t="s">
        <v>259</v>
      </c>
      <c r="B4" s="35">
        <v>26.533706300681299</v>
      </c>
      <c r="C4" s="32">
        <v>27.310554912596199</v>
      </c>
      <c r="D4" s="32">
        <v>28.132588996389</v>
      </c>
      <c r="E4" s="32">
        <v>20.782165460400201</v>
      </c>
      <c r="F4" s="20" t="s">
        <v>76</v>
      </c>
      <c r="G4" s="20" t="s">
        <v>76</v>
      </c>
      <c r="H4" s="15">
        <v>56.521739130434803</v>
      </c>
      <c r="I4" s="15">
        <v>60</v>
      </c>
      <c r="J4" s="15">
        <v>18.0555555555556</v>
      </c>
      <c r="K4" s="20" t="s">
        <v>76</v>
      </c>
      <c r="L4" s="15">
        <v>39.344262295081997</v>
      </c>
      <c r="M4" s="15">
        <v>26.315789473684202</v>
      </c>
      <c r="N4" s="15">
        <v>11.764705882352899</v>
      </c>
      <c r="O4" s="20" t="s">
        <v>76</v>
      </c>
      <c r="P4" s="15">
        <v>30.985915492957702</v>
      </c>
      <c r="Q4" s="15">
        <v>46.478873239436602</v>
      </c>
      <c r="R4" s="20" t="s">
        <v>76</v>
      </c>
      <c r="S4" s="15">
        <v>21.951219512195099</v>
      </c>
      <c r="T4" s="15">
        <v>29.1666666666667</v>
      </c>
      <c r="U4" s="20" t="s">
        <v>76</v>
      </c>
      <c r="V4" s="20" t="s">
        <v>76</v>
      </c>
      <c r="W4" s="15">
        <v>23.728813559321999</v>
      </c>
      <c r="X4" s="20" t="s">
        <v>76</v>
      </c>
      <c r="Y4" s="20" t="s">
        <v>76</v>
      </c>
      <c r="Z4" s="15">
        <v>10.2564102564103</v>
      </c>
      <c r="AA4" s="15">
        <v>15.5963302752294</v>
      </c>
      <c r="AB4" s="15">
        <v>26.470588235294102</v>
      </c>
      <c r="AC4" s="15">
        <v>18.181818181818201</v>
      </c>
      <c r="AD4" s="15">
        <v>31.25</v>
      </c>
      <c r="AE4" s="15">
        <v>18.518518518518501</v>
      </c>
      <c r="AF4" s="20" t="s">
        <v>76</v>
      </c>
      <c r="AG4" s="15">
        <v>14.285714285714301</v>
      </c>
      <c r="AH4" s="15">
        <v>26.785714285714299</v>
      </c>
      <c r="AI4" s="20" t="s">
        <v>76</v>
      </c>
      <c r="AJ4" s="15">
        <v>25.225225225225198</v>
      </c>
      <c r="AK4" s="15">
        <v>46.6666666666667</v>
      </c>
      <c r="AL4" s="15">
        <v>27.7777777777778</v>
      </c>
      <c r="AM4" s="15">
        <v>21.875</v>
      </c>
      <c r="AN4" s="20" t="s">
        <v>76</v>
      </c>
      <c r="AO4" s="15">
        <v>12.5</v>
      </c>
      <c r="AP4" s="15">
        <v>18.181818181818201</v>
      </c>
      <c r="AQ4" s="20" t="s">
        <v>76</v>
      </c>
      <c r="AR4" s="15">
        <v>9.0909090909090899</v>
      </c>
      <c r="AS4" s="15">
        <v>54.545454545454497</v>
      </c>
      <c r="AT4" s="15">
        <v>12.307692307692299</v>
      </c>
      <c r="AU4" s="15">
        <v>18.367346938775501</v>
      </c>
      <c r="AV4" s="15">
        <v>13.698630136986299</v>
      </c>
      <c r="AW4" s="15">
        <v>20.689655172413801</v>
      </c>
      <c r="AX4" s="15">
        <v>43.75</v>
      </c>
      <c r="AY4" s="15">
        <v>34.285714285714299</v>
      </c>
      <c r="AZ4" s="15">
        <v>34</v>
      </c>
      <c r="BA4" s="15">
        <v>26.415094339622598</v>
      </c>
      <c r="BB4" s="15">
        <v>34.328358208955201</v>
      </c>
      <c r="BC4" s="15">
        <v>16.2162162162162</v>
      </c>
      <c r="BD4" s="15">
        <v>28.205128205128201</v>
      </c>
      <c r="BE4" s="15">
        <v>18.965517241379299</v>
      </c>
      <c r="BF4" s="15">
        <v>18.0722891566265</v>
      </c>
      <c r="BG4" s="15">
        <v>14.9253731343284</v>
      </c>
      <c r="BH4" s="20" t="s">
        <v>76</v>
      </c>
      <c r="BI4" s="20" t="s">
        <v>76</v>
      </c>
      <c r="BJ4" s="15">
        <v>21.428571428571399</v>
      </c>
      <c r="BK4" s="15">
        <v>17.5</v>
      </c>
      <c r="BL4" s="15">
        <v>11.71875</v>
      </c>
      <c r="BM4" s="15">
        <v>18.8118811881188</v>
      </c>
      <c r="BN4" s="15">
        <v>30.252100840336102</v>
      </c>
      <c r="BO4" s="15">
        <v>15.5555555555556</v>
      </c>
      <c r="BP4" s="20" t="s">
        <v>76</v>
      </c>
      <c r="BQ4" s="15">
        <v>10.958904109589</v>
      </c>
      <c r="BR4" s="20" t="s">
        <v>76</v>
      </c>
      <c r="BS4" s="15">
        <v>8.4337349397590398</v>
      </c>
      <c r="BT4" s="15">
        <v>37.804878048780502</v>
      </c>
      <c r="BU4" s="15">
        <v>27.1028037383178</v>
      </c>
      <c r="BV4" s="15">
        <v>37.373737373737399</v>
      </c>
      <c r="BW4" s="15">
        <v>14.492753623188401</v>
      </c>
      <c r="BX4" s="20" t="s">
        <v>76</v>
      </c>
      <c r="BY4" s="15">
        <v>14.285714285714301</v>
      </c>
      <c r="BZ4" s="15">
        <v>24.4897959183673</v>
      </c>
      <c r="CA4" s="32">
        <v>34.068575427755299</v>
      </c>
      <c r="CB4" s="15">
        <v>28.753993610223599</v>
      </c>
      <c r="CC4" s="15">
        <v>30.817610062893099</v>
      </c>
      <c r="CD4" s="15">
        <v>47.096774193548399</v>
      </c>
      <c r="CE4" s="20" t="s">
        <v>76</v>
      </c>
      <c r="CF4" s="15">
        <v>42.514970059880199</v>
      </c>
      <c r="CG4" s="15">
        <v>36.312849162011197</v>
      </c>
      <c r="CH4" s="15">
        <v>26.470588235294102</v>
      </c>
      <c r="CI4" s="15">
        <v>38.398357289527702</v>
      </c>
      <c r="CJ4" s="15">
        <v>34.509803921568597</v>
      </c>
      <c r="CK4" s="15">
        <v>34.529147982062803</v>
      </c>
      <c r="CL4" s="15">
        <v>34.545454545454497</v>
      </c>
      <c r="CM4" s="24">
        <v>34.261241970021402</v>
      </c>
      <c r="CN4" s="37"/>
    </row>
    <row r="5" spans="1:92">
      <c r="A5" s="9" t="s">
        <v>260</v>
      </c>
      <c r="B5" s="35">
        <v>29.899315277971098</v>
      </c>
      <c r="C5" s="32">
        <v>28.8249327386117</v>
      </c>
      <c r="D5" s="32">
        <v>27.3974104639804</v>
      </c>
      <c r="E5" s="32">
        <v>22.142845559399699</v>
      </c>
      <c r="F5" s="15">
        <v>41.176470588235297</v>
      </c>
      <c r="G5" s="20" t="s">
        <v>76</v>
      </c>
      <c r="H5" s="15">
        <v>26.086956521739101</v>
      </c>
      <c r="I5" s="15">
        <v>60</v>
      </c>
      <c r="J5" s="15">
        <v>16.6666666666667</v>
      </c>
      <c r="K5" s="15">
        <v>28.205128205128201</v>
      </c>
      <c r="L5" s="15">
        <v>13.1147540983607</v>
      </c>
      <c r="M5" s="15">
        <v>11.842105263157899</v>
      </c>
      <c r="N5" s="15">
        <v>16.470588235294102</v>
      </c>
      <c r="O5" s="15">
        <v>23.255813953488399</v>
      </c>
      <c r="P5" s="15">
        <v>23.943661971830998</v>
      </c>
      <c r="Q5" s="15">
        <v>14.084507042253501</v>
      </c>
      <c r="R5" s="20" t="s">
        <v>76</v>
      </c>
      <c r="S5" s="15">
        <v>36.585365853658502</v>
      </c>
      <c r="T5" s="15">
        <v>33.3333333333333</v>
      </c>
      <c r="U5" s="15">
        <v>23.8095238095238</v>
      </c>
      <c r="V5" s="15">
        <v>23.529411764705898</v>
      </c>
      <c r="W5" s="15">
        <v>20.338983050847499</v>
      </c>
      <c r="X5" s="20" t="s">
        <v>76</v>
      </c>
      <c r="Y5" s="20" t="s">
        <v>76</v>
      </c>
      <c r="Z5" s="15">
        <v>24.3589743589744</v>
      </c>
      <c r="AA5" s="15">
        <v>24.7706422018349</v>
      </c>
      <c r="AB5" s="15">
        <v>44.117647058823501</v>
      </c>
      <c r="AC5" s="15">
        <v>21.969696969697001</v>
      </c>
      <c r="AD5" s="15">
        <v>15.625</v>
      </c>
      <c r="AE5" s="15">
        <v>18.518518518518501</v>
      </c>
      <c r="AF5" s="15">
        <v>35.714285714285701</v>
      </c>
      <c r="AG5" s="15">
        <v>14.285714285714301</v>
      </c>
      <c r="AH5" s="15">
        <v>44.642857142857103</v>
      </c>
      <c r="AI5" s="20" t="s">
        <v>76</v>
      </c>
      <c r="AJ5" s="15">
        <v>20.720720720720699</v>
      </c>
      <c r="AK5" s="15">
        <v>30</v>
      </c>
      <c r="AL5" s="15">
        <v>30</v>
      </c>
      <c r="AM5" s="15">
        <v>23.4375</v>
      </c>
      <c r="AN5" s="20" t="s">
        <v>76</v>
      </c>
      <c r="AO5" s="15">
        <v>15</v>
      </c>
      <c r="AP5" s="15">
        <v>16.883116883116902</v>
      </c>
      <c r="AQ5" s="15">
        <v>28.205128205128201</v>
      </c>
      <c r="AR5" s="15">
        <v>10.909090909090899</v>
      </c>
      <c r="AS5" s="20" t="s">
        <v>76</v>
      </c>
      <c r="AT5" s="15">
        <v>30.769230769230798</v>
      </c>
      <c r="AU5" s="20" t="s">
        <v>76</v>
      </c>
      <c r="AV5" s="15">
        <v>9.5890410958904102</v>
      </c>
      <c r="AW5" s="15">
        <v>17.241379310344801</v>
      </c>
      <c r="AX5" s="20" t="s">
        <v>76</v>
      </c>
      <c r="AY5" s="15">
        <v>20</v>
      </c>
      <c r="AZ5" s="15">
        <v>46</v>
      </c>
      <c r="BA5" s="15">
        <v>28.301886792452802</v>
      </c>
      <c r="BB5" s="15">
        <v>32.835820895522403</v>
      </c>
      <c r="BC5" s="15">
        <v>27.027027027027</v>
      </c>
      <c r="BD5" s="15">
        <v>15.384615384615399</v>
      </c>
      <c r="BE5" s="15">
        <v>39.655172413793103</v>
      </c>
      <c r="BF5" s="15">
        <v>19.277108433734899</v>
      </c>
      <c r="BG5" s="15">
        <v>26.865671641791</v>
      </c>
      <c r="BH5" s="20" t="s">
        <v>76</v>
      </c>
      <c r="BI5" s="20" t="s">
        <v>76</v>
      </c>
      <c r="BJ5" s="15">
        <v>20.535714285714299</v>
      </c>
      <c r="BK5" s="15">
        <v>15</v>
      </c>
      <c r="BL5" s="15">
        <v>14.84375</v>
      </c>
      <c r="BM5" s="15">
        <v>19.801980198019798</v>
      </c>
      <c r="BN5" s="15">
        <v>25.210084033613398</v>
      </c>
      <c r="BO5" s="15">
        <v>22.2222222222222</v>
      </c>
      <c r="BP5" s="20" t="s">
        <v>76</v>
      </c>
      <c r="BQ5" s="15">
        <v>17.808219178082201</v>
      </c>
      <c r="BR5" s="15">
        <v>13.3333333333333</v>
      </c>
      <c r="BS5" s="15">
        <v>25.3012048192771</v>
      </c>
      <c r="BT5" s="15">
        <v>43.902439024390198</v>
      </c>
      <c r="BU5" s="15">
        <v>33.644859813084103</v>
      </c>
      <c r="BV5" s="15">
        <v>34.343434343434303</v>
      </c>
      <c r="BW5" s="15">
        <v>10.144927536231901</v>
      </c>
      <c r="BX5" s="20" t="s">
        <v>76</v>
      </c>
      <c r="BY5" s="20" t="s">
        <v>76</v>
      </c>
      <c r="BZ5" s="15">
        <v>20.408163265306101</v>
      </c>
      <c r="CA5" s="32">
        <v>31.640842944246199</v>
      </c>
      <c r="CB5" s="15">
        <v>36.741214057508003</v>
      </c>
      <c r="CC5" s="15">
        <v>31.761006289308199</v>
      </c>
      <c r="CD5" s="15">
        <v>25.806451612903199</v>
      </c>
      <c r="CE5" s="20" t="s">
        <v>76</v>
      </c>
      <c r="CF5" s="15">
        <v>29.3413173652695</v>
      </c>
      <c r="CG5" s="15">
        <v>48.044692737430204</v>
      </c>
      <c r="CH5" s="15">
        <v>39.705882352941202</v>
      </c>
      <c r="CI5" s="15">
        <v>33.264887063655003</v>
      </c>
      <c r="CJ5" s="15">
        <v>43.529411764705898</v>
      </c>
      <c r="CK5" s="15">
        <v>25.112107623318401</v>
      </c>
      <c r="CL5" s="15">
        <v>18.030303030302999</v>
      </c>
      <c r="CM5" s="24">
        <v>22.912205567451799</v>
      </c>
      <c r="CN5" s="37"/>
    </row>
    <row r="6" spans="1:92">
      <c r="A6" s="9" t="s">
        <v>261</v>
      </c>
      <c r="B6" s="35">
        <v>49.690768888244598</v>
      </c>
      <c r="C6" s="32">
        <v>47.865414928880298</v>
      </c>
      <c r="D6" s="32">
        <v>46.009311113150297</v>
      </c>
      <c r="E6" s="32">
        <v>50.059008538003198</v>
      </c>
      <c r="F6" s="15">
        <v>47.058823529411796</v>
      </c>
      <c r="G6" s="20" t="s">
        <v>76</v>
      </c>
      <c r="H6" s="15">
        <v>69.565217391304301</v>
      </c>
      <c r="I6" s="15">
        <v>80</v>
      </c>
      <c r="J6" s="15">
        <v>54.1666666666667</v>
      </c>
      <c r="K6" s="15">
        <v>35.897435897435898</v>
      </c>
      <c r="L6" s="15">
        <v>62.2950819672131</v>
      </c>
      <c r="M6" s="15">
        <v>78.947368421052602</v>
      </c>
      <c r="N6" s="15">
        <v>52.941176470588204</v>
      </c>
      <c r="O6" s="15">
        <v>44.1860465116279</v>
      </c>
      <c r="P6" s="15">
        <v>60.563380281690101</v>
      </c>
      <c r="Q6" s="15">
        <v>56.338028169014102</v>
      </c>
      <c r="R6" s="15">
        <v>19.230769230769202</v>
      </c>
      <c r="S6" s="15">
        <v>51.219512195122</v>
      </c>
      <c r="T6" s="15">
        <v>37.5</v>
      </c>
      <c r="U6" s="15">
        <v>57.142857142857103</v>
      </c>
      <c r="V6" s="15">
        <v>52.941176470588204</v>
      </c>
      <c r="W6" s="15">
        <v>66.1016949152542</v>
      </c>
      <c r="X6" s="15">
        <v>69.230769230769198</v>
      </c>
      <c r="Y6" s="20" t="s">
        <v>76</v>
      </c>
      <c r="Z6" s="15">
        <v>47.435897435897402</v>
      </c>
      <c r="AA6" s="15">
        <v>54.128440366972498</v>
      </c>
      <c r="AB6" s="15">
        <v>70.588235294117595</v>
      </c>
      <c r="AC6" s="15">
        <v>51.515151515151501</v>
      </c>
      <c r="AD6" s="15">
        <v>53.125</v>
      </c>
      <c r="AE6" s="15">
        <v>37.037037037037003</v>
      </c>
      <c r="AF6" s="15">
        <v>78.571428571428598</v>
      </c>
      <c r="AG6" s="15">
        <v>40.952380952380899</v>
      </c>
      <c r="AH6" s="15">
        <v>48.214285714285701</v>
      </c>
      <c r="AI6" s="20" t="s">
        <v>76</v>
      </c>
      <c r="AJ6" s="15">
        <v>42.342342342342299</v>
      </c>
      <c r="AK6" s="15">
        <v>76.6666666666667</v>
      </c>
      <c r="AL6" s="15">
        <v>63.3333333333333</v>
      </c>
      <c r="AM6" s="15">
        <v>43.75</v>
      </c>
      <c r="AN6" s="20" t="s">
        <v>76</v>
      </c>
      <c r="AO6" s="15">
        <v>20</v>
      </c>
      <c r="AP6" s="15">
        <v>31.168831168831201</v>
      </c>
      <c r="AQ6" s="15">
        <v>38.461538461538503</v>
      </c>
      <c r="AR6" s="15">
        <v>29.090909090909101</v>
      </c>
      <c r="AS6" s="15">
        <v>63.636363636363598</v>
      </c>
      <c r="AT6" s="15">
        <v>40</v>
      </c>
      <c r="AU6" s="15">
        <v>53.061224489795897</v>
      </c>
      <c r="AV6" s="15">
        <v>34.246575342465803</v>
      </c>
      <c r="AW6" s="15">
        <v>44.827586206896598</v>
      </c>
      <c r="AX6" s="15">
        <v>50</v>
      </c>
      <c r="AY6" s="15">
        <v>62.857142857142897</v>
      </c>
      <c r="AZ6" s="15">
        <v>64</v>
      </c>
      <c r="BA6" s="15">
        <v>52.830188679245303</v>
      </c>
      <c r="BB6" s="15">
        <v>53.731343283582099</v>
      </c>
      <c r="BC6" s="15">
        <v>52.702702702702702</v>
      </c>
      <c r="BD6" s="15">
        <v>48.717948717948701</v>
      </c>
      <c r="BE6" s="15">
        <v>70.689655172413794</v>
      </c>
      <c r="BF6" s="15">
        <v>51.807228915662698</v>
      </c>
      <c r="BG6" s="15">
        <v>44.776119402985103</v>
      </c>
      <c r="BH6" s="15">
        <v>41.6666666666667</v>
      </c>
      <c r="BI6" s="15">
        <v>73.684210526315795</v>
      </c>
      <c r="BJ6" s="15">
        <v>48.214285714285701</v>
      </c>
      <c r="BK6" s="15">
        <v>27.5</v>
      </c>
      <c r="BL6" s="15">
        <v>41.40625</v>
      </c>
      <c r="BM6" s="15">
        <v>40.594059405940598</v>
      </c>
      <c r="BN6" s="15">
        <v>40.336134453781497</v>
      </c>
      <c r="BO6" s="15">
        <v>45.5555555555556</v>
      </c>
      <c r="BP6" s="15">
        <v>40</v>
      </c>
      <c r="BQ6" s="15">
        <v>42.4657534246575</v>
      </c>
      <c r="BR6" s="15">
        <v>46.6666666666667</v>
      </c>
      <c r="BS6" s="15">
        <v>61.445783132530103</v>
      </c>
      <c r="BT6" s="15">
        <v>50</v>
      </c>
      <c r="BU6" s="15">
        <v>51.401869158878498</v>
      </c>
      <c r="BV6" s="15">
        <v>74.747474747474797</v>
      </c>
      <c r="BW6" s="15">
        <v>37.681159420289902</v>
      </c>
      <c r="BX6" s="20" t="s">
        <v>76</v>
      </c>
      <c r="BY6" s="15">
        <v>26.984126984126998</v>
      </c>
      <c r="BZ6" s="15">
        <v>41.496598639455797</v>
      </c>
      <c r="CA6" s="32">
        <v>42.738894266098299</v>
      </c>
      <c r="CB6" s="15">
        <v>34.824281150159699</v>
      </c>
      <c r="CC6" s="15">
        <v>47.169811320754697</v>
      </c>
      <c r="CD6" s="15">
        <v>45.161290322580598</v>
      </c>
      <c r="CE6" s="20" t="s">
        <v>76</v>
      </c>
      <c r="CF6" s="15">
        <v>48.203592814371298</v>
      </c>
      <c r="CG6" s="15">
        <v>44.134078212290497</v>
      </c>
      <c r="CH6" s="15">
        <v>37.132352941176499</v>
      </c>
      <c r="CI6" s="15">
        <v>55.0308008213552</v>
      </c>
      <c r="CJ6" s="15">
        <v>50.196078431372598</v>
      </c>
      <c r="CK6" s="15">
        <v>42.152466367712996</v>
      </c>
      <c r="CL6" s="15">
        <v>48.787878787878803</v>
      </c>
      <c r="CM6" s="24">
        <v>35.760171306209799</v>
      </c>
      <c r="CN6" s="37"/>
    </row>
    <row r="7" spans="1:92">
      <c r="A7" s="9" t="s">
        <v>262</v>
      </c>
      <c r="B7" s="35">
        <v>22.491410851983201</v>
      </c>
      <c r="C7" s="32">
        <v>22.5838320654596</v>
      </c>
      <c r="D7" s="32">
        <v>23.410790969043202</v>
      </c>
      <c r="E7" s="32">
        <v>29.294027571135299</v>
      </c>
      <c r="F7" s="20" t="s">
        <v>76</v>
      </c>
      <c r="G7" s="20" t="s">
        <v>76</v>
      </c>
      <c r="H7" s="15">
        <v>39.130434782608702</v>
      </c>
      <c r="I7" s="15">
        <v>70</v>
      </c>
      <c r="J7" s="15">
        <v>28.4722222222222</v>
      </c>
      <c r="K7" s="15">
        <v>30.769230769230798</v>
      </c>
      <c r="L7" s="15">
        <v>27.868852459016399</v>
      </c>
      <c r="M7" s="15">
        <v>52.631578947368403</v>
      </c>
      <c r="N7" s="15">
        <v>21.176470588235301</v>
      </c>
      <c r="O7" s="15">
        <v>25.581395348837201</v>
      </c>
      <c r="P7" s="15">
        <v>22.5352112676056</v>
      </c>
      <c r="Q7" s="15">
        <v>32.394366197183103</v>
      </c>
      <c r="R7" s="20" t="s">
        <v>76</v>
      </c>
      <c r="S7" s="15">
        <v>51.219512195122</v>
      </c>
      <c r="T7" s="15">
        <v>33.3333333333333</v>
      </c>
      <c r="U7" s="20" t="s">
        <v>76</v>
      </c>
      <c r="V7" s="15">
        <v>41.176470588235297</v>
      </c>
      <c r="W7" s="15">
        <v>38.983050847457598</v>
      </c>
      <c r="X7" s="15">
        <v>38.461538461538503</v>
      </c>
      <c r="Y7" s="20" t="s">
        <v>76</v>
      </c>
      <c r="Z7" s="15">
        <v>32.051282051282101</v>
      </c>
      <c r="AA7" s="15">
        <v>27.5229357798165</v>
      </c>
      <c r="AB7" s="15">
        <v>41.176470588235297</v>
      </c>
      <c r="AC7" s="15">
        <v>29.545454545454501</v>
      </c>
      <c r="AD7" s="15">
        <v>21.875</v>
      </c>
      <c r="AE7" s="15">
        <v>29.629629629629601</v>
      </c>
      <c r="AF7" s="20" t="s">
        <v>76</v>
      </c>
      <c r="AG7" s="15">
        <v>27.619047619047599</v>
      </c>
      <c r="AH7" s="15">
        <v>17.8571428571429</v>
      </c>
      <c r="AI7" s="20" t="s">
        <v>76</v>
      </c>
      <c r="AJ7" s="15">
        <v>26.126126126126099</v>
      </c>
      <c r="AK7" s="15">
        <v>23.3333333333333</v>
      </c>
      <c r="AL7" s="15">
        <v>37.7777777777778</v>
      </c>
      <c r="AM7" s="15">
        <v>31.25</v>
      </c>
      <c r="AN7" s="20" t="s">
        <v>76</v>
      </c>
      <c r="AO7" s="15">
        <v>15</v>
      </c>
      <c r="AP7" s="15">
        <v>22.0779220779221</v>
      </c>
      <c r="AQ7" s="15">
        <v>33.3333333333333</v>
      </c>
      <c r="AR7" s="15">
        <v>29.090909090909101</v>
      </c>
      <c r="AS7" s="20" t="s">
        <v>76</v>
      </c>
      <c r="AT7" s="15">
        <v>27.692307692307701</v>
      </c>
      <c r="AU7" s="15">
        <v>26.530612244897998</v>
      </c>
      <c r="AV7" s="15">
        <v>36.986301369863</v>
      </c>
      <c r="AW7" s="15">
        <v>31.034482758620701</v>
      </c>
      <c r="AX7" s="15">
        <v>56.25</v>
      </c>
      <c r="AY7" s="15">
        <v>48.571428571428598</v>
      </c>
      <c r="AZ7" s="15">
        <v>26</v>
      </c>
      <c r="BA7" s="15">
        <v>47.169811320754697</v>
      </c>
      <c r="BB7" s="15">
        <v>26.865671641791</v>
      </c>
      <c r="BC7" s="15">
        <v>32.4324324324324</v>
      </c>
      <c r="BD7" s="15">
        <v>29.4871794871795</v>
      </c>
      <c r="BE7" s="15">
        <v>15.517241379310301</v>
      </c>
      <c r="BF7" s="15">
        <v>38.554216867469897</v>
      </c>
      <c r="BG7" s="15">
        <v>17.910447761194</v>
      </c>
      <c r="BH7" s="20" t="s">
        <v>76</v>
      </c>
      <c r="BI7" s="15">
        <v>36.842105263157897</v>
      </c>
      <c r="BJ7" s="15">
        <v>26.785714285714299</v>
      </c>
      <c r="BK7" s="15">
        <v>20</v>
      </c>
      <c r="BL7" s="15">
        <v>15.625</v>
      </c>
      <c r="BM7" s="15">
        <v>22.7722772277228</v>
      </c>
      <c r="BN7" s="15">
        <v>21.848739495798299</v>
      </c>
      <c r="BO7" s="15">
        <v>26.6666666666667</v>
      </c>
      <c r="BP7" s="15">
        <v>33.3333333333333</v>
      </c>
      <c r="BQ7" s="15">
        <v>21.917808219178099</v>
      </c>
      <c r="BR7" s="15">
        <v>23.3333333333333</v>
      </c>
      <c r="BS7" s="15">
        <v>19.277108433734899</v>
      </c>
      <c r="BT7" s="15">
        <v>30.487804878048799</v>
      </c>
      <c r="BU7" s="15">
        <v>46.728971962616797</v>
      </c>
      <c r="BV7" s="15">
        <v>29.292929292929301</v>
      </c>
      <c r="BW7" s="15">
        <v>34.7826086956522</v>
      </c>
      <c r="BX7" s="20" t="s">
        <v>76</v>
      </c>
      <c r="BY7" s="15">
        <v>22.2222222222222</v>
      </c>
      <c r="BZ7" s="15">
        <v>27.891156462584998</v>
      </c>
      <c r="CA7" s="32">
        <v>18.659661667235099</v>
      </c>
      <c r="CB7" s="15">
        <v>17.252396166134201</v>
      </c>
      <c r="CC7" s="15">
        <v>21.069182389937101</v>
      </c>
      <c r="CD7" s="15">
        <v>20</v>
      </c>
      <c r="CE7" s="20" t="s">
        <v>76</v>
      </c>
      <c r="CF7" s="15">
        <v>22.754491017964099</v>
      </c>
      <c r="CG7" s="15">
        <v>20.111731843575399</v>
      </c>
      <c r="CH7" s="15">
        <v>16.176470588235301</v>
      </c>
      <c r="CI7" s="15">
        <v>26.694045174538001</v>
      </c>
      <c r="CJ7" s="15">
        <v>25.882352941176499</v>
      </c>
      <c r="CK7" s="15">
        <v>19.282511210762301</v>
      </c>
      <c r="CL7" s="15">
        <v>19.696969696969699</v>
      </c>
      <c r="CM7" s="24">
        <v>16.059957173447501</v>
      </c>
      <c r="CN7" s="37"/>
    </row>
    <row r="8" spans="1:92">
      <c r="A8" s="9" t="s">
        <v>263</v>
      </c>
      <c r="B8" s="35">
        <v>2.1136856943529101</v>
      </c>
      <c r="C8" s="32">
        <v>1.6358085040268</v>
      </c>
      <c r="D8" s="32">
        <v>1.2265448996450199</v>
      </c>
      <c r="E8" s="32">
        <v>1.7748139723157299</v>
      </c>
      <c r="F8" s="20" t="s">
        <v>76</v>
      </c>
      <c r="G8" s="20" t="s">
        <v>76</v>
      </c>
      <c r="H8" s="20" t="s">
        <v>76</v>
      </c>
      <c r="I8" s="20" t="s">
        <v>76</v>
      </c>
      <c r="J8" s="20" t="s">
        <v>76</v>
      </c>
      <c r="K8" s="20" t="s">
        <v>76</v>
      </c>
      <c r="L8" s="20" t="s">
        <v>76</v>
      </c>
      <c r="M8" s="20" t="s">
        <v>76</v>
      </c>
      <c r="N8" s="15">
        <v>5.8823529411764701</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20" t="s">
        <v>76</v>
      </c>
      <c r="AH8" s="15">
        <v>32.142857142857103</v>
      </c>
      <c r="AI8" s="20" t="s">
        <v>76</v>
      </c>
      <c r="AJ8" s="20" t="s">
        <v>76</v>
      </c>
      <c r="AK8" s="20" t="s">
        <v>76</v>
      </c>
      <c r="AL8" s="20" t="s">
        <v>76</v>
      </c>
      <c r="AM8" s="20" t="s">
        <v>76</v>
      </c>
      <c r="AN8" s="20" t="s">
        <v>76</v>
      </c>
      <c r="AO8" s="20" t="s">
        <v>76</v>
      </c>
      <c r="AP8" s="20" t="s">
        <v>76</v>
      </c>
      <c r="AQ8" s="20" t="s">
        <v>76</v>
      </c>
      <c r="AR8" s="20" t="s">
        <v>76</v>
      </c>
      <c r="AS8" s="20" t="s">
        <v>76</v>
      </c>
      <c r="AT8" s="20" t="s">
        <v>76</v>
      </c>
      <c r="AU8" s="20" t="s">
        <v>76</v>
      </c>
      <c r="AV8" s="20" t="s">
        <v>76</v>
      </c>
      <c r="AW8" s="20" t="s">
        <v>76</v>
      </c>
      <c r="AX8" s="20" t="s">
        <v>76</v>
      </c>
      <c r="AY8" s="20" t="s">
        <v>76</v>
      </c>
      <c r="AZ8" s="20" t="s">
        <v>76</v>
      </c>
      <c r="BA8" s="20" t="s">
        <v>76</v>
      </c>
      <c r="BB8" s="20" t="s">
        <v>76</v>
      </c>
      <c r="BC8" s="20" t="s">
        <v>76</v>
      </c>
      <c r="BD8" s="20" t="s">
        <v>76</v>
      </c>
      <c r="BE8" s="20" t="s">
        <v>76</v>
      </c>
      <c r="BF8" s="20" t="s">
        <v>76</v>
      </c>
      <c r="BG8" s="20" t="s">
        <v>76</v>
      </c>
      <c r="BH8" s="20" t="s">
        <v>76</v>
      </c>
      <c r="BI8" s="20" t="s">
        <v>76</v>
      </c>
      <c r="BJ8" s="20" t="s">
        <v>76</v>
      </c>
      <c r="BK8" s="20" t="s">
        <v>76</v>
      </c>
      <c r="BL8" s="20" t="s">
        <v>76</v>
      </c>
      <c r="BM8" s="20" t="s">
        <v>76</v>
      </c>
      <c r="BN8" s="20" t="s">
        <v>76</v>
      </c>
      <c r="BO8" s="20" t="s">
        <v>76</v>
      </c>
      <c r="BP8" s="20" t="s">
        <v>76</v>
      </c>
      <c r="BQ8" s="20" t="s">
        <v>76</v>
      </c>
      <c r="BR8" s="20" t="s">
        <v>76</v>
      </c>
      <c r="BS8" s="20" t="s">
        <v>76</v>
      </c>
      <c r="BT8" s="20" t="s">
        <v>76</v>
      </c>
      <c r="BU8" s="20" t="s">
        <v>76</v>
      </c>
      <c r="BV8" s="20" t="s">
        <v>76</v>
      </c>
      <c r="BW8" s="20" t="s">
        <v>76</v>
      </c>
      <c r="BX8" s="20" t="s">
        <v>76</v>
      </c>
      <c r="BY8" s="20" t="s">
        <v>76</v>
      </c>
      <c r="BZ8" s="20" t="s">
        <v>76</v>
      </c>
      <c r="CA8" s="32">
        <v>0.78377887940463198</v>
      </c>
      <c r="CB8" s="15">
        <v>1.59744408945687</v>
      </c>
      <c r="CC8" s="20" t="s">
        <v>76</v>
      </c>
      <c r="CD8" s="20" t="s">
        <v>76</v>
      </c>
      <c r="CE8" s="20" t="s">
        <v>76</v>
      </c>
      <c r="CF8" s="20" t="s">
        <v>76</v>
      </c>
      <c r="CG8" s="20" t="s">
        <v>76</v>
      </c>
      <c r="CH8" s="20" t="s">
        <v>76</v>
      </c>
      <c r="CI8" s="20" t="s">
        <v>76</v>
      </c>
      <c r="CJ8" s="20" t="s">
        <v>76</v>
      </c>
      <c r="CK8" s="20" t="s">
        <v>76</v>
      </c>
      <c r="CL8" s="15">
        <v>1.51515151515152</v>
      </c>
      <c r="CM8" s="26" t="s">
        <v>76</v>
      </c>
      <c r="CN8" s="37"/>
    </row>
    <row r="9" spans="1:92">
      <c r="A9" s="9" t="s">
        <v>264</v>
      </c>
      <c r="B9" s="35">
        <v>15.2798288185312</v>
      </c>
      <c r="C9" s="32">
        <v>14.647177031035801</v>
      </c>
      <c r="D9" s="32">
        <v>15.346828254652999</v>
      </c>
      <c r="E9" s="32">
        <v>19.593813608201401</v>
      </c>
      <c r="F9" s="20" t="s">
        <v>76</v>
      </c>
      <c r="G9" s="15">
        <v>29.411764705882401</v>
      </c>
      <c r="H9" s="15">
        <v>30.434782608695699</v>
      </c>
      <c r="I9" s="20" t="s">
        <v>76</v>
      </c>
      <c r="J9" s="15">
        <v>22.9166666666667</v>
      </c>
      <c r="K9" s="15">
        <v>17.948717948717899</v>
      </c>
      <c r="L9" s="15">
        <v>13.1147540983607</v>
      </c>
      <c r="M9" s="20" t="s">
        <v>76</v>
      </c>
      <c r="N9" s="15">
        <v>18.823529411764699</v>
      </c>
      <c r="O9" s="15">
        <v>20.930232558139501</v>
      </c>
      <c r="P9" s="15">
        <v>21.126760563380302</v>
      </c>
      <c r="Q9" s="15">
        <v>22.5352112676056</v>
      </c>
      <c r="R9" s="20" t="s">
        <v>76</v>
      </c>
      <c r="S9" s="15">
        <v>21.951219512195099</v>
      </c>
      <c r="T9" s="15">
        <v>27.0833333333333</v>
      </c>
      <c r="U9" s="15">
        <v>28.571428571428601</v>
      </c>
      <c r="V9" s="20" t="s">
        <v>76</v>
      </c>
      <c r="W9" s="15">
        <v>16.9491525423729</v>
      </c>
      <c r="X9" s="20" t="s">
        <v>76</v>
      </c>
      <c r="Y9" s="20" t="s">
        <v>76</v>
      </c>
      <c r="Z9" s="15">
        <v>14.1025641025641</v>
      </c>
      <c r="AA9" s="15">
        <v>29.357798165137599</v>
      </c>
      <c r="AB9" s="15">
        <v>29.411764705882401</v>
      </c>
      <c r="AC9" s="15">
        <v>13.636363636363599</v>
      </c>
      <c r="AD9" s="20" t="s">
        <v>76</v>
      </c>
      <c r="AE9" s="20" t="s">
        <v>76</v>
      </c>
      <c r="AF9" s="20" t="s">
        <v>76</v>
      </c>
      <c r="AG9" s="15">
        <v>9.5238095238095202</v>
      </c>
      <c r="AH9" s="15">
        <v>30.3571428571429</v>
      </c>
      <c r="AI9" s="20" t="s">
        <v>76</v>
      </c>
      <c r="AJ9" s="15">
        <v>18.018018018018001</v>
      </c>
      <c r="AK9" s="15">
        <v>30</v>
      </c>
      <c r="AL9" s="15">
        <v>25.5555555555556</v>
      </c>
      <c r="AM9" s="15">
        <v>23.4375</v>
      </c>
      <c r="AN9" s="20" t="s">
        <v>76</v>
      </c>
      <c r="AO9" s="20" t="s">
        <v>76</v>
      </c>
      <c r="AP9" s="15">
        <v>10.3896103896104</v>
      </c>
      <c r="AQ9" s="15">
        <v>20.5128205128205</v>
      </c>
      <c r="AR9" s="15">
        <v>12.7272727272727</v>
      </c>
      <c r="AS9" s="20" t="s">
        <v>76</v>
      </c>
      <c r="AT9" s="15">
        <v>16.923076923076898</v>
      </c>
      <c r="AU9" s="15">
        <v>28.571428571428601</v>
      </c>
      <c r="AV9" s="15">
        <v>12.328767123287699</v>
      </c>
      <c r="AW9" s="15">
        <v>12.0689655172414</v>
      </c>
      <c r="AX9" s="20" t="s">
        <v>76</v>
      </c>
      <c r="AY9" s="15">
        <v>31.428571428571399</v>
      </c>
      <c r="AZ9" s="15">
        <v>36</v>
      </c>
      <c r="BA9" s="15">
        <v>11.320754716981099</v>
      </c>
      <c r="BB9" s="15">
        <v>37.313432835820898</v>
      </c>
      <c r="BC9" s="15">
        <v>16.2162162162162</v>
      </c>
      <c r="BD9" s="15">
        <v>16.6666666666667</v>
      </c>
      <c r="BE9" s="15">
        <v>27.586206896551701</v>
      </c>
      <c r="BF9" s="15">
        <v>18.0722891566265</v>
      </c>
      <c r="BG9" s="15">
        <v>20.8955223880597</v>
      </c>
      <c r="BH9" s="20" t="s">
        <v>76</v>
      </c>
      <c r="BI9" s="15">
        <v>26.315789473684202</v>
      </c>
      <c r="BJ9" s="15">
        <v>21.428571428571399</v>
      </c>
      <c r="BK9" s="15">
        <v>12.5</v>
      </c>
      <c r="BL9" s="15">
        <v>21.09375</v>
      </c>
      <c r="BM9" s="15">
        <v>40.594059405940598</v>
      </c>
      <c r="BN9" s="15">
        <v>20.168067226890798</v>
      </c>
      <c r="BO9" s="15">
        <v>15.5555555555556</v>
      </c>
      <c r="BP9" s="20" t="s">
        <v>76</v>
      </c>
      <c r="BQ9" s="15">
        <v>10.958904109589</v>
      </c>
      <c r="BR9" s="15">
        <v>15</v>
      </c>
      <c r="BS9" s="15">
        <v>9.6385542168674707</v>
      </c>
      <c r="BT9" s="15">
        <v>18.292682926829301</v>
      </c>
      <c r="BU9" s="15">
        <v>24.299065420560702</v>
      </c>
      <c r="BV9" s="15">
        <v>35.353535353535399</v>
      </c>
      <c r="BW9" s="15">
        <v>20.289855072463801</v>
      </c>
      <c r="BX9" s="20" t="s">
        <v>76</v>
      </c>
      <c r="BY9" s="15">
        <v>14.285714285714301</v>
      </c>
      <c r="BZ9" s="15">
        <v>17.006802721088398</v>
      </c>
      <c r="CA9" s="32">
        <v>11.917087463603</v>
      </c>
      <c r="CB9" s="15">
        <v>13.0990415335463</v>
      </c>
      <c r="CC9" s="15">
        <v>8.8050314465408803</v>
      </c>
      <c r="CD9" s="15">
        <v>10.322580645161301</v>
      </c>
      <c r="CE9" s="20" t="s">
        <v>76</v>
      </c>
      <c r="CF9" s="15">
        <v>10.4790419161677</v>
      </c>
      <c r="CG9" s="15">
        <v>14.525139664804501</v>
      </c>
      <c r="CH9" s="15">
        <v>12.6838235294118</v>
      </c>
      <c r="CI9" s="15">
        <v>15.605749486653</v>
      </c>
      <c r="CJ9" s="15">
        <v>14.901960784313699</v>
      </c>
      <c r="CK9" s="15">
        <v>16.5919282511211</v>
      </c>
      <c r="CL9" s="15">
        <v>13.3333333333333</v>
      </c>
      <c r="CM9" s="24">
        <v>11.134903640257001</v>
      </c>
      <c r="CN9" s="37"/>
    </row>
    <row r="10" spans="1:92">
      <c r="A10" s="9" t="s">
        <v>265</v>
      </c>
      <c r="B10" s="35">
        <v>18.488186301768401</v>
      </c>
      <c r="C10" s="32">
        <v>18.1548826663157</v>
      </c>
      <c r="D10" s="32">
        <v>17.063246167639999</v>
      </c>
      <c r="E10" s="32">
        <v>16.092843940342199</v>
      </c>
      <c r="F10" s="20" t="s">
        <v>76</v>
      </c>
      <c r="G10" s="20" t="s">
        <v>76</v>
      </c>
      <c r="H10" s="15">
        <v>21.739130434782599</v>
      </c>
      <c r="I10" s="15">
        <v>60</v>
      </c>
      <c r="J10" s="15">
        <v>13.1944444444444</v>
      </c>
      <c r="K10" s="15">
        <v>12.8205128205128</v>
      </c>
      <c r="L10" s="15">
        <v>11.4754098360656</v>
      </c>
      <c r="M10" s="15">
        <v>6.5789473684210504</v>
      </c>
      <c r="N10" s="15">
        <v>8.2352941176470598</v>
      </c>
      <c r="O10" s="15">
        <v>16.2790697674419</v>
      </c>
      <c r="P10" s="15">
        <v>16.901408450704199</v>
      </c>
      <c r="Q10" s="15">
        <v>33.802816901408498</v>
      </c>
      <c r="R10" s="20" t="s">
        <v>76</v>
      </c>
      <c r="S10" s="15">
        <v>19.512195121951201</v>
      </c>
      <c r="T10" s="15">
        <v>33.3333333333333</v>
      </c>
      <c r="U10" s="20" t="s">
        <v>76</v>
      </c>
      <c r="V10" s="20" t="s">
        <v>76</v>
      </c>
      <c r="W10" s="15">
        <v>20.338983050847499</v>
      </c>
      <c r="X10" s="15">
        <v>46.153846153846203</v>
      </c>
      <c r="Y10" s="20" t="s">
        <v>76</v>
      </c>
      <c r="Z10" s="15">
        <v>20.5128205128205</v>
      </c>
      <c r="AA10" s="15">
        <v>28.440366972477101</v>
      </c>
      <c r="AB10" s="15">
        <v>23.529411764705898</v>
      </c>
      <c r="AC10" s="15">
        <v>17.424242424242401</v>
      </c>
      <c r="AD10" s="20" t="s">
        <v>76</v>
      </c>
      <c r="AE10" s="20" t="s">
        <v>76</v>
      </c>
      <c r="AF10" s="20" t="s">
        <v>76</v>
      </c>
      <c r="AG10" s="15">
        <v>11.4285714285714</v>
      </c>
      <c r="AH10" s="15">
        <v>14.285714285714301</v>
      </c>
      <c r="AI10" s="20" t="s">
        <v>76</v>
      </c>
      <c r="AJ10" s="15">
        <v>23.423423423423401</v>
      </c>
      <c r="AK10" s="15">
        <v>16.6666666666667</v>
      </c>
      <c r="AL10" s="15">
        <v>24.4444444444444</v>
      </c>
      <c r="AM10" s="15">
        <v>10.9375</v>
      </c>
      <c r="AN10" s="20" t="s">
        <v>76</v>
      </c>
      <c r="AO10" s="20" t="s">
        <v>76</v>
      </c>
      <c r="AP10" s="15">
        <v>15.5844155844156</v>
      </c>
      <c r="AQ10" s="15">
        <v>12.8205128205128</v>
      </c>
      <c r="AR10" s="20" t="s">
        <v>76</v>
      </c>
      <c r="AS10" s="20" t="s">
        <v>76</v>
      </c>
      <c r="AT10" s="15">
        <v>16.923076923076898</v>
      </c>
      <c r="AU10" s="15">
        <v>18.367346938775501</v>
      </c>
      <c r="AV10" s="15">
        <v>13.698630136986299</v>
      </c>
      <c r="AW10" s="15">
        <v>12.9310344827586</v>
      </c>
      <c r="AX10" s="20" t="s">
        <v>76</v>
      </c>
      <c r="AY10" s="15">
        <v>40</v>
      </c>
      <c r="AZ10" s="20" t="s">
        <v>76</v>
      </c>
      <c r="BA10" s="15">
        <v>13.207547169811299</v>
      </c>
      <c r="BB10" s="15">
        <v>16.417910447761201</v>
      </c>
      <c r="BC10" s="15">
        <v>16.2162162162162</v>
      </c>
      <c r="BD10" s="15">
        <v>41.025641025641001</v>
      </c>
      <c r="BE10" s="15">
        <v>12.0689655172414</v>
      </c>
      <c r="BF10" s="15">
        <v>24.096385542168701</v>
      </c>
      <c r="BG10" s="20" t="s">
        <v>76</v>
      </c>
      <c r="BH10" s="20" t="s">
        <v>76</v>
      </c>
      <c r="BI10" s="20" t="s">
        <v>76</v>
      </c>
      <c r="BJ10" s="15">
        <v>16.964285714285701</v>
      </c>
      <c r="BK10" s="20" t="s">
        <v>76</v>
      </c>
      <c r="BL10" s="15">
        <v>10.15625</v>
      </c>
      <c r="BM10" s="15">
        <v>12.8712871287129</v>
      </c>
      <c r="BN10" s="15">
        <v>16.806722689075599</v>
      </c>
      <c r="BO10" s="15">
        <v>16.6666666666667</v>
      </c>
      <c r="BP10" s="20" t="s">
        <v>76</v>
      </c>
      <c r="BQ10" s="15">
        <v>15.068493150684899</v>
      </c>
      <c r="BR10" s="15">
        <v>13.3333333333333</v>
      </c>
      <c r="BS10" s="15">
        <v>12.048192771084301</v>
      </c>
      <c r="BT10" s="15">
        <v>12.1951219512195</v>
      </c>
      <c r="BU10" s="15">
        <v>14.018691588785</v>
      </c>
      <c r="BV10" s="15">
        <v>20.202020202020201</v>
      </c>
      <c r="BW10" s="15">
        <v>17.3913043478261</v>
      </c>
      <c r="BX10" s="20" t="s">
        <v>76</v>
      </c>
      <c r="BY10" s="15">
        <v>12.698412698412699</v>
      </c>
      <c r="BZ10" s="15">
        <v>14.285714285714301</v>
      </c>
      <c r="CA10" s="32">
        <v>17.846914540762199</v>
      </c>
      <c r="CB10" s="15">
        <v>13.7380191693291</v>
      </c>
      <c r="CC10" s="15">
        <v>23.584905660377402</v>
      </c>
      <c r="CD10" s="15">
        <v>13.548387096774199</v>
      </c>
      <c r="CE10" s="20" t="s">
        <v>76</v>
      </c>
      <c r="CF10" s="15">
        <v>18.562874251497</v>
      </c>
      <c r="CG10" s="15">
        <v>16.201117318435799</v>
      </c>
      <c r="CH10" s="15">
        <v>17.830882352941199</v>
      </c>
      <c r="CI10" s="15">
        <v>18.6858316221766</v>
      </c>
      <c r="CJ10" s="15">
        <v>21.960784313725501</v>
      </c>
      <c r="CK10" s="15">
        <v>19.282511210762301</v>
      </c>
      <c r="CL10" s="15">
        <v>23.484848484848499</v>
      </c>
      <c r="CM10" s="24">
        <v>15.203426124197</v>
      </c>
      <c r="CN10" s="37"/>
    </row>
    <row r="11" spans="1:92">
      <c r="A11" s="9" t="s">
        <v>266</v>
      </c>
      <c r="B11" s="35">
        <v>20.745590360779499</v>
      </c>
      <c r="C11" s="32">
        <v>20.257252706663198</v>
      </c>
      <c r="D11" s="32">
        <v>20.5366516598339</v>
      </c>
      <c r="E11" s="32">
        <v>20.015058729891301</v>
      </c>
      <c r="F11" s="20" t="s">
        <v>76</v>
      </c>
      <c r="G11" s="20" t="s">
        <v>76</v>
      </c>
      <c r="H11" s="15">
        <v>26.086956521739101</v>
      </c>
      <c r="I11" s="20" t="s">
        <v>76</v>
      </c>
      <c r="J11" s="15">
        <v>13.8888888888889</v>
      </c>
      <c r="K11" s="15">
        <v>20.5128205128205</v>
      </c>
      <c r="L11" s="15">
        <v>39.344262295081997</v>
      </c>
      <c r="M11" s="15">
        <v>34.210526315789501</v>
      </c>
      <c r="N11" s="15">
        <v>14.117647058823501</v>
      </c>
      <c r="O11" s="15">
        <v>11.6279069767442</v>
      </c>
      <c r="P11" s="15">
        <v>35.2112676056338</v>
      </c>
      <c r="Q11" s="15">
        <v>12.6760563380282</v>
      </c>
      <c r="R11" s="20" t="s">
        <v>76</v>
      </c>
      <c r="S11" s="15">
        <v>21.951219512195099</v>
      </c>
      <c r="T11" s="15">
        <v>20.8333333333333</v>
      </c>
      <c r="U11" s="15">
        <v>33.3333333333333</v>
      </c>
      <c r="V11" s="15">
        <v>41.176470588235297</v>
      </c>
      <c r="W11" s="15">
        <v>13.559322033898299</v>
      </c>
      <c r="X11" s="20" t="s">
        <v>76</v>
      </c>
      <c r="Y11" s="20" t="s">
        <v>76</v>
      </c>
      <c r="Z11" s="15">
        <v>24.3589743589744</v>
      </c>
      <c r="AA11" s="15">
        <v>13.7614678899083</v>
      </c>
      <c r="AB11" s="15">
        <v>16.176470588235301</v>
      </c>
      <c r="AC11" s="15">
        <v>25</v>
      </c>
      <c r="AD11" s="15">
        <v>71.875</v>
      </c>
      <c r="AE11" s="20" t="s">
        <v>76</v>
      </c>
      <c r="AF11" s="20" t="s">
        <v>76</v>
      </c>
      <c r="AG11" s="15">
        <v>11.4285714285714</v>
      </c>
      <c r="AH11" s="15">
        <v>12.5</v>
      </c>
      <c r="AI11" s="20" t="s">
        <v>76</v>
      </c>
      <c r="AJ11" s="15">
        <v>15.315315315315299</v>
      </c>
      <c r="AK11" s="15">
        <v>33.3333333333333</v>
      </c>
      <c r="AL11" s="15">
        <v>17.7777777777778</v>
      </c>
      <c r="AM11" s="15">
        <v>28.125</v>
      </c>
      <c r="AN11" s="20" t="s">
        <v>76</v>
      </c>
      <c r="AO11" s="20" t="s">
        <v>76</v>
      </c>
      <c r="AP11" s="15">
        <v>11.6883116883117</v>
      </c>
      <c r="AQ11" s="15">
        <v>12.8205128205128</v>
      </c>
      <c r="AR11" s="15">
        <v>16.363636363636399</v>
      </c>
      <c r="AS11" s="20" t="s">
        <v>76</v>
      </c>
      <c r="AT11" s="15">
        <v>18.461538461538499</v>
      </c>
      <c r="AU11" s="15">
        <v>16.326530612244898</v>
      </c>
      <c r="AV11" s="15">
        <v>8.2191780821917799</v>
      </c>
      <c r="AW11" s="15">
        <v>12.0689655172414</v>
      </c>
      <c r="AX11" s="15">
        <v>31.25</v>
      </c>
      <c r="AY11" s="15">
        <v>20</v>
      </c>
      <c r="AZ11" s="15">
        <v>68</v>
      </c>
      <c r="BA11" s="15">
        <v>16.981132075471699</v>
      </c>
      <c r="BB11" s="15">
        <v>28.358208955223901</v>
      </c>
      <c r="BC11" s="15">
        <v>18.918918918918902</v>
      </c>
      <c r="BD11" s="15">
        <v>19.230769230769202</v>
      </c>
      <c r="BE11" s="15">
        <v>50</v>
      </c>
      <c r="BF11" s="15">
        <v>14.4578313253012</v>
      </c>
      <c r="BG11" s="15">
        <v>13.4328358208955</v>
      </c>
      <c r="BH11" s="15">
        <v>20.8333333333333</v>
      </c>
      <c r="BI11" s="20" t="s">
        <v>76</v>
      </c>
      <c r="BJ11" s="15">
        <v>10.714285714285699</v>
      </c>
      <c r="BK11" s="15">
        <v>45</v>
      </c>
      <c r="BL11" s="15">
        <v>31.25</v>
      </c>
      <c r="BM11" s="15">
        <v>15.841584158415801</v>
      </c>
      <c r="BN11" s="15">
        <v>21.848739495798299</v>
      </c>
      <c r="BO11" s="15">
        <v>10</v>
      </c>
      <c r="BP11" s="20" t="s">
        <v>76</v>
      </c>
      <c r="BQ11" s="15">
        <v>12.328767123287699</v>
      </c>
      <c r="BR11" s="20" t="s">
        <v>76</v>
      </c>
      <c r="BS11" s="15">
        <v>8.4337349397590398</v>
      </c>
      <c r="BT11" s="15">
        <v>25.609756097561</v>
      </c>
      <c r="BU11" s="15">
        <v>21.495327102803699</v>
      </c>
      <c r="BV11" s="15">
        <v>54.545454545454497</v>
      </c>
      <c r="BW11" s="20" t="s">
        <v>76</v>
      </c>
      <c r="BX11" s="20" t="s">
        <v>76</v>
      </c>
      <c r="BY11" s="15">
        <v>7.9365079365079403</v>
      </c>
      <c r="BZ11" s="15">
        <v>30.612244897959201</v>
      </c>
      <c r="CA11" s="32">
        <v>20.9578748097213</v>
      </c>
      <c r="CB11" s="15">
        <v>18.210862619808299</v>
      </c>
      <c r="CC11" s="15">
        <v>13.522012578616399</v>
      </c>
      <c r="CD11" s="15">
        <v>20</v>
      </c>
      <c r="CE11" s="20" t="s">
        <v>76</v>
      </c>
      <c r="CF11" s="15">
        <v>17.065868263473099</v>
      </c>
      <c r="CG11" s="15">
        <v>21.229050279329599</v>
      </c>
      <c r="CH11" s="15">
        <v>30.882352941176499</v>
      </c>
      <c r="CI11" s="15">
        <v>19.096509240246402</v>
      </c>
      <c r="CJ11" s="15">
        <v>31.372549019607799</v>
      </c>
      <c r="CK11" s="15">
        <v>22.421524663677101</v>
      </c>
      <c r="CL11" s="15">
        <v>20.606060606060598</v>
      </c>
      <c r="CM11" s="24">
        <v>20.128479657387601</v>
      </c>
      <c r="CN11" s="37"/>
    </row>
    <row r="12" spans="1:92">
      <c r="A12" s="9" t="s">
        <v>267</v>
      </c>
      <c r="B12" s="35">
        <v>8.1130620297486509</v>
      </c>
      <c r="C12" s="32">
        <v>6.5288449645193598</v>
      </c>
      <c r="D12" s="32">
        <v>6.4367907097881396</v>
      </c>
      <c r="E12" s="32">
        <v>7.9557241485810302</v>
      </c>
      <c r="F12" s="20" t="s">
        <v>76</v>
      </c>
      <c r="G12" s="20" t="s">
        <v>76</v>
      </c>
      <c r="H12" s="20" t="s">
        <v>76</v>
      </c>
      <c r="I12" s="20" t="s">
        <v>76</v>
      </c>
      <c r="J12" s="15">
        <v>9.7222222222222197</v>
      </c>
      <c r="K12" s="20" t="s">
        <v>76</v>
      </c>
      <c r="L12" s="20" t="s">
        <v>76</v>
      </c>
      <c r="M12" s="20" t="s">
        <v>76</v>
      </c>
      <c r="N12" s="15">
        <v>9.4117647058823497</v>
      </c>
      <c r="O12" s="20" t="s">
        <v>76</v>
      </c>
      <c r="P12" s="15">
        <v>9.8591549295774694</v>
      </c>
      <c r="Q12" s="15">
        <v>11.2676056338028</v>
      </c>
      <c r="R12" s="20" t="s">
        <v>76</v>
      </c>
      <c r="S12" s="15">
        <v>12.1951219512195</v>
      </c>
      <c r="T12" s="20" t="s">
        <v>76</v>
      </c>
      <c r="U12" s="20" t="s">
        <v>76</v>
      </c>
      <c r="V12" s="15">
        <v>14.705882352941201</v>
      </c>
      <c r="W12" s="20" t="s">
        <v>76</v>
      </c>
      <c r="X12" s="20" t="s">
        <v>76</v>
      </c>
      <c r="Y12" s="20" t="s">
        <v>76</v>
      </c>
      <c r="Z12" s="15">
        <v>12.8205128205128</v>
      </c>
      <c r="AA12" s="15">
        <v>11.0091743119266</v>
      </c>
      <c r="AB12" s="15">
        <v>8.8235294117646994</v>
      </c>
      <c r="AC12" s="15">
        <v>6.8181818181818201</v>
      </c>
      <c r="AD12" s="20" t="s">
        <v>76</v>
      </c>
      <c r="AE12" s="20" t="s">
        <v>76</v>
      </c>
      <c r="AF12" s="20" t="s">
        <v>76</v>
      </c>
      <c r="AG12" s="15">
        <v>4.7619047619047601</v>
      </c>
      <c r="AH12" s="15">
        <v>12.5</v>
      </c>
      <c r="AI12" s="20" t="s">
        <v>76</v>
      </c>
      <c r="AJ12" s="15">
        <v>7.20720720720721</v>
      </c>
      <c r="AK12" s="20" t="s">
        <v>76</v>
      </c>
      <c r="AL12" s="15">
        <v>13.3333333333333</v>
      </c>
      <c r="AM12" s="15">
        <v>17.1875</v>
      </c>
      <c r="AN12" s="20" t="s">
        <v>76</v>
      </c>
      <c r="AO12" s="20" t="s">
        <v>76</v>
      </c>
      <c r="AP12" s="20" t="s">
        <v>76</v>
      </c>
      <c r="AQ12" s="15">
        <v>20.5128205128205</v>
      </c>
      <c r="AR12" s="20" t="s">
        <v>76</v>
      </c>
      <c r="AS12" s="20" t="s">
        <v>76</v>
      </c>
      <c r="AT12" s="20" t="s">
        <v>76</v>
      </c>
      <c r="AU12" s="20" t="s">
        <v>76</v>
      </c>
      <c r="AV12" s="20" t="s">
        <v>76</v>
      </c>
      <c r="AW12" s="15">
        <v>6.0344827586206904</v>
      </c>
      <c r="AX12" s="20" t="s">
        <v>76</v>
      </c>
      <c r="AY12" s="20" t="s">
        <v>76</v>
      </c>
      <c r="AZ12" s="20" t="s">
        <v>76</v>
      </c>
      <c r="BA12" s="15">
        <v>24.528301886792502</v>
      </c>
      <c r="BB12" s="15">
        <v>8.9552238805970106</v>
      </c>
      <c r="BC12" s="20" t="s">
        <v>76</v>
      </c>
      <c r="BD12" s="15">
        <v>7.6923076923076898</v>
      </c>
      <c r="BE12" s="20" t="s">
        <v>76</v>
      </c>
      <c r="BF12" s="15">
        <v>10.8433734939759</v>
      </c>
      <c r="BG12" s="20" t="s">
        <v>76</v>
      </c>
      <c r="BH12" s="20" t="s">
        <v>76</v>
      </c>
      <c r="BI12" s="20" t="s">
        <v>76</v>
      </c>
      <c r="BJ12" s="15">
        <v>10.714285714285699</v>
      </c>
      <c r="BK12" s="20" t="s">
        <v>76</v>
      </c>
      <c r="BL12" s="15">
        <v>7.8125</v>
      </c>
      <c r="BM12" s="15">
        <v>16.8316831683168</v>
      </c>
      <c r="BN12" s="15">
        <v>8.4033613445378208</v>
      </c>
      <c r="BO12" s="15">
        <v>6.6666666666666696</v>
      </c>
      <c r="BP12" s="20" t="s">
        <v>76</v>
      </c>
      <c r="BQ12" s="15">
        <v>9.5890410958904102</v>
      </c>
      <c r="BR12" s="20" t="s">
        <v>76</v>
      </c>
      <c r="BS12" s="15">
        <v>7.2289156626505999</v>
      </c>
      <c r="BT12" s="15">
        <v>7.3170731707317103</v>
      </c>
      <c r="BU12" s="15">
        <v>14.953271028037401</v>
      </c>
      <c r="BV12" s="15">
        <v>13.1313131313131</v>
      </c>
      <c r="BW12" s="20" t="s">
        <v>76</v>
      </c>
      <c r="BX12" s="20" t="s">
        <v>76</v>
      </c>
      <c r="BY12" s="20" t="s">
        <v>76</v>
      </c>
      <c r="BZ12" s="15">
        <v>8.1632653061224492</v>
      </c>
      <c r="CA12" s="32">
        <v>5.21014462080052</v>
      </c>
      <c r="CB12" s="15">
        <v>4.47284345047923</v>
      </c>
      <c r="CC12" s="15">
        <v>4.7169811320754702</v>
      </c>
      <c r="CD12" s="15">
        <v>5.1612903225806503</v>
      </c>
      <c r="CE12" s="20" t="s">
        <v>76</v>
      </c>
      <c r="CF12" s="15">
        <v>4.4910179640718599</v>
      </c>
      <c r="CG12" s="15">
        <v>6.1452513966480398</v>
      </c>
      <c r="CH12" s="15">
        <v>7.1691176470588198</v>
      </c>
      <c r="CI12" s="15">
        <v>6.5708418891170401</v>
      </c>
      <c r="CJ12" s="15">
        <v>5.0980392156862804</v>
      </c>
      <c r="CK12" s="15">
        <v>4.9327354260089704</v>
      </c>
      <c r="CL12" s="15">
        <v>6.51515151515152</v>
      </c>
      <c r="CM12" s="24">
        <v>3.64025695931478</v>
      </c>
      <c r="CN12" s="37"/>
    </row>
    <row r="13" spans="1:92">
      <c r="A13" s="9" t="s">
        <v>268</v>
      </c>
      <c r="B13" s="35">
        <v>5.9726095368724703</v>
      </c>
      <c r="C13" s="32">
        <v>4.9850666864461104</v>
      </c>
      <c r="D13" s="32">
        <v>4.8048522942341796</v>
      </c>
      <c r="E13" s="32">
        <v>6.9514244565052303</v>
      </c>
      <c r="F13" s="20" t="s">
        <v>76</v>
      </c>
      <c r="G13" s="20" t="s">
        <v>76</v>
      </c>
      <c r="H13" s="20" t="s">
        <v>76</v>
      </c>
      <c r="I13" s="20" t="s">
        <v>76</v>
      </c>
      <c r="J13" s="15">
        <v>9.7222222222222197</v>
      </c>
      <c r="K13" s="15">
        <v>15.384615384615399</v>
      </c>
      <c r="L13" s="20" t="s">
        <v>76</v>
      </c>
      <c r="M13" s="15">
        <v>6.5789473684210504</v>
      </c>
      <c r="N13" s="20" t="s">
        <v>76</v>
      </c>
      <c r="O13" s="15">
        <v>11.6279069767442</v>
      </c>
      <c r="P13" s="20" t="s">
        <v>76</v>
      </c>
      <c r="Q13" s="20" t="s">
        <v>76</v>
      </c>
      <c r="R13" s="20" t="s">
        <v>76</v>
      </c>
      <c r="S13" s="20" t="s">
        <v>76</v>
      </c>
      <c r="T13" s="20" t="s">
        <v>76</v>
      </c>
      <c r="U13" s="20" t="s">
        <v>76</v>
      </c>
      <c r="V13" s="20" t="s">
        <v>76</v>
      </c>
      <c r="W13" s="20" t="s">
        <v>76</v>
      </c>
      <c r="X13" s="20" t="s">
        <v>76</v>
      </c>
      <c r="Y13" s="20" t="s">
        <v>76</v>
      </c>
      <c r="Z13" s="20" t="s">
        <v>76</v>
      </c>
      <c r="AA13" s="15">
        <v>8.2568807339449499</v>
      </c>
      <c r="AB13" s="15">
        <v>20.588235294117599</v>
      </c>
      <c r="AC13" s="15">
        <v>5.3030303030303001</v>
      </c>
      <c r="AD13" s="20" t="s">
        <v>76</v>
      </c>
      <c r="AE13" s="20" t="s">
        <v>76</v>
      </c>
      <c r="AF13" s="15">
        <v>35.714285714285701</v>
      </c>
      <c r="AG13" s="20" t="s">
        <v>76</v>
      </c>
      <c r="AH13" s="15">
        <v>10.714285714285699</v>
      </c>
      <c r="AI13" s="20" t="s">
        <v>76</v>
      </c>
      <c r="AJ13" s="15">
        <v>11.7117117117117</v>
      </c>
      <c r="AK13" s="20" t="s">
        <v>76</v>
      </c>
      <c r="AL13" s="15">
        <v>12.2222222222222</v>
      </c>
      <c r="AM13" s="20" t="s">
        <v>76</v>
      </c>
      <c r="AN13" s="20" t="s">
        <v>76</v>
      </c>
      <c r="AO13" s="20" t="s">
        <v>76</v>
      </c>
      <c r="AP13" s="15">
        <v>11.6883116883117</v>
      </c>
      <c r="AQ13" s="15">
        <v>12.8205128205128</v>
      </c>
      <c r="AR13" s="20" t="s">
        <v>76</v>
      </c>
      <c r="AS13" s="20" t="s">
        <v>76</v>
      </c>
      <c r="AT13" s="20" t="s">
        <v>76</v>
      </c>
      <c r="AU13" s="20" t="s">
        <v>76</v>
      </c>
      <c r="AV13" s="20" t="s">
        <v>76</v>
      </c>
      <c r="AW13" s="15">
        <v>11.2068965517241</v>
      </c>
      <c r="AX13" s="20" t="s">
        <v>76</v>
      </c>
      <c r="AY13" s="20" t="s">
        <v>76</v>
      </c>
      <c r="AZ13" s="15">
        <v>12</v>
      </c>
      <c r="BA13" s="20" t="s">
        <v>76</v>
      </c>
      <c r="BB13" s="20" t="s">
        <v>76</v>
      </c>
      <c r="BC13" s="15">
        <v>6.7567567567567597</v>
      </c>
      <c r="BD13" s="20" t="s">
        <v>76</v>
      </c>
      <c r="BE13" s="15">
        <v>13.7931034482759</v>
      </c>
      <c r="BF13" s="15">
        <v>8.4337349397590398</v>
      </c>
      <c r="BG13" s="20" t="s">
        <v>76</v>
      </c>
      <c r="BH13" s="20" t="s">
        <v>76</v>
      </c>
      <c r="BI13" s="20" t="s">
        <v>76</v>
      </c>
      <c r="BJ13" s="15">
        <v>4.46428571428571</v>
      </c>
      <c r="BK13" s="20" t="s">
        <v>76</v>
      </c>
      <c r="BL13" s="15">
        <v>3.90625</v>
      </c>
      <c r="BM13" s="20" t="s">
        <v>76</v>
      </c>
      <c r="BN13" s="15">
        <v>4.2016806722689104</v>
      </c>
      <c r="BO13" s="15">
        <v>6.6666666666666696</v>
      </c>
      <c r="BP13" s="20" t="s">
        <v>76</v>
      </c>
      <c r="BQ13" s="20" t="s">
        <v>76</v>
      </c>
      <c r="BR13" s="20" t="s">
        <v>76</v>
      </c>
      <c r="BS13" s="15">
        <v>9.6385542168674707</v>
      </c>
      <c r="BT13" s="15">
        <v>13.4146341463415</v>
      </c>
      <c r="BU13" s="20" t="s">
        <v>76</v>
      </c>
      <c r="BV13" s="15">
        <v>18.181818181818201</v>
      </c>
      <c r="BW13" s="15">
        <v>7.2463768115942004</v>
      </c>
      <c r="BX13" s="20" t="s">
        <v>76</v>
      </c>
      <c r="BY13" s="20" t="s">
        <v>76</v>
      </c>
      <c r="BZ13" s="15">
        <v>8.1632653061224492</v>
      </c>
      <c r="CA13" s="32">
        <v>3.0713435832323199</v>
      </c>
      <c r="CB13" s="15">
        <v>2.5559105431309899</v>
      </c>
      <c r="CC13" s="15">
        <v>1.88679245283019</v>
      </c>
      <c r="CD13" s="20" t="s">
        <v>76</v>
      </c>
      <c r="CE13" s="20" t="s">
        <v>76</v>
      </c>
      <c r="CF13" s="15">
        <v>2.6946107784431099</v>
      </c>
      <c r="CG13" s="15">
        <v>3.91061452513966</v>
      </c>
      <c r="CH13" s="15">
        <v>2.7573529411764701</v>
      </c>
      <c r="CI13" s="15">
        <v>1.84804928131417</v>
      </c>
      <c r="CJ13" s="15">
        <v>4.31372549019608</v>
      </c>
      <c r="CK13" s="15">
        <v>5.8295964125560502</v>
      </c>
      <c r="CL13" s="15">
        <v>4.6969696969696999</v>
      </c>
      <c r="CM13" s="24">
        <v>3.64025695931478</v>
      </c>
      <c r="CN13" s="37"/>
    </row>
    <row r="14" spans="1:92">
      <c r="A14" s="9" t="s">
        <v>269</v>
      </c>
      <c r="B14" s="35">
        <v>29.814034739107701</v>
      </c>
      <c r="C14" s="32">
        <v>30.044468339938</v>
      </c>
      <c r="D14" s="32">
        <v>28.3883570704009</v>
      </c>
      <c r="E14" s="32">
        <v>32.651023903709003</v>
      </c>
      <c r="F14" s="20" t="s">
        <v>76</v>
      </c>
      <c r="G14" s="20" t="s">
        <v>76</v>
      </c>
      <c r="H14" s="15">
        <v>95.652173913043498</v>
      </c>
      <c r="I14" s="15">
        <v>90</v>
      </c>
      <c r="J14" s="15">
        <v>57.6388888888889</v>
      </c>
      <c r="K14" s="15">
        <v>15.384615384615399</v>
      </c>
      <c r="L14" s="15">
        <v>72.131147540983605</v>
      </c>
      <c r="M14" s="15">
        <v>52.631578947368403</v>
      </c>
      <c r="N14" s="15">
        <v>35.294117647058798</v>
      </c>
      <c r="O14" s="15">
        <v>16.2790697674419</v>
      </c>
      <c r="P14" s="15">
        <v>30.985915492957702</v>
      </c>
      <c r="Q14" s="15">
        <v>49.295774647887299</v>
      </c>
      <c r="R14" s="20" t="s">
        <v>76</v>
      </c>
      <c r="S14" s="15">
        <v>31.707317073170699</v>
      </c>
      <c r="T14" s="15">
        <v>25</v>
      </c>
      <c r="U14" s="15">
        <v>23.8095238095238</v>
      </c>
      <c r="V14" s="15">
        <v>23.529411764705898</v>
      </c>
      <c r="W14" s="15">
        <v>28.8135593220339</v>
      </c>
      <c r="X14" s="20" t="s">
        <v>76</v>
      </c>
      <c r="Y14" s="20" t="s">
        <v>76</v>
      </c>
      <c r="Z14" s="15">
        <v>33.3333333333333</v>
      </c>
      <c r="AA14" s="15">
        <v>33.944954128440401</v>
      </c>
      <c r="AB14" s="15">
        <v>23.529411764705898</v>
      </c>
      <c r="AC14" s="15">
        <v>31.060606060606101</v>
      </c>
      <c r="AD14" s="15">
        <v>59.375</v>
      </c>
      <c r="AE14" s="15">
        <v>22.2222222222222</v>
      </c>
      <c r="AF14" s="15">
        <v>35.714285714285701</v>
      </c>
      <c r="AG14" s="15">
        <v>25.714285714285701</v>
      </c>
      <c r="AH14" s="15">
        <v>30.3571428571429</v>
      </c>
      <c r="AI14" s="20" t="s">
        <v>76</v>
      </c>
      <c r="AJ14" s="15">
        <v>39.639639639639597</v>
      </c>
      <c r="AK14" s="15">
        <v>40</v>
      </c>
      <c r="AL14" s="15">
        <v>41.1111111111111</v>
      </c>
      <c r="AM14" s="15">
        <v>32.8125</v>
      </c>
      <c r="AN14" s="20" t="s">
        <v>76</v>
      </c>
      <c r="AO14" s="15">
        <v>30</v>
      </c>
      <c r="AP14" s="15">
        <v>23.3766233766234</v>
      </c>
      <c r="AQ14" s="15">
        <v>38.461538461538503</v>
      </c>
      <c r="AR14" s="15">
        <v>10.909090909090899</v>
      </c>
      <c r="AS14" s="20" t="s">
        <v>76</v>
      </c>
      <c r="AT14" s="15">
        <v>16.923076923076898</v>
      </c>
      <c r="AU14" s="15">
        <v>40.816326530612201</v>
      </c>
      <c r="AV14" s="15">
        <v>13.698630136986299</v>
      </c>
      <c r="AW14" s="15">
        <v>30.172413793103502</v>
      </c>
      <c r="AX14" s="15">
        <v>56.25</v>
      </c>
      <c r="AY14" s="15">
        <v>60</v>
      </c>
      <c r="AZ14" s="15">
        <v>32</v>
      </c>
      <c r="BA14" s="15">
        <v>35.849056603773597</v>
      </c>
      <c r="BB14" s="15">
        <v>38.805970149253703</v>
      </c>
      <c r="BC14" s="15">
        <v>27.027027027027</v>
      </c>
      <c r="BD14" s="15">
        <v>37.179487179487197</v>
      </c>
      <c r="BE14" s="15">
        <v>48.275862068965502</v>
      </c>
      <c r="BF14" s="15">
        <v>25.3012048192771</v>
      </c>
      <c r="BG14" s="15">
        <v>17.910447761194</v>
      </c>
      <c r="BH14" s="20" t="s">
        <v>76</v>
      </c>
      <c r="BI14" s="20" t="s">
        <v>76</v>
      </c>
      <c r="BJ14" s="15">
        <v>30.3571428571429</v>
      </c>
      <c r="BK14" s="15">
        <v>37.5</v>
      </c>
      <c r="BL14" s="15">
        <v>26.5625</v>
      </c>
      <c r="BM14" s="15">
        <v>24.752475247524799</v>
      </c>
      <c r="BN14" s="15">
        <v>49.579831932773097</v>
      </c>
      <c r="BO14" s="15">
        <v>23.3333333333333</v>
      </c>
      <c r="BP14" s="15">
        <v>53.3333333333333</v>
      </c>
      <c r="BQ14" s="15">
        <v>15.068493150684899</v>
      </c>
      <c r="BR14" s="15">
        <v>11.6666666666667</v>
      </c>
      <c r="BS14" s="15">
        <v>26.506024096385499</v>
      </c>
      <c r="BT14" s="15">
        <v>32.9268292682927</v>
      </c>
      <c r="BU14" s="15">
        <v>44.859813084112098</v>
      </c>
      <c r="BV14" s="15">
        <v>66.6666666666667</v>
      </c>
      <c r="BW14" s="15">
        <v>14.492753623188401</v>
      </c>
      <c r="BX14" s="20" t="s">
        <v>76</v>
      </c>
      <c r="BY14" s="15">
        <v>23.8095238095238</v>
      </c>
      <c r="BZ14" s="15">
        <v>34.013605442176903</v>
      </c>
      <c r="CA14" s="32">
        <v>24.945952376295299</v>
      </c>
      <c r="CB14" s="15">
        <v>20.766773162939302</v>
      </c>
      <c r="CC14" s="15">
        <v>18.238993710691801</v>
      </c>
      <c r="CD14" s="15">
        <v>36.129032258064498</v>
      </c>
      <c r="CE14" s="20" t="s">
        <v>76</v>
      </c>
      <c r="CF14" s="15">
        <v>23.353293413173699</v>
      </c>
      <c r="CG14" s="15">
        <v>32.960893854748598</v>
      </c>
      <c r="CH14" s="15">
        <v>30.147058823529399</v>
      </c>
      <c r="CI14" s="15">
        <v>29.3634496919918</v>
      </c>
      <c r="CJ14" s="15">
        <v>26.6666666666667</v>
      </c>
      <c r="CK14" s="15">
        <v>26.457399103139</v>
      </c>
      <c r="CL14" s="15">
        <v>28.3333333333333</v>
      </c>
      <c r="CM14" s="24">
        <v>19.9143468950749</v>
      </c>
      <c r="CN14" s="37"/>
    </row>
    <row r="15" spans="1:92">
      <c r="A15" s="9" t="s">
        <v>270</v>
      </c>
      <c r="B15" s="35">
        <v>30.695360370803499</v>
      </c>
      <c r="C15" s="32">
        <v>34.489291940069499</v>
      </c>
      <c r="D15" s="32">
        <v>34.070205225213698</v>
      </c>
      <c r="E15" s="32">
        <v>38.952571878562999</v>
      </c>
      <c r="F15" s="15">
        <v>35.294117647058798</v>
      </c>
      <c r="G15" s="15">
        <v>47.058823529411796</v>
      </c>
      <c r="H15" s="15">
        <v>52.173913043478301</v>
      </c>
      <c r="I15" s="15">
        <v>60</v>
      </c>
      <c r="J15" s="15">
        <v>38.8888888888889</v>
      </c>
      <c r="K15" s="15">
        <v>38.461538461538503</v>
      </c>
      <c r="L15" s="15">
        <v>44.262295081967203</v>
      </c>
      <c r="M15" s="15">
        <v>7.8947368421052602</v>
      </c>
      <c r="N15" s="15">
        <v>40</v>
      </c>
      <c r="O15" s="15">
        <v>23.255813953488399</v>
      </c>
      <c r="P15" s="15">
        <v>46.478873239436602</v>
      </c>
      <c r="Q15" s="15">
        <v>40.845070422535201</v>
      </c>
      <c r="R15" s="20" t="s">
        <v>76</v>
      </c>
      <c r="S15" s="15">
        <v>56.097560975609802</v>
      </c>
      <c r="T15" s="15">
        <v>50</v>
      </c>
      <c r="U15" s="15">
        <v>52.380952380952401</v>
      </c>
      <c r="V15" s="15">
        <v>47.058823529411796</v>
      </c>
      <c r="W15" s="15">
        <v>49.152542372881399</v>
      </c>
      <c r="X15" s="15">
        <v>53.846153846153797</v>
      </c>
      <c r="Y15" s="20" t="s">
        <v>76</v>
      </c>
      <c r="Z15" s="15">
        <v>32.051282051282101</v>
      </c>
      <c r="AA15" s="15">
        <v>41.284403669724803</v>
      </c>
      <c r="AB15" s="15">
        <v>45.588235294117602</v>
      </c>
      <c r="AC15" s="15">
        <v>31.060606060606101</v>
      </c>
      <c r="AD15" s="15">
        <v>78.125</v>
      </c>
      <c r="AE15" s="15">
        <v>48.148148148148103</v>
      </c>
      <c r="AF15" s="15">
        <v>57.142857142857103</v>
      </c>
      <c r="AG15" s="15">
        <v>27.619047619047599</v>
      </c>
      <c r="AH15" s="15">
        <v>51.785714285714299</v>
      </c>
      <c r="AI15" s="20" t="s">
        <v>76</v>
      </c>
      <c r="AJ15" s="15">
        <v>24.324324324324301</v>
      </c>
      <c r="AK15" s="15">
        <v>66.6666666666667</v>
      </c>
      <c r="AL15" s="15">
        <v>63.3333333333333</v>
      </c>
      <c r="AM15" s="15">
        <v>45.3125</v>
      </c>
      <c r="AN15" s="20" t="s">
        <v>76</v>
      </c>
      <c r="AO15" s="15">
        <v>40</v>
      </c>
      <c r="AP15" s="15">
        <v>55.8441558441558</v>
      </c>
      <c r="AQ15" s="15">
        <v>41.025641025641001</v>
      </c>
      <c r="AR15" s="15">
        <v>32.727272727272698</v>
      </c>
      <c r="AS15" s="15">
        <v>81.818181818181799</v>
      </c>
      <c r="AT15" s="15">
        <v>24.615384615384599</v>
      </c>
      <c r="AU15" s="15">
        <v>63.265306122448997</v>
      </c>
      <c r="AV15" s="15">
        <v>28.7671232876712</v>
      </c>
      <c r="AW15" s="15">
        <v>34.482758620689701</v>
      </c>
      <c r="AX15" s="20" t="s">
        <v>76</v>
      </c>
      <c r="AY15" s="15">
        <v>48.571428571428598</v>
      </c>
      <c r="AZ15" s="15">
        <v>62</v>
      </c>
      <c r="BA15" s="15">
        <v>22.641509433962302</v>
      </c>
      <c r="BB15" s="15">
        <v>59.701492537313399</v>
      </c>
      <c r="BC15" s="15">
        <v>37.837837837837803</v>
      </c>
      <c r="BD15" s="15">
        <v>33.3333333333333</v>
      </c>
      <c r="BE15" s="15">
        <v>60.344827586206897</v>
      </c>
      <c r="BF15" s="15">
        <v>28.9156626506024</v>
      </c>
      <c r="BG15" s="15">
        <v>23.880597014925399</v>
      </c>
      <c r="BH15" s="15">
        <v>66.6666666666667</v>
      </c>
      <c r="BI15" s="15">
        <v>36.842105263157897</v>
      </c>
      <c r="BJ15" s="15">
        <v>38.392857142857103</v>
      </c>
      <c r="BK15" s="15">
        <v>47.5</v>
      </c>
      <c r="BL15" s="15">
        <v>45.3125</v>
      </c>
      <c r="BM15" s="15">
        <v>61.386138613861398</v>
      </c>
      <c r="BN15" s="15">
        <v>38.655462184873997</v>
      </c>
      <c r="BO15" s="15">
        <v>18.8888888888889</v>
      </c>
      <c r="BP15" s="15">
        <v>66.6666666666667</v>
      </c>
      <c r="BQ15" s="15">
        <v>45.205479452054803</v>
      </c>
      <c r="BR15" s="15">
        <v>26.6666666666667</v>
      </c>
      <c r="BS15" s="15">
        <v>27.710843373494001</v>
      </c>
      <c r="BT15" s="15">
        <v>26.829268292682901</v>
      </c>
      <c r="BU15" s="15">
        <v>40.186915887850503</v>
      </c>
      <c r="BV15" s="15">
        <v>66.6666666666667</v>
      </c>
      <c r="BW15" s="15">
        <v>11.5942028985507</v>
      </c>
      <c r="BX15" s="15">
        <v>100</v>
      </c>
      <c r="BY15" s="15">
        <v>49.206349206349202</v>
      </c>
      <c r="BZ15" s="15">
        <v>38.775510204081598</v>
      </c>
      <c r="CA15" s="32">
        <v>30.127349134630801</v>
      </c>
      <c r="CB15" s="15">
        <v>27.156549520766799</v>
      </c>
      <c r="CC15" s="15">
        <v>26.7295597484277</v>
      </c>
      <c r="CD15" s="15">
        <v>26.451612903225801</v>
      </c>
      <c r="CE15" s="20" t="s">
        <v>76</v>
      </c>
      <c r="CF15" s="15">
        <v>25.149700598802401</v>
      </c>
      <c r="CG15" s="15">
        <v>35.195530726256997</v>
      </c>
      <c r="CH15" s="15">
        <v>34.191176470588204</v>
      </c>
      <c r="CI15" s="15">
        <v>38.193018480492803</v>
      </c>
      <c r="CJ15" s="15">
        <v>23.137254901960802</v>
      </c>
      <c r="CK15" s="15">
        <v>37.668161434977598</v>
      </c>
      <c r="CL15" s="15">
        <v>36.818181818181799</v>
      </c>
      <c r="CM15" s="24">
        <v>29.122055674518201</v>
      </c>
      <c r="CN15" s="37"/>
    </row>
    <row r="16" spans="1:92">
      <c r="A16" s="9" t="s">
        <v>271</v>
      </c>
      <c r="B16" s="35">
        <v>2.2770707556957102</v>
      </c>
      <c r="C16" s="32">
        <v>2.8456044704146701</v>
      </c>
      <c r="D16" s="32">
        <v>2.2616820337506498</v>
      </c>
      <c r="E16" s="32">
        <v>3.2287235551020999</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15">
        <v>7.3529411764705896</v>
      </c>
      <c r="AC16" s="15">
        <v>5.3030303030303001</v>
      </c>
      <c r="AD16" s="20" t="s">
        <v>76</v>
      </c>
      <c r="AE16" s="20" t="s">
        <v>76</v>
      </c>
      <c r="AF16" s="20" t="s">
        <v>76</v>
      </c>
      <c r="AG16" s="15">
        <v>4.7619047619047601</v>
      </c>
      <c r="AH16" s="20" t="s">
        <v>76</v>
      </c>
      <c r="AI16" s="20" t="s">
        <v>76</v>
      </c>
      <c r="AJ16" s="20" t="s">
        <v>76</v>
      </c>
      <c r="AK16" s="20" t="s">
        <v>76</v>
      </c>
      <c r="AL16" s="20" t="s">
        <v>76</v>
      </c>
      <c r="AM16" s="20" t="s">
        <v>76</v>
      </c>
      <c r="AN16" s="20" t="s">
        <v>76</v>
      </c>
      <c r="AO16" s="20" t="s">
        <v>76</v>
      </c>
      <c r="AP16" s="20" t="s">
        <v>76</v>
      </c>
      <c r="AQ16" s="20" t="s">
        <v>76</v>
      </c>
      <c r="AR16" s="20" t="s">
        <v>76</v>
      </c>
      <c r="AS16" s="20" t="s">
        <v>76</v>
      </c>
      <c r="AT16" s="15">
        <v>7.6923076923076898</v>
      </c>
      <c r="AU16" s="20" t="s">
        <v>76</v>
      </c>
      <c r="AV16" s="20" t="s">
        <v>76</v>
      </c>
      <c r="AW16" s="20" t="s">
        <v>76</v>
      </c>
      <c r="AX16" s="20" t="s">
        <v>76</v>
      </c>
      <c r="AY16" s="20" t="s">
        <v>76</v>
      </c>
      <c r="AZ16" s="20" t="s">
        <v>76</v>
      </c>
      <c r="BA16" s="20" t="s">
        <v>76</v>
      </c>
      <c r="BB16" s="20" t="s">
        <v>76</v>
      </c>
      <c r="BC16" s="20" t="s">
        <v>76</v>
      </c>
      <c r="BD16" s="15">
        <v>7.6923076923076898</v>
      </c>
      <c r="BE16" s="20" t="s">
        <v>76</v>
      </c>
      <c r="BF16" s="20" t="s">
        <v>76</v>
      </c>
      <c r="BG16" s="20" t="s">
        <v>76</v>
      </c>
      <c r="BH16" s="20" t="s">
        <v>76</v>
      </c>
      <c r="BI16" s="20" t="s">
        <v>76</v>
      </c>
      <c r="BJ16" s="20" t="s">
        <v>76</v>
      </c>
      <c r="BK16" s="20" t="s">
        <v>76</v>
      </c>
      <c r="BL16" s="20" t="s">
        <v>76</v>
      </c>
      <c r="BM16" s="20" t="s">
        <v>76</v>
      </c>
      <c r="BN16" s="20" t="s">
        <v>76</v>
      </c>
      <c r="BO16" s="15">
        <v>5.5555555555555598</v>
      </c>
      <c r="BP16" s="20" t="s">
        <v>76</v>
      </c>
      <c r="BQ16" s="20" t="s">
        <v>76</v>
      </c>
      <c r="BR16" s="20" t="s">
        <v>76</v>
      </c>
      <c r="BS16" s="20" t="s">
        <v>76</v>
      </c>
      <c r="BT16" s="20" t="s">
        <v>76</v>
      </c>
      <c r="BU16" s="20" t="s">
        <v>76</v>
      </c>
      <c r="BV16" s="20" t="s">
        <v>76</v>
      </c>
      <c r="BW16" s="20" t="s">
        <v>76</v>
      </c>
      <c r="BX16" s="20" t="s">
        <v>76</v>
      </c>
      <c r="BY16" s="20" t="s">
        <v>76</v>
      </c>
      <c r="BZ16" s="15">
        <v>4.7619047619047601</v>
      </c>
      <c r="CA16" s="32">
        <v>1.48072766816825</v>
      </c>
      <c r="CB16" s="15">
        <v>2.2364217252396199</v>
      </c>
      <c r="CC16" s="15">
        <v>1.57232704402516</v>
      </c>
      <c r="CD16" s="20" t="s">
        <v>76</v>
      </c>
      <c r="CE16" s="20" t="s">
        <v>76</v>
      </c>
      <c r="CF16" s="20" t="s">
        <v>76</v>
      </c>
      <c r="CG16" s="20" t="s">
        <v>76</v>
      </c>
      <c r="CH16" s="15">
        <v>1.2867647058823499</v>
      </c>
      <c r="CI16" s="15">
        <v>1.4373716632443501</v>
      </c>
      <c r="CJ16" s="20" t="s">
        <v>76</v>
      </c>
      <c r="CK16" s="15">
        <v>2.2421524663677102</v>
      </c>
      <c r="CL16" s="15">
        <v>1.9696969696969699</v>
      </c>
      <c r="CM16" s="24">
        <v>1.7130620985010701</v>
      </c>
      <c r="CN16" s="37"/>
    </row>
    <row r="17" spans="1:92">
      <c r="A17" s="9" t="s">
        <v>272</v>
      </c>
      <c r="B17" s="35">
        <v>58.634008539294001</v>
      </c>
      <c r="C17" s="32">
        <v>61.846946436538701</v>
      </c>
      <c r="D17" s="32">
        <v>66.416304642599997</v>
      </c>
      <c r="E17" s="32">
        <v>67.1401286334834</v>
      </c>
      <c r="F17" s="15">
        <v>70.588235294117595</v>
      </c>
      <c r="G17" s="15">
        <v>52.941176470588204</v>
      </c>
      <c r="H17" s="15">
        <v>82.608695652173907</v>
      </c>
      <c r="I17" s="15">
        <v>90</v>
      </c>
      <c r="J17" s="15">
        <v>51.3888888888889</v>
      </c>
      <c r="K17" s="15">
        <v>69.230769230769198</v>
      </c>
      <c r="L17" s="15">
        <v>42.622950819672099</v>
      </c>
      <c r="M17" s="15">
        <v>85.526315789473699</v>
      </c>
      <c r="N17" s="15">
        <v>49.411764705882398</v>
      </c>
      <c r="O17" s="15">
        <v>65.116279069767401</v>
      </c>
      <c r="P17" s="15">
        <v>56.338028169014102</v>
      </c>
      <c r="Q17" s="15">
        <v>74.647887323943706</v>
      </c>
      <c r="R17" s="15">
        <v>57.692307692307701</v>
      </c>
      <c r="S17" s="15">
        <v>73.170731707317103</v>
      </c>
      <c r="T17" s="15">
        <v>62.5</v>
      </c>
      <c r="U17" s="15">
        <v>66.6666666666667</v>
      </c>
      <c r="V17" s="15">
        <v>82.352941176470594</v>
      </c>
      <c r="W17" s="15">
        <v>40.677966101694899</v>
      </c>
      <c r="X17" s="15">
        <v>69.230769230769198</v>
      </c>
      <c r="Y17" s="15">
        <v>75</v>
      </c>
      <c r="Z17" s="15">
        <v>66.6666666666667</v>
      </c>
      <c r="AA17" s="15">
        <v>77.064220183486199</v>
      </c>
      <c r="AB17" s="15">
        <v>80.882352941176507</v>
      </c>
      <c r="AC17" s="15">
        <v>80.303030303030297</v>
      </c>
      <c r="AD17" s="15">
        <v>78.125</v>
      </c>
      <c r="AE17" s="15">
        <v>66.6666666666667</v>
      </c>
      <c r="AF17" s="15">
        <v>78.571428571428598</v>
      </c>
      <c r="AG17" s="15">
        <v>54.285714285714299</v>
      </c>
      <c r="AH17" s="15">
        <v>57.142857142857103</v>
      </c>
      <c r="AI17" s="20" t="s">
        <v>76</v>
      </c>
      <c r="AJ17" s="15">
        <v>56.756756756756801</v>
      </c>
      <c r="AK17" s="15">
        <v>83.3333333333333</v>
      </c>
      <c r="AL17" s="15">
        <v>66.6666666666667</v>
      </c>
      <c r="AM17" s="15">
        <v>62.5</v>
      </c>
      <c r="AN17" s="20" t="s">
        <v>76</v>
      </c>
      <c r="AO17" s="15">
        <v>52.5</v>
      </c>
      <c r="AP17" s="15">
        <v>57.142857142857103</v>
      </c>
      <c r="AQ17" s="15">
        <v>76.923076923076906</v>
      </c>
      <c r="AR17" s="15">
        <v>49.090909090909101</v>
      </c>
      <c r="AS17" s="15">
        <v>54.545454545454497</v>
      </c>
      <c r="AT17" s="15">
        <v>76.923076923076906</v>
      </c>
      <c r="AU17" s="15">
        <v>81.632653061224502</v>
      </c>
      <c r="AV17" s="15">
        <v>57.5342465753425</v>
      </c>
      <c r="AW17" s="15">
        <v>77.586206896551701</v>
      </c>
      <c r="AX17" s="15">
        <v>75</v>
      </c>
      <c r="AY17" s="15">
        <v>62.857142857142897</v>
      </c>
      <c r="AZ17" s="15">
        <v>92</v>
      </c>
      <c r="BA17" s="15">
        <v>69.811320754717002</v>
      </c>
      <c r="BB17" s="15">
        <v>88.0597014925373</v>
      </c>
      <c r="BC17" s="15">
        <v>78.3783783783784</v>
      </c>
      <c r="BD17" s="15">
        <v>58.974358974358999</v>
      </c>
      <c r="BE17" s="15">
        <v>74.137931034482804</v>
      </c>
      <c r="BF17" s="15">
        <v>65.060240963855406</v>
      </c>
      <c r="BG17" s="15">
        <v>58.208955223880601</v>
      </c>
      <c r="BH17" s="15">
        <v>54.1666666666667</v>
      </c>
      <c r="BI17" s="15">
        <v>73.684210526315795</v>
      </c>
      <c r="BJ17" s="15">
        <v>71.428571428571402</v>
      </c>
      <c r="BK17" s="15">
        <v>77.5</v>
      </c>
      <c r="BL17" s="15">
        <v>69.53125</v>
      </c>
      <c r="BM17" s="15">
        <v>59.405940594059402</v>
      </c>
      <c r="BN17" s="15">
        <v>75.630252100840295</v>
      </c>
      <c r="BO17" s="15">
        <v>66.6666666666667</v>
      </c>
      <c r="BP17" s="15">
        <v>86.6666666666667</v>
      </c>
      <c r="BQ17" s="15">
        <v>82.191780821917803</v>
      </c>
      <c r="BR17" s="15">
        <v>66.6666666666667</v>
      </c>
      <c r="BS17" s="15">
        <v>60.240963855421697</v>
      </c>
      <c r="BT17" s="15">
        <v>67.073170731707293</v>
      </c>
      <c r="BU17" s="15">
        <v>74.766355140186903</v>
      </c>
      <c r="BV17" s="15">
        <v>87.878787878787904</v>
      </c>
      <c r="BW17" s="15">
        <v>63.768115942028999</v>
      </c>
      <c r="BX17" s="15">
        <v>100</v>
      </c>
      <c r="BY17" s="15">
        <v>55.5555555555556</v>
      </c>
      <c r="BZ17" s="15">
        <v>70.068027210884395</v>
      </c>
      <c r="CA17" s="32">
        <v>65.831765620114496</v>
      </c>
      <c r="CB17" s="15">
        <v>61.022364217252402</v>
      </c>
      <c r="CC17" s="15">
        <v>58.805031446540902</v>
      </c>
      <c r="CD17" s="15">
        <v>75.483870967741893</v>
      </c>
      <c r="CE17" s="20" t="s">
        <v>76</v>
      </c>
      <c r="CF17" s="15">
        <v>60.179640718562901</v>
      </c>
      <c r="CG17" s="15">
        <v>64.245810055865903</v>
      </c>
      <c r="CH17" s="15">
        <v>65.808823529411796</v>
      </c>
      <c r="CI17" s="15">
        <v>69.404517453798803</v>
      </c>
      <c r="CJ17" s="15">
        <v>69.019607843137294</v>
      </c>
      <c r="CK17" s="15">
        <v>68.161434977578494</v>
      </c>
      <c r="CL17" s="15">
        <v>69.696969696969703</v>
      </c>
      <c r="CM17" s="24">
        <v>70.449678800856503</v>
      </c>
      <c r="CN17" s="37"/>
    </row>
    <row r="18" spans="1:92">
      <c r="A18" s="9" t="s">
        <v>273</v>
      </c>
      <c r="B18" s="35">
        <v>38.110463785732698</v>
      </c>
      <c r="C18" s="32">
        <v>36.338113442537001</v>
      </c>
      <c r="D18" s="32">
        <v>37.591626402252203</v>
      </c>
      <c r="E18" s="32">
        <v>46.367823069177902</v>
      </c>
      <c r="F18" s="15">
        <v>35.294117647058798</v>
      </c>
      <c r="G18" s="15">
        <v>35.294117647058798</v>
      </c>
      <c r="H18" s="15">
        <v>78.260869565217405</v>
      </c>
      <c r="I18" s="15">
        <v>50</v>
      </c>
      <c r="J18" s="15">
        <v>40.2777777777778</v>
      </c>
      <c r="K18" s="15">
        <v>48.717948717948701</v>
      </c>
      <c r="L18" s="15">
        <v>72.131147540983605</v>
      </c>
      <c r="M18" s="15">
        <v>73.684210526315795</v>
      </c>
      <c r="N18" s="15">
        <v>40</v>
      </c>
      <c r="O18" s="15">
        <v>51.162790697674403</v>
      </c>
      <c r="P18" s="15">
        <v>54.9295774647887</v>
      </c>
      <c r="Q18" s="15">
        <v>67.605633802816897</v>
      </c>
      <c r="R18" s="15">
        <v>19.230769230769202</v>
      </c>
      <c r="S18" s="15">
        <v>34.146341463414601</v>
      </c>
      <c r="T18" s="15">
        <v>33.3333333333333</v>
      </c>
      <c r="U18" s="15">
        <v>33.3333333333333</v>
      </c>
      <c r="V18" s="15">
        <v>50</v>
      </c>
      <c r="W18" s="15">
        <v>40.677966101694899</v>
      </c>
      <c r="X18" s="20" t="s">
        <v>76</v>
      </c>
      <c r="Y18" s="20" t="s">
        <v>76</v>
      </c>
      <c r="Z18" s="15">
        <v>44.871794871794897</v>
      </c>
      <c r="AA18" s="15">
        <v>43.119266055045898</v>
      </c>
      <c r="AB18" s="15">
        <v>52.941176470588204</v>
      </c>
      <c r="AC18" s="15">
        <v>41.6666666666667</v>
      </c>
      <c r="AD18" s="15">
        <v>46.875</v>
      </c>
      <c r="AE18" s="15">
        <v>37.037037037037003</v>
      </c>
      <c r="AF18" s="15">
        <v>71.428571428571402</v>
      </c>
      <c r="AG18" s="15">
        <v>42.857142857142897</v>
      </c>
      <c r="AH18" s="15">
        <v>51.785714285714299</v>
      </c>
      <c r="AI18" s="20" t="s">
        <v>76</v>
      </c>
      <c r="AJ18" s="15">
        <v>45.945945945945901</v>
      </c>
      <c r="AK18" s="15">
        <v>36.6666666666667</v>
      </c>
      <c r="AL18" s="15">
        <v>43.3333333333333</v>
      </c>
      <c r="AM18" s="15">
        <v>53.125</v>
      </c>
      <c r="AN18" s="20" t="s">
        <v>76</v>
      </c>
      <c r="AO18" s="15">
        <v>22.5</v>
      </c>
      <c r="AP18" s="15">
        <v>40.259740259740298</v>
      </c>
      <c r="AQ18" s="15">
        <v>41.025641025641001</v>
      </c>
      <c r="AR18" s="15">
        <v>14.545454545454501</v>
      </c>
      <c r="AS18" s="20" t="s">
        <v>76</v>
      </c>
      <c r="AT18" s="15">
        <v>46.153846153846203</v>
      </c>
      <c r="AU18" s="15">
        <v>44.8979591836735</v>
      </c>
      <c r="AV18" s="15">
        <v>30.136986301369902</v>
      </c>
      <c r="AW18" s="15">
        <v>52.586206896551701</v>
      </c>
      <c r="AX18" s="15">
        <v>31.25</v>
      </c>
      <c r="AY18" s="15">
        <v>54.285714285714299</v>
      </c>
      <c r="AZ18" s="15">
        <v>66</v>
      </c>
      <c r="BA18" s="15">
        <v>47.169811320754697</v>
      </c>
      <c r="BB18" s="15">
        <v>65.671641791044806</v>
      </c>
      <c r="BC18" s="15">
        <v>52.702702702702702</v>
      </c>
      <c r="BD18" s="15">
        <v>53.846153846153797</v>
      </c>
      <c r="BE18" s="15">
        <v>74.137931034482804</v>
      </c>
      <c r="BF18" s="15">
        <v>54.216867469879503</v>
      </c>
      <c r="BG18" s="15">
        <v>38.805970149253703</v>
      </c>
      <c r="BH18" s="15">
        <v>50</v>
      </c>
      <c r="BI18" s="15">
        <v>42.105263157894697</v>
      </c>
      <c r="BJ18" s="15">
        <v>57.142857142857103</v>
      </c>
      <c r="BK18" s="15">
        <v>37.5</v>
      </c>
      <c r="BL18" s="15">
        <v>48.4375</v>
      </c>
      <c r="BM18" s="15">
        <v>46.534653465346501</v>
      </c>
      <c r="BN18" s="15">
        <v>45.378151260504197</v>
      </c>
      <c r="BO18" s="15">
        <v>43.3333333333333</v>
      </c>
      <c r="BP18" s="15">
        <v>60</v>
      </c>
      <c r="BQ18" s="15">
        <v>32.876712328767098</v>
      </c>
      <c r="BR18" s="15">
        <v>43.3333333333333</v>
      </c>
      <c r="BS18" s="15">
        <v>38.554216867469897</v>
      </c>
      <c r="BT18" s="15">
        <v>52.439024390243901</v>
      </c>
      <c r="BU18" s="15">
        <v>38.317757009345797</v>
      </c>
      <c r="BV18" s="15">
        <v>58.585858585858603</v>
      </c>
      <c r="BW18" s="15">
        <v>39.130434782608702</v>
      </c>
      <c r="BX18" s="15">
        <v>88.8888888888889</v>
      </c>
      <c r="BY18" s="15">
        <v>61.904761904761898</v>
      </c>
      <c r="BZ18" s="15">
        <v>42.857142857142897</v>
      </c>
      <c r="CA18" s="32">
        <v>30.5042274137713</v>
      </c>
      <c r="CB18" s="15">
        <v>22.044728434504801</v>
      </c>
      <c r="CC18" s="15">
        <v>25.471698113207498</v>
      </c>
      <c r="CD18" s="15">
        <v>32.258064516128997</v>
      </c>
      <c r="CE18" s="15">
        <v>50</v>
      </c>
      <c r="CF18" s="15">
        <v>30.239520958083801</v>
      </c>
      <c r="CG18" s="15">
        <v>39.106145251396597</v>
      </c>
      <c r="CH18" s="15">
        <v>24.632352941176499</v>
      </c>
      <c r="CI18" s="15">
        <v>34.496919917864503</v>
      </c>
      <c r="CJ18" s="15">
        <v>35.294117647058798</v>
      </c>
      <c r="CK18" s="15">
        <v>34.529147982062803</v>
      </c>
      <c r="CL18" s="15">
        <v>39.090909090909101</v>
      </c>
      <c r="CM18" s="24">
        <v>27.837259100642399</v>
      </c>
      <c r="CN18" s="37"/>
    </row>
    <row r="19" spans="1:92">
      <c r="A19" s="9" t="s">
        <v>274</v>
      </c>
      <c r="B19" s="35">
        <v>39.874566855450901</v>
      </c>
      <c r="C19" s="32">
        <v>39.818951070321802</v>
      </c>
      <c r="D19" s="32">
        <v>38.793854133700997</v>
      </c>
      <c r="E19" s="32">
        <v>42.709139025223898</v>
      </c>
      <c r="F19" s="15">
        <v>35.294117647058798</v>
      </c>
      <c r="G19" s="20" t="s">
        <v>76</v>
      </c>
      <c r="H19" s="15">
        <v>78.260869565217405</v>
      </c>
      <c r="I19" s="15">
        <v>80</v>
      </c>
      <c r="J19" s="15">
        <v>40.9722222222222</v>
      </c>
      <c r="K19" s="15">
        <v>30.769230769230798</v>
      </c>
      <c r="L19" s="15">
        <v>60.655737704918003</v>
      </c>
      <c r="M19" s="15">
        <v>47.368421052631597</v>
      </c>
      <c r="N19" s="15">
        <v>41.176470588235297</v>
      </c>
      <c r="O19" s="15">
        <v>34.883720930232599</v>
      </c>
      <c r="P19" s="15">
        <v>52.112676056338003</v>
      </c>
      <c r="Q19" s="15">
        <v>78.873239436619698</v>
      </c>
      <c r="R19" s="15">
        <v>19.230769230769202</v>
      </c>
      <c r="S19" s="15">
        <v>24.390243902439</v>
      </c>
      <c r="T19" s="15">
        <v>33.3333333333333</v>
      </c>
      <c r="U19" s="15">
        <v>38.095238095238102</v>
      </c>
      <c r="V19" s="15">
        <v>32.352941176470601</v>
      </c>
      <c r="W19" s="15">
        <v>47.457627118644098</v>
      </c>
      <c r="X19" s="15">
        <v>38.461538461538503</v>
      </c>
      <c r="Y19" s="20" t="s">
        <v>76</v>
      </c>
      <c r="Z19" s="15">
        <v>47.435897435897402</v>
      </c>
      <c r="AA19" s="15">
        <v>51.376146788990802</v>
      </c>
      <c r="AB19" s="15">
        <v>44.117647058823501</v>
      </c>
      <c r="AC19" s="15">
        <v>34.848484848484802</v>
      </c>
      <c r="AD19" s="15">
        <v>78.125</v>
      </c>
      <c r="AE19" s="15">
        <v>33.3333333333333</v>
      </c>
      <c r="AF19" s="15">
        <v>50</v>
      </c>
      <c r="AG19" s="15">
        <v>43.809523809523803</v>
      </c>
      <c r="AH19" s="15">
        <v>44.642857142857103</v>
      </c>
      <c r="AI19" s="20" t="s">
        <v>76</v>
      </c>
      <c r="AJ19" s="15">
        <v>28.828828828828801</v>
      </c>
      <c r="AK19" s="15">
        <v>43.3333333333333</v>
      </c>
      <c r="AL19" s="15">
        <v>54.4444444444444</v>
      </c>
      <c r="AM19" s="15">
        <v>45.3125</v>
      </c>
      <c r="AN19" s="20" t="s">
        <v>76</v>
      </c>
      <c r="AO19" s="15">
        <v>20</v>
      </c>
      <c r="AP19" s="15">
        <v>18.181818181818201</v>
      </c>
      <c r="AQ19" s="15">
        <v>35.897435897435898</v>
      </c>
      <c r="AR19" s="15">
        <v>12.7272727272727</v>
      </c>
      <c r="AS19" s="15">
        <v>54.545454545454497</v>
      </c>
      <c r="AT19" s="15">
        <v>24.615384615384599</v>
      </c>
      <c r="AU19" s="15">
        <v>42.857142857142897</v>
      </c>
      <c r="AV19" s="15">
        <v>28.7671232876712</v>
      </c>
      <c r="AW19" s="15">
        <v>43.1034482758621</v>
      </c>
      <c r="AX19" s="15">
        <v>56.25</v>
      </c>
      <c r="AY19" s="15">
        <v>71.428571428571402</v>
      </c>
      <c r="AZ19" s="15">
        <v>58</v>
      </c>
      <c r="BA19" s="15">
        <v>52.830188679245303</v>
      </c>
      <c r="BB19" s="15">
        <v>58.208955223880601</v>
      </c>
      <c r="BC19" s="15">
        <v>50</v>
      </c>
      <c r="BD19" s="15">
        <v>35.897435897435898</v>
      </c>
      <c r="BE19" s="15">
        <v>60.344827586206897</v>
      </c>
      <c r="BF19" s="15">
        <v>37.349397590361399</v>
      </c>
      <c r="BG19" s="15">
        <v>28.358208955223901</v>
      </c>
      <c r="BH19" s="15">
        <v>62.5</v>
      </c>
      <c r="BI19" s="15">
        <v>73.684210526315795</v>
      </c>
      <c r="BJ19" s="15">
        <v>50.892857142857103</v>
      </c>
      <c r="BK19" s="15">
        <v>65</v>
      </c>
      <c r="BL19" s="15">
        <v>15.625</v>
      </c>
      <c r="BM19" s="15">
        <v>59.405940594059402</v>
      </c>
      <c r="BN19" s="15">
        <v>37.815126050420197</v>
      </c>
      <c r="BO19" s="15">
        <v>35.5555555555556</v>
      </c>
      <c r="BP19" s="15">
        <v>53.3333333333333</v>
      </c>
      <c r="BQ19" s="15">
        <v>30.136986301369902</v>
      </c>
      <c r="BR19" s="15">
        <v>41.6666666666667</v>
      </c>
      <c r="BS19" s="15">
        <v>44.578313253011999</v>
      </c>
      <c r="BT19" s="15">
        <v>47.560975609756099</v>
      </c>
      <c r="BU19" s="15">
        <v>61.682242990654203</v>
      </c>
      <c r="BV19" s="15">
        <v>67.676767676767696</v>
      </c>
      <c r="BW19" s="15">
        <v>34.7826086956522</v>
      </c>
      <c r="BX19" s="20" t="s">
        <v>76</v>
      </c>
      <c r="BY19" s="15">
        <v>39.682539682539698</v>
      </c>
      <c r="BZ19" s="15">
        <v>32.653061224489797</v>
      </c>
      <c r="CA19" s="32">
        <v>35.631984905727798</v>
      </c>
      <c r="CB19" s="15">
        <v>30.9904153354633</v>
      </c>
      <c r="CC19" s="15">
        <v>46.2264150943396</v>
      </c>
      <c r="CD19" s="15">
        <v>47.741935483871003</v>
      </c>
      <c r="CE19" s="20" t="s">
        <v>76</v>
      </c>
      <c r="CF19" s="15">
        <v>37.425149700598801</v>
      </c>
      <c r="CG19" s="15">
        <v>37.430167597765397</v>
      </c>
      <c r="CH19" s="15">
        <v>32.536764705882298</v>
      </c>
      <c r="CI19" s="15">
        <v>46.817248459958897</v>
      </c>
      <c r="CJ19" s="15">
        <v>36.470588235294102</v>
      </c>
      <c r="CK19" s="15">
        <v>36.322869955157003</v>
      </c>
      <c r="CL19" s="15">
        <v>37.727272727272698</v>
      </c>
      <c r="CM19" s="24">
        <v>27.837259100642399</v>
      </c>
      <c r="CN19" s="37"/>
    </row>
    <row r="20" spans="1:92">
      <c r="A20" s="9" t="s">
        <v>275</v>
      </c>
      <c r="B20" s="35">
        <v>3.8033916003541299</v>
      </c>
      <c r="C20" s="32">
        <v>3.28869045326981</v>
      </c>
      <c r="D20" s="32">
        <v>3.1987541028502502</v>
      </c>
      <c r="E20" s="32">
        <v>4.4892066757481501</v>
      </c>
      <c r="F20" s="20" t="s">
        <v>76</v>
      </c>
      <c r="G20" s="20" t="s">
        <v>76</v>
      </c>
      <c r="H20" s="20" t="s">
        <v>76</v>
      </c>
      <c r="I20" s="20" t="s">
        <v>76</v>
      </c>
      <c r="J20" s="20" t="s">
        <v>76</v>
      </c>
      <c r="K20" s="20" t="s">
        <v>76</v>
      </c>
      <c r="L20" s="20" t="s">
        <v>76</v>
      </c>
      <c r="M20" s="20" t="s">
        <v>76</v>
      </c>
      <c r="N20" s="20" t="s">
        <v>76</v>
      </c>
      <c r="O20" s="20" t="s">
        <v>76</v>
      </c>
      <c r="P20" s="15">
        <v>9.8591549295774694</v>
      </c>
      <c r="Q20" s="20" t="s">
        <v>76</v>
      </c>
      <c r="R20" s="20" t="s">
        <v>76</v>
      </c>
      <c r="S20" s="20" t="s">
        <v>76</v>
      </c>
      <c r="T20" s="20" t="s">
        <v>76</v>
      </c>
      <c r="U20" s="20" t="s">
        <v>76</v>
      </c>
      <c r="V20" s="20" t="s">
        <v>76</v>
      </c>
      <c r="W20" s="20" t="s">
        <v>76</v>
      </c>
      <c r="X20" s="20" t="s">
        <v>76</v>
      </c>
      <c r="Y20" s="20" t="s">
        <v>76</v>
      </c>
      <c r="Z20" s="20" t="s">
        <v>76</v>
      </c>
      <c r="AA20" s="15">
        <v>21.100917431192698</v>
      </c>
      <c r="AB20" s="15">
        <v>10.294117647058799</v>
      </c>
      <c r="AC20" s="15">
        <v>7.5757575757575797</v>
      </c>
      <c r="AD20" s="20" t="s">
        <v>76</v>
      </c>
      <c r="AE20" s="20" t="s">
        <v>76</v>
      </c>
      <c r="AF20" s="20" t="s">
        <v>76</v>
      </c>
      <c r="AG20" s="20" t="s">
        <v>76</v>
      </c>
      <c r="AH20" s="15">
        <v>8.9285714285714306</v>
      </c>
      <c r="AI20" s="20" t="s">
        <v>76</v>
      </c>
      <c r="AJ20" s="20" t="s">
        <v>76</v>
      </c>
      <c r="AK20" s="20" t="s">
        <v>76</v>
      </c>
      <c r="AL20" s="15">
        <v>6.6666666666666696</v>
      </c>
      <c r="AM20" s="20" t="s">
        <v>76</v>
      </c>
      <c r="AN20" s="20" t="s">
        <v>76</v>
      </c>
      <c r="AO20" s="20" t="s">
        <v>76</v>
      </c>
      <c r="AP20" s="20" t="s">
        <v>76</v>
      </c>
      <c r="AQ20" s="20" t="s">
        <v>76</v>
      </c>
      <c r="AR20" s="20" t="s">
        <v>76</v>
      </c>
      <c r="AS20" s="20" t="s">
        <v>76</v>
      </c>
      <c r="AT20" s="20" t="s">
        <v>76</v>
      </c>
      <c r="AU20" s="20" t="s">
        <v>76</v>
      </c>
      <c r="AV20" s="20" t="s">
        <v>76</v>
      </c>
      <c r="AW20" s="20" t="s">
        <v>76</v>
      </c>
      <c r="AX20" s="20" t="s">
        <v>76</v>
      </c>
      <c r="AY20" s="20" t="s">
        <v>76</v>
      </c>
      <c r="AZ20" s="15">
        <v>24</v>
      </c>
      <c r="BA20" s="20" t="s">
        <v>76</v>
      </c>
      <c r="BB20" s="20" t="s">
        <v>76</v>
      </c>
      <c r="BC20" s="20" t="s">
        <v>76</v>
      </c>
      <c r="BD20" s="20" t="s">
        <v>76</v>
      </c>
      <c r="BE20" s="20" t="s">
        <v>76</v>
      </c>
      <c r="BF20" s="20" t="s">
        <v>76</v>
      </c>
      <c r="BG20" s="20" t="s">
        <v>76</v>
      </c>
      <c r="BH20" s="20" t="s">
        <v>76</v>
      </c>
      <c r="BI20" s="20" t="s">
        <v>76</v>
      </c>
      <c r="BJ20" s="15">
        <v>4.46428571428571</v>
      </c>
      <c r="BK20" s="15">
        <v>40</v>
      </c>
      <c r="BL20" s="20" t="s">
        <v>76</v>
      </c>
      <c r="BM20" s="20" t="s">
        <v>76</v>
      </c>
      <c r="BN20" s="15">
        <v>8.4033613445378208</v>
      </c>
      <c r="BO20" s="20" t="s">
        <v>76</v>
      </c>
      <c r="BP20" s="20" t="s">
        <v>76</v>
      </c>
      <c r="BQ20" s="20" t="s">
        <v>76</v>
      </c>
      <c r="BR20" s="20" t="s">
        <v>76</v>
      </c>
      <c r="BS20" s="20" t="s">
        <v>76</v>
      </c>
      <c r="BT20" s="20" t="s">
        <v>76</v>
      </c>
      <c r="BU20" s="20" t="s">
        <v>76</v>
      </c>
      <c r="BV20" s="15">
        <v>5.0505050505050502</v>
      </c>
      <c r="BW20" s="20" t="s">
        <v>76</v>
      </c>
      <c r="BX20" s="20" t="s">
        <v>76</v>
      </c>
      <c r="BY20" s="20" t="s">
        <v>76</v>
      </c>
      <c r="BZ20" s="20" t="s">
        <v>76</v>
      </c>
      <c r="CA20" s="32">
        <v>2.1566224589335898</v>
      </c>
      <c r="CB20" s="15">
        <v>2.5559105431309899</v>
      </c>
      <c r="CC20" s="15">
        <v>1.57232704402516</v>
      </c>
      <c r="CD20" s="20" t="s">
        <v>76</v>
      </c>
      <c r="CE20" s="20" t="s">
        <v>76</v>
      </c>
      <c r="CF20" s="20" t="s">
        <v>76</v>
      </c>
      <c r="CG20" s="20" t="s">
        <v>76</v>
      </c>
      <c r="CH20" s="15">
        <v>3.3088235294117601</v>
      </c>
      <c r="CI20" s="15">
        <v>1.4373716632443501</v>
      </c>
      <c r="CJ20" s="15">
        <v>2.3529411764705901</v>
      </c>
      <c r="CK20" s="20" t="s">
        <v>76</v>
      </c>
      <c r="CL20" s="15">
        <v>4.6969696969696999</v>
      </c>
      <c r="CM20" s="24">
        <v>1.4989293361884399</v>
      </c>
      <c r="CN20" s="37"/>
    </row>
    <row r="21" spans="1:92">
      <c r="A21" s="9" t="s">
        <v>276</v>
      </c>
      <c r="B21" s="35">
        <v>12.1003665596907</v>
      </c>
      <c r="C21" s="32">
        <v>11.8449351642236</v>
      </c>
      <c r="D21" s="32">
        <v>14.827574932337001</v>
      </c>
      <c r="E21" s="32">
        <v>14.3332948155642</v>
      </c>
      <c r="F21" s="20" t="s">
        <v>76</v>
      </c>
      <c r="G21" s="20" t="s">
        <v>76</v>
      </c>
      <c r="H21" s="20" t="s">
        <v>76</v>
      </c>
      <c r="I21" s="20" t="s">
        <v>76</v>
      </c>
      <c r="J21" s="15">
        <v>4.8611111111111098</v>
      </c>
      <c r="K21" s="20" t="s">
        <v>76</v>
      </c>
      <c r="L21" s="15">
        <v>29.508196721311499</v>
      </c>
      <c r="M21" s="15">
        <v>36.842105263157897</v>
      </c>
      <c r="N21" s="15">
        <v>24.705882352941199</v>
      </c>
      <c r="O21" s="20" t="s">
        <v>76</v>
      </c>
      <c r="P21" s="15">
        <v>14.084507042253501</v>
      </c>
      <c r="Q21" s="15">
        <v>14.084507042253501</v>
      </c>
      <c r="R21" s="20" t="s">
        <v>76</v>
      </c>
      <c r="S21" s="15">
        <v>14.634146341463399</v>
      </c>
      <c r="T21" s="15">
        <v>10.4166666666667</v>
      </c>
      <c r="U21" s="15">
        <v>28.571428571428601</v>
      </c>
      <c r="V21" s="20" t="s">
        <v>76</v>
      </c>
      <c r="W21" s="20" t="s">
        <v>76</v>
      </c>
      <c r="X21" s="20" t="s">
        <v>76</v>
      </c>
      <c r="Y21" s="20" t="s">
        <v>76</v>
      </c>
      <c r="Z21" s="15">
        <v>52.564102564102598</v>
      </c>
      <c r="AA21" s="15">
        <v>13.7614678899083</v>
      </c>
      <c r="AB21" s="15">
        <v>23.529411764705898</v>
      </c>
      <c r="AC21" s="15">
        <v>13.636363636363599</v>
      </c>
      <c r="AD21" s="15">
        <v>31.25</v>
      </c>
      <c r="AE21" s="20" t="s">
        <v>76</v>
      </c>
      <c r="AF21" s="15">
        <v>57.142857142857103</v>
      </c>
      <c r="AG21" s="15">
        <v>18.095238095238098</v>
      </c>
      <c r="AH21" s="15">
        <v>25</v>
      </c>
      <c r="AI21" s="20" t="s">
        <v>76</v>
      </c>
      <c r="AJ21" s="15">
        <v>5.4054054054054097</v>
      </c>
      <c r="AK21" s="15">
        <v>46.6666666666667</v>
      </c>
      <c r="AL21" s="15">
        <v>33.3333333333333</v>
      </c>
      <c r="AM21" s="15">
        <v>20.3125</v>
      </c>
      <c r="AN21" s="20" t="s">
        <v>76</v>
      </c>
      <c r="AO21" s="15">
        <v>17.5</v>
      </c>
      <c r="AP21" s="20" t="s">
        <v>76</v>
      </c>
      <c r="AQ21" s="20" t="s">
        <v>76</v>
      </c>
      <c r="AR21" s="15">
        <v>9.0909090909090899</v>
      </c>
      <c r="AS21" s="15">
        <v>63.636363636363598</v>
      </c>
      <c r="AT21" s="20" t="s">
        <v>76</v>
      </c>
      <c r="AU21" s="15">
        <v>22.4489795918367</v>
      </c>
      <c r="AV21" s="15">
        <v>8.2191780821917799</v>
      </c>
      <c r="AW21" s="20" t="s">
        <v>76</v>
      </c>
      <c r="AX21" s="20" t="s">
        <v>76</v>
      </c>
      <c r="AY21" s="20" t="s">
        <v>76</v>
      </c>
      <c r="AZ21" s="15">
        <v>16</v>
      </c>
      <c r="BA21" s="15">
        <v>11.320754716981099</v>
      </c>
      <c r="BB21" s="20" t="s">
        <v>76</v>
      </c>
      <c r="BC21" s="15">
        <v>16.2162162162162</v>
      </c>
      <c r="BD21" s="15">
        <v>20.5128205128205</v>
      </c>
      <c r="BE21" s="15">
        <v>17.241379310344801</v>
      </c>
      <c r="BF21" s="15">
        <v>25.3012048192771</v>
      </c>
      <c r="BG21" s="20" t="s">
        <v>76</v>
      </c>
      <c r="BH21" s="20" t="s">
        <v>76</v>
      </c>
      <c r="BI21" s="20" t="s">
        <v>76</v>
      </c>
      <c r="BJ21" s="15">
        <v>18.75</v>
      </c>
      <c r="BK21" s="15">
        <v>22.5</v>
      </c>
      <c r="BL21" s="15">
        <v>12.5</v>
      </c>
      <c r="BM21" s="15">
        <v>5.9405940594059397</v>
      </c>
      <c r="BN21" s="15">
        <v>4.2016806722689104</v>
      </c>
      <c r="BO21" s="15">
        <v>12.2222222222222</v>
      </c>
      <c r="BP21" s="20" t="s">
        <v>76</v>
      </c>
      <c r="BQ21" s="15">
        <v>19.178082191780799</v>
      </c>
      <c r="BR21" s="15">
        <v>10</v>
      </c>
      <c r="BS21" s="20" t="s">
        <v>76</v>
      </c>
      <c r="BT21" s="15">
        <v>6.0975609756097597</v>
      </c>
      <c r="BU21" s="15">
        <v>11.214953271028</v>
      </c>
      <c r="BV21" s="15">
        <v>19.191919191919201</v>
      </c>
      <c r="BW21" s="20" t="s">
        <v>76</v>
      </c>
      <c r="BX21" s="15">
        <v>77.7777777777778</v>
      </c>
      <c r="BY21" s="15">
        <v>25.396825396825399</v>
      </c>
      <c r="BZ21" s="15">
        <v>4.7619047619047601</v>
      </c>
      <c r="CA21" s="32">
        <v>15.226741055498801</v>
      </c>
      <c r="CB21" s="15">
        <v>14.3769968051118</v>
      </c>
      <c r="CC21" s="15">
        <v>7.5471698113207504</v>
      </c>
      <c r="CD21" s="15">
        <v>14.8387096774194</v>
      </c>
      <c r="CE21" s="20" t="s">
        <v>76</v>
      </c>
      <c r="CF21" s="15">
        <v>20.359281437125698</v>
      </c>
      <c r="CG21" s="15">
        <v>25.139664804469302</v>
      </c>
      <c r="CH21" s="15">
        <v>23.713235294117599</v>
      </c>
      <c r="CI21" s="15">
        <v>17.248459958932202</v>
      </c>
      <c r="CJ21" s="15">
        <v>16.862745098039198</v>
      </c>
      <c r="CK21" s="15">
        <v>15.2466367713004</v>
      </c>
      <c r="CL21" s="15">
        <v>16.818181818181799</v>
      </c>
      <c r="CM21" s="24">
        <v>8.1370449678800796</v>
      </c>
      <c r="CN21" s="37"/>
    </row>
    <row r="22" spans="1:92">
      <c r="A22" s="9" t="s">
        <v>277</v>
      </c>
      <c r="B22" s="35">
        <v>15.225174874297901</v>
      </c>
      <c r="C22" s="32">
        <v>16.387817779793401</v>
      </c>
      <c r="D22" s="32">
        <v>17.076436491288302</v>
      </c>
      <c r="E22" s="32">
        <v>18.9253362561772</v>
      </c>
      <c r="F22" s="20" t="s">
        <v>76</v>
      </c>
      <c r="G22" s="20" t="s">
        <v>76</v>
      </c>
      <c r="H22" s="15">
        <v>26.086956521739101</v>
      </c>
      <c r="I22" s="20" t="s">
        <v>76</v>
      </c>
      <c r="J22" s="15">
        <v>18.0555555555556</v>
      </c>
      <c r="K22" s="15">
        <v>23.076923076923102</v>
      </c>
      <c r="L22" s="15">
        <v>8.1967213114754092</v>
      </c>
      <c r="M22" s="15">
        <v>14.473684210526301</v>
      </c>
      <c r="N22" s="15">
        <v>14.117647058823501</v>
      </c>
      <c r="O22" s="15">
        <v>18.604651162790699</v>
      </c>
      <c r="P22" s="15">
        <v>23.943661971830998</v>
      </c>
      <c r="Q22" s="15">
        <v>14.084507042253501</v>
      </c>
      <c r="R22" s="20" t="s">
        <v>76</v>
      </c>
      <c r="S22" s="15">
        <v>34.146341463414601</v>
      </c>
      <c r="T22" s="15">
        <v>25</v>
      </c>
      <c r="U22" s="20" t="s">
        <v>76</v>
      </c>
      <c r="V22" s="15">
        <v>26.470588235294102</v>
      </c>
      <c r="W22" s="15">
        <v>10.1694915254237</v>
      </c>
      <c r="X22" s="20" t="s">
        <v>76</v>
      </c>
      <c r="Y22" s="20" t="s">
        <v>76</v>
      </c>
      <c r="Z22" s="15">
        <v>23.076923076923102</v>
      </c>
      <c r="AA22" s="15">
        <v>20.183486238532101</v>
      </c>
      <c r="AB22" s="15">
        <v>33.823529411764703</v>
      </c>
      <c r="AC22" s="15">
        <v>30.303030303030301</v>
      </c>
      <c r="AD22" s="20" t="s">
        <v>76</v>
      </c>
      <c r="AE22" s="15">
        <v>29.629629629629601</v>
      </c>
      <c r="AF22" s="20" t="s">
        <v>76</v>
      </c>
      <c r="AG22" s="15">
        <v>14.285714285714301</v>
      </c>
      <c r="AH22" s="15">
        <v>17.8571428571429</v>
      </c>
      <c r="AI22" s="20" t="s">
        <v>76</v>
      </c>
      <c r="AJ22" s="15">
        <v>17.1171171171171</v>
      </c>
      <c r="AK22" s="15">
        <v>26.6666666666667</v>
      </c>
      <c r="AL22" s="15">
        <v>20</v>
      </c>
      <c r="AM22" s="15">
        <v>15.625</v>
      </c>
      <c r="AN22" s="20" t="s">
        <v>76</v>
      </c>
      <c r="AO22" s="15">
        <v>12.5</v>
      </c>
      <c r="AP22" s="15">
        <v>11.6883116883117</v>
      </c>
      <c r="AQ22" s="15">
        <v>20.5128205128205</v>
      </c>
      <c r="AR22" s="15">
        <v>20</v>
      </c>
      <c r="AS22" s="20" t="s">
        <v>76</v>
      </c>
      <c r="AT22" s="15">
        <v>13.846153846153801</v>
      </c>
      <c r="AU22" s="15">
        <v>10.2040816326531</v>
      </c>
      <c r="AV22" s="15">
        <v>21.917808219178099</v>
      </c>
      <c r="AW22" s="15">
        <v>10.3448275862069</v>
      </c>
      <c r="AX22" s="20" t="s">
        <v>76</v>
      </c>
      <c r="AY22" s="15">
        <v>20</v>
      </c>
      <c r="AZ22" s="15">
        <v>14</v>
      </c>
      <c r="BA22" s="15">
        <v>11.320754716981099</v>
      </c>
      <c r="BB22" s="15">
        <v>31.343283582089601</v>
      </c>
      <c r="BC22" s="15">
        <v>20.270270270270299</v>
      </c>
      <c r="BD22" s="15">
        <v>37.179487179487197</v>
      </c>
      <c r="BE22" s="15">
        <v>13.7931034482759</v>
      </c>
      <c r="BF22" s="15">
        <v>18.0722891566265</v>
      </c>
      <c r="BG22" s="15">
        <v>11.9402985074627</v>
      </c>
      <c r="BH22" s="15">
        <v>29.1666666666667</v>
      </c>
      <c r="BI22" s="15">
        <v>26.315789473684202</v>
      </c>
      <c r="BJ22" s="15">
        <v>16.964285714285701</v>
      </c>
      <c r="BK22" s="15">
        <v>17.5</v>
      </c>
      <c r="BL22" s="15">
        <v>17.1875</v>
      </c>
      <c r="BM22" s="15">
        <v>18.8118811881188</v>
      </c>
      <c r="BN22" s="15">
        <v>20.168067226890798</v>
      </c>
      <c r="BO22" s="15">
        <v>17.7777777777778</v>
      </c>
      <c r="BP22" s="20" t="s">
        <v>76</v>
      </c>
      <c r="BQ22" s="15">
        <v>13.698630136986299</v>
      </c>
      <c r="BR22" s="15">
        <v>16.6666666666667</v>
      </c>
      <c r="BS22" s="15">
        <v>21.6867469879518</v>
      </c>
      <c r="BT22" s="15">
        <v>14.634146341463399</v>
      </c>
      <c r="BU22" s="15">
        <v>17.757009345794401</v>
      </c>
      <c r="BV22" s="15">
        <v>20.202020202020201</v>
      </c>
      <c r="BW22" s="15">
        <v>20.289855072463801</v>
      </c>
      <c r="BX22" s="20" t="s">
        <v>76</v>
      </c>
      <c r="BY22" s="15">
        <v>22.2222222222222</v>
      </c>
      <c r="BZ22" s="15">
        <v>20.408163265306101</v>
      </c>
      <c r="CA22" s="32">
        <v>15.5833192765317</v>
      </c>
      <c r="CB22" s="15">
        <v>12.1405750798722</v>
      </c>
      <c r="CC22" s="15">
        <v>14.4654088050314</v>
      </c>
      <c r="CD22" s="15">
        <v>15.4838709677419</v>
      </c>
      <c r="CE22" s="20" t="s">
        <v>76</v>
      </c>
      <c r="CF22" s="15">
        <v>16.167664670658699</v>
      </c>
      <c r="CG22" s="15">
        <v>10.055865921787699</v>
      </c>
      <c r="CH22" s="15">
        <v>13.419117647058799</v>
      </c>
      <c r="CI22" s="15">
        <v>19.917864476386001</v>
      </c>
      <c r="CJ22" s="15">
        <v>16.862745098039198</v>
      </c>
      <c r="CK22" s="15">
        <v>16.143497757847499</v>
      </c>
      <c r="CL22" s="15">
        <v>19.848484848484901</v>
      </c>
      <c r="CM22" s="24">
        <v>17.344753747323299</v>
      </c>
      <c r="CN22" s="37"/>
    </row>
    <row r="23" spans="1:92">
      <c r="A23" s="9" t="s">
        <v>278</v>
      </c>
      <c r="B23" s="35">
        <v>24.639004850458001</v>
      </c>
      <c r="C23" s="32">
        <v>25.060820451014401</v>
      </c>
      <c r="D23" s="32">
        <v>25.855371351963498</v>
      </c>
      <c r="E23" s="32">
        <v>24.884144487877599</v>
      </c>
      <c r="F23" s="20" t="s">
        <v>76</v>
      </c>
      <c r="G23" s="15">
        <v>29.411764705882401</v>
      </c>
      <c r="H23" s="15">
        <v>34.7826086956522</v>
      </c>
      <c r="I23" s="20" t="s">
        <v>76</v>
      </c>
      <c r="J23" s="15">
        <v>13.8888888888889</v>
      </c>
      <c r="K23" s="15">
        <v>20.5128205128205</v>
      </c>
      <c r="L23" s="15">
        <v>59.016393442622899</v>
      </c>
      <c r="M23" s="15">
        <v>57.894736842105303</v>
      </c>
      <c r="N23" s="15">
        <v>44.705882352941202</v>
      </c>
      <c r="O23" s="15">
        <v>41.860465116279101</v>
      </c>
      <c r="P23" s="15">
        <v>33.802816901408498</v>
      </c>
      <c r="Q23" s="15">
        <v>50.704225352112701</v>
      </c>
      <c r="R23" s="15">
        <v>19.230769230769202</v>
      </c>
      <c r="S23" s="15">
        <v>21.951219512195099</v>
      </c>
      <c r="T23" s="15">
        <v>16.6666666666667</v>
      </c>
      <c r="U23" s="15">
        <v>33.3333333333333</v>
      </c>
      <c r="V23" s="15">
        <v>17.647058823529399</v>
      </c>
      <c r="W23" s="15">
        <v>27.118644067796598</v>
      </c>
      <c r="X23" s="20" t="s">
        <v>76</v>
      </c>
      <c r="Y23" s="20" t="s">
        <v>76</v>
      </c>
      <c r="Z23" s="15">
        <v>20.5128205128205</v>
      </c>
      <c r="AA23" s="15">
        <v>23.853211009174299</v>
      </c>
      <c r="AB23" s="15">
        <v>42.647058823529399</v>
      </c>
      <c r="AC23" s="15">
        <v>17.424242424242401</v>
      </c>
      <c r="AD23" s="15">
        <v>53.125</v>
      </c>
      <c r="AE23" s="15">
        <v>22.2222222222222</v>
      </c>
      <c r="AF23" s="15">
        <v>71.428571428571402</v>
      </c>
      <c r="AG23" s="15">
        <v>36.190476190476197</v>
      </c>
      <c r="AH23" s="15">
        <v>25</v>
      </c>
      <c r="AI23" s="20" t="s">
        <v>76</v>
      </c>
      <c r="AJ23" s="15">
        <v>14.4144144144144</v>
      </c>
      <c r="AK23" s="15">
        <v>30</v>
      </c>
      <c r="AL23" s="15">
        <v>20</v>
      </c>
      <c r="AM23" s="15">
        <v>21.875</v>
      </c>
      <c r="AN23" s="20" t="s">
        <v>76</v>
      </c>
      <c r="AO23" s="20" t="s">
        <v>76</v>
      </c>
      <c r="AP23" s="15">
        <v>15.5844155844156</v>
      </c>
      <c r="AQ23" s="15">
        <v>15.384615384615399</v>
      </c>
      <c r="AR23" s="20" t="s">
        <v>76</v>
      </c>
      <c r="AS23" s="20" t="s">
        <v>76</v>
      </c>
      <c r="AT23" s="15">
        <v>7.6923076923076898</v>
      </c>
      <c r="AU23" s="15">
        <v>22.4489795918367</v>
      </c>
      <c r="AV23" s="15">
        <v>9.5890410958904102</v>
      </c>
      <c r="AW23" s="15">
        <v>13.7931034482759</v>
      </c>
      <c r="AX23" s="20" t="s">
        <v>76</v>
      </c>
      <c r="AY23" s="15">
        <v>20</v>
      </c>
      <c r="AZ23" s="15">
        <v>18</v>
      </c>
      <c r="BA23" s="15">
        <v>32.075471698113198</v>
      </c>
      <c r="BB23" s="15">
        <v>40.298507462686601</v>
      </c>
      <c r="BC23" s="15">
        <v>16.2162162162162</v>
      </c>
      <c r="BD23" s="15">
        <v>26.923076923076898</v>
      </c>
      <c r="BE23" s="15">
        <v>31.034482758620701</v>
      </c>
      <c r="BF23" s="15">
        <v>14.4578313253012</v>
      </c>
      <c r="BG23" s="15">
        <v>26.865671641791</v>
      </c>
      <c r="BH23" s="20" t="s">
        <v>76</v>
      </c>
      <c r="BI23" s="20" t="s">
        <v>76</v>
      </c>
      <c r="BJ23" s="15">
        <v>28.571428571428601</v>
      </c>
      <c r="BK23" s="20" t="s">
        <v>76</v>
      </c>
      <c r="BL23" s="15">
        <v>18.75</v>
      </c>
      <c r="BM23" s="15">
        <v>36.633663366336599</v>
      </c>
      <c r="BN23" s="15">
        <v>31.932773109243701</v>
      </c>
      <c r="BO23" s="15">
        <v>23.3333333333333</v>
      </c>
      <c r="BP23" s="20" t="s">
        <v>76</v>
      </c>
      <c r="BQ23" s="20" t="s">
        <v>76</v>
      </c>
      <c r="BR23" s="15">
        <v>10</v>
      </c>
      <c r="BS23" s="15">
        <v>19.277108433734899</v>
      </c>
      <c r="BT23" s="15">
        <v>20.731707317073202</v>
      </c>
      <c r="BU23" s="15">
        <v>19.6261682242991</v>
      </c>
      <c r="BV23" s="15">
        <v>31.313131313131301</v>
      </c>
      <c r="BW23" s="15">
        <v>13.0434782608696</v>
      </c>
      <c r="BX23" s="20" t="s">
        <v>76</v>
      </c>
      <c r="BY23" s="15">
        <v>38.095238095238102</v>
      </c>
      <c r="BZ23" s="15">
        <v>31.9727891156463</v>
      </c>
      <c r="CA23" s="32">
        <v>26.639705677565999</v>
      </c>
      <c r="CB23" s="15">
        <v>22.044728434504801</v>
      </c>
      <c r="CC23" s="15">
        <v>22.3270440251572</v>
      </c>
      <c r="CD23" s="15">
        <v>27.741935483871</v>
      </c>
      <c r="CE23" s="20" t="s">
        <v>76</v>
      </c>
      <c r="CF23" s="15">
        <v>24.850299401197599</v>
      </c>
      <c r="CG23" s="15">
        <v>36.312849162011197</v>
      </c>
      <c r="CH23" s="15">
        <v>25.367647058823501</v>
      </c>
      <c r="CI23" s="15">
        <v>27.926078028747401</v>
      </c>
      <c r="CJ23" s="15">
        <v>23.137254901960802</v>
      </c>
      <c r="CK23" s="15">
        <v>26.008968609865502</v>
      </c>
      <c r="CL23" s="15">
        <v>25.303030303030301</v>
      </c>
      <c r="CM23" s="24">
        <v>25.910064239828699</v>
      </c>
      <c r="CN23" s="37"/>
    </row>
    <row r="24" spans="1:92">
      <c r="A24" s="9" t="s">
        <v>279</v>
      </c>
      <c r="B24" s="35">
        <v>64.290106979300305</v>
      </c>
      <c r="C24" s="32">
        <v>64.147493138509304</v>
      </c>
      <c r="D24" s="32">
        <v>63.594869884824803</v>
      </c>
      <c r="E24" s="32">
        <v>67.390106725580395</v>
      </c>
      <c r="F24" s="15">
        <v>58.823529411764703</v>
      </c>
      <c r="G24" s="15">
        <v>35.294117647058798</v>
      </c>
      <c r="H24" s="15">
        <v>73.913043478260903</v>
      </c>
      <c r="I24" s="15">
        <v>80</v>
      </c>
      <c r="J24" s="15">
        <v>54.8611111111111</v>
      </c>
      <c r="K24" s="15">
        <v>43.589743589743598</v>
      </c>
      <c r="L24" s="15">
        <v>77.049180327868896</v>
      </c>
      <c r="M24" s="15">
        <v>75</v>
      </c>
      <c r="N24" s="15">
        <v>80</v>
      </c>
      <c r="O24" s="15">
        <v>72.093023255814003</v>
      </c>
      <c r="P24" s="15">
        <v>80.2816901408451</v>
      </c>
      <c r="Q24" s="15">
        <v>77.464788732394396</v>
      </c>
      <c r="R24" s="15">
        <v>26.923076923076898</v>
      </c>
      <c r="S24" s="15">
        <v>78.048780487804905</v>
      </c>
      <c r="T24" s="15">
        <v>66.6666666666667</v>
      </c>
      <c r="U24" s="15">
        <v>52.380952380952401</v>
      </c>
      <c r="V24" s="15">
        <v>64.705882352941202</v>
      </c>
      <c r="W24" s="15">
        <v>71.186440677966104</v>
      </c>
      <c r="X24" s="15">
        <v>69.230769230769198</v>
      </c>
      <c r="Y24" s="20" t="s">
        <v>76</v>
      </c>
      <c r="Z24" s="15">
        <v>61.538461538461497</v>
      </c>
      <c r="AA24" s="15">
        <v>74.311926605504595</v>
      </c>
      <c r="AB24" s="15">
        <v>72.058823529411796</v>
      </c>
      <c r="AC24" s="15">
        <v>59.848484848484802</v>
      </c>
      <c r="AD24" s="15">
        <v>87.5</v>
      </c>
      <c r="AE24" s="15">
        <v>59.259259259259302</v>
      </c>
      <c r="AF24" s="15">
        <v>71.428571428571402</v>
      </c>
      <c r="AG24" s="15">
        <v>61.904761904761898</v>
      </c>
      <c r="AH24" s="15">
        <v>85.714285714285694</v>
      </c>
      <c r="AI24" s="20" t="s">
        <v>76</v>
      </c>
      <c r="AJ24" s="15">
        <v>54.9549549549549</v>
      </c>
      <c r="AK24" s="15">
        <v>86.6666666666667</v>
      </c>
      <c r="AL24" s="15">
        <v>64.4444444444444</v>
      </c>
      <c r="AM24" s="15">
        <v>62.5</v>
      </c>
      <c r="AN24" s="15">
        <v>62.5</v>
      </c>
      <c r="AO24" s="15">
        <v>42.5</v>
      </c>
      <c r="AP24" s="15">
        <v>62.337662337662302</v>
      </c>
      <c r="AQ24" s="15">
        <v>61.538461538461497</v>
      </c>
      <c r="AR24" s="15">
        <v>49.090909090909101</v>
      </c>
      <c r="AS24" s="15">
        <v>81.818181818181799</v>
      </c>
      <c r="AT24" s="15">
        <v>53.846153846153797</v>
      </c>
      <c r="AU24" s="15">
        <v>59.183673469387799</v>
      </c>
      <c r="AV24" s="15">
        <v>47.945205479452099</v>
      </c>
      <c r="AW24" s="15">
        <v>61.2068965517241</v>
      </c>
      <c r="AX24" s="15">
        <v>75</v>
      </c>
      <c r="AY24" s="15">
        <v>80</v>
      </c>
      <c r="AZ24" s="15">
        <v>80</v>
      </c>
      <c r="BA24" s="15">
        <v>54.716981132075503</v>
      </c>
      <c r="BB24" s="15">
        <v>85.074626865671604</v>
      </c>
      <c r="BC24" s="15">
        <v>74.324324324324294</v>
      </c>
      <c r="BD24" s="15">
        <v>65.384615384615401</v>
      </c>
      <c r="BE24" s="15">
        <v>84.482758620689694</v>
      </c>
      <c r="BF24" s="15">
        <v>65.060240963855406</v>
      </c>
      <c r="BG24" s="15">
        <v>59.701492537313399</v>
      </c>
      <c r="BH24" s="15">
        <v>54.1666666666667</v>
      </c>
      <c r="BI24" s="15">
        <v>78.947368421052602</v>
      </c>
      <c r="BJ24" s="15">
        <v>79.464285714285694</v>
      </c>
      <c r="BK24" s="15">
        <v>57.5</v>
      </c>
      <c r="BL24" s="15">
        <v>60.15625</v>
      </c>
      <c r="BM24" s="15">
        <v>77.227722772277204</v>
      </c>
      <c r="BN24" s="15">
        <v>64.705882352941202</v>
      </c>
      <c r="BO24" s="15">
        <v>57.7777777777778</v>
      </c>
      <c r="BP24" s="15">
        <v>53.3333333333333</v>
      </c>
      <c r="BQ24" s="15">
        <v>61.643835616438402</v>
      </c>
      <c r="BR24" s="15">
        <v>61.6666666666667</v>
      </c>
      <c r="BS24" s="15">
        <v>72.289156626505999</v>
      </c>
      <c r="BT24" s="15">
        <v>69.512195121951194</v>
      </c>
      <c r="BU24" s="15">
        <v>69.158878504672899</v>
      </c>
      <c r="BV24" s="15">
        <v>89.898989898989896</v>
      </c>
      <c r="BW24" s="15">
        <v>68.115942028985501</v>
      </c>
      <c r="BX24" s="15">
        <v>88.8888888888889</v>
      </c>
      <c r="BY24" s="15">
        <v>66.6666666666667</v>
      </c>
      <c r="BZ24" s="15">
        <v>73.469387755102005</v>
      </c>
      <c r="CA24" s="32">
        <v>60.529947941178399</v>
      </c>
      <c r="CB24" s="15">
        <v>54.313099041533498</v>
      </c>
      <c r="CC24" s="15">
        <v>67.924528301886795</v>
      </c>
      <c r="CD24" s="15">
        <v>68.387096774193594</v>
      </c>
      <c r="CE24" s="20" t="s">
        <v>76</v>
      </c>
      <c r="CF24" s="15">
        <v>55.988023952095801</v>
      </c>
      <c r="CG24" s="15">
        <v>62.011173184357503</v>
      </c>
      <c r="CH24" s="15">
        <v>57.536764705882298</v>
      </c>
      <c r="CI24" s="15">
        <v>66.940451745379903</v>
      </c>
      <c r="CJ24" s="15">
        <v>61.176470588235297</v>
      </c>
      <c r="CK24" s="15">
        <v>58.295964125560502</v>
      </c>
      <c r="CL24" s="15">
        <v>65.909090909090907</v>
      </c>
      <c r="CM24" s="24">
        <v>57.387580299785903</v>
      </c>
      <c r="CN24" s="37"/>
    </row>
    <row r="25" spans="1:92">
      <c r="A25" s="9" t="s">
        <v>280</v>
      </c>
      <c r="B25" s="35">
        <v>2.2834625439291401</v>
      </c>
      <c r="C25" s="32">
        <v>2.0007170920420299</v>
      </c>
      <c r="D25" s="32">
        <v>1.8744091669263501</v>
      </c>
      <c r="E25" s="32">
        <v>2.8584436455288502</v>
      </c>
      <c r="F25" s="20" t="s">
        <v>76</v>
      </c>
      <c r="G25" s="20" t="s">
        <v>76</v>
      </c>
      <c r="H25" s="20" t="s">
        <v>76</v>
      </c>
      <c r="I25" s="20" t="s">
        <v>76</v>
      </c>
      <c r="J25" s="20" t="s">
        <v>76</v>
      </c>
      <c r="K25" s="20" t="s">
        <v>76</v>
      </c>
      <c r="L25" s="20" t="s">
        <v>76</v>
      </c>
      <c r="M25" s="15">
        <v>6.5789473684210504</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20" t="s">
        <v>76</v>
      </c>
      <c r="AH25" s="15">
        <v>8.9285714285714306</v>
      </c>
      <c r="AI25" s="20" t="s">
        <v>76</v>
      </c>
      <c r="AJ25" s="20" t="s">
        <v>76</v>
      </c>
      <c r="AK25" s="20" t="s">
        <v>76</v>
      </c>
      <c r="AL25" s="20" t="s">
        <v>76</v>
      </c>
      <c r="AM25" s="20" t="s">
        <v>76</v>
      </c>
      <c r="AN25" s="20" t="s">
        <v>76</v>
      </c>
      <c r="AO25" s="20" t="s">
        <v>76</v>
      </c>
      <c r="AP25" s="20" t="s">
        <v>76</v>
      </c>
      <c r="AQ25" s="20" t="s">
        <v>76</v>
      </c>
      <c r="AR25" s="20" t="s">
        <v>76</v>
      </c>
      <c r="AS25" s="20" t="s">
        <v>76</v>
      </c>
      <c r="AT25" s="20" t="s">
        <v>76</v>
      </c>
      <c r="AU25" s="20" t="s">
        <v>76</v>
      </c>
      <c r="AV25" s="20" t="s">
        <v>76</v>
      </c>
      <c r="AW25" s="20" t="s">
        <v>76</v>
      </c>
      <c r="AX25" s="20" t="s">
        <v>76</v>
      </c>
      <c r="AY25" s="20" t="s">
        <v>76</v>
      </c>
      <c r="AZ25" s="20" t="s">
        <v>76</v>
      </c>
      <c r="BA25" s="20" t="s">
        <v>76</v>
      </c>
      <c r="BB25" s="20" t="s">
        <v>76</v>
      </c>
      <c r="BC25" s="20" t="s">
        <v>76</v>
      </c>
      <c r="BD25" s="20" t="s">
        <v>76</v>
      </c>
      <c r="BE25" s="20" t="s">
        <v>76</v>
      </c>
      <c r="BF25" s="20" t="s">
        <v>76</v>
      </c>
      <c r="BG25" s="20" t="s">
        <v>76</v>
      </c>
      <c r="BH25" s="20" t="s">
        <v>76</v>
      </c>
      <c r="BI25" s="20" t="s">
        <v>76</v>
      </c>
      <c r="BJ25" s="15">
        <v>6.25</v>
      </c>
      <c r="BK25" s="20" t="s">
        <v>76</v>
      </c>
      <c r="BL25" s="20" t="s">
        <v>76</v>
      </c>
      <c r="BM25" s="20" t="s">
        <v>76</v>
      </c>
      <c r="BN25" s="20" t="s">
        <v>76</v>
      </c>
      <c r="BO25" s="15">
        <v>5.5555555555555598</v>
      </c>
      <c r="BP25" s="20" t="s">
        <v>76</v>
      </c>
      <c r="BQ25" s="20" t="s">
        <v>76</v>
      </c>
      <c r="BR25" s="20" t="s">
        <v>76</v>
      </c>
      <c r="BS25" s="20" t="s">
        <v>76</v>
      </c>
      <c r="BT25" s="20" t="s">
        <v>76</v>
      </c>
      <c r="BU25" s="20" t="s">
        <v>76</v>
      </c>
      <c r="BV25" s="20" t="s">
        <v>76</v>
      </c>
      <c r="BW25" s="20" t="s">
        <v>76</v>
      </c>
      <c r="BX25" s="20" t="s">
        <v>76</v>
      </c>
      <c r="BY25" s="20" t="s">
        <v>76</v>
      </c>
      <c r="BZ25" s="20" t="s">
        <v>76</v>
      </c>
      <c r="CA25" s="32">
        <v>1.07973178753704</v>
      </c>
      <c r="CB25" s="15">
        <v>1.59744408945687</v>
      </c>
      <c r="CC25" s="20" t="s">
        <v>76</v>
      </c>
      <c r="CD25" s="20" t="s">
        <v>76</v>
      </c>
      <c r="CE25" s="20" t="s">
        <v>76</v>
      </c>
      <c r="CF25" s="20" t="s">
        <v>76</v>
      </c>
      <c r="CG25" s="20" t="s">
        <v>76</v>
      </c>
      <c r="CH25" s="20" t="s">
        <v>76</v>
      </c>
      <c r="CI25" s="15">
        <v>1.2320328542094501</v>
      </c>
      <c r="CJ25" s="20" t="s">
        <v>76</v>
      </c>
      <c r="CK25" s="20" t="s">
        <v>76</v>
      </c>
      <c r="CL25" s="15">
        <v>2.2727272727272698</v>
      </c>
      <c r="CM25" s="26" t="s">
        <v>76</v>
      </c>
      <c r="CN25" s="37"/>
    </row>
    <row r="26" spans="1:92">
      <c r="A26" s="9" t="s">
        <v>281</v>
      </c>
      <c r="B26" s="35">
        <v>30.478778849706501</v>
      </c>
      <c r="C26" s="32">
        <v>31.0577847516738</v>
      </c>
      <c r="D26" s="32">
        <v>31.207037877123199</v>
      </c>
      <c r="E26" s="32">
        <v>34.814201348415402</v>
      </c>
      <c r="F26" s="15">
        <v>29.411764705882401</v>
      </c>
      <c r="G26" s="15">
        <v>35.294117647058798</v>
      </c>
      <c r="H26" s="15">
        <v>34.7826086956522</v>
      </c>
      <c r="I26" s="15">
        <v>70</v>
      </c>
      <c r="J26" s="15">
        <v>29.8611111111111</v>
      </c>
      <c r="K26" s="15">
        <v>20.5128205128205</v>
      </c>
      <c r="L26" s="15">
        <v>54.0983606557377</v>
      </c>
      <c r="M26" s="15">
        <v>13.157894736842101</v>
      </c>
      <c r="N26" s="15">
        <v>27.0588235294118</v>
      </c>
      <c r="O26" s="15">
        <v>46.511627906976699</v>
      </c>
      <c r="P26" s="15">
        <v>36.619718309859202</v>
      </c>
      <c r="Q26" s="15">
        <v>38.028169014084497</v>
      </c>
      <c r="R26" s="20" t="s">
        <v>76</v>
      </c>
      <c r="S26" s="15">
        <v>29.268292682926798</v>
      </c>
      <c r="T26" s="15">
        <v>37.5</v>
      </c>
      <c r="U26" s="20" t="s">
        <v>76</v>
      </c>
      <c r="V26" s="15">
        <v>29.411764705882401</v>
      </c>
      <c r="W26" s="15">
        <v>27.118644067796598</v>
      </c>
      <c r="X26" s="15">
        <v>46.153846153846203</v>
      </c>
      <c r="Y26" s="20" t="s">
        <v>76</v>
      </c>
      <c r="Z26" s="15">
        <v>37.179487179487197</v>
      </c>
      <c r="AA26" s="15">
        <v>45.871559633027502</v>
      </c>
      <c r="AB26" s="15">
        <v>54.411764705882298</v>
      </c>
      <c r="AC26" s="15">
        <v>42.424242424242401</v>
      </c>
      <c r="AD26" s="15">
        <v>34.375</v>
      </c>
      <c r="AE26" s="15">
        <v>25.925925925925899</v>
      </c>
      <c r="AF26" s="15">
        <v>50</v>
      </c>
      <c r="AG26" s="15">
        <v>24.761904761904798</v>
      </c>
      <c r="AH26" s="15">
        <v>30.3571428571429</v>
      </c>
      <c r="AI26" s="20" t="s">
        <v>76</v>
      </c>
      <c r="AJ26" s="15">
        <v>21.6216216216216</v>
      </c>
      <c r="AK26" s="15">
        <v>36.6666666666667</v>
      </c>
      <c r="AL26" s="15">
        <v>30</v>
      </c>
      <c r="AM26" s="15">
        <v>42.1875</v>
      </c>
      <c r="AN26" s="20" t="s">
        <v>76</v>
      </c>
      <c r="AO26" s="15">
        <v>35</v>
      </c>
      <c r="AP26" s="15">
        <v>24.675324675324699</v>
      </c>
      <c r="AQ26" s="15">
        <v>43.589743589743598</v>
      </c>
      <c r="AR26" s="15">
        <v>18.181818181818201</v>
      </c>
      <c r="AS26" s="20" t="s">
        <v>76</v>
      </c>
      <c r="AT26" s="15">
        <v>36.923076923076898</v>
      </c>
      <c r="AU26" s="15">
        <v>51.020408163265301</v>
      </c>
      <c r="AV26" s="15">
        <v>27.397260273972599</v>
      </c>
      <c r="AW26" s="15">
        <v>27.586206896551701</v>
      </c>
      <c r="AX26" s="15">
        <v>50</v>
      </c>
      <c r="AY26" s="15">
        <v>34.285714285714299</v>
      </c>
      <c r="AZ26" s="15">
        <v>32</v>
      </c>
      <c r="BA26" s="15">
        <v>30.188679245283002</v>
      </c>
      <c r="BB26" s="15">
        <v>61.194029850746297</v>
      </c>
      <c r="BC26" s="15">
        <v>29.729729729729701</v>
      </c>
      <c r="BD26" s="15">
        <v>51.282051282051299</v>
      </c>
      <c r="BE26" s="15">
        <v>50</v>
      </c>
      <c r="BF26" s="15">
        <v>37.349397590361399</v>
      </c>
      <c r="BG26" s="15">
        <v>28.358208955223901</v>
      </c>
      <c r="BH26" s="15">
        <v>37.5</v>
      </c>
      <c r="BI26" s="15">
        <v>42.105263157894697</v>
      </c>
      <c r="BJ26" s="15">
        <v>41.071428571428598</v>
      </c>
      <c r="BK26" s="15">
        <v>25</v>
      </c>
      <c r="BL26" s="15">
        <v>32.03125</v>
      </c>
      <c r="BM26" s="15">
        <v>26.7326732673267</v>
      </c>
      <c r="BN26" s="15">
        <v>42.016806722689097</v>
      </c>
      <c r="BO26" s="15">
        <v>23.3333333333333</v>
      </c>
      <c r="BP26" s="20" t="s">
        <v>76</v>
      </c>
      <c r="BQ26" s="15">
        <v>30.136986301369902</v>
      </c>
      <c r="BR26" s="15">
        <v>33.3333333333333</v>
      </c>
      <c r="BS26" s="15">
        <v>45.783132530120497</v>
      </c>
      <c r="BT26" s="15">
        <v>30.487804878048799</v>
      </c>
      <c r="BU26" s="15">
        <v>41.121495327102799</v>
      </c>
      <c r="BV26" s="15">
        <v>58.585858585858603</v>
      </c>
      <c r="BW26" s="15">
        <v>15.9420289855072</v>
      </c>
      <c r="BX26" s="15">
        <v>88.8888888888889</v>
      </c>
      <c r="BY26" s="15">
        <v>44.4444444444444</v>
      </c>
      <c r="BZ26" s="15">
        <v>39.455782312925201</v>
      </c>
      <c r="CA26" s="32">
        <v>28.293998469737598</v>
      </c>
      <c r="CB26" s="15">
        <v>25.559105431309899</v>
      </c>
      <c r="CC26" s="15">
        <v>27.358490566037698</v>
      </c>
      <c r="CD26" s="15">
        <v>27.741935483871</v>
      </c>
      <c r="CE26" s="20" t="s">
        <v>76</v>
      </c>
      <c r="CF26" s="15">
        <v>20.359281437125698</v>
      </c>
      <c r="CG26" s="15">
        <v>35.754189944134097</v>
      </c>
      <c r="CH26" s="15">
        <v>23.897058823529399</v>
      </c>
      <c r="CI26" s="15">
        <v>32.854209445585198</v>
      </c>
      <c r="CJ26" s="15">
        <v>24.705882352941199</v>
      </c>
      <c r="CK26" s="15">
        <v>30.4932735426009</v>
      </c>
      <c r="CL26" s="15">
        <v>36.6666666666667</v>
      </c>
      <c r="CM26" s="24">
        <v>31.263383297644499</v>
      </c>
      <c r="CN26" s="37"/>
    </row>
    <row r="27" spans="1:92">
      <c r="A27" s="9" t="s">
        <v>282</v>
      </c>
      <c r="B27" s="35">
        <v>19.413708247396499</v>
      </c>
      <c r="C27" s="32">
        <v>18.118465021806202</v>
      </c>
      <c r="D27" s="32">
        <v>17.4859506616834</v>
      </c>
      <c r="E27" s="32">
        <v>22.559725214914099</v>
      </c>
      <c r="F27" s="20" t="s">
        <v>76</v>
      </c>
      <c r="G27" s="20" t="s">
        <v>76</v>
      </c>
      <c r="H27" s="20" t="s">
        <v>76</v>
      </c>
      <c r="I27" s="20" t="s">
        <v>76</v>
      </c>
      <c r="J27" s="15">
        <v>15.9722222222222</v>
      </c>
      <c r="K27" s="15">
        <v>23.076923076923102</v>
      </c>
      <c r="L27" s="15">
        <v>42.622950819672099</v>
      </c>
      <c r="M27" s="15">
        <v>42.105263157894697</v>
      </c>
      <c r="N27" s="15">
        <v>25.882352941176499</v>
      </c>
      <c r="O27" s="15">
        <v>23.255813953488399</v>
      </c>
      <c r="P27" s="15">
        <v>29.577464788732399</v>
      </c>
      <c r="Q27" s="15">
        <v>45.0704225352113</v>
      </c>
      <c r="R27" s="20" t="s">
        <v>76</v>
      </c>
      <c r="S27" s="15">
        <v>17.0731707317073</v>
      </c>
      <c r="T27" s="15">
        <v>14.5833333333333</v>
      </c>
      <c r="U27" s="20" t="s">
        <v>76</v>
      </c>
      <c r="V27" s="15">
        <v>20.588235294117599</v>
      </c>
      <c r="W27" s="15">
        <v>13.559322033898299</v>
      </c>
      <c r="X27" s="20" t="s">
        <v>76</v>
      </c>
      <c r="Y27" s="20" t="s">
        <v>76</v>
      </c>
      <c r="Z27" s="15">
        <v>17.948717948717899</v>
      </c>
      <c r="AA27" s="15">
        <v>26.605504587155998</v>
      </c>
      <c r="AB27" s="15">
        <v>33.823529411764703</v>
      </c>
      <c r="AC27" s="15">
        <v>22.727272727272702</v>
      </c>
      <c r="AD27" s="15">
        <v>31.25</v>
      </c>
      <c r="AE27" s="20" t="s">
        <v>76</v>
      </c>
      <c r="AF27" s="15">
        <v>42.857142857142897</v>
      </c>
      <c r="AG27" s="15">
        <v>34.285714285714299</v>
      </c>
      <c r="AH27" s="15">
        <v>28.571428571428601</v>
      </c>
      <c r="AI27" s="20" t="s">
        <v>76</v>
      </c>
      <c r="AJ27" s="15">
        <v>20.720720720720699</v>
      </c>
      <c r="AK27" s="15">
        <v>16.6666666666667</v>
      </c>
      <c r="AL27" s="15">
        <v>21.1111111111111</v>
      </c>
      <c r="AM27" s="15">
        <v>15.625</v>
      </c>
      <c r="AN27" s="20" t="s">
        <v>76</v>
      </c>
      <c r="AO27" s="20" t="s">
        <v>76</v>
      </c>
      <c r="AP27" s="15">
        <v>27.272727272727298</v>
      </c>
      <c r="AQ27" s="15">
        <v>23.076923076923102</v>
      </c>
      <c r="AR27" s="20" t="s">
        <v>76</v>
      </c>
      <c r="AS27" s="20" t="s">
        <v>76</v>
      </c>
      <c r="AT27" s="15">
        <v>24.615384615384599</v>
      </c>
      <c r="AU27" s="15">
        <v>20.408163265306101</v>
      </c>
      <c r="AV27" s="15">
        <v>23.287671232876701</v>
      </c>
      <c r="AW27" s="15">
        <v>25.862068965517199</v>
      </c>
      <c r="AX27" s="20" t="s">
        <v>76</v>
      </c>
      <c r="AY27" s="15">
        <v>28.571428571428601</v>
      </c>
      <c r="AZ27" s="15">
        <v>16</v>
      </c>
      <c r="BA27" s="15">
        <v>18.867924528301899</v>
      </c>
      <c r="BB27" s="15">
        <v>28.358208955223901</v>
      </c>
      <c r="BC27" s="15">
        <v>20.270270270270299</v>
      </c>
      <c r="BD27" s="15">
        <v>26.923076923076898</v>
      </c>
      <c r="BE27" s="15">
        <v>39.655172413793103</v>
      </c>
      <c r="BF27" s="15">
        <v>13.253012048192801</v>
      </c>
      <c r="BG27" s="15">
        <v>28.358208955223901</v>
      </c>
      <c r="BH27" s="20" t="s">
        <v>76</v>
      </c>
      <c r="BI27" s="20" t="s">
        <v>76</v>
      </c>
      <c r="BJ27" s="15">
        <v>18.75</v>
      </c>
      <c r="BK27" s="15">
        <v>30</v>
      </c>
      <c r="BL27" s="15">
        <v>25</v>
      </c>
      <c r="BM27" s="15">
        <v>8.9108910891089099</v>
      </c>
      <c r="BN27" s="15">
        <v>23.529411764705898</v>
      </c>
      <c r="BO27" s="15">
        <v>25.5555555555556</v>
      </c>
      <c r="BP27" s="20" t="s">
        <v>76</v>
      </c>
      <c r="BQ27" s="15">
        <v>23.287671232876701</v>
      </c>
      <c r="BR27" s="15">
        <v>10</v>
      </c>
      <c r="BS27" s="15">
        <v>10.8433734939759</v>
      </c>
      <c r="BT27" s="15">
        <v>31.707317073170699</v>
      </c>
      <c r="BU27" s="15">
        <v>9.3457943925233593</v>
      </c>
      <c r="BV27" s="15">
        <v>28.282828282828302</v>
      </c>
      <c r="BW27" s="15">
        <v>34.7826086956522</v>
      </c>
      <c r="BX27" s="20" t="s">
        <v>76</v>
      </c>
      <c r="BY27" s="15">
        <v>25.396825396825399</v>
      </c>
      <c r="BZ27" s="15">
        <v>43.5374149659864</v>
      </c>
      <c r="CA27" s="32">
        <v>13.3885191658889</v>
      </c>
      <c r="CB27" s="15">
        <v>13.7380191693291</v>
      </c>
      <c r="CC27" s="15">
        <v>12.264150943396199</v>
      </c>
      <c r="CD27" s="15">
        <v>9.67741935483871</v>
      </c>
      <c r="CE27" s="20" t="s">
        <v>76</v>
      </c>
      <c r="CF27" s="15">
        <v>15.568862275449099</v>
      </c>
      <c r="CG27" s="15">
        <v>21.787709497206698</v>
      </c>
      <c r="CH27" s="15">
        <v>11.213235294117601</v>
      </c>
      <c r="CI27" s="15">
        <v>20.1232032854209</v>
      </c>
      <c r="CJ27" s="15">
        <v>11.764705882352899</v>
      </c>
      <c r="CK27" s="15">
        <v>13.901345291479799</v>
      </c>
      <c r="CL27" s="15">
        <v>15.454545454545499</v>
      </c>
      <c r="CM27" s="24">
        <v>8.7794432548179895</v>
      </c>
      <c r="CN27" s="37"/>
    </row>
    <row r="28" spans="1:92">
      <c r="A28" s="9" t="s">
        <v>283</v>
      </c>
      <c r="B28" s="35">
        <v>16.6712787974203</v>
      </c>
      <c r="C28" s="32">
        <v>16.428954964728199</v>
      </c>
      <c r="D28" s="32">
        <v>18.476457852549999</v>
      </c>
      <c r="E28" s="32">
        <v>23.804252618268698</v>
      </c>
      <c r="F28" s="20" t="s">
        <v>76</v>
      </c>
      <c r="G28" s="15">
        <v>29.411764705882401</v>
      </c>
      <c r="H28" s="15">
        <v>21.739130434782599</v>
      </c>
      <c r="I28" s="20" t="s">
        <v>76</v>
      </c>
      <c r="J28" s="15">
        <v>18.0555555555556</v>
      </c>
      <c r="K28" s="15">
        <v>33.3333333333333</v>
      </c>
      <c r="L28" s="15">
        <v>11.4754098360656</v>
      </c>
      <c r="M28" s="15">
        <v>13.157894736842101</v>
      </c>
      <c r="N28" s="15">
        <v>12.9411764705882</v>
      </c>
      <c r="O28" s="15">
        <v>11.6279069767442</v>
      </c>
      <c r="P28" s="15">
        <v>29.577464788732399</v>
      </c>
      <c r="Q28" s="15">
        <v>57.746478873239397</v>
      </c>
      <c r="R28" s="20" t="s">
        <v>76</v>
      </c>
      <c r="S28" s="15">
        <v>29.268292682926798</v>
      </c>
      <c r="T28" s="15">
        <v>20.8333333333333</v>
      </c>
      <c r="U28" s="15">
        <v>28.571428571428601</v>
      </c>
      <c r="V28" s="15">
        <v>38.235294117647101</v>
      </c>
      <c r="W28" s="15">
        <v>16.9491525423729</v>
      </c>
      <c r="X28" s="20" t="s">
        <v>76</v>
      </c>
      <c r="Y28" s="20" t="s">
        <v>76</v>
      </c>
      <c r="Z28" s="15">
        <v>34.615384615384599</v>
      </c>
      <c r="AA28" s="15">
        <v>21.100917431192698</v>
      </c>
      <c r="AB28" s="15">
        <v>39.705882352941202</v>
      </c>
      <c r="AC28" s="15">
        <v>30.303030303030301</v>
      </c>
      <c r="AD28" s="15">
        <v>21.875</v>
      </c>
      <c r="AE28" s="20" t="s">
        <v>76</v>
      </c>
      <c r="AF28" s="15">
        <v>35.714285714285701</v>
      </c>
      <c r="AG28" s="15">
        <v>20.952380952380999</v>
      </c>
      <c r="AH28" s="15">
        <v>25</v>
      </c>
      <c r="AI28" s="20" t="s">
        <v>76</v>
      </c>
      <c r="AJ28" s="15">
        <v>18.918918918918902</v>
      </c>
      <c r="AK28" s="15">
        <v>16.6666666666667</v>
      </c>
      <c r="AL28" s="15">
        <v>33.3333333333333</v>
      </c>
      <c r="AM28" s="15">
        <v>14.0625</v>
      </c>
      <c r="AN28" s="20" t="s">
        <v>76</v>
      </c>
      <c r="AO28" s="15">
        <v>30</v>
      </c>
      <c r="AP28" s="15">
        <v>29.870129870129901</v>
      </c>
      <c r="AQ28" s="15">
        <v>25.6410256410256</v>
      </c>
      <c r="AR28" s="15">
        <v>21.818181818181799</v>
      </c>
      <c r="AS28" s="20" t="s">
        <v>76</v>
      </c>
      <c r="AT28" s="15">
        <v>16.923076923076898</v>
      </c>
      <c r="AU28" s="15">
        <v>26.530612244897998</v>
      </c>
      <c r="AV28" s="15">
        <v>9.5890410958904102</v>
      </c>
      <c r="AW28" s="15">
        <v>20.689655172413801</v>
      </c>
      <c r="AX28" s="15">
        <v>31.25</v>
      </c>
      <c r="AY28" s="15">
        <v>25.714285714285701</v>
      </c>
      <c r="AZ28" s="15">
        <v>28</v>
      </c>
      <c r="BA28" s="15">
        <v>28.301886792452802</v>
      </c>
      <c r="BB28" s="15">
        <v>40.298507462686601</v>
      </c>
      <c r="BC28" s="15">
        <v>25.675675675675699</v>
      </c>
      <c r="BD28" s="15">
        <v>32.051282051282101</v>
      </c>
      <c r="BE28" s="15">
        <v>20.689655172413801</v>
      </c>
      <c r="BF28" s="15">
        <v>15.662650602409601</v>
      </c>
      <c r="BG28" s="15">
        <v>34.328358208955201</v>
      </c>
      <c r="BH28" s="20" t="s">
        <v>76</v>
      </c>
      <c r="BI28" s="15">
        <v>26.315789473684202</v>
      </c>
      <c r="BJ28" s="15">
        <v>30.3571428571429</v>
      </c>
      <c r="BK28" s="15">
        <v>22.5</v>
      </c>
      <c r="BL28" s="15">
        <v>14.0625</v>
      </c>
      <c r="BM28" s="15">
        <v>25.742574257425701</v>
      </c>
      <c r="BN28" s="15">
        <v>26.050420168067198</v>
      </c>
      <c r="BO28" s="15">
        <v>12.2222222222222</v>
      </c>
      <c r="BP28" s="15">
        <v>46.6666666666667</v>
      </c>
      <c r="BQ28" s="15">
        <v>26.027397260274</v>
      </c>
      <c r="BR28" s="15">
        <v>20</v>
      </c>
      <c r="BS28" s="15">
        <v>16.867469879518101</v>
      </c>
      <c r="BT28" s="15">
        <v>10.975609756097599</v>
      </c>
      <c r="BU28" s="15">
        <v>31.775700934579401</v>
      </c>
      <c r="BV28" s="15">
        <v>39.393939393939398</v>
      </c>
      <c r="BW28" s="15">
        <v>27.536231884058001</v>
      </c>
      <c r="BX28" s="20" t="s">
        <v>76</v>
      </c>
      <c r="BY28" s="15">
        <v>25.396825396825399</v>
      </c>
      <c r="BZ28" s="15">
        <v>22.4489795918367</v>
      </c>
      <c r="CA28" s="32">
        <v>14.1738870845438</v>
      </c>
      <c r="CB28" s="15">
        <v>12.1405750798722</v>
      </c>
      <c r="CC28" s="15">
        <v>8.4905660377358494</v>
      </c>
      <c r="CD28" s="15">
        <v>14.8387096774194</v>
      </c>
      <c r="CE28" s="20" t="s">
        <v>76</v>
      </c>
      <c r="CF28" s="15">
        <v>12.5748502994012</v>
      </c>
      <c r="CG28" s="15">
        <v>13.966480446927401</v>
      </c>
      <c r="CH28" s="15">
        <v>24.8161764705882</v>
      </c>
      <c r="CI28" s="15">
        <v>16.632443531827501</v>
      </c>
      <c r="CJ28" s="15">
        <v>20.7843137254902</v>
      </c>
      <c r="CK28" s="15">
        <v>13.452914798206301</v>
      </c>
      <c r="CL28" s="15">
        <v>16.2121212121212</v>
      </c>
      <c r="CM28" s="24">
        <v>11.9914346895075</v>
      </c>
      <c r="CN28" s="37"/>
    </row>
    <row r="29" spans="1:92">
      <c r="A29" s="9" t="s">
        <v>284</v>
      </c>
      <c r="B29" s="35">
        <v>2.7685570728450699</v>
      </c>
      <c r="C29" s="32">
        <v>2.2941349550922601</v>
      </c>
      <c r="D29" s="32">
        <v>2.5021329004882702</v>
      </c>
      <c r="E29" s="32">
        <v>3.4499823890511498</v>
      </c>
      <c r="F29" s="20" t="s">
        <v>76</v>
      </c>
      <c r="G29" s="20" t="s">
        <v>76</v>
      </c>
      <c r="H29" s="20" t="s">
        <v>76</v>
      </c>
      <c r="I29" s="20" t="s">
        <v>76</v>
      </c>
      <c r="J29" s="15">
        <v>4.1666666666666696</v>
      </c>
      <c r="K29" s="20" t="s">
        <v>76</v>
      </c>
      <c r="L29" s="20" t="s">
        <v>76</v>
      </c>
      <c r="M29" s="20" t="s">
        <v>76</v>
      </c>
      <c r="N29" s="20" t="s">
        <v>76</v>
      </c>
      <c r="O29" s="20" t="s">
        <v>76</v>
      </c>
      <c r="P29" s="15">
        <v>9.8591549295774694</v>
      </c>
      <c r="Q29" s="20" t="s">
        <v>76</v>
      </c>
      <c r="R29" s="20" t="s">
        <v>76</v>
      </c>
      <c r="S29" s="20" t="s">
        <v>76</v>
      </c>
      <c r="T29" s="20" t="s">
        <v>76</v>
      </c>
      <c r="U29" s="20" t="s">
        <v>76</v>
      </c>
      <c r="V29" s="20" t="s">
        <v>76</v>
      </c>
      <c r="W29" s="20" t="s">
        <v>76</v>
      </c>
      <c r="X29" s="20" t="s">
        <v>76</v>
      </c>
      <c r="Y29" s="20" t="s">
        <v>76</v>
      </c>
      <c r="Z29" s="20" t="s">
        <v>76</v>
      </c>
      <c r="AA29" s="20" t="s">
        <v>76</v>
      </c>
      <c r="AB29" s="15">
        <v>10.294117647058799</v>
      </c>
      <c r="AC29" s="15">
        <v>4.5454545454545396</v>
      </c>
      <c r="AD29" s="20" t="s">
        <v>76</v>
      </c>
      <c r="AE29" s="20" t="s">
        <v>76</v>
      </c>
      <c r="AF29" s="20" t="s">
        <v>76</v>
      </c>
      <c r="AG29" s="20" t="s">
        <v>76</v>
      </c>
      <c r="AH29" s="20" t="s">
        <v>76</v>
      </c>
      <c r="AI29" s="20" t="s">
        <v>76</v>
      </c>
      <c r="AJ29" s="20" t="s">
        <v>76</v>
      </c>
      <c r="AK29" s="20" t="s">
        <v>76</v>
      </c>
      <c r="AL29" s="20" t="s">
        <v>76</v>
      </c>
      <c r="AM29" s="20" t="s">
        <v>76</v>
      </c>
      <c r="AN29" s="20" t="s">
        <v>76</v>
      </c>
      <c r="AO29" s="20" t="s">
        <v>76</v>
      </c>
      <c r="AP29" s="20" t="s">
        <v>76</v>
      </c>
      <c r="AQ29" s="20" t="s">
        <v>76</v>
      </c>
      <c r="AR29" s="20" t="s">
        <v>76</v>
      </c>
      <c r="AS29" s="20" t="s">
        <v>76</v>
      </c>
      <c r="AT29" s="20" t="s">
        <v>76</v>
      </c>
      <c r="AU29" s="20" t="s">
        <v>76</v>
      </c>
      <c r="AV29" s="20" t="s">
        <v>76</v>
      </c>
      <c r="AW29" s="20" t="s">
        <v>76</v>
      </c>
      <c r="AX29" s="20" t="s">
        <v>76</v>
      </c>
      <c r="AY29" s="20" t="s">
        <v>76</v>
      </c>
      <c r="AZ29" s="20" t="s">
        <v>76</v>
      </c>
      <c r="BA29" s="20" t="s">
        <v>76</v>
      </c>
      <c r="BB29" s="20" t="s">
        <v>76</v>
      </c>
      <c r="BC29" s="20" t="s">
        <v>76</v>
      </c>
      <c r="BD29" s="15">
        <v>8.9743589743589691</v>
      </c>
      <c r="BE29" s="20" t="s">
        <v>76</v>
      </c>
      <c r="BF29" s="20" t="s">
        <v>76</v>
      </c>
      <c r="BG29" s="20" t="s">
        <v>76</v>
      </c>
      <c r="BH29" s="20" t="s">
        <v>76</v>
      </c>
      <c r="BI29" s="20" t="s">
        <v>76</v>
      </c>
      <c r="BJ29" s="20" t="s">
        <v>76</v>
      </c>
      <c r="BK29" s="20" t="s">
        <v>76</v>
      </c>
      <c r="BL29" s="20" t="s">
        <v>76</v>
      </c>
      <c r="BM29" s="20" t="s">
        <v>76</v>
      </c>
      <c r="BN29" s="20" t="s">
        <v>76</v>
      </c>
      <c r="BO29" s="20" t="s">
        <v>76</v>
      </c>
      <c r="BP29" s="20" t="s">
        <v>76</v>
      </c>
      <c r="BQ29" s="20" t="s">
        <v>76</v>
      </c>
      <c r="BR29" s="20" t="s">
        <v>76</v>
      </c>
      <c r="BS29" s="20" t="s">
        <v>76</v>
      </c>
      <c r="BT29" s="15">
        <v>7.3170731707317103</v>
      </c>
      <c r="BU29" s="20" t="s">
        <v>76</v>
      </c>
      <c r="BV29" s="20" t="s">
        <v>76</v>
      </c>
      <c r="BW29" s="20" t="s">
        <v>76</v>
      </c>
      <c r="BX29" s="20" t="s">
        <v>76</v>
      </c>
      <c r="BY29" s="20" t="s">
        <v>76</v>
      </c>
      <c r="BZ29" s="15">
        <v>5.4421768707483</v>
      </c>
      <c r="CA29" s="32">
        <v>1.7366774576095101</v>
      </c>
      <c r="CB29" s="15">
        <v>1.91693290734824</v>
      </c>
      <c r="CC29" s="15">
        <v>2.2012578616352201</v>
      </c>
      <c r="CD29" s="20" t="s">
        <v>76</v>
      </c>
      <c r="CE29" s="20" t="s">
        <v>76</v>
      </c>
      <c r="CF29" s="20" t="s">
        <v>76</v>
      </c>
      <c r="CG29" s="20" t="s">
        <v>76</v>
      </c>
      <c r="CH29" s="15">
        <v>1.8382352941176501</v>
      </c>
      <c r="CI29" s="15">
        <v>1.64271047227926</v>
      </c>
      <c r="CJ29" s="20" t="s">
        <v>76</v>
      </c>
      <c r="CK29" s="15">
        <v>2.2421524663677102</v>
      </c>
      <c r="CL29" s="15">
        <v>3.0303030303030298</v>
      </c>
      <c r="CM29" s="24">
        <v>1.2847965738758</v>
      </c>
      <c r="CN29" s="37"/>
    </row>
    <row r="30" spans="1:92">
      <c r="A30" s="9" t="s">
        <v>285</v>
      </c>
      <c r="B30" s="35">
        <v>6.2012673054194103</v>
      </c>
      <c r="C30" s="32">
        <v>6.9990662736900902</v>
      </c>
      <c r="D30" s="32">
        <v>7.4161446553297399</v>
      </c>
      <c r="E30" s="32">
        <v>8.4418921403212703</v>
      </c>
      <c r="F30" s="20" t="s">
        <v>76</v>
      </c>
      <c r="G30" s="20" t="s">
        <v>76</v>
      </c>
      <c r="H30" s="20" t="s">
        <v>76</v>
      </c>
      <c r="I30" s="20" t="s">
        <v>76</v>
      </c>
      <c r="J30" s="15">
        <v>6.25</v>
      </c>
      <c r="K30" s="20" t="s">
        <v>76</v>
      </c>
      <c r="L30" s="15">
        <v>18.032786885245901</v>
      </c>
      <c r="M30" s="15">
        <v>6.5789473684210504</v>
      </c>
      <c r="N30" s="20" t="s">
        <v>76</v>
      </c>
      <c r="O30" s="15">
        <v>11.6279069767442</v>
      </c>
      <c r="P30" s="15">
        <v>9.8591549295774694</v>
      </c>
      <c r="Q30" s="15">
        <v>7.0422535211267601</v>
      </c>
      <c r="R30" s="20" t="s">
        <v>76</v>
      </c>
      <c r="S30" s="15">
        <v>17.0731707317073</v>
      </c>
      <c r="T30" s="15">
        <v>14.5833333333333</v>
      </c>
      <c r="U30" s="20" t="s">
        <v>76</v>
      </c>
      <c r="V30" s="20" t="s">
        <v>76</v>
      </c>
      <c r="W30" s="15">
        <v>13.559322033898299</v>
      </c>
      <c r="X30" s="20" t="s">
        <v>76</v>
      </c>
      <c r="Y30" s="20" t="s">
        <v>76</v>
      </c>
      <c r="Z30" s="20" t="s">
        <v>76</v>
      </c>
      <c r="AA30" s="15">
        <v>11.926605504587201</v>
      </c>
      <c r="AB30" s="15">
        <v>14.705882352941201</v>
      </c>
      <c r="AC30" s="15">
        <v>7.5757575757575797</v>
      </c>
      <c r="AD30" s="20" t="s">
        <v>76</v>
      </c>
      <c r="AE30" s="20" t="s">
        <v>76</v>
      </c>
      <c r="AF30" s="20" t="s">
        <v>76</v>
      </c>
      <c r="AG30" s="15">
        <v>8.5714285714285694</v>
      </c>
      <c r="AH30" s="20" t="s">
        <v>76</v>
      </c>
      <c r="AI30" s="20" t="s">
        <v>76</v>
      </c>
      <c r="AJ30" s="15">
        <v>16.2162162162162</v>
      </c>
      <c r="AK30" s="15">
        <v>36.6666666666667</v>
      </c>
      <c r="AL30" s="15">
        <v>8.8888888888888893</v>
      </c>
      <c r="AM30" s="20" t="s">
        <v>76</v>
      </c>
      <c r="AN30" s="20" t="s">
        <v>76</v>
      </c>
      <c r="AO30" s="20" t="s">
        <v>76</v>
      </c>
      <c r="AP30" s="15">
        <v>11.6883116883117</v>
      </c>
      <c r="AQ30" s="20" t="s">
        <v>76</v>
      </c>
      <c r="AR30" s="20" t="s">
        <v>76</v>
      </c>
      <c r="AS30" s="20" t="s">
        <v>76</v>
      </c>
      <c r="AT30" s="20" t="s">
        <v>76</v>
      </c>
      <c r="AU30" s="20" t="s">
        <v>76</v>
      </c>
      <c r="AV30" s="15">
        <v>10.958904109589</v>
      </c>
      <c r="AW30" s="15">
        <v>6.0344827586206904</v>
      </c>
      <c r="AX30" s="20" t="s">
        <v>76</v>
      </c>
      <c r="AY30" s="15">
        <v>17.1428571428571</v>
      </c>
      <c r="AZ30" s="15">
        <v>10</v>
      </c>
      <c r="BA30" s="15">
        <v>9.4339622641509404</v>
      </c>
      <c r="BB30" s="15">
        <v>10.4477611940298</v>
      </c>
      <c r="BC30" s="15">
        <v>13.5135135135135</v>
      </c>
      <c r="BD30" s="15">
        <v>10.2564102564103</v>
      </c>
      <c r="BE30" s="20" t="s">
        <v>76</v>
      </c>
      <c r="BF30" s="15">
        <v>10.8433734939759</v>
      </c>
      <c r="BG30" s="15">
        <v>7.4626865671641802</v>
      </c>
      <c r="BH30" s="20" t="s">
        <v>76</v>
      </c>
      <c r="BI30" s="20" t="s">
        <v>76</v>
      </c>
      <c r="BJ30" s="15">
        <v>5.3571428571428603</v>
      </c>
      <c r="BK30" s="20" t="s">
        <v>76</v>
      </c>
      <c r="BL30" s="15">
        <v>5.46875</v>
      </c>
      <c r="BM30" s="20" t="s">
        <v>76</v>
      </c>
      <c r="BN30" s="15">
        <v>7.5630252100840298</v>
      </c>
      <c r="BO30" s="15">
        <v>16.6666666666667</v>
      </c>
      <c r="BP30" s="20" t="s">
        <v>76</v>
      </c>
      <c r="BQ30" s="20" t="s">
        <v>76</v>
      </c>
      <c r="BR30" s="20" t="s">
        <v>76</v>
      </c>
      <c r="BS30" s="15">
        <v>8.4337349397590398</v>
      </c>
      <c r="BT30" s="15">
        <v>8.5365853658536608</v>
      </c>
      <c r="BU30" s="15">
        <v>9.3457943925233593</v>
      </c>
      <c r="BV30" s="15">
        <v>12.1212121212121</v>
      </c>
      <c r="BW30" s="15">
        <v>7.2463768115942004</v>
      </c>
      <c r="BX30" s="20" t="s">
        <v>76</v>
      </c>
      <c r="BY30" s="20" t="s">
        <v>76</v>
      </c>
      <c r="BZ30" s="15">
        <v>5.4421768707483</v>
      </c>
      <c r="CA30" s="32">
        <v>6.5877810755841599</v>
      </c>
      <c r="CB30" s="15">
        <v>9.5846645367412204</v>
      </c>
      <c r="CC30" s="15">
        <v>8.8050314465408803</v>
      </c>
      <c r="CD30" s="15">
        <v>3.87096774193548</v>
      </c>
      <c r="CE30" s="20" t="s">
        <v>76</v>
      </c>
      <c r="CF30" s="15">
        <v>6.5868263473053901</v>
      </c>
      <c r="CG30" s="15">
        <v>7.2625698324022299</v>
      </c>
      <c r="CH30" s="15">
        <v>3.125</v>
      </c>
      <c r="CI30" s="15">
        <v>5.9548254620123204</v>
      </c>
      <c r="CJ30" s="15">
        <v>4.7058823529411802</v>
      </c>
      <c r="CK30" s="15">
        <v>4.9327354260089704</v>
      </c>
      <c r="CL30" s="15">
        <v>10.303030303030299</v>
      </c>
      <c r="CM30" s="24">
        <v>6.2098501070663801</v>
      </c>
      <c r="CN30" s="37"/>
    </row>
    <row r="31" spans="1:92">
      <c r="A31" s="9" t="s">
        <v>286</v>
      </c>
      <c r="B31" s="35">
        <v>13.063229381163101</v>
      </c>
      <c r="C31" s="32">
        <v>12.293477646570199</v>
      </c>
      <c r="D31" s="32">
        <v>10.925601024191501</v>
      </c>
      <c r="E31" s="32">
        <v>13.8849139554664</v>
      </c>
      <c r="F31" s="20" t="s">
        <v>76</v>
      </c>
      <c r="G31" s="15">
        <v>29.411764705882401</v>
      </c>
      <c r="H31" s="15">
        <v>26.086956521739101</v>
      </c>
      <c r="I31" s="20" t="s">
        <v>76</v>
      </c>
      <c r="J31" s="15">
        <v>19.4444444444444</v>
      </c>
      <c r="K31" s="15">
        <v>15.384615384615399</v>
      </c>
      <c r="L31" s="15">
        <v>13.1147540983607</v>
      </c>
      <c r="M31" s="15">
        <v>6.5789473684210504</v>
      </c>
      <c r="N31" s="15">
        <v>9.4117647058823497</v>
      </c>
      <c r="O31" s="15">
        <v>11.6279069767442</v>
      </c>
      <c r="P31" s="15">
        <v>19.7183098591549</v>
      </c>
      <c r="Q31" s="15">
        <v>14.084507042253501</v>
      </c>
      <c r="R31" s="20" t="s">
        <v>76</v>
      </c>
      <c r="S31" s="15">
        <v>21.951219512195099</v>
      </c>
      <c r="T31" s="15">
        <v>10.4166666666667</v>
      </c>
      <c r="U31" s="20" t="s">
        <v>76</v>
      </c>
      <c r="V31" s="20" t="s">
        <v>76</v>
      </c>
      <c r="W31" s="15">
        <v>15.254237288135601</v>
      </c>
      <c r="X31" s="20" t="s">
        <v>76</v>
      </c>
      <c r="Y31" s="20" t="s">
        <v>76</v>
      </c>
      <c r="Z31" s="15">
        <v>10.2564102564103</v>
      </c>
      <c r="AA31" s="15">
        <v>14.678899082568799</v>
      </c>
      <c r="AB31" s="15">
        <v>20.588235294117599</v>
      </c>
      <c r="AC31" s="15">
        <v>12.1212121212121</v>
      </c>
      <c r="AD31" s="20" t="s">
        <v>76</v>
      </c>
      <c r="AE31" s="20" t="s">
        <v>76</v>
      </c>
      <c r="AF31" s="20" t="s">
        <v>76</v>
      </c>
      <c r="AG31" s="15">
        <v>15.2380952380952</v>
      </c>
      <c r="AH31" s="20" t="s">
        <v>76</v>
      </c>
      <c r="AI31" s="20" t="s">
        <v>76</v>
      </c>
      <c r="AJ31" s="15">
        <v>12.612612612612599</v>
      </c>
      <c r="AK31" s="20" t="s">
        <v>76</v>
      </c>
      <c r="AL31" s="15">
        <v>20</v>
      </c>
      <c r="AM31" s="15">
        <v>9.375</v>
      </c>
      <c r="AN31" s="20" t="s">
        <v>76</v>
      </c>
      <c r="AO31" s="20" t="s">
        <v>76</v>
      </c>
      <c r="AP31" s="15">
        <v>14.285714285714301</v>
      </c>
      <c r="AQ31" s="15">
        <v>15.384615384615399</v>
      </c>
      <c r="AR31" s="15">
        <v>14.545454545454501</v>
      </c>
      <c r="AS31" s="20" t="s">
        <v>76</v>
      </c>
      <c r="AT31" s="15">
        <v>7.6923076923076898</v>
      </c>
      <c r="AU31" s="15">
        <v>10.2040816326531</v>
      </c>
      <c r="AV31" s="15">
        <v>12.328767123287699</v>
      </c>
      <c r="AW31" s="15">
        <v>12.9310344827586</v>
      </c>
      <c r="AX31" s="20" t="s">
        <v>76</v>
      </c>
      <c r="AY31" s="15">
        <v>17.1428571428571</v>
      </c>
      <c r="AZ31" s="15">
        <v>14</v>
      </c>
      <c r="BA31" s="15">
        <v>16.981132075471699</v>
      </c>
      <c r="BB31" s="15">
        <v>11.9402985074627</v>
      </c>
      <c r="BC31" s="15">
        <v>21.6216216216216</v>
      </c>
      <c r="BD31" s="15">
        <v>16.6666666666667</v>
      </c>
      <c r="BE31" s="20" t="s">
        <v>76</v>
      </c>
      <c r="BF31" s="15">
        <v>10.8433734939759</v>
      </c>
      <c r="BG31" s="20" t="s">
        <v>76</v>
      </c>
      <c r="BH31" s="20" t="s">
        <v>76</v>
      </c>
      <c r="BI31" s="20" t="s">
        <v>76</v>
      </c>
      <c r="BJ31" s="15">
        <v>18.75</v>
      </c>
      <c r="BK31" s="20" t="s">
        <v>76</v>
      </c>
      <c r="BL31" s="15">
        <v>12.5</v>
      </c>
      <c r="BM31" s="15">
        <v>10.891089108910901</v>
      </c>
      <c r="BN31" s="15">
        <v>25.210084033613398</v>
      </c>
      <c r="BO31" s="15">
        <v>18.8888888888889</v>
      </c>
      <c r="BP31" s="20" t="s">
        <v>76</v>
      </c>
      <c r="BQ31" s="15">
        <v>15.068493150684899</v>
      </c>
      <c r="BR31" s="15">
        <v>10</v>
      </c>
      <c r="BS31" s="15">
        <v>12.048192771084301</v>
      </c>
      <c r="BT31" s="15">
        <v>18.292682926829301</v>
      </c>
      <c r="BU31" s="15">
        <v>6.5420560747663501</v>
      </c>
      <c r="BV31" s="15">
        <v>21.2121212121212</v>
      </c>
      <c r="BW31" s="15">
        <v>17.3913043478261</v>
      </c>
      <c r="BX31" s="20" t="s">
        <v>76</v>
      </c>
      <c r="BY31" s="15">
        <v>11.1111111111111</v>
      </c>
      <c r="BZ31" s="15">
        <v>11.5646258503401</v>
      </c>
      <c r="CA31" s="32">
        <v>8.5357467089663803</v>
      </c>
      <c r="CB31" s="15">
        <v>10.5431309904153</v>
      </c>
      <c r="CC31" s="15">
        <v>5.9748427672956002</v>
      </c>
      <c r="CD31" s="15">
        <v>5.1612903225806503</v>
      </c>
      <c r="CE31" s="20" t="s">
        <v>76</v>
      </c>
      <c r="CF31" s="15">
        <v>8.6826347305389202</v>
      </c>
      <c r="CG31" s="15">
        <v>8.9385474860335208</v>
      </c>
      <c r="CH31" s="15">
        <v>7.3529411764705896</v>
      </c>
      <c r="CI31" s="15">
        <v>8.6242299794661204</v>
      </c>
      <c r="CJ31" s="15">
        <v>16.862745098039198</v>
      </c>
      <c r="CK31" s="15">
        <v>5.8295964125560502</v>
      </c>
      <c r="CL31" s="15">
        <v>8.9393939393939394</v>
      </c>
      <c r="CM31" s="24">
        <v>11.349036402569601</v>
      </c>
      <c r="CN31" s="37"/>
    </row>
    <row r="32" spans="1:92">
      <c r="A32" s="9" t="s">
        <v>287</v>
      </c>
      <c r="B32" s="35">
        <v>1.5640941952337599</v>
      </c>
      <c r="C32" s="32">
        <v>1.3933752058950399</v>
      </c>
      <c r="D32" s="32">
        <v>1.4365201196383801</v>
      </c>
      <c r="E32" s="32">
        <v>1.6747264731486999</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15">
        <v>3.7878787878787898</v>
      </c>
      <c r="AD32" s="20" t="s">
        <v>76</v>
      </c>
      <c r="AE32" s="20" t="s">
        <v>76</v>
      </c>
      <c r="AF32" s="20" t="s">
        <v>76</v>
      </c>
      <c r="AG32" s="20" t="s">
        <v>76</v>
      </c>
      <c r="AH32" s="20" t="s">
        <v>76</v>
      </c>
      <c r="AI32" s="20" t="s">
        <v>76</v>
      </c>
      <c r="AJ32" s="20" t="s">
        <v>76</v>
      </c>
      <c r="AK32" s="20" t="s">
        <v>76</v>
      </c>
      <c r="AL32" s="20" t="s">
        <v>76</v>
      </c>
      <c r="AM32" s="20" t="s">
        <v>76</v>
      </c>
      <c r="AN32" s="20" t="s">
        <v>76</v>
      </c>
      <c r="AO32" s="20" t="s">
        <v>76</v>
      </c>
      <c r="AP32" s="20" t="s">
        <v>76</v>
      </c>
      <c r="AQ32" s="20" t="s">
        <v>76</v>
      </c>
      <c r="AR32" s="20" t="s">
        <v>76</v>
      </c>
      <c r="AS32" s="20" t="s">
        <v>76</v>
      </c>
      <c r="AT32" s="20" t="s">
        <v>76</v>
      </c>
      <c r="AU32" s="20" t="s">
        <v>76</v>
      </c>
      <c r="AV32" s="20" t="s">
        <v>76</v>
      </c>
      <c r="AW32" s="20" t="s">
        <v>76</v>
      </c>
      <c r="AX32" s="20" t="s">
        <v>76</v>
      </c>
      <c r="AY32" s="20" t="s">
        <v>76</v>
      </c>
      <c r="AZ32" s="20" t="s">
        <v>76</v>
      </c>
      <c r="BA32" s="20" t="s">
        <v>76</v>
      </c>
      <c r="BB32" s="20" t="s">
        <v>76</v>
      </c>
      <c r="BC32" s="20" t="s">
        <v>76</v>
      </c>
      <c r="BD32" s="20" t="s">
        <v>76</v>
      </c>
      <c r="BE32" s="20" t="s">
        <v>76</v>
      </c>
      <c r="BF32" s="20" t="s">
        <v>76</v>
      </c>
      <c r="BG32" s="20" t="s">
        <v>76</v>
      </c>
      <c r="BH32" s="20" t="s">
        <v>76</v>
      </c>
      <c r="BI32" s="20" t="s">
        <v>76</v>
      </c>
      <c r="BJ32" s="20" t="s">
        <v>76</v>
      </c>
      <c r="BK32" s="20" t="s">
        <v>76</v>
      </c>
      <c r="BL32" s="20" t="s">
        <v>76</v>
      </c>
      <c r="BM32" s="20" t="s">
        <v>76</v>
      </c>
      <c r="BN32" s="20" t="s">
        <v>76</v>
      </c>
      <c r="BO32" s="20" t="s">
        <v>76</v>
      </c>
      <c r="BP32" s="20" t="s">
        <v>76</v>
      </c>
      <c r="BQ32" s="20" t="s">
        <v>76</v>
      </c>
      <c r="BR32" s="20" t="s">
        <v>76</v>
      </c>
      <c r="BS32" s="20" t="s">
        <v>76</v>
      </c>
      <c r="BT32" s="20" t="s">
        <v>76</v>
      </c>
      <c r="BU32" s="20" t="s">
        <v>76</v>
      </c>
      <c r="BV32" s="15">
        <v>5.0505050505050502</v>
      </c>
      <c r="BW32" s="20" t="s">
        <v>76</v>
      </c>
      <c r="BX32" s="20" t="s">
        <v>76</v>
      </c>
      <c r="BY32" s="20" t="s">
        <v>76</v>
      </c>
      <c r="BZ32" s="20" t="s">
        <v>76</v>
      </c>
      <c r="CA32" s="32">
        <v>1.24415165605538</v>
      </c>
      <c r="CB32" s="20" t="s">
        <v>76</v>
      </c>
      <c r="CC32" s="20" t="s">
        <v>76</v>
      </c>
      <c r="CD32" s="20" t="s">
        <v>76</v>
      </c>
      <c r="CE32" s="20" t="s">
        <v>76</v>
      </c>
      <c r="CF32" s="20" t="s">
        <v>76</v>
      </c>
      <c r="CG32" s="15">
        <v>2.7932960893854699</v>
      </c>
      <c r="CH32" s="15">
        <v>1.2867647058823499</v>
      </c>
      <c r="CI32" s="20" t="s">
        <v>76</v>
      </c>
      <c r="CJ32" s="15">
        <v>4.31372549019608</v>
      </c>
      <c r="CK32" s="20" t="s">
        <v>76</v>
      </c>
      <c r="CL32" s="15">
        <v>1.36363636363636</v>
      </c>
      <c r="CM32" s="26" t="s">
        <v>76</v>
      </c>
      <c r="CN32" s="37"/>
    </row>
    <row r="33" spans="1:92">
      <c r="A33" s="9" t="s">
        <v>288</v>
      </c>
      <c r="B33" s="35">
        <v>10.204029429267701</v>
      </c>
      <c r="C33" s="32">
        <v>10.0535297460863</v>
      </c>
      <c r="D33" s="32">
        <v>8.0029984437833797</v>
      </c>
      <c r="E33" s="32">
        <v>11.065205116746499</v>
      </c>
      <c r="F33" s="20" t="s">
        <v>76</v>
      </c>
      <c r="G33" s="15">
        <v>29.411764705882401</v>
      </c>
      <c r="H33" s="15">
        <v>26.086956521739101</v>
      </c>
      <c r="I33" s="20" t="s">
        <v>76</v>
      </c>
      <c r="J33" s="15">
        <v>4.8611111111111098</v>
      </c>
      <c r="K33" s="15">
        <v>20.5128205128205</v>
      </c>
      <c r="L33" s="15">
        <v>16.393442622950801</v>
      </c>
      <c r="M33" s="20" t="s">
        <v>76</v>
      </c>
      <c r="N33" s="15">
        <v>9.4117647058823497</v>
      </c>
      <c r="O33" s="20" t="s">
        <v>76</v>
      </c>
      <c r="P33" s="15">
        <v>8.4507042253521103</v>
      </c>
      <c r="Q33" s="15">
        <v>14.084507042253501</v>
      </c>
      <c r="R33" s="20" t="s">
        <v>76</v>
      </c>
      <c r="S33" s="15">
        <v>14.634146341463399</v>
      </c>
      <c r="T33" s="15">
        <v>16.6666666666667</v>
      </c>
      <c r="U33" s="20" t="s">
        <v>76</v>
      </c>
      <c r="V33" s="20" t="s">
        <v>76</v>
      </c>
      <c r="W33" s="20" t="s">
        <v>76</v>
      </c>
      <c r="X33" s="20" t="s">
        <v>76</v>
      </c>
      <c r="Y33" s="20" t="s">
        <v>76</v>
      </c>
      <c r="Z33" s="15">
        <v>10.2564102564103</v>
      </c>
      <c r="AA33" s="15">
        <v>8.2568807339449499</v>
      </c>
      <c r="AB33" s="15">
        <v>11.764705882352899</v>
      </c>
      <c r="AC33" s="15">
        <v>15.909090909090899</v>
      </c>
      <c r="AD33" s="20" t="s">
        <v>76</v>
      </c>
      <c r="AE33" s="20" t="s">
        <v>76</v>
      </c>
      <c r="AF33" s="20" t="s">
        <v>76</v>
      </c>
      <c r="AG33" s="15">
        <v>12.380952380952399</v>
      </c>
      <c r="AH33" s="20" t="s">
        <v>76</v>
      </c>
      <c r="AI33" s="20" t="s">
        <v>76</v>
      </c>
      <c r="AJ33" s="15">
        <v>11.7117117117117</v>
      </c>
      <c r="AK33" s="15">
        <v>30</v>
      </c>
      <c r="AL33" s="15">
        <v>8.8888888888888893</v>
      </c>
      <c r="AM33" s="20" t="s">
        <v>76</v>
      </c>
      <c r="AN33" s="20" t="s">
        <v>76</v>
      </c>
      <c r="AO33" s="20" t="s">
        <v>76</v>
      </c>
      <c r="AP33" s="15">
        <v>9.0909090909090899</v>
      </c>
      <c r="AQ33" s="20" t="s">
        <v>76</v>
      </c>
      <c r="AR33" s="15">
        <v>14.545454545454501</v>
      </c>
      <c r="AS33" s="20" t="s">
        <v>76</v>
      </c>
      <c r="AT33" s="15">
        <v>16.923076923076898</v>
      </c>
      <c r="AU33" s="15">
        <v>14.285714285714301</v>
      </c>
      <c r="AV33" s="20" t="s">
        <v>76</v>
      </c>
      <c r="AW33" s="15">
        <v>19.827586206896601</v>
      </c>
      <c r="AX33" s="20" t="s">
        <v>76</v>
      </c>
      <c r="AY33" s="20" t="s">
        <v>76</v>
      </c>
      <c r="AZ33" s="15">
        <v>30</v>
      </c>
      <c r="BA33" s="20" t="s">
        <v>76</v>
      </c>
      <c r="BB33" s="15">
        <v>10.4477611940298</v>
      </c>
      <c r="BC33" s="20" t="s">
        <v>76</v>
      </c>
      <c r="BD33" s="20" t="s">
        <v>76</v>
      </c>
      <c r="BE33" s="15">
        <v>12.0689655172414</v>
      </c>
      <c r="BF33" s="15">
        <v>6.0240963855421699</v>
      </c>
      <c r="BG33" s="20" t="s">
        <v>76</v>
      </c>
      <c r="BH33" s="15">
        <v>20.8333333333333</v>
      </c>
      <c r="BI33" s="20" t="s">
        <v>76</v>
      </c>
      <c r="BJ33" s="15">
        <v>14.285714285714301</v>
      </c>
      <c r="BK33" s="20" t="s">
        <v>76</v>
      </c>
      <c r="BL33" s="15">
        <v>10.9375</v>
      </c>
      <c r="BM33" s="15">
        <v>4.9504950495049496</v>
      </c>
      <c r="BN33" s="15">
        <v>17.647058823529399</v>
      </c>
      <c r="BO33" s="15">
        <v>8.8888888888888893</v>
      </c>
      <c r="BP33" s="20" t="s">
        <v>76</v>
      </c>
      <c r="BQ33" s="15">
        <v>8.2191780821917799</v>
      </c>
      <c r="BR33" s="15">
        <v>13.3333333333333</v>
      </c>
      <c r="BS33" s="15">
        <v>9.6385542168674707</v>
      </c>
      <c r="BT33" s="15">
        <v>7.3170731707317103</v>
      </c>
      <c r="BU33" s="15">
        <v>9.3457943925233593</v>
      </c>
      <c r="BV33" s="15">
        <v>20.202020202020201</v>
      </c>
      <c r="BW33" s="20" t="s">
        <v>76</v>
      </c>
      <c r="BX33" s="20" t="s">
        <v>76</v>
      </c>
      <c r="BY33" s="15">
        <v>44.4444444444444</v>
      </c>
      <c r="BZ33" s="15">
        <v>7.4829931972789101</v>
      </c>
      <c r="CA33" s="32">
        <v>5.5300501610415704</v>
      </c>
      <c r="CB33" s="15">
        <v>3.8338658146964901</v>
      </c>
      <c r="CC33" s="15">
        <v>3.7735849056603801</v>
      </c>
      <c r="CD33" s="15">
        <v>3.2258064516128999</v>
      </c>
      <c r="CE33" s="20" t="s">
        <v>76</v>
      </c>
      <c r="CF33" s="15">
        <v>7.7844311377245496</v>
      </c>
      <c r="CG33" s="15">
        <v>5.5865921787709496</v>
      </c>
      <c r="CH33" s="15">
        <v>7.9044117647058796</v>
      </c>
      <c r="CI33" s="15">
        <v>4.5174537987679697</v>
      </c>
      <c r="CJ33" s="15">
        <v>9.0196078431372495</v>
      </c>
      <c r="CK33" s="15">
        <v>6.2780269058296003</v>
      </c>
      <c r="CL33" s="15">
        <v>5.7575757575757596</v>
      </c>
      <c r="CM33" s="24">
        <v>5.1391862955032099</v>
      </c>
      <c r="CN33" s="37"/>
    </row>
    <row r="34" spans="1:92">
      <c r="A34" s="9" t="s">
        <v>289</v>
      </c>
      <c r="B34" s="35">
        <v>19.108161025738799</v>
      </c>
      <c r="C34" s="32">
        <v>21.599468302654401</v>
      </c>
      <c r="D34" s="32">
        <v>23.230247826386901</v>
      </c>
      <c r="E34" s="32">
        <v>22.117815709318599</v>
      </c>
      <c r="F34" s="20" t="s">
        <v>76</v>
      </c>
      <c r="G34" s="20" t="s">
        <v>76</v>
      </c>
      <c r="H34" s="15">
        <v>26.086956521739101</v>
      </c>
      <c r="I34" s="15">
        <v>50</v>
      </c>
      <c r="J34" s="15">
        <v>22.2222222222222</v>
      </c>
      <c r="K34" s="15">
        <v>15.384615384615399</v>
      </c>
      <c r="L34" s="15">
        <v>44.262295081967203</v>
      </c>
      <c r="M34" s="15">
        <v>11.842105263157899</v>
      </c>
      <c r="N34" s="15">
        <v>21.176470588235301</v>
      </c>
      <c r="O34" s="20" t="s">
        <v>76</v>
      </c>
      <c r="P34" s="15">
        <v>22.5352112676056</v>
      </c>
      <c r="Q34" s="15">
        <v>46.478873239436602</v>
      </c>
      <c r="R34" s="20" t="s">
        <v>76</v>
      </c>
      <c r="S34" s="15">
        <v>34.146341463414601</v>
      </c>
      <c r="T34" s="15">
        <v>25</v>
      </c>
      <c r="U34" s="20" t="s">
        <v>76</v>
      </c>
      <c r="V34" s="15">
        <v>26.470588235294102</v>
      </c>
      <c r="W34" s="15">
        <v>13.559322033898299</v>
      </c>
      <c r="X34" s="20" t="s">
        <v>76</v>
      </c>
      <c r="Y34" s="20" t="s">
        <v>76</v>
      </c>
      <c r="Z34" s="15">
        <v>37.179487179487197</v>
      </c>
      <c r="AA34" s="15">
        <v>31.192660550458701</v>
      </c>
      <c r="AB34" s="15">
        <v>36.764705882352899</v>
      </c>
      <c r="AC34" s="15">
        <v>34.090909090909101</v>
      </c>
      <c r="AD34" s="15">
        <v>25</v>
      </c>
      <c r="AE34" s="15">
        <v>18.518518518518501</v>
      </c>
      <c r="AF34" s="20" t="s">
        <v>76</v>
      </c>
      <c r="AG34" s="15">
        <v>11.4285714285714</v>
      </c>
      <c r="AH34" s="15">
        <v>17.8571428571429</v>
      </c>
      <c r="AI34" s="20" t="s">
        <v>76</v>
      </c>
      <c r="AJ34" s="15">
        <v>29.729729729729701</v>
      </c>
      <c r="AK34" s="15">
        <v>30</v>
      </c>
      <c r="AL34" s="15">
        <v>21.1111111111111</v>
      </c>
      <c r="AM34" s="15">
        <v>15.625</v>
      </c>
      <c r="AN34" s="20" t="s">
        <v>76</v>
      </c>
      <c r="AO34" s="15">
        <v>20</v>
      </c>
      <c r="AP34" s="15">
        <v>12.987012987012999</v>
      </c>
      <c r="AQ34" s="15">
        <v>38.461538461538503</v>
      </c>
      <c r="AR34" s="15">
        <v>12.7272727272727</v>
      </c>
      <c r="AS34" s="20" t="s">
        <v>76</v>
      </c>
      <c r="AT34" s="15">
        <v>30.769230769230798</v>
      </c>
      <c r="AU34" s="15">
        <v>20.408163265306101</v>
      </c>
      <c r="AV34" s="15">
        <v>17.808219178082201</v>
      </c>
      <c r="AW34" s="15">
        <v>12.0689655172414</v>
      </c>
      <c r="AX34" s="15">
        <v>43.75</v>
      </c>
      <c r="AY34" s="15">
        <v>20</v>
      </c>
      <c r="AZ34" s="15">
        <v>28</v>
      </c>
      <c r="BA34" s="20" t="s">
        <v>76</v>
      </c>
      <c r="BB34" s="15">
        <v>37.313432835820898</v>
      </c>
      <c r="BC34" s="15">
        <v>10.8108108108108</v>
      </c>
      <c r="BD34" s="15">
        <v>24.3589743589744</v>
      </c>
      <c r="BE34" s="15">
        <v>13.7931034482759</v>
      </c>
      <c r="BF34" s="15">
        <v>15.662650602409601</v>
      </c>
      <c r="BG34" s="15">
        <v>11.9402985074627</v>
      </c>
      <c r="BH34" s="15">
        <v>20.8333333333333</v>
      </c>
      <c r="BI34" s="20" t="s">
        <v>76</v>
      </c>
      <c r="BJ34" s="15">
        <v>27.678571428571399</v>
      </c>
      <c r="BK34" s="15">
        <v>20</v>
      </c>
      <c r="BL34" s="15">
        <v>21.875</v>
      </c>
      <c r="BM34" s="15">
        <v>13.8613861386139</v>
      </c>
      <c r="BN34" s="15">
        <v>38.655462184873997</v>
      </c>
      <c r="BO34" s="15">
        <v>14.4444444444444</v>
      </c>
      <c r="BP34" s="20" t="s">
        <v>76</v>
      </c>
      <c r="BQ34" s="15">
        <v>24.657534246575299</v>
      </c>
      <c r="BR34" s="15">
        <v>16.6666666666667</v>
      </c>
      <c r="BS34" s="15">
        <v>31.325301204819301</v>
      </c>
      <c r="BT34" s="15">
        <v>20.731707317073202</v>
      </c>
      <c r="BU34" s="15">
        <v>13.0841121495327</v>
      </c>
      <c r="BV34" s="15">
        <v>37.373737373737399</v>
      </c>
      <c r="BW34" s="15">
        <v>10.144927536231901</v>
      </c>
      <c r="BX34" s="20" t="s">
        <v>76</v>
      </c>
      <c r="BY34" s="15">
        <v>23.8095238095238</v>
      </c>
      <c r="BZ34" s="15">
        <v>21.0884353741497</v>
      </c>
      <c r="CA34" s="32">
        <v>24.128615372202798</v>
      </c>
      <c r="CB34" s="15">
        <v>15.654952076677301</v>
      </c>
      <c r="CC34" s="15">
        <v>18.867924528301899</v>
      </c>
      <c r="CD34" s="15">
        <v>24.5161290322581</v>
      </c>
      <c r="CE34" s="20" t="s">
        <v>76</v>
      </c>
      <c r="CF34" s="15">
        <v>21.856287425149699</v>
      </c>
      <c r="CG34" s="15">
        <v>23.463687150837998</v>
      </c>
      <c r="CH34" s="15">
        <v>32.720588235294102</v>
      </c>
      <c r="CI34" s="15">
        <v>23.408624229979502</v>
      </c>
      <c r="CJ34" s="15">
        <v>29.019607843137301</v>
      </c>
      <c r="CK34" s="15">
        <v>30.044843049327401</v>
      </c>
      <c r="CL34" s="15">
        <v>28.636363636363601</v>
      </c>
      <c r="CM34" s="24">
        <v>23.982869379015</v>
      </c>
      <c r="CN34" s="37"/>
    </row>
    <row r="35" spans="1:92">
      <c r="A35" s="9" t="s">
        <v>290</v>
      </c>
      <c r="B35" s="35">
        <v>24.166626986424799</v>
      </c>
      <c r="C35" s="32">
        <v>24.3803638047238</v>
      </c>
      <c r="D35" s="32">
        <v>25.881918033076001</v>
      </c>
      <c r="E35" s="32">
        <v>23.383825589657899</v>
      </c>
      <c r="F35" s="20" t="s">
        <v>76</v>
      </c>
      <c r="G35" s="20" t="s">
        <v>76</v>
      </c>
      <c r="H35" s="15">
        <v>30.434782608695699</v>
      </c>
      <c r="I35" s="15">
        <v>50</v>
      </c>
      <c r="J35" s="15">
        <v>17.3611111111111</v>
      </c>
      <c r="K35" s="15">
        <v>30.769230769230798</v>
      </c>
      <c r="L35" s="15">
        <v>22.9508196721311</v>
      </c>
      <c r="M35" s="15">
        <v>11.842105263157899</v>
      </c>
      <c r="N35" s="15">
        <v>23.529411764705898</v>
      </c>
      <c r="O35" s="20" t="s">
        <v>76</v>
      </c>
      <c r="P35" s="15">
        <v>16.901408450704199</v>
      </c>
      <c r="Q35" s="15">
        <v>15.492957746478901</v>
      </c>
      <c r="R35" s="20" t="s">
        <v>76</v>
      </c>
      <c r="S35" s="15">
        <v>36.585365853658502</v>
      </c>
      <c r="T35" s="15">
        <v>22.9166666666667</v>
      </c>
      <c r="U35" s="15">
        <v>33.3333333333333</v>
      </c>
      <c r="V35" s="15">
        <v>14.705882352941201</v>
      </c>
      <c r="W35" s="15">
        <v>13.559322033898299</v>
      </c>
      <c r="X35" s="20" t="s">
        <v>76</v>
      </c>
      <c r="Y35" s="20" t="s">
        <v>76</v>
      </c>
      <c r="Z35" s="15">
        <v>24.3589743589744</v>
      </c>
      <c r="AA35" s="15">
        <v>28.440366972477101</v>
      </c>
      <c r="AB35" s="15">
        <v>33.823529411764703</v>
      </c>
      <c r="AC35" s="15">
        <v>33.3333333333333</v>
      </c>
      <c r="AD35" s="15">
        <v>21.875</v>
      </c>
      <c r="AE35" s="15">
        <v>29.629629629629601</v>
      </c>
      <c r="AF35" s="15">
        <v>42.857142857142897</v>
      </c>
      <c r="AG35" s="15">
        <v>12.380952380952399</v>
      </c>
      <c r="AH35" s="15">
        <v>16.071428571428601</v>
      </c>
      <c r="AI35" s="20" t="s">
        <v>76</v>
      </c>
      <c r="AJ35" s="15">
        <v>21.6216216216216</v>
      </c>
      <c r="AK35" s="15">
        <v>46.6666666666667</v>
      </c>
      <c r="AL35" s="15">
        <v>40</v>
      </c>
      <c r="AM35" s="15">
        <v>20.3125</v>
      </c>
      <c r="AN35" s="20" t="s">
        <v>76</v>
      </c>
      <c r="AO35" s="15">
        <v>25</v>
      </c>
      <c r="AP35" s="15">
        <v>11.6883116883117</v>
      </c>
      <c r="AQ35" s="15">
        <v>20.5128205128205</v>
      </c>
      <c r="AR35" s="15">
        <v>38.181818181818201</v>
      </c>
      <c r="AS35" s="20" t="s">
        <v>76</v>
      </c>
      <c r="AT35" s="15">
        <v>26.153846153846199</v>
      </c>
      <c r="AU35" s="15">
        <v>24.4897959183673</v>
      </c>
      <c r="AV35" s="15">
        <v>16.438356164383599</v>
      </c>
      <c r="AW35" s="15">
        <v>16.379310344827601</v>
      </c>
      <c r="AX35" s="15">
        <v>31.25</v>
      </c>
      <c r="AY35" s="15">
        <v>17.1428571428571</v>
      </c>
      <c r="AZ35" s="15">
        <v>42</v>
      </c>
      <c r="BA35" s="15">
        <v>20.754716981132098</v>
      </c>
      <c r="BB35" s="15">
        <v>32.835820895522403</v>
      </c>
      <c r="BC35" s="15">
        <v>16.2162162162162</v>
      </c>
      <c r="BD35" s="15">
        <v>30.769230769230798</v>
      </c>
      <c r="BE35" s="20" t="s">
        <v>76</v>
      </c>
      <c r="BF35" s="15">
        <v>22.891566265060199</v>
      </c>
      <c r="BG35" s="15">
        <v>20.8955223880597</v>
      </c>
      <c r="BH35" s="20" t="s">
        <v>76</v>
      </c>
      <c r="BI35" s="20" t="s">
        <v>76</v>
      </c>
      <c r="BJ35" s="15">
        <v>26.785714285714299</v>
      </c>
      <c r="BK35" s="15">
        <v>40</v>
      </c>
      <c r="BL35" s="15">
        <v>23.4375</v>
      </c>
      <c r="BM35" s="15">
        <v>25.742574257425701</v>
      </c>
      <c r="BN35" s="15">
        <v>31.092436974789901</v>
      </c>
      <c r="BO35" s="15">
        <v>12.2222222222222</v>
      </c>
      <c r="BP35" s="15">
        <v>40</v>
      </c>
      <c r="BQ35" s="15">
        <v>19.178082191780799</v>
      </c>
      <c r="BR35" s="15">
        <v>23.3333333333333</v>
      </c>
      <c r="BS35" s="15">
        <v>20.481927710843401</v>
      </c>
      <c r="BT35" s="15">
        <v>30.487804878048799</v>
      </c>
      <c r="BU35" s="15">
        <v>26.1682242990654</v>
      </c>
      <c r="BV35" s="15">
        <v>34.343434343434303</v>
      </c>
      <c r="BW35" s="15">
        <v>15.9420289855072</v>
      </c>
      <c r="BX35" s="20" t="s">
        <v>76</v>
      </c>
      <c r="BY35" s="15">
        <v>12.698412698412699</v>
      </c>
      <c r="BZ35" s="15">
        <v>42.176870748299301</v>
      </c>
      <c r="CA35" s="32">
        <v>27.899304211685301</v>
      </c>
      <c r="CB35" s="15">
        <v>21.725239616613401</v>
      </c>
      <c r="CC35" s="15">
        <v>22.641509433962302</v>
      </c>
      <c r="CD35" s="15">
        <v>34.838709677419402</v>
      </c>
      <c r="CE35" s="20" t="s">
        <v>76</v>
      </c>
      <c r="CF35" s="15">
        <v>24.550898203592801</v>
      </c>
      <c r="CG35" s="15">
        <v>20.670391061452499</v>
      </c>
      <c r="CH35" s="15">
        <v>29.779411764705898</v>
      </c>
      <c r="CI35" s="15">
        <v>30.184804928131399</v>
      </c>
      <c r="CJ35" s="15">
        <v>34.509803921568597</v>
      </c>
      <c r="CK35" s="15">
        <v>35.874439461883398</v>
      </c>
      <c r="CL35" s="15">
        <v>28.030303030302999</v>
      </c>
      <c r="CM35" s="24">
        <v>31.691648822269801</v>
      </c>
      <c r="CN35" s="37"/>
    </row>
    <row r="36" spans="1:92">
      <c r="A36" s="9" t="s">
        <v>291</v>
      </c>
      <c r="B36" s="35">
        <v>27.145113418200999</v>
      </c>
      <c r="C36" s="32">
        <v>29.272112624152101</v>
      </c>
      <c r="D36" s="32">
        <v>28.072451880659901</v>
      </c>
      <c r="E36" s="32">
        <v>27.0662139394002</v>
      </c>
      <c r="F36" s="20" t="s">
        <v>76</v>
      </c>
      <c r="G36" s="20" t="s">
        <v>76</v>
      </c>
      <c r="H36" s="15">
        <v>26.086956521739101</v>
      </c>
      <c r="I36" s="15">
        <v>60</v>
      </c>
      <c r="J36" s="15">
        <v>13.8888888888889</v>
      </c>
      <c r="K36" s="20" t="s">
        <v>76</v>
      </c>
      <c r="L36" s="15">
        <v>32.786885245901601</v>
      </c>
      <c r="M36" s="15">
        <v>44.7368421052632</v>
      </c>
      <c r="N36" s="15">
        <v>29.411764705882401</v>
      </c>
      <c r="O36" s="15">
        <v>20.930232558139501</v>
      </c>
      <c r="P36" s="15">
        <v>38.028169014084497</v>
      </c>
      <c r="Q36" s="15">
        <v>33.802816901408498</v>
      </c>
      <c r="R36" s="20" t="s">
        <v>76</v>
      </c>
      <c r="S36" s="15">
        <v>26.829268292682901</v>
      </c>
      <c r="T36" s="15">
        <v>31.25</v>
      </c>
      <c r="U36" s="15">
        <v>42.857142857142897</v>
      </c>
      <c r="V36" s="15">
        <v>20.588235294117599</v>
      </c>
      <c r="W36" s="15">
        <v>16.9491525423729</v>
      </c>
      <c r="X36" s="20" t="s">
        <v>76</v>
      </c>
      <c r="Y36" s="20" t="s">
        <v>76</v>
      </c>
      <c r="Z36" s="15">
        <v>21.794871794871799</v>
      </c>
      <c r="AA36" s="15">
        <v>27.5229357798165</v>
      </c>
      <c r="AB36" s="15">
        <v>20.588235294117599</v>
      </c>
      <c r="AC36" s="15">
        <v>17.424242424242401</v>
      </c>
      <c r="AD36" s="15">
        <v>59.375</v>
      </c>
      <c r="AE36" s="20" t="s">
        <v>76</v>
      </c>
      <c r="AF36" s="15">
        <v>57.142857142857103</v>
      </c>
      <c r="AG36" s="15">
        <v>19.047619047619001</v>
      </c>
      <c r="AH36" s="15">
        <v>32.142857142857103</v>
      </c>
      <c r="AI36" s="20" t="s">
        <v>76</v>
      </c>
      <c r="AJ36" s="15">
        <v>16.2162162162162</v>
      </c>
      <c r="AK36" s="15">
        <v>63.3333333333333</v>
      </c>
      <c r="AL36" s="15">
        <v>32.2222222222222</v>
      </c>
      <c r="AM36" s="15">
        <v>37.5</v>
      </c>
      <c r="AN36" s="20" t="s">
        <v>76</v>
      </c>
      <c r="AO36" s="15">
        <v>42.5</v>
      </c>
      <c r="AP36" s="15">
        <v>27.272727272727298</v>
      </c>
      <c r="AQ36" s="15">
        <v>33.3333333333333</v>
      </c>
      <c r="AR36" s="15">
        <v>9.0909090909090899</v>
      </c>
      <c r="AS36" s="15">
        <v>45.454545454545503</v>
      </c>
      <c r="AT36" s="15">
        <v>23.076923076923102</v>
      </c>
      <c r="AU36" s="15">
        <v>30.612244897959201</v>
      </c>
      <c r="AV36" s="15">
        <v>12.328767123287699</v>
      </c>
      <c r="AW36" s="15">
        <v>22.413793103448299</v>
      </c>
      <c r="AX36" s="20" t="s">
        <v>76</v>
      </c>
      <c r="AY36" s="15">
        <v>17.1428571428571</v>
      </c>
      <c r="AZ36" s="15">
        <v>56</v>
      </c>
      <c r="BA36" s="15">
        <v>28.301886792452802</v>
      </c>
      <c r="BB36" s="15">
        <v>38.805970149253703</v>
      </c>
      <c r="BC36" s="15">
        <v>20.270270270270299</v>
      </c>
      <c r="BD36" s="15">
        <v>48.717948717948701</v>
      </c>
      <c r="BE36" s="15">
        <v>60.344827586206897</v>
      </c>
      <c r="BF36" s="15">
        <v>30.120481927710799</v>
      </c>
      <c r="BG36" s="15">
        <v>44.776119402985103</v>
      </c>
      <c r="BH36" s="15">
        <v>33.3333333333333</v>
      </c>
      <c r="BI36" s="15">
        <v>31.578947368421101</v>
      </c>
      <c r="BJ36" s="15">
        <v>22.321428571428601</v>
      </c>
      <c r="BK36" s="15">
        <v>37.5</v>
      </c>
      <c r="BL36" s="15">
        <v>23.4375</v>
      </c>
      <c r="BM36" s="15">
        <v>31.683168316831701</v>
      </c>
      <c r="BN36" s="15">
        <v>14.285714285714301</v>
      </c>
      <c r="BO36" s="15">
        <v>23.3333333333333</v>
      </c>
      <c r="BP36" s="20" t="s">
        <v>76</v>
      </c>
      <c r="BQ36" s="15">
        <v>12.328767123287699</v>
      </c>
      <c r="BR36" s="15">
        <v>31.6666666666667</v>
      </c>
      <c r="BS36" s="15">
        <v>28.9156626506024</v>
      </c>
      <c r="BT36" s="15">
        <v>9.7560975609756095</v>
      </c>
      <c r="BU36" s="15">
        <v>24.299065420560702</v>
      </c>
      <c r="BV36" s="15">
        <v>43.434343434343397</v>
      </c>
      <c r="BW36" s="15">
        <v>11.5942028985507</v>
      </c>
      <c r="BX36" s="15">
        <v>55.5555555555556</v>
      </c>
      <c r="BY36" s="15">
        <v>34.920634920634903</v>
      </c>
      <c r="BZ36" s="15">
        <v>30.612244897959201</v>
      </c>
      <c r="CA36" s="32">
        <v>28.885060125177901</v>
      </c>
      <c r="CB36" s="15">
        <v>23.961661341852999</v>
      </c>
      <c r="CC36" s="15">
        <v>28.930817610062899</v>
      </c>
      <c r="CD36" s="15">
        <v>30.9677419354839</v>
      </c>
      <c r="CE36" s="20" t="s">
        <v>76</v>
      </c>
      <c r="CF36" s="15">
        <v>27.245508982035901</v>
      </c>
      <c r="CG36" s="15">
        <v>38.547486033519597</v>
      </c>
      <c r="CH36" s="15">
        <v>29.227941176470601</v>
      </c>
      <c r="CI36" s="15">
        <v>27.720739219712499</v>
      </c>
      <c r="CJ36" s="15">
        <v>33.3333333333333</v>
      </c>
      <c r="CK36" s="15">
        <v>33.1838565022422</v>
      </c>
      <c r="CL36" s="15">
        <v>32.727272727272698</v>
      </c>
      <c r="CM36" s="24">
        <v>30.620985010706601</v>
      </c>
      <c r="CN36" s="37"/>
    </row>
    <row r="37" spans="1:92">
      <c r="A37" s="9" t="s">
        <v>292</v>
      </c>
      <c r="B37" s="35">
        <v>19.825448733027901</v>
      </c>
      <c r="C37" s="32">
        <v>23.696768664742098</v>
      </c>
      <c r="D37" s="32">
        <v>22.488115865651501</v>
      </c>
      <c r="E37" s="32">
        <v>20.837880800739502</v>
      </c>
      <c r="F37" s="20" t="s">
        <v>76</v>
      </c>
      <c r="G37" s="20" t="s">
        <v>76</v>
      </c>
      <c r="H37" s="20" t="s">
        <v>76</v>
      </c>
      <c r="I37" s="20" t="s">
        <v>76</v>
      </c>
      <c r="J37" s="15">
        <v>20.1388888888889</v>
      </c>
      <c r="K37" s="20" t="s">
        <v>76</v>
      </c>
      <c r="L37" s="15">
        <v>34.426229508196698</v>
      </c>
      <c r="M37" s="15">
        <v>27.6315789473684</v>
      </c>
      <c r="N37" s="15">
        <v>14.117647058823501</v>
      </c>
      <c r="O37" s="15">
        <v>16.2790697674419</v>
      </c>
      <c r="P37" s="15">
        <v>19.7183098591549</v>
      </c>
      <c r="Q37" s="15">
        <v>19.7183098591549</v>
      </c>
      <c r="R37" s="20" t="s">
        <v>76</v>
      </c>
      <c r="S37" s="15">
        <v>19.512195121951201</v>
      </c>
      <c r="T37" s="15">
        <v>12.5</v>
      </c>
      <c r="U37" s="15">
        <v>28.571428571428601</v>
      </c>
      <c r="V37" s="15">
        <v>20.588235294117599</v>
      </c>
      <c r="W37" s="15">
        <v>18.644067796610202</v>
      </c>
      <c r="X37" s="20" t="s">
        <v>76</v>
      </c>
      <c r="Y37" s="20" t="s">
        <v>76</v>
      </c>
      <c r="Z37" s="15">
        <v>25.6410256410256</v>
      </c>
      <c r="AA37" s="15">
        <v>27.5229357798165</v>
      </c>
      <c r="AB37" s="15">
        <v>29.411764705882401</v>
      </c>
      <c r="AC37" s="15">
        <v>27.272727272727298</v>
      </c>
      <c r="AD37" s="20" t="s">
        <v>76</v>
      </c>
      <c r="AE37" s="20" t="s">
        <v>76</v>
      </c>
      <c r="AF37" s="20" t="s">
        <v>76</v>
      </c>
      <c r="AG37" s="15">
        <v>13.3333333333333</v>
      </c>
      <c r="AH37" s="15">
        <v>21.428571428571399</v>
      </c>
      <c r="AI37" s="20" t="s">
        <v>76</v>
      </c>
      <c r="AJ37" s="15">
        <v>20.720720720720699</v>
      </c>
      <c r="AK37" s="15">
        <v>36.6666666666667</v>
      </c>
      <c r="AL37" s="15">
        <v>18.8888888888889</v>
      </c>
      <c r="AM37" s="15">
        <v>26.5625</v>
      </c>
      <c r="AN37" s="20" t="s">
        <v>76</v>
      </c>
      <c r="AO37" s="20" t="s">
        <v>76</v>
      </c>
      <c r="AP37" s="15">
        <v>9.0909090909090899</v>
      </c>
      <c r="AQ37" s="15">
        <v>23.076923076923102</v>
      </c>
      <c r="AR37" s="15">
        <v>14.545454545454501</v>
      </c>
      <c r="AS37" s="20" t="s">
        <v>76</v>
      </c>
      <c r="AT37" s="15">
        <v>24.615384615384599</v>
      </c>
      <c r="AU37" s="15">
        <v>30.612244897959201</v>
      </c>
      <c r="AV37" s="15">
        <v>13.698630136986299</v>
      </c>
      <c r="AW37" s="15">
        <v>18.1034482758621</v>
      </c>
      <c r="AX37" s="20" t="s">
        <v>76</v>
      </c>
      <c r="AY37" s="15">
        <v>28.571428571428601</v>
      </c>
      <c r="AZ37" s="15">
        <v>58</v>
      </c>
      <c r="BA37" s="15">
        <v>18.867924528301899</v>
      </c>
      <c r="BB37" s="15">
        <v>35.820895522388099</v>
      </c>
      <c r="BC37" s="15">
        <v>20.270270270270299</v>
      </c>
      <c r="BD37" s="15">
        <v>16.6666666666667</v>
      </c>
      <c r="BE37" s="15">
        <v>10.3448275862069</v>
      </c>
      <c r="BF37" s="15">
        <v>9.6385542168674707</v>
      </c>
      <c r="BG37" s="15">
        <v>16.417910447761201</v>
      </c>
      <c r="BH37" s="15">
        <v>33.3333333333333</v>
      </c>
      <c r="BI37" s="20" t="s">
        <v>76</v>
      </c>
      <c r="BJ37" s="15">
        <v>12.5</v>
      </c>
      <c r="BK37" s="20" t="s">
        <v>76</v>
      </c>
      <c r="BL37" s="15">
        <v>20.3125</v>
      </c>
      <c r="BM37" s="15">
        <v>9.9009900990098991</v>
      </c>
      <c r="BN37" s="15">
        <v>40.336134453781497</v>
      </c>
      <c r="BO37" s="15">
        <v>18.8888888888889</v>
      </c>
      <c r="BP37" s="20" t="s">
        <v>76</v>
      </c>
      <c r="BQ37" s="15">
        <v>13.698630136986299</v>
      </c>
      <c r="BR37" s="15">
        <v>13.3333333333333</v>
      </c>
      <c r="BS37" s="15">
        <v>13.253012048192801</v>
      </c>
      <c r="BT37" s="15">
        <v>23.170731707317099</v>
      </c>
      <c r="BU37" s="15">
        <v>20.5607476635514</v>
      </c>
      <c r="BV37" s="15">
        <v>49.494949494949502</v>
      </c>
      <c r="BW37" s="15">
        <v>7.2463768115942004</v>
      </c>
      <c r="BX37" s="20" t="s">
        <v>76</v>
      </c>
      <c r="BY37" s="15">
        <v>9.5238095238095202</v>
      </c>
      <c r="BZ37" s="15">
        <v>36.734693877551003</v>
      </c>
      <c r="CA37" s="32">
        <v>23.820797296309401</v>
      </c>
      <c r="CB37" s="15">
        <v>23.961661341852999</v>
      </c>
      <c r="CC37" s="15">
        <v>16.037735849056599</v>
      </c>
      <c r="CD37" s="15">
        <v>26.451612903225801</v>
      </c>
      <c r="CE37" s="20" t="s">
        <v>76</v>
      </c>
      <c r="CF37" s="15">
        <v>17.664670658682599</v>
      </c>
      <c r="CG37" s="15">
        <v>21.787709497206698</v>
      </c>
      <c r="CH37" s="15">
        <v>25.367647058823501</v>
      </c>
      <c r="CI37" s="15">
        <v>19.712525667351098</v>
      </c>
      <c r="CJ37" s="15">
        <v>23.921568627450998</v>
      </c>
      <c r="CK37" s="15">
        <v>23.766816143497799</v>
      </c>
      <c r="CL37" s="15">
        <v>30.303030303030301</v>
      </c>
      <c r="CM37" s="24">
        <v>28.051391862955001</v>
      </c>
      <c r="CN37" s="37"/>
    </row>
    <row r="38" spans="1:92">
      <c r="A38" s="9" t="s">
        <v>293</v>
      </c>
      <c r="B38" s="35">
        <v>23.862937732422701</v>
      </c>
      <c r="C38" s="32">
        <v>23.313029821354899</v>
      </c>
      <c r="D38" s="32">
        <v>23.072480048991501</v>
      </c>
      <c r="E38" s="32">
        <v>31.108508270698302</v>
      </c>
      <c r="F38" s="15">
        <v>47.058823529411796</v>
      </c>
      <c r="G38" s="20" t="s">
        <v>76</v>
      </c>
      <c r="H38" s="15">
        <v>60.869565217391298</v>
      </c>
      <c r="I38" s="15">
        <v>60</v>
      </c>
      <c r="J38" s="15">
        <v>34.0277777777778</v>
      </c>
      <c r="K38" s="20" t="s">
        <v>76</v>
      </c>
      <c r="L38" s="15">
        <v>19.672131147540998</v>
      </c>
      <c r="M38" s="15">
        <v>47.368421052631597</v>
      </c>
      <c r="N38" s="15">
        <v>30.588235294117599</v>
      </c>
      <c r="O38" s="15">
        <v>16.2790697674419</v>
      </c>
      <c r="P38" s="15">
        <v>40.845070422535201</v>
      </c>
      <c r="Q38" s="15">
        <v>29.577464788732399</v>
      </c>
      <c r="R38" s="20" t="s">
        <v>76</v>
      </c>
      <c r="S38" s="15">
        <v>46.341463414634099</v>
      </c>
      <c r="T38" s="15">
        <v>56.25</v>
      </c>
      <c r="U38" s="20" t="s">
        <v>76</v>
      </c>
      <c r="V38" s="20" t="s">
        <v>76</v>
      </c>
      <c r="W38" s="15">
        <v>30.508474576271201</v>
      </c>
      <c r="X38" s="20" t="s">
        <v>76</v>
      </c>
      <c r="Y38" s="20" t="s">
        <v>76</v>
      </c>
      <c r="Z38" s="15">
        <v>29.4871794871795</v>
      </c>
      <c r="AA38" s="15">
        <v>51.376146788990802</v>
      </c>
      <c r="AB38" s="15">
        <v>38.235294117647101</v>
      </c>
      <c r="AC38" s="15">
        <v>25</v>
      </c>
      <c r="AD38" s="15">
        <v>18.75</v>
      </c>
      <c r="AE38" s="15">
        <v>29.629629629629601</v>
      </c>
      <c r="AF38" s="20" t="s">
        <v>76</v>
      </c>
      <c r="AG38" s="15">
        <v>31.428571428571399</v>
      </c>
      <c r="AH38" s="15">
        <v>14.285714285714301</v>
      </c>
      <c r="AI38" s="20" t="s">
        <v>76</v>
      </c>
      <c r="AJ38" s="15">
        <v>29.729729729729701</v>
      </c>
      <c r="AK38" s="15">
        <v>20</v>
      </c>
      <c r="AL38" s="15">
        <v>43.3333333333333</v>
      </c>
      <c r="AM38" s="15">
        <v>39.0625</v>
      </c>
      <c r="AN38" s="20" t="s">
        <v>76</v>
      </c>
      <c r="AO38" s="15">
        <v>12.5</v>
      </c>
      <c r="AP38" s="15">
        <v>20.7792207792208</v>
      </c>
      <c r="AQ38" s="15">
        <v>35.897435897435898</v>
      </c>
      <c r="AR38" s="15">
        <v>14.545454545454501</v>
      </c>
      <c r="AS38" s="20" t="s">
        <v>76</v>
      </c>
      <c r="AT38" s="15">
        <v>21.538461538461501</v>
      </c>
      <c r="AU38" s="15">
        <v>24.4897959183673</v>
      </c>
      <c r="AV38" s="15">
        <v>23.287671232876701</v>
      </c>
      <c r="AW38" s="15">
        <v>29.310344827586199</v>
      </c>
      <c r="AX38" s="15">
        <v>31.25</v>
      </c>
      <c r="AY38" s="15">
        <v>37.142857142857103</v>
      </c>
      <c r="AZ38" s="15">
        <v>32</v>
      </c>
      <c r="BA38" s="15">
        <v>45.283018867924497</v>
      </c>
      <c r="BB38" s="15">
        <v>43.283582089552198</v>
      </c>
      <c r="BC38" s="15">
        <v>29.729729729729701</v>
      </c>
      <c r="BD38" s="15">
        <v>29.4871794871795</v>
      </c>
      <c r="BE38" s="15">
        <v>27.586206896551701</v>
      </c>
      <c r="BF38" s="15">
        <v>34.939759036144601</v>
      </c>
      <c r="BG38" s="15">
        <v>23.880597014925399</v>
      </c>
      <c r="BH38" s="15">
        <v>20.8333333333333</v>
      </c>
      <c r="BI38" s="20" t="s">
        <v>76</v>
      </c>
      <c r="BJ38" s="15">
        <v>43.75</v>
      </c>
      <c r="BK38" s="20" t="s">
        <v>76</v>
      </c>
      <c r="BL38" s="15">
        <v>28.125</v>
      </c>
      <c r="BM38" s="15">
        <v>28.712871287128699</v>
      </c>
      <c r="BN38" s="15">
        <v>35.294117647058798</v>
      </c>
      <c r="BO38" s="15">
        <v>18.8888888888889</v>
      </c>
      <c r="BP38" s="15">
        <v>40</v>
      </c>
      <c r="BQ38" s="15">
        <v>19.178082191780799</v>
      </c>
      <c r="BR38" s="15">
        <v>33.3333333333333</v>
      </c>
      <c r="BS38" s="15">
        <v>34.939759036144601</v>
      </c>
      <c r="BT38" s="15">
        <v>30.487804878048799</v>
      </c>
      <c r="BU38" s="15">
        <v>51.401869158878498</v>
      </c>
      <c r="BV38" s="15">
        <v>41.414141414141397</v>
      </c>
      <c r="BW38" s="15">
        <v>36.231884057971001</v>
      </c>
      <c r="BX38" s="20" t="s">
        <v>76</v>
      </c>
      <c r="BY38" s="15">
        <v>30.158730158730201</v>
      </c>
      <c r="BZ38" s="15">
        <v>31.292517006802701</v>
      </c>
      <c r="CA38" s="32">
        <v>16.582819384871499</v>
      </c>
      <c r="CB38" s="15">
        <v>15.3354632587859</v>
      </c>
      <c r="CC38" s="15">
        <v>18.238993710691801</v>
      </c>
      <c r="CD38" s="15">
        <v>18.064516129032299</v>
      </c>
      <c r="CE38" s="20" t="s">
        <v>76</v>
      </c>
      <c r="CF38" s="15">
        <v>12.874251497006</v>
      </c>
      <c r="CG38" s="15">
        <v>18.994413407821199</v>
      </c>
      <c r="CH38" s="15">
        <v>17.830882352941199</v>
      </c>
      <c r="CI38" s="15">
        <v>21.1498973305955</v>
      </c>
      <c r="CJ38" s="15">
        <v>22.352941176470601</v>
      </c>
      <c r="CK38" s="15">
        <v>17.4887892376682</v>
      </c>
      <c r="CL38" s="15">
        <v>21.6666666666667</v>
      </c>
      <c r="CM38" s="24">
        <v>16.059957173447501</v>
      </c>
      <c r="CN38" s="37"/>
    </row>
    <row r="39" spans="1:92">
      <c r="A39" s="9" t="s">
        <v>294</v>
      </c>
      <c r="B39" s="35">
        <v>39.849172057532698</v>
      </c>
      <c r="C39" s="32">
        <v>41.522559337295199</v>
      </c>
      <c r="D39" s="32">
        <v>43.387153939955098</v>
      </c>
      <c r="E39" s="32">
        <v>38.997477023084699</v>
      </c>
      <c r="F39" s="15">
        <v>35.294117647058798</v>
      </c>
      <c r="G39" s="15">
        <v>35.294117647058798</v>
      </c>
      <c r="H39" s="15">
        <v>52.173913043478301</v>
      </c>
      <c r="I39" s="15">
        <v>80</v>
      </c>
      <c r="J39" s="15">
        <v>38.1944444444444</v>
      </c>
      <c r="K39" s="15">
        <v>38.461538461538503</v>
      </c>
      <c r="L39" s="15">
        <v>29.508196721311499</v>
      </c>
      <c r="M39" s="15">
        <v>22.3684210526316</v>
      </c>
      <c r="N39" s="15">
        <v>35.294117647058798</v>
      </c>
      <c r="O39" s="15">
        <v>39.534883720930203</v>
      </c>
      <c r="P39" s="15">
        <v>36.619718309859202</v>
      </c>
      <c r="Q39" s="15">
        <v>47.887323943661997</v>
      </c>
      <c r="R39" s="20" t="s">
        <v>76</v>
      </c>
      <c r="S39" s="15">
        <v>43.902439024390198</v>
      </c>
      <c r="T39" s="15">
        <v>35.4166666666667</v>
      </c>
      <c r="U39" s="15">
        <v>42.857142857142897</v>
      </c>
      <c r="V39" s="15">
        <v>38.235294117647101</v>
      </c>
      <c r="W39" s="15">
        <v>27.118644067796598</v>
      </c>
      <c r="X39" s="15">
        <v>46.153846153846203</v>
      </c>
      <c r="Y39" s="20" t="s">
        <v>76</v>
      </c>
      <c r="Z39" s="15">
        <v>47.435897435897402</v>
      </c>
      <c r="AA39" s="15">
        <v>48.623853211009198</v>
      </c>
      <c r="AB39" s="15">
        <v>57.352941176470601</v>
      </c>
      <c r="AC39" s="15">
        <v>41.6666666666667</v>
      </c>
      <c r="AD39" s="15">
        <v>40.625</v>
      </c>
      <c r="AE39" s="15">
        <v>51.851851851851798</v>
      </c>
      <c r="AF39" s="20" t="s">
        <v>76</v>
      </c>
      <c r="AG39" s="15">
        <v>27.619047619047599</v>
      </c>
      <c r="AH39" s="15">
        <v>35.714285714285701</v>
      </c>
      <c r="AI39" s="20" t="s">
        <v>76</v>
      </c>
      <c r="AJ39" s="15">
        <v>35.135135135135101</v>
      </c>
      <c r="AK39" s="15">
        <v>56.6666666666667</v>
      </c>
      <c r="AL39" s="15">
        <v>38.8888888888889</v>
      </c>
      <c r="AM39" s="15">
        <v>32.8125</v>
      </c>
      <c r="AN39" s="20" t="s">
        <v>76</v>
      </c>
      <c r="AO39" s="15">
        <v>37.5</v>
      </c>
      <c r="AP39" s="15">
        <v>22.0779220779221</v>
      </c>
      <c r="AQ39" s="15">
        <v>51.282051282051299</v>
      </c>
      <c r="AR39" s="15">
        <v>32.727272727272698</v>
      </c>
      <c r="AS39" s="20" t="s">
        <v>76</v>
      </c>
      <c r="AT39" s="15">
        <v>36.923076923076898</v>
      </c>
      <c r="AU39" s="15">
        <v>38.775510204081598</v>
      </c>
      <c r="AV39" s="15">
        <v>31.5068493150685</v>
      </c>
      <c r="AW39" s="15">
        <v>36.2068965517241</v>
      </c>
      <c r="AX39" s="15">
        <v>56.25</v>
      </c>
      <c r="AY39" s="15">
        <v>31.428571428571399</v>
      </c>
      <c r="AZ39" s="15">
        <v>66</v>
      </c>
      <c r="BA39" s="15">
        <v>37.735849056603797</v>
      </c>
      <c r="BB39" s="15">
        <v>47.761194029850699</v>
      </c>
      <c r="BC39" s="15">
        <v>36.486486486486498</v>
      </c>
      <c r="BD39" s="15">
        <v>35.897435897435898</v>
      </c>
      <c r="BE39" s="15">
        <v>60.344827586206897</v>
      </c>
      <c r="BF39" s="15">
        <v>32.530120481927703</v>
      </c>
      <c r="BG39" s="15">
        <v>34.328358208955201</v>
      </c>
      <c r="BH39" s="15">
        <v>41.6666666666667</v>
      </c>
      <c r="BI39" s="15">
        <v>31.578947368421101</v>
      </c>
      <c r="BJ39" s="15">
        <v>44.642857142857103</v>
      </c>
      <c r="BK39" s="15">
        <v>37.5</v>
      </c>
      <c r="BL39" s="15">
        <v>33.59375</v>
      </c>
      <c r="BM39" s="15">
        <v>38.613861386138602</v>
      </c>
      <c r="BN39" s="15">
        <v>48.739495798319297</v>
      </c>
      <c r="BO39" s="15">
        <v>27.7777777777778</v>
      </c>
      <c r="BP39" s="15">
        <v>53.3333333333333</v>
      </c>
      <c r="BQ39" s="15">
        <v>39.726027397260303</v>
      </c>
      <c r="BR39" s="15">
        <v>43.3333333333333</v>
      </c>
      <c r="BS39" s="15">
        <v>30.120481927710799</v>
      </c>
      <c r="BT39" s="15">
        <v>35.365853658536601</v>
      </c>
      <c r="BU39" s="15">
        <v>56.074766355140198</v>
      </c>
      <c r="BV39" s="15">
        <v>53.535353535353501</v>
      </c>
      <c r="BW39" s="15">
        <v>17.3913043478261</v>
      </c>
      <c r="BX39" s="15">
        <v>66.6666666666667</v>
      </c>
      <c r="BY39" s="15">
        <v>39.682539682539698</v>
      </c>
      <c r="BZ39" s="15">
        <v>43.5374149659864</v>
      </c>
      <c r="CA39" s="32">
        <v>46.932128251849498</v>
      </c>
      <c r="CB39" s="15">
        <v>39.616613418530399</v>
      </c>
      <c r="CC39" s="15">
        <v>46.855345911949698</v>
      </c>
      <c r="CD39" s="15">
        <v>45.161290322580598</v>
      </c>
      <c r="CE39" s="20" t="s">
        <v>76</v>
      </c>
      <c r="CF39" s="15">
        <v>40.119760479041901</v>
      </c>
      <c r="CG39" s="15">
        <v>50.279329608938497</v>
      </c>
      <c r="CH39" s="15">
        <v>47.426470588235297</v>
      </c>
      <c r="CI39" s="15">
        <v>49.281314168377797</v>
      </c>
      <c r="CJ39" s="15">
        <v>48.627450980392197</v>
      </c>
      <c r="CK39" s="15">
        <v>44.394618834080703</v>
      </c>
      <c r="CL39" s="15">
        <v>54.696969696969703</v>
      </c>
      <c r="CM39" s="24">
        <v>44.111349036402601</v>
      </c>
      <c r="CN39" s="37"/>
    </row>
    <row r="40" spans="1:92">
      <c r="A40" s="9" t="s">
        <v>295</v>
      </c>
      <c r="B40" s="35">
        <v>14.3479585669636</v>
      </c>
      <c r="C40" s="32">
        <v>14.3024950524274</v>
      </c>
      <c r="D40" s="32">
        <v>14.1660565656105</v>
      </c>
      <c r="E40" s="32">
        <v>17.524292305875299</v>
      </c>
      <c r="F40" s="15">
        <v>29.411764705882401</v>
      </c>
      <c r="G40" s="20" t="s">
        <v>76</v>
      </c>
      <c r="H40" s="15">
        <v>26.086956521739101</v>
      </c>
      <c r="I40" s="20" t="s">
        <v>76</v>
      </c>
      <c r="J40" s="15">
        <v>18.0555555555556</v>
      </c>
      <c r="K40" s="15">
        <v>17.948717948717899</v>
      </c>
      <c r="L40" s="15">
        <v>14.7540983606557</v>
      </c>
      <c r="M40" s="15">
        <v>10.526315789473699</v>
      </c>
      <c r="N40" s="15">
        <v>10.588235294117601</v>
      </c>
      <c r="O40" s="15">
        <v>11.6279069767442</v>
      </c>
      <c r="P40" s="15">
        <v>23.943661971830998</v>
      </c>
      <c r="Q40" s="15">
        <v>19.7183098591549</v>
      </c>
      <c r="R40" s="20" t="s">
        <v>76</v>
      </c>
      <c r="S40" s="15">
        <v>21.951219512195099</v>
      </c>
      <c r="T40" s="15">
        <v>20.8333333333333</v>
      </c>
      <c r="U40" s="20" t="s">
        <v>76</v>
      </c>
      <c r="V40" s="15">
        <v>38.235294117647101</v>
      </c>
      <c r="W40" s="15">
        <v>15.254237288135601</v>
      </c>
      <c r="X40" s="20" t="s">
        <v>76</v>
      </c>
      <c r="Y40" s="20" t="s">
        <v>76</v>
      </c>
      <c r="Z40" s="15">
        <v>15.384615384615399</v>
      </c>
      <c r="AA40" s="15">
        <v>20.183486238532101</v>
      </c>
      <c r="AB40" s="15">
        <v>32.352941176470601</v>
      </c>
      <c r="AC40" s="15">
        <v>27.272727272727298</v>
      </c>
      <c r="AD40" s="20" t="s">
        <v>76</v>
      </c>
      <c r="AE40" s="15">
        <v>18.518518518518501</v>
      </c>
      <c r="AF40" s="20" t="s">
        <v>76</v>
      </c>
      <c r="AG40" s="15">
        <v>8.5714285714285694</v>
      </c>
      <c r="AH40" s="15">
        <v>12.5</v>
      </c>
      <c r="AI40" s="20" t="s">
        <v>76</v>
      </c>
      <c r="AJ40" s="15">
        <v>26.126126126126099</v>
      </c>
      <c r="AK40" s="15">
        <v>26.6666666666667</v>
      </c>
      <c r="AL40" s="15">
        <v>17.7777777777778</v>
      </c>
      <c r="AM40" s="15">
        <v>10.9375</v>
      </c>
      <c r="AN40" s="20" t="s">
        <v>76</v>
      </c>
      <c r="AO40" s="15">
        <v>12.5</v>
      </c>
      <c r="AP40" s="15">
        <v>10.3896103896104</v>
      </c>
      <c r="AQ40" s="15">
        <v>35.897435897435898</v>
      </c>
      <c r="AR40" s="15">
        <v>14.545454545454501</v>
      </c>
      <c r="AS40" s="20" t="s">
        <v>76</v>
      </c>
      <c r="AT40" s="15">
        <v>23.076923076923102</v>
      </c>
      <c r="AU40" s="20" t="s">
        <v>76</v>
      </c>
      <c r="AV40" s="15">
        <v>9.5890410958904102</v>
      </c>
      <c r="AW40" s="15">
        <v>25.862068965517199</v>
      </c>
      <c r="AX40" s="20" t="s">
        <v>76</v>
      </c>
      <c r="AY40" s="15">
        <v>20</v>
      </c>
      <c r="AZ40" s="15">
        <v>22</v>
      </c>
      <c r="BA40" s="15">
        <v>26.415094339622598</v>
      </c>
      <c r="BB40" s="15">
        <v>22.388059701492502</v>
      </c>
      <c r="BC40" s="15">
        <v>17.5675675675676</v>
      </c>
      <c r="BD40" s="15">
        <v>14.1025641025641</v>
      </c>
      <c r="BE40" s="15">
        <v>8.6206896551724093</v>
      </c>
      <c r="BF40" s="15">
        <v>12.048192771084301</v>
      </c>
      <c r="BG40" s="15">
        <v>22.388059701492502</v>
      </c>
      <c r="BH40" s="20" t="s">
        <v>76</v>
      </c>
      <c r="BI40" s="20" t="s">
        <v>76</v>
      </c>
      <c r="BJ40" s="15">
        <v>29.464285714285701</v>
      </c>
      <c r="BK40" s="20" t="s">
        <v>76</v>
      </c>
      <c r="BL40" s="15">
        <v>9.375</v>
      </c>
      <c r="BM40" s="15">
        <v>7.9207920792079198</v>
      </c>
      <c r="BN40" s="15">
        <v>23.529411764705898</v>
      </c>
      <c r="BO40" s="15">
        <v>20</v>
      </c>
      <c r="BP40" s="20" t="s">
        <v>76</v>
      </c>
      <c r="BQ40" s="15">
        <v>13.698630136986299</v>
      </c>
      <c r="BR40" s="15">
        <v>15</v>
      </c>
      <c r="BS40" s="15">
        <v>27.710843373494001</v>
      </c>
      <c r="BT40" s="15">
        <v>14.634146341463399</v>
      </c>
      <c r="BU40" s="15">
        <v>15.887850467289701</v>
      </c>
      <c r="BV40" s="15">
        <v>21.2121212121212</v>
      </c>
      <c r="BW40" s="15">
        <v>10.144927536231901</v>
      </c>
      <c r="BX40" s="20" t="s">
        <v>76</v>
      </c>
      <c r="BY40" s="15">
        <v>17.460317460317501</v>
      </c>
      <c r="BZ40" s="15">
        <v>14.965986394557801</v>
      </c>
      <c r="CA40" s="32">
        <v>11.4540438917912</v>
      </c>
      <c r="CB40" s="15">
        <v>10.223642172524</v>
      </c>
      <c r="CC40" s="15">
        <v>8.4905660377358494</v>
      </c>
      <c r="CD40" s="15">
        <v>5.1612903225806503</v>
      </c>
      <c r="CE40" s="20" t="s">
        <v>76</v>
      </c>
      <c r="CF40" s="15">
        <v>11.6766467065868</v>
      </c>
      <c r="CG40" s="15">
        <v>14.525139664804501</v>
      </c>
      <c r="CH40" s="15">
        <v>11.397058823529401</v>
      </c>
      <c r="CI40" s="15">
        <v>13.7577002053388</v>
      </c>
      <c r="CJ40" s="15">
        <v>20</v>
      </c>
      <c r="CK40" s="15">
        <v>9.8654708520179408</v>
      </c>
      <c r="CL40" s="15">
        <v>11.969696969697001</v>
      </c>
      <c r="CM40" s="24">
        <v>12.419700214132799</v>
      </c>
      <c r="CN40" s="37"/>
    </row>
    <row r="41" spans="1:92">
      <c r="A41" s="9" t="s">
        <v>296</v>
      </c>
      <c r="B41" s="35">
        <v>32.505436725395697</v>
      </c>
      <c r="C41" s="32">
        <v>34.757710600637999</v>
      </c>
      <c r="D41" s="32">
        <v>36.851663002955398</v>
      </c>
      <c r="E41" s="32">
        <v>38.676648686097501</v>
      </c>
      <c r="F41" s="20" t="s">
        <v>76</v>
      </c>
      <c r="G41" s="20" t="s">
        <v>76</v>
      </c>
      <c r="H41" s="15">
        <v>56.521739130434803</v>
      </c>
      <c r="I41" s="15">
        <v>80</v>
      </c>
      <c r="J41" s="15">
        <v>32.6388888888889</v>
      </c>
      <c r="K41" s="15">
        <v>30.769230769230798</v>
      </c>
      <c r="L41" s="15">
        <v>67.213114754098399</v>
      </c>
      <c r="M41" s="15">
        <v>52.631578947368403</v>
      </c>
      <c r="N41" s="15">
        <v>54.117647058823501</v>
      </c>
      <c r="O41" s="15">
        <v>23.255813953488399</v>
      </c>
      <c r="P41" s="15">
        <v>54.9295774647887</v>
      </c>
      <c r="Q41" s="15">
        <v>73.239436619718305</v>
      </c>
      <c r="R41" s="20" t="s">
        <v>76</v>
      </c>
      <c r="S41" s="15">
        <v>29.268292682926798</v>
      </c>
      <c r="T41" s="15">
        <v>35.4166666666667</v>
      </c>
      <c r="U41" s="15">
        <v>42.857142857142897</v>
      </c>
      <c r="V41" s="15">
        <v>35.294117647058798</v>
      </c>
      <c r="W41" s="15">
        <v>35.593220338983102</v>
      </c>
      <c r="X41" s="15">
        <v>38.461538461538503</v>
      </c>
      <c r="Y41" s="20" t="s">
        <v>76</v>
      </c>
      <c r="Z41" s="15">
        <v>42.307692307692299</v>
      </c>
      <c r="AA41" s="15">
        <v>30.275229357798199</v>
      </c>
      <c r="AB41" s="15">
        <v>27.9411764705882</v>
      </c>
      <c r="AC41" s="15">
        <v>28.030303030302999</v>
      </c>
      <c r="AD41" s="15">
        <v>68.75</v>
      </c>
      <c r="AE41" s="15">
        <v>37.037037037037003</v>
      </c>
      <c r="AF41" s="15">
        <v>50</v>
      </c>
      <c r="AG41" s="15">
        <v>36.190476190476197</v>
      </c>
      <c r="AH41" s="15">
        <v>57.142857142857103</v>
      </c>
      <c r="AI41" s="20" t="s">
        <v>76</v>
      </c>
      <c r="AJ41" s="15">
        <v>25.225225225225198</v>
      </c>
      <c r="AK41" s="15">
        <v>73.3333333333333</v>
      </c>
      <c r="AL41" s="15">
        <v>64.4444444444444</v>
      </c>
      <c r="AM41" s="15">
        <v>48.4375</v>
      </c>
      <c r="AN41" s="20" t="s">
        <v>76</v>
      </c>
      <c r="AO41" s="15">
        <v>27.5</v>
      </c>
      <c r="AP41" s="15">
        <v>36.363636363636402</v>
      </c>
      <c r="AQ41" s="15">
        <v>38.461538461538503</v>
      </c>
      <c r="AR41" s="15">
        <v>12.7272727272727</v>
      </c>
      <c r="AS41" s="15">
        <v>72.727272727272705</v>
      </c>
      <c r="AT41" s="15">
        <v>41.538461538461497</v>
      </c>
      <c r="AU41" s="15">
        <v>38.775510204081598</v>
      </c>
      <c r="AV41" s="15">
        <v>16.438356164383599</v>
      </c>
      <c r="AW41" s="15">
        <v>38.7931034482759</v>
      </c>
      <c r="AX41" s="20" t="s">
        <v>76</v>
      </c>
      <c r="AY41" s="15">
        <v>74.285714285714306</v>
      </c>
      <c r="AZ41" s="15">
        <v>70</v>
      </c>
      <c r="BA41" s="15">
        <v>28.301886792452802</v>
      </c>
      <c r="BB41" s="15">
        <v>40.298507462686601</v>
      </c>
      <c r="BC41" s="15">
        <v>39.1891891891892</v>
      </c>
      <c r="BD41" s="15">
        <v>51.282051282051299</v>
      </c>
      <c r="BE41" s="15">
        <v>60.344827586206897</v>
      </c>
      <c r="BF41" s="15">
        <v>25.3012048192771</v>
      </c>
      <c r="BG41" s="15">
        <v>53.731343283582099</v>
      </c>
      <c r="BH41" s="15">
        <v>45.8333333333333</v>
      </c>
      <c r="BI41" s="15">
        <v>63.157894736842103</v>
      </c>
      <c r="BJ41" s="15">
        <v>41.071428571428598</v>
      </c>
      <c r="BK41" s="15">
        <v>35</v>
      </c>
      <c r="BL41" s="15">
        <v>24.21875</v>
      </c>
      <c r="BM41" s="15">
        <v>49.504950495049499</v>
      </c>
      <c r="BN41" s="15">
        <v>44.537815126050397</v>
      </c>
      <c r="BO41" s="15">
        <v>22.2222222222222</v>
      </c>
      <c r="BP41" s="15">
        <v>33.3333333333333</v>
      </c>
      <c r="BQ41" s="15">
        <v>53.424657534246599</v>
      </c>
      <c r="BR41" s="15">
        <v>16.6666666666667</v>
      </c>
      <c r="BS41" s="15">
        <v>28.9156626506024</v>
      </c>
      <c r="BT41" s="15">
        <v>51.219512195122</v>
      </c>
      <c r="BU41" s="15">
        <v>32.7102803738318</v>
      </c>
      <c r="BV41" s="15">
        <v>55.5555555555556</v>
      </c>
      <c r="BW41" s="15">
        <v>21.739130434782599</v>
      </c>
      <c r="BX41" s="15">
        <v>55.5555555555556</v>
      </c>
      <c r="BY41" s="15">
        <v>41.269841269841301</v>
      </c>
      <c r="BZ41" s="15">
        <v>17.687074829932001</v>
      </c>
      <c r="CA41" s="32">
        <v>35.377858099125298</v>
      </c>
      <c r="CB41" s="15">
        <v>28.434504792332302</v>
      </c>
      <c r="CC41" s="15">
        <v>39.308176100628899</v>
      </c>
      <c r="CD41" s="15">
        <v>42.580645161290299</v>
      </c>
      <c r="CE41" s="20" t="s">
        <v>76</v>
      </c>
      <c r="CF41" s="15">
        <v>38.323353293413199</v>
      </c>
      <c r="CG41" s="15">
        <v>41.899441340782097</v>
      </c>
      <c r="CH41" s="15">
        <v>32.352941176470601</v>
      </c>
      <c r="CI41" s="15">
        <v>46.406570841889099</v>
      </c>
      <c r="CJ41" s="15">
        <v>28.235294117647101</v>
      </c>
      <c r="CK41" s="15">
        <v>43.0493273542601</v>
      </c>
      <c r="CL41" s="15">
        <v>32.575757575757599</v>
      </c>
      <c r="CM41" s="24">
        <v>37.473233404710903</v>
      </c>
      <c r="CN41" s="37"/>
    </row>
    <row r="42" spans="1:92">
      <c r="A42" s="9" t="s">
        <v>297</v>
      </c>
      <c r="B42" s="35">
        <v>7.3874278748413298</v>
      </c>
      <c r="C42" s="32">
        <v>6.98211191728931</v>
      </c>
      <c r="D42" s="32">
        <v>6.9281753390321903</v>
      </c>
      <c r="E42" s="32">
        <v>9.5695940297068098</v>
      </c>
      <c r="F42" s="20" t="s">
        <v>76</v>
      </c>
      <c r="G42" s="20" t="s">
        <v>76</v>
      </c>
      <c r="H42" s="20" t="s">
        <v>76</v>
      </c>
      <c r="I42" s="20" t="s">
        <v>76</v>
      </c>
      <c r="J42" s="15">
        <v>7.6388888888888902</v>
      </c>
      <c r="K42" s="15">
        <v>17.948717948717899</v>
      </c>
      <c r="L42" s="15">
        <v>18.032786885245901</v>
      </c>
      <c r="M42" s="15">
        <v>6.5789473684210504</v>
      </c>
      <c r="N42" s="15">
        <v>7.0588235294117601</v>
      </c>
      <c r="O42" s="20" t="s">
        <v>76</v>
      </c>
      <c r="P42" s="15">
        <v>11.2676056338028</v>
      </c>
      <c r="Q42" s="20" t="s">
        <v>76</v>
      </c>
      <c r="R42" s="20" t="s">
        <v>76</v>
      </c>
      <c r="S42" s="15">
        <v>12.1951219512195</v>
      </c>
      <c r="T42" s="15">
        <v>14.5833333333333</v>
      </c>
      <c r="U42" s="20" t="s">
        <v>76</v>
      </c>
      <c r="V42" s="20" t="s">
        <v>76</v>
      </c>
      <c r="W42" s="15">
        <v>10.1694915254237</v>
      </c>
      <c r="X42" s="20" t="s">
        <v>76</v>
      </c>
      <c r="Y42" s="20" t="s">
        <v>76</v>
      </c>
      <c r="Z42" s="20" t="s">
        <v>76</v>
      </c>
      <c r="AA42" s="15">
        <v>9.1743119266054993</v>
      </c>
      <c r="AB42" s="15">
        <v>8.8235294117646994</v>
      </c>
      <c r="AC42" s="15">
        <v>16.6666666666667</v>
      </c>
      <c r="AD42" s="15">
        <v>18.75</v>
      </c>
      <c r="AE42" s="20" t="s">
        <v>76</v>
      </c>
      <c r="AF42" s="20" t="s">
        <v>76</v>
      </c>
      <c r="AG42" s="20" t="s">
        <v>76</v>
      </c>
      <c r="AH42" s="15">
        <v>12.5</v>
      </c>
      <c r="AI42" s="20" t="s">
        <v>76</v>
      </c>
      <c r="AJ42" s="15">
        <v>4.5045045045045002</v>
      </c>
      <c r="AK42" s="15">
        <v>26.6666666666667</v>
      </c>
      <c r="AL42" s="15">
        <v>11.1111111111111</v>
      </c>
      <c r="AM42" s="15">
        <v>14.0625</v>
      </c>
      <c r="AN42" s="20" t="s">
        <v>76</v>
      </c>
      <c r="AO42" s="20" t="s">
        <v>76</v>
      </c>
      <c r="AP42" s="20" t="s">
        <v>76</v>
      </c>
      <c r="AQ42" s="20" t="s">
        <v>76</v>
      </c>
      <c r="AR42" s="20" t="s">
        <v>76</v>
      </c>
      <c r="AS42" s="20" t="s">
        <v>76</v>
      </c>
      <c r="AT42" s="15">
        <v>10.7692307692308</v>
      </c>
      <c r="AU42" s="20" t="s">
        <v>76</v>
      </c>
      <c r="AV42" s="20" t="s">
        <v>76</v>
      </c>
      <c r="AW42" s="15">
        <v>6.8965517241379297</v>
      </c>
      <c r="AX42" s="20" t="s">
        <v>76</v>
      </c>
      <c r="AY42" s="15">
        <v>20</v>
      </c>
      <c r="AZ42" s="15">
        <v>36</v>
      </c>
      <c r="BA42" s="20" t="s">
        <v>76</v>
      </c>
      <c r="BB42" s="15">
        <v>14.9253731343284</v>
      </c>
      <c r="BC42" s="20" t="s">
        <v>76</v>
      </c>
      <c r="BD42" s="15">
        <v>8.9743589743589691</v>
      </c>
      <c r="BE42" s="15">
        <v>20.689655172413801</v>
      </c>
      <c r="BF42" s="15">
        <v>7.2289156626505999</v>
      </c>
      <c r="BG42" s="20" t="s">
        <v>76</v>
      </c>
      <c r="BH42" s="20" t="s">
        <v>76</v>
      </c>
      <c r="BI42" s="20" t="s">
        <v>76</v>
      </c>
      <c r="BJ42" s="15">
        <v>5.3571428571428603</v>
      </c>
      <c r="BK42" s="15">
        <v>25</v>
      </c>
      <c r="BL42" s="15">
        <v>3.90625</v>
      </c>
      <c r="BM42" s="20" t="s">
        <v>76</v>
      </c>
      <c r="BN42" s="15">
        <v>7.5630252100840298</v>
      </c>
      <c r="BO42" s="15">
        <v>13.3333333333333</v>
      </c>
      <c r="BP42" s="20" t="s">
        <v>76</v>
      </c>
      <c r="BQ42" s="20" t="s">
        <v>76</v>
      </c>
      <c r="BR42" s="20" t="s">
        <v>76</v>
      </c>
      <c r="BS42" s="20" t="s">
        <v>76</v>
      </c>
      <c r="BT42" s="15">
        <v>12.1951219512195</v>
      </c>
      <c r="BU42" s="15">
        <v>14.953271028037401</v>
      </c>
      <c r="BV42" s="15">
        <v>28.282828282828302</v>
      </c>
      <c r="BW42" s="20" t="s">
        <v>76</v>
      </c>
      <c r="BX42" s="20" t="s">
        <v>76</v>
      </c>
      <c r="BY42" s="20" t="s">
        <v>76</v>
      </c>
      <c r="BZ42" s="15">
        <v>16.326530612244898</v>
      </c>
      <c r="CA42" s="32">
        <v>4.79504308745061</v>
      </c>
      <c r="CB42" s="15">
        <v>4.7923322683706102</v>
      </c>
      <c r="CC42" s="15">
        <v>5.0314465408805003</v>
      </c>
      <c r="CD42" s="15">
        <v>3.87096774193548</v>
      </c>
      <c r="CE42" s="20" t="s">
        <v>76</v>
      </c>
      <c r="CF42" s="15">
        <v>4.7904191616766498</v>
      </c>
      <c r="CG42" s="15">
        <v>8.3798882681564208</v>
      </c>
      <c r="CH42" s="15">
        <v>5.5147058823529402</v>
      </c>
      <c r="CI42" s="15">
        <v>4.3121149897330602</v>
      </c>
      <c r="CJ42" s="15">
        <v>6.2745098039215703</v>
      </c>
      <c r="CK42" s="15">
        <v>6.7264573991031398</v>
      </c>
      <c r="CL42" s="15">
        <v>4.5454545454545503</v>
      </c>
      <c r="CM42" s="24">
        <v>5.3533190578158498</v>
      </c>
      <c r="CN42" s="37"/>
    </row>
    <row r="43" spans="1:92">
      <c r="A43" s="9" t="s">
        <v>298</v>
      </c>
      <c r="B43" s="35">
        <v>36.9494710022649</v>
      </c>
      <c r="C43" s="32">
        <v>41.191476613988002</v>
      </c>
      <c r="D43" s="32">
        <v>45.378189956001101</v>
      </c>
      <c r="E43" s="32">
        <v>47.551587392596403</v>
      </c>
      <c r="F43" s="15">
        <v>52.941176470588204</v>
      </c>
      <c r="G43" s="15">
        <v>29.411764705882401</v>
      </c>
      <c r="H43" s="15">
        <v>60.869565217391298</v>
      </c>
      <c r="I43" s="15">
        <v>60</v>
      </c>
      <c r="J43" s="15">
        <v>37.5</v>
      </c>
      <c r="K43" s="15">
        <v>43.589743589743598</v>
      </c>
      <c r="L43" s="15">
        <v>39.344262295081997</v>
      </c>
      <c r="M43" s="15">
        <v>67.105263157894697</v>
      </c>
      <c r="N43" s="15">
        <v>56.470588235294102</v>
      </c>
      <c r="O43" s="15">
        <v>37.209302325581397</v>
      </c>
      <c r="P43" s="15">
        <v>54.9295774647887</v>
      </c>
      <c r="Q43" s="15">
        <v>64.788732394366207</v>
      </c>
      <c r="R43" s="15">
        <v>19.230769230769202</v>
      </c>
      <c r="S43" s="15">
        <v>43.902439024390198</v>
      </c>
      <c r="T43" s="15">
        <v>33.3333333333333</v>
      </c>
      <c r="U43" s="15">
        <v>38.095238095238102</v>
      </c>
      <c r="V43" s="15">
        <v>38.235294117647101</v>
      </c>
      <c r="W43" s="15">
        <v>42.372881355932201</v>
      </c>
      <c r="X43" s="15">
        <v>61.538461538461497</v>
      </c>
      <c r="Y43" s="20" t="s">
        <v>76</v>
      </c>
      <c r="Z43" s="15">
        <v>35.897435897435898</v>
      </c>
      <c r="AA43" s="15">
        <v>52.293577981651403</v>
      </c>
      <c r="AB43" s="15">
        <v>44.117647058823501</v>
      </c>
      <c r="AC43" s="15">
        <v>45.454545454545503</v>
      </c>
      <c r="AD43" s="15">
        <v>71.875</v>
      </c>
      <c r="AE43" s="15">
        <v>44.4444444444444</v>
      </c>
      <c r="AF43" s="15">
        <v>64.285714285714306</v>
      </c>
      <c r="AG43" s="15">
        <v>36.190476190476197</v>
      </c>
      <c r="AH43" s="15">
        <v>57.142857142857103</v>
      </c>
      <c r="AI43" s="20" t="s">
        <v>76</v>
      </c>
      <c r="AJ43" s="15">
        <v>28.828828828828801</v>
      </c>
      <c r="AK43" s="15">
        <v>56.6666666666667</v>
      </c>
      <c r="AL43" s="15">
        <v>42.2222222222222</v>
      </c>
      <c r="AM43" s="15">
        <v>51.5625</v>
      </c>
      <c r="AN43" s="20" t="s">
        <v>76</v>
      </c>
      <c r="AO43" s="15">
        <v>37.5</v>
      </c>
      <c r="AP43" s="15">
        <v>48.051948051948102</v>
      </c>
      <c r="AQ43" s="15">
        <v>41.025641025641001</v>
      </c>
      <c r="AR43" s="15">
        <v>23.636363636363601</v>
      </c>
      <c r="AS43" s="15">
        <v>72.727272727272705</v>
      </c>
      <c r="AT43" s="15">
        <v>52.307692307692299</v>
      </c>
      <c r="AU43" s="15">
        <v>73.469387755102005</v>
      </c>
      <c r="AV43" s="15">
        <v>41.095890410958901</v>
      </c>
      <c r="AW43" s="15">
        <v>38.7931034482759</v>
      </c>
      <c r="AX43" s="15">
        <v>50</v>
      </c>
      <c r="AY43" s="15">
        <v>57.142857142857103</v>
      </c>
      <c r="AZ43" s="15">
        <v>76</v>
      </c>
      <c r="BA43" s="15">
        <v>37.735849056603797</v>
      </c>
      <c r="BB43" s="15">
        <v>74.626865671641795</v>
      </c>
      <c r="BC43" s="15">
        <v>55.405405405405403</v>
      </c>
      <c r="BD43" s="15">
        <v>50</v>
      </c>
      <c r="BE43" s="15">
        <v>53.448275862069003</v>
      </c>
      <c r="BF43" s="15">
        <v>42.168674698795201</v>
      </c>
      <c r="BG43" s="15">
        <v>52.238805970149301</v>
      </c>
      <c r="BH43" s="15">
        <v>50</v>
      </c>
      <c r="BI43" s="15">
        <v>47.368421052631597</v>
      </c>
      <c r="BJ43" s="15">
        <v>49.107142857142897</v>
      </c>
      <c r="BK43" s="15">
        <v>65</v>
      </c>
      <c r="BL43" s="15">
        <v>46.09375</v>
      </c>
      <c r="BM43" s="15">
        <v>44.554455445544598</v>
      </c>
      <c r="BN43" s="15">
        <v>47.899159663865497</v>
      </c>
      <c r="BO43" s="15">
        <v>33.3333333333333</v>
      </c>
      <c r="BP43" s="15">
        <v>60</v>
      </c>
      <c r="BQ43" s="15">
        <v>57.5342465753425</v>
      </c>
      <c r="BR43" s="15">
        <v>48.3333333333333</v>
      </c>
      <c r="BS43" s="15">
        <v>37.349397590361399</v>
      </c>
      <c r="BT43" s="15">
        <v>42.682926829268297</v>
      </c>
      <c r="BU43" s="15">
        <v>57.943925233644897</v>
      </c>
      <c r="BV43" s="15">
        <v>70.707070707070699</v>
      </c>
      <c r="BW43" s="15">
        <v>27.536231884058001</v>
      </c>
      <c r="BX43" s="15">
        <v>100</v>
      </c>
      <c r="BY43" s="15">
        <v>52.380952380952401</v>
      </c>
      <c r="BZ43" s="15">
        <v>42.176870748299301</v>
      </c>
      <c r="CA43" s="32">
        <v>43.6230179403438</v>
      </c>
      <c r="CB43" s="15">
        <v>38.338658146964903</v>
      </c>
      <c r="CC43" s="15">
        <v>37.421383647798699</v>
      </c>
      <c r="CD43" s="15">
        <v>53.548387096774199</v>
      </c>
      <c r="CE43" s="20" t="s">
        <v>76</v>
      </c>
      <c r="CF43" s="15">
        <v>30.538922155688599</v>
      </c>
      <c r="CG43" s="15">
        <v>31.843575418994401</v>
      </c>
      <c r="CH43" s="15">
        <v>44.669117647058798</v>
      </c>
      <c r="CI43" s="15">
        <v>52.5667351129363</v>
      </c>
      <c r="CJ43" s="15">
        <v>38.039215686274503</v>
      </c>
      <c r="CK43" s="15">
        <v>49.775784753363197</v>
      </c>
      <c r="CL43" s="15">
        <v>51.212121212121197</v>
      </c>
      <c r="CM43" s="24">
        <v>53.104925053533201</v>
      </c>
      <c r="CN43" s="37"/>
    </row>
    <row r="44" spans="1:92">
      <c r="A44" s="9" t="s">
        <v>299</v>
      </c>
      <c r="B44" s="35">
        <v>70.714544305944997</v>
      </c>
      <c r="C44" s="32">
        <v>71.830301457796196</v>
      </c>
      <c r="D44" s="32">
        <v>72.437147768366501</v>
      </c>
      <c r="E44" s="32">
        <v>70.646466353200907</v>
      </c>
      <c r="F44" s="15">
        <v>47.058823529411796</v>
      </c>
      <c r="G44" s="15">
        <v>64.705882352941202</v>
      </c>
      <c r="H44" s="15">
        <v>78.260869565217405</v>
      </c>
      <c r="I44" s="15">
        <v>90</v>
      </c>
      <c r="J44" s="15">
        <v>70.1388888888889</v>
      </c>
      <c r="K44" s="15">
        <v>58.974358974358999</v>
      </c>
      <c r="L44" s="15">
        <v>70.491803278688494</v>
      </c>
      <c r="M44" s="15">
        <v>77.631578947368396</v>
      </c>
      <c r="N44" s="15">
        <v>67.058823529411796</v>
      </c>
      <c r="O44" s="15">
        <v>72.093023255814003</v>
      </c>
      <c r="P44" s="15">
        <v>76.056338028168994</v>
      </c>
      <c r="Q44" s="15">
        <v>83.098591549295804</v>
      </c>
      <c r="R44" s="15">
        <v>46.153846153846203</v>
      </c>
      <c r="S44" s="15">
        <v>51.219512195122</v>
      </c>
      <c r="T44" s="15">
        <v>64.5833333333333</v>
      </c>
      <c r="U44" s="15">
        <v>52.380952380952401</v>
      </c>
      <c r="V44" s="15">
        <v>70.588235294117595</v>
      </c>
      <c r="W44" s="15">
        <v>57.627118644067799</v>
      </c>
      <c r="X44" s="15">
        <v>61.538461538461497</v>
      </c>
      <c r="Y44" s="15">
        <v>75</v>
      </c>
      <c r="Z44" s="15">
        <v>73.076923076923094</v>
      </c>
      <c r="AA44" s="15">
        <v>66.055045871559599</v>
      </c>
      <c r="AB44" s="15">
        <v>83.823529411764696</v>
      </c>
      <c r="AC44" s="15">
        <v>59.090909090909101</v>
      </c>
      <c r="AD44" s="15">
        <v>84.375</v>
      </c>
      <c r="AE44" s="15">
        <v>59.259259259259302</v>
      </c>
      <c r="AF44" s="15">
        <v>85.714285714285694</v>
      </c>
      <c r="AG44" s="15">
        <v>68.571428571428598</v>
      </c>
      <c r="AH44" s="15">
        <v>64.285714285714306</v>
      </c>
      <c r="AI44" s="20" t="s">
        <v>76</v>
      </c>
      <c r="AJ44" s="15">
        <v>69.369369369369394</v>
      </c>
      <c r="AK44" s="15">
        <v>93.3333333333333</v>
      </c>
      <c r="AL44" s="15">
        <v>74.4444444444444</v>
      </c>
      <c r="AM44" s="15">
        <v>64.0625</v>
      </c>
      <c r="AN44" s="20" t="s">
        <v>76</v>
      </c>
      <c r="AO44" s="15">
        <v>60</v>
      </c>
      <c r="AP44" s="15">
        <v>71.428571428571402</v>
      </c>
      <c r="AQ44" s="15">
        <v>76.923076923076906</v>
      </c>
      <c r="AR44" s="15">
        <v>23.636363636363601</v>
      </c>
      <c r="AS44" s="15">
        <v>72.727272727272705</v>
      </c>
      <c r="AT44" s="15">
        <v>69.230769230769198</v>
      </c>
      <c r="AU44" s="15">
        <v>81.632653061224502</v>
      </c>
      <c r="AV44" s="15">
        <v>54.794520547945197</v>
      </c>
      <c r="AW44" s="15">
        <v>69.827586206896598</v>
      </c>
      <c r="AX44" s="15">
        <v>81.25</v>
      </c>
      <c r="AY44" s="15">
        <v>74.285714285714306</v>
      </c>
      <c r="AZ44" s="15">
        <v>94</v>
      </c>
      <c r="BA44" s="15">
        <v>81.132075471698101</v>
      </c>
      <c r="BB44" s="15">
        <v>76.119402985074601</v>
      </c>
      <c r="BC44" s="15">
        <v>68.918918918918905</v>
      </c>
      <c r="BD44" s="15">
        <v>71.794871794871796</v>
      </c>
      <c r="BE44" s="15">
        <v>94.827586206896598</v>
      </c>
      <c r="BF44" s="15">
        <v>74.698795180722897</v>
      </c>
      <c r="BG44" s="15">
        <v>65.671641791044806</v>
      </c>
      <c r="BH44" s="15">
        <v>62.5</v>
      </c>
      <c r="BI44" s="15">
        <v>89.473684210526301</v>
      </c>
      <c r="BJ44" s="15">
        <v>84.821428571428598</v>
      </c>
      <c r="BK44" s="15">
        <v>62.5</v>
      </c>
      <c r="BL44" s="15">
        <v>67.96875</v>
      </c>
      <c r="BM44" s="15">
        <v>78.217821782178206</v>
      </c>
      <c r="BN44" s="15">
        <v>64.705882352941202</v>
      </c>
      <c r="BO44" s="15">
        <v>62.2222222222222</v>
      </c>
      <c r="BP44" s="15">
        <v>93.3333333333333</v>
      </c>
      <c r="BQ44" s="15">
        <v>78.082191780821901</v>
      </c>
      <c r="BR44" s="15">
        <v>55</v>
      </c>
      <c r="BS44" s="15">
        <v>77.108433734939794</v>
      </c>
      <c r="BT44" s="15">
        <v>70.731707317073202</v>
      </c>
      <c r="BU44" s="15">
        <v>82.242990654205599</v>
      </c>
      <c r="BV44" s="15">
        <v>88.8888888888889</v>
      </c>
      <c r="BW44" s="15">
        <v>62.318840579710098</v>
      </c>
      <c r="BX44" s="15">
        <v>100</v>
      </c>
      <c r="BY44" s="15">
        <v>74.603174603174594</v>
      </c>
      <c r="BZ44" s="15">
        <v>65.306122448979593</v>
      </c>
      <c r="CA44" s="32">
        <v>73.883249551655396</v>
      </c>
      <c r="CB44" s="15">
        <v>70.607028753993603</v>
      </c>
      <c r="CC44" s="15">
        <v>73.899371069182394</v>
      </c>
      <c r="CD44" s="15">
        <v>86.451612903225794</v>
      </c>
      <c r="CE44" s="20" t="s">
        <v>76</v>
      </c>
      <c r="CF44" s="15">
        <v>73.053892215568894</v>
      </c>
      <c r="CG44" s="15">
        <v>79.888268156424601</v>
      </c>
      <c r="CH44" s="15">
        <v>72.058823529411796</v>
      </c>
      <c r="CI44" s="15">
        <v>77.002053388090303</v>
      </c>
      <c r="CJ44" s="15">
        <v>77.647058823529406</v>
      </c>
      <c r="CK44" s="15">
        <v>73.991031390134495</v>
      </c>
      <c r="CL44" s="15">
        <v>76.363636363636402</v>
      </c>
      <c r="CM44" s="24">
        <v>73.233404710920794</v>
      </c>
      <c r="CN44" s="37"/>
    </row>
    <row r="45" spans="1:92">
      <c r="A45" s="9" t="s">
        <v>300</v>
      </c>
      <c r="B45" s="35">
        <v>5.6496898069387997</v>
      </c>
      <c r="C45" s="32">
        <v>5.70576741092344</v>
      </c>
      <c r="D45" s="32">
        <v>4.6490130439998403</v>
      </c>
      <c r="E45" s="32">
        <v>6.4410502220328398</v>
      </c>
      <c r="F45" s="20" t="s">
        <v>76</v>
      </c>
      <c r="G45" s="20" t="s">
        <v>76</v>
      </c>
      <c r="H45" s="20" t="s">
        <v>76</v>
      </c>
      <c r="I45" s="20" t="s">
        <v>76</v>
      </c>
      <c r="J45" s="15">
        <v>5.5555555555555598</v>
      </c>
      <c r="K45" s="20" t="s">
        <v>76</v>
      </c>
      <c r="L45" s="20" t="s">
        <v>76</v>
      </c>
      <c r="M45" s="20" t="s">
        <v>76</v>
      </c>
      <c r="N45" s="20" t="s">
        <v>76</v>
      </c>
      <c r="O45" s="20" t="s">
        <v>76</v>
      </c>
      <c r="P45" s="15">
        <v>12.6760563380282</v>
      </c>
      <c r="Q45" s="15">
        <v>7.0422535211267601</v>
      </c>
      <c r="R45" s="20" t="s">
        <v>76</v>
      </c>
      <c r="S45" s="20" t="s">
        <v>76</v>
      </c>
      <c r="T45" s="20" t="s">
        <v>76</v>
      </c>
      <c r="U45" s="20" t="s">
        <v>76</v>
      </c>
      <c r="V45" s="20" t="s">
        <v>76</v>
      </c>
      <c r="W45" s="20" t="s">
        <v>76</v>
      </c>
      <c r="X45" s="20" t="s">
        <v>76</v>
      </c>
      <c r="Y45" s="20" t="s">
        <v>76</v>
      </c>
      <c r="Z45" s="15">
        <v>6.4102564102564097</v>
      </c>
      <c r="AA45" s="15">
        <v>8.2568807339449499</v>
      </c>
      <c r="AB45" s="15">
        <v>13.235294117647101</v>
      </c>
      <c r="AC45" s="15">
        <v>9.8484848484848495</v>
      </c>
      <c r="AD45" s="20" t="s">
        <v>76</v>
      </c>
      <c r="AE45" s="20" t="s">
        <v>76</v>
      </c>
      <c r="AF45" s="20" t="s">
        <v>76</v>
      </c>
      <c r="AG45" s="15">
        <v>5.71428571428571</v>
      </c>
      <c r="AH45" s="15">
        <v>8.9285714285714306</v>
      </c>
      <c r="AI45" s="20" t="s">
        <v>76</v>
      </c>
      <c r="AJ45" s="15">
        <v>7.20720720720721</v>
      </c>
      <c r="AK45" s="20" t="s">
        <v>76</v>
      </c>
      <c r="AL45" s="15">
        <v>6.6666666666666696</v>
      </c>
      <c r="AM45" s="15">
        <v>7.8125</v>
      </c>
      <c r="AN45" s="20" t="s">
        <v>76</v>
      </c>
      <c r="AO45" s="20" t="s">
        <v>76</v>
      </c>
      <c r="AP45" s="20" t="s">
        <v>76</v>
      </c>
      <c r="AQ45" s="15">
        <v>12.8205128205128</v>
      </c>
      <c r="AR45" s="20" t="s">
        <v>76</v>
      </c>
      <c r="AS45" s="20" t="s">
        <v>76</v>
      </c>
      <c r="AT45" s="15">
        <v>10.7692307692308</v>
      </c>
      <c r="AU45" s="20" t="s">
        <v>76</v>
      </c>
      <c r="AV45" s="20" t="s">
        <v>76</v>
      </c>
      <c r="AW45" s="15">
        <v>6.0344827586206904</v>
      </c>
      <c r="AX45" s="20" t="s">
        <v>76</v>
      </c>
      <c r="AY45" s="20" t="s">
        <v>76</v>
      </c>
      <c r="AZ45" s="20" t="s">
        <v>76</v>
      </c>
      <c r="BA45" s="20" t="s">
        <v>76</v>
      </c>
      <c r="BB45" s="15">
        <v>8.9552238805970106</v>
      </c>
      <c r="BC45" s="20" t="s">
        <v>76</v>
      </c>
      <c r="BD45" s="15">
        <v>7.6923076923076898</v>
      </c>
      <c r="BE45" s="20" t="s">
        <v>76</v>
      </c>
      <c r="BF45" s="15">
        <v>7.2289156626505999</v>
      </c>
      <c r="BG45" s="20" t="s">
        <v>76</v>
      </c>
      <c r="BH45" s="20" t="s">
        <v>76</v>
      </c>
      <c r="BI45" s="20" t="s">
        <v>76</v>
      </c>
      <c r="BJ45" s="15">
        <v>8.0357142857142794</v>
      </c>
      <c r="BK45" s="20" t="s">
        <v>76</v>
      </c>
      <c r="BL45" s="15">
        <v>5.46875</v>
      </c>
      <c r="BM45" s="15">
        <v>6.9306930693069297</v>
      </c>
      <c r="BN45" s="15">
        <v>14.285714285714301</v>
      </c>
      <c r="BO45" s="15">
        <v>5.5555555555555598</v>
      </c>
      <c r="BP45" s="20" t="s">
        <v>76</v>
      </c>
      <c r="BQ45" s="15">
        <v>6.8493150684931496</v>
      </c>
      <c r="BR45" s="20" t="s">
        <v>76</v>
      </c>
      <c r="BS45" s="20" t="s">
        <v>76</v>
      </c>
      <c r="BT45" s="20" t="s">
        <v>76</v>
      </c>
      <c r="BU45" s="15">
        <v>7.4766355140186898</v>
      </c>
      <c r="BV45" s="15">
        <v>11.1111111111111</v>
      </c>
      <c r="BW45" s="20" t="s">
        <v>76</v>
      </c>
      <c r="BX45" s="20" t="s">
        <v>76</v>
      </c>
      <c r="BY45" s="20" t="s">
        <v>76</v>
      </c>
      <c r="BZ45" s="20" t="s">
        <v>76</v>
      </c>
      <c r="CA45" s="32">
        <v>3.2018163863889</v>
      </c>
      <c r="CB45" s="15">
        <v>3.8338658146964901</v>
      </c>
      <c r="CC45" s="15">
        <v>2.5157232704402501</v>
      </c>
      <c r="CD45" s="15">
        <v>3.87096774193548</v>
      </c>
      <c r="CE45" s="20" t="s">
        <v>76</v>
      </c>
      <c r="CF45" s="15">
        <v>2.6946107784431099</v>
      </c>
      <c r="CG45" s="15">
        <v>3.3519553072625698</v>
      </c>
      <c r="CH45" s="15">
        <v>2.2058823529411802</v>
      </c>
      <c r="CI45" s="15">
        <v>3.49075975359343</v>
      </c>
      <c r="CJ45" s="15">
        <v>5.4901960784313699</v>
      </c>
      <c r="CK45" s="15">
        <v>4.4843049327354301</v>
      </c>
      <c r="CL45" s="15">
        <v>3.7878787878787898</v>
      </c>
      <c r="CM45" s="24">
        <v>3.21199143468951</v>
      </c>
      <c r="CN45" s="37"/>
    </row>
    <row r="46" spans="1:92">
      <c r="A46" s="9" t="s">
        <v>301</v>
      </c>
      <c r="B46" s="35">
        <v>21.748359918418199</v>
      </c>
      <c r="C46" s="32">
        <v>22.559460264461698</v>
      </c>
      <c r="D46" s="32">
        <v>20.992144639413301</v>
      </c>
      <c r="E46" s="32">
        <v>23.336170515661699</v>
      </c>
      <c r="F46" s="15">
        <v>29.411764705882401</v>
      </c>
      <c r="G46" s="20" t="s">
        <v>76</v>
      </c>
      <c r="H46" s="15">
        <v>34.7826086956522</v>
      </c>
      <c r="I46" s="15">
        <v>60</v>
      </c>
      <c r="J46" s="15">
        <v>19.4444444444444</v>
      </c>
      <c r="K46" s="15">
        <v>23.076923076923102</v>
      </c>
      <c r="L46" s="15">
        <v>16.393442622950801</v>
      </c>
      <c r="M46" s="15">
        <v>17.105263157894701</v>
      </c>
      <c r="N46" s="15">
        <v>21.176470588235301</v>
      </c>
      <c r="O46" s="15">
        <v>16.2790697674419</v>
      </c>
      <c r="P46" s="15">
        <v>28.169014084507001</v>
      </c>
      <c r="Q46" s="15">
        <v>22.5352112676056</v>
      </c>
      <c r="R46" s="20" t="s">
        <v>76</v>
      </c>
      <c r="S46" s="15">
        <v>29.268292682926798</v>
      </c>
      <c r="T46" s="15">
        <v>31.25</v>
      </c>
      <c r="U46" s="20" t="s">
        <v>76</v>
      </c>
      <c r="V46" s="15">
        <v>32.352941176470601</v>
      </c>
      <c r="W46" s="15">
        <v>23.728813559321999</v>
      </c>
      <c r="X46" s="20" t="s">
        <v>76</v>
      </c>
      <c r="Y46" s="20" t="s">
        <v>76</v>
      </c>
      <c r="Z46" s="15">
        <v>39.743589743589702</v>
      </c>
      <c r="AA46" s="15">
        <v>30.275229357798199</v>
      </c>
      <c r="AB46" s="15">
        <v>26.470588235294102</v>
      </c>
      <c r="AC46" s="15">
        <v>29.545454545454501</v>
      </c>
      <c r="AD46" s="15">
        <v>15.625</v>
      </c>
      <c r="AE46" s="15">
        <v>18.518518518518501</v>
      </c>
      <c r="AF46" s="20" t="s">
        <v>76</v>
      </c>
      <c r="AG46" s="15">
        <v>14.285714285714301</v>
      </c>
      <c r="AH46" s="15">
        <v>16.071428571428601</v>
      </c>
      <c r="AI46" s="20" t="s">
        <v>76</v>
      </c>
      <c r="AJ46" s="15">
        <v>32.4324324324324</v>
      </c>
      <c r="AK46" s="20" t="s">
        <v>76</v>
      </c>
      <c r="AL46" s="15">
        <v>25.5555555555556</v>
      </c>
      <c r="AM46" s="15">
        <v>17.1875</v>
      </c>
      <c r="AN46" s="20" t="s">
        <v>76</v>
      </c>
      <c r="AO46" s="15">
        <v>20</v>
      </c>
      <c r="AP46" s="15">
        <v>24.675324675324699</v>
      </c>
      <c r="AQ46" s="15">
        <v>41.025641025641001</v>
      </c>
      <c r="AR46" s="15">
        <v>10.909090909090899</v>
      </c>
      <c r="AS46" s="20" t="s">
        <v>76</v>
      </c>
      <c r="AT46" s="15">
        <v>24.615384615384599</v>
      </c>
      <c r="AU46" s="15">
        <v>30.612244897959201</v>
      </c>
      <c r="AV46" s="15">
        <v>20.5479452054795</v>
      </c>
      <c r="AW46" s="15">
        <v>27.586206896551701</v>
      </c>
      <c r="AX46" s="15">
        <v>31.25</v>
      </c>
      <c r="AY46" s="15">
        <v>28.571428571428601</v>
      </c>
      <c r="AZ46" s="15">
        <v>26</v>
      </c>
      <c r="BA46" s="15">
        <v>24.528301886792502</v>
      </c>
      <c r="BB46" s="15">
        <v>35.820895522388099</v>
      </c>
      <c r="BC46" s="15">
        <v>29.729729729729701</v>
      </c>
      <c r="BD46" s="15">
        <v>25.6410256410256</v>
      </c>
      <c r="BE46" s="15">
        <v>10.3448275862069</v>
      </c>
      <c r="BF46" s="15">
        <v>26.506024096385499</v>
      </c>
      <c r="BG46" s="15">
        <v>23.880597014925399</v>
      </c>
      <c r="BH46" s="20" t="s">
        <v>76</v>
      </c>
      <c r="BI46" s="20" t="s">
        <v>76</v>
      </c>
      <c r="BJ46" s="15">
        <v>25.8928571428571</v>
      </c>
      <c r="BK46" s="15">
        <v>20</v>
      </c>
      <c r="BL46" s="15">
        <v>14.84375</v>
      </c>
      <c r="BM46" s="15">
        <v>13.8613861386139</v>
      </c>
      <c r="BN46" s="15">
        <v>29.411764705882401</v>
      </c>
      <c r="BO46" s="15">
        <v>28.8888888888889</v>
      </c>
      <c r="BP46" s="20" t="s">
        <v>76</v>
      </c>
      <c r="BQ46" s="15">
        <v>17.808219178082201</v>
      </c>
      <c r="BR46" s="15">
        <v>10</v>
      </c>
      <c r="BS46" s="15">
        <v>27.710843373494001</v>
      </c>
      <c r="BT46" s="15">
        <v>25.609756097561</v>
      </c>
      <c r="BU46" s="15">
        <v>27.1028037383178</v>
      </c>
      <c r="BV46" s="15">
        <v>32.323232323232297</v>
      </c>
      <c r="BW46" s="15">
        <v>21.739130434782599</v>
      </c>
      <c r="BX46" s="20" t="s">
        <v>76</v>
      </c>
      <c r="BY46" s="15">
        <v>20.634920634920601</v>
      </c>
      <c r="BZ46" s="15">
        <v>25.850340136054399</v>
      </c>
      <c r="CA46" s="32">
        <v>19.099178101083101</v>
      </c>
      <c r="CB46" s="15">
        <v>13.7380191693291</v>
      </c>
      <c r="CC46" s="15">
        <v>18.238993710691801</v>
      </c>
      <c r="CD46" s="15">
        <v>14.8387096774194</v>
      </c>
      <c r="CE46" s="20" t="s">
        <v>76</v>
      </c>
      <c r="CF46" s="15">
        <v>19.461077844311401</v>
      </c>
      <c r="CG46" s="15">
        <v>29.050279329608902</v>
      </c>
      <c r="CH46" s="15">
        <v>15.4411764705882</v>
      </c>
      <c r="CI46" s="15">
        <v>22.176591375769998</v>
      </c>
      <c r="CJ46" s="15">
        <v>26.6666666666667</v>
      </c>
      <c r="CK46" s="15">
        <v>19.282511210762301</v>
      </c>
      <c r="CL46" s="15">
        <v>22.727272727272702</v>
      </c>
      <c r="CM46" s="24">
        <v>18.629550321199101</v>
      </c>
      <c r="CN46" s="37"/>
    </row>
    <row r="47" spans="1:92">
      <c r="A47" s="9" t="s">
        <v>302</v>
      </c>
      <c r="B47" s="35">
        <v>7.8932173642932097</v>
      </c>
      <c r="C47" s="32">
        <v>8.37442602833206</v>
      </c>
      <c r="D47" s="32">
        <v>9.9264757742552696</v>
      </c>
      <c r="E47" s="32">
        <v>9.5350759542075991</v>
      </c>
      <c r="F47" s="20" t="s">
        <v>76</v>
      </c>
      <c r="G47" s="20" t="s">
        <v>76</v>
      </c>
      <c r="H47" s="20" t="s">
        <v>76</v>
      </c>
      <c r="I47" s="20" t="s">
        <v>76</v>
      </c>
      <c r="J47" s="15">
        <v>4.8611111111111098</v>
      </c>
      <c r="K47" s="20" t="s">
        <v>76</v>
      </c>
      <c r="L47" s="15">
        <v>29.508196721311499</v>
      </c>
      <c r="M47" s="20" t="s">
        <v>76</v>
      </c>
      <c r="N47" s="15">
        <v>5.8823529411764701</v>
      </c>
      <c r="O47" s="20" t="s">
        <v>76</v>
      </c>
      <c r="P47" s="15">
        <v>9.8591549295774694</v>
      </c>
      <c r="Q47" s="15">
        <v>11.2676056338028</v>
      </c>
      <c r="R47" s="20" t="s">
        <v>76</v>
      </c>
      <c r="S47" s="15">
        <v>12.1951219512195</v>
      </c>
      <c r="T47" s="20" t="s">
        <v>76</v>
      </c>
      <c r="U47" s="20" t="s">
        <v>76</v>
      </c>
      <c r="V47" s="20" t="s">
        <v>76</v>
      </c>
      <c r="W47" s="20" t="s">
        <v>76</v>
      </c>
      <c r="X47" s="20" t="s">
        <v>76</v>
      </c>
      <c r="Y47" s="20" t="s">
        <v>76</v>
      </c>
      <c r="Z47" s="15">
        <v>10.2564102564103</v>
      </c>
      <c r="AA47" s="15">
        <v>11.926605504587201</v>
      </c>
      <c r="AB47" s="15">
        <v>11.764705882352899</v>
      </c>
      <c r="AC47" s="15">
        <v>12.8787878787879</v>
      </c>
      <c r="AD47" s="15">
        <v>21.875</v>
      </c>
      <c r="AE47" s="20" t="s">
        <v>76</v>
      </c>
      <c r="AF47" s="20" t="s">
        <v>76</v>
      </c>
      <c r="AG47" s="15">
        <v>4.7619047619047601</v>
      </c>
      <c r="AH47" s="20" t="s">
        <v>76</v>
      </c>
      <c r="AI47" s="20" t="s">
        <v>76</v>
      </c>
      <c r="AJ47" s="15">
        <v>7.20720720720721</v>
      </c>
      <c r="AK47" s="15">
        <v>30</v>
      </c>
      <c r="AL47" s="15">
        <v>12.2222222222222</v>
      </c>
      <c r="AM47" s="15">
        <v>15.625</v>
      </c>
      <c r="AN47" s="20" t="s">
        <v>76</v>
      </c>
      <c r="AO47" s="20" t="s">
        <v>76</v>
      </c>
      <c r="AP47" s="20" t="s">
        <v>76</v>
      </c>
      <c r="AQ47" s="15">
        <v>15.384615384615399</v>
      </c>
      <c r="AR47" s="20" t="s">
        <v>76</v>
      </c>
      <c r="AS47" s="20" t="s">
        <v>76</v>
      </c>
      <c r="AT47" s="20" t="s">
        <v>76</v>
      </c>
      <c r="AU47" s="20" t="s">
        <v>76</v>
      </c>
      <c r="AV47" s="20" t="s">
        <v>76</v>
      </c>
      <c r="AW47" s="15">
        <v>11.2068965517241</v>
      </c>
      <c r="AX47" s="20" t="s">
        <v>76</v>
      </c>
      <c r="AY47" s="20" t="s">
        <v>76</v>
      </c>
      <c r="AZ47" s="15">
        <v>10</v>
      </c>
      <c r="BA47" s="20" t="s">
        <v>76</v>
      </c>
      <c r="BB47" s="15">
        <v>32.835820895522403</v>
      </c>
      <c r="BC47" s="20" t="s">
        <v>76</v>
      </c>
      <c r="BD47" s="15">
        <v>16.6666666666667</v>
      </c>
      <c r="BE47" s="20" t="s">
        <v>76</v>
      </c>
      <c r="BF47" s="15">
        <v>9.6385542168674707</v>
      </c>
      <c r="BG47" s="15">
        <v>10.4477611940298</v>
      </c>
      <c r="BH47" s="15">
        <v>20.8333333333333</v>
      </c>
      <c r="BI47" s="20" t="s">
        <v>76</v>
      </c>
      <c r="BJ47" s="15">
        <v>12.5</v>
      </c>
      <c r="BK47" s="15">
        <v>55</v>
      </c>
      <c r="BL47" s="15">
        <v>9.375</v>
      </c>
      <c r="BM47" s="15">
        <v>5.9405940594059397</v>
      </c>
      <c r="BN47" s="15">
        <v>10.084033613445399</v>
      </c>
      <c r="BO47" s="20" t="s">
        <v>76</v>
      </c>
      <c r="BP47" s="20" t="s">
        <v>76</v>
      </c>
      <c r="BQ47" s="15">
        <v>8.2191780821917799</v>
      </c>
      <c r="BR47" s="15">
        <v>11.6666666666667</v>
      </c>
      <c r="BS47" s="15">
        <v>8.4337349397590398</v>
      </c>
      <c r="BT47" s="20" t="s">
        <v>76</v>
      </c>
      <c r="BU47" s="15">
        <v>8.4112149532710294</v>
      </c>
      <c r="BV47" s="15">
        <v>24.2424242424242</v>
      </c>
      <c r="BW47" s="15">
        <v>8.6956521739130395</v>
      </c>
      <c r="BX47" s="15">
        <v>55.5555555555556</v>
      </c>
      <c r="BY47" s="20" t="s">
        <v>76</v>
      </c>
      <c r="BZ47" s="15">
        <v>10.8843537414966</v>
      </c>
      <c r="CA47" s="32">
        <v>10.242558787658099</v>
      </c>
      <c r="CB47" s="15">
        <v>8.6261980830670897</v>
      </c>
      <c r="CC47" s="15">
        <v>4.0880503144654101</v>
      </c>
      <c r="CD47" s="15">
        <v>5.1612903225806503</v>
      </c>
      <c r="CE47" s="20" t="s">
        <v>76</v>
      </c>
      <c r="CF47" s="15">
        <v>6.88622754491018</v>
      </c>
      <c r="CG47" s="15">
        <v>8.3798882681564208</v>
      </c>
      <c r="CH47" s="15">
        <v>13.235294117647101</v>
      </c>
      <c r="CI47" s="15">
        <v>8.0082135523614006</v>
      </c>
      <c r="CJ47" s="15">
        <v>19.6078431372549</v>
      </c>
      <c r="CK47" s="15">
        <v>12.1076233183857</v>
      </c>
      <c r="CL47" s="15">
        <v>16.969696969697001</v>
      </c>
      <c r="CM47" s="24">
        <v>10.0642398286938</v>
      </c>
      <c r="CN47" s="37"/>
    </row>
    <row r="48" spans="1:92">
      <c r="A48" s="9" t="s">
        <v>303</v>
      </c>
      <c r="B48" s="35">
        <v>9.1008720610949503</v>
      </c>
      <c r="C48" s="32">
        <v>8.6157201597710795</v>
      </c>
      <c r="D48" s="32">
        <v>10.0382299499314</v>
      </c>
      <c r="E48" s="32">
        <v>10.1007329160604</v>
      </c>
      <c r="F48" s="20" t="s">
        <v>76</v>
      </c>
      <c r="G48" s="20" t="s">
        <v>76</v>
      </c>
      <c r="H48" s="20" t="s">
        <v>76</v>
      </c>
      <c r="I48" s="20" t="s">
        <v>76</v>
      </c>
      <c r="J48" s="15">
        <v>4.1666666666666696</v>
      </c>
      <c r="K48" s="15">
        <v>12.8205128205128</v>
      </c>
      <c r="L48" s="15">
        <v>8.1967213114754092</v>
      </c>
      <c r="M48" s="15">
        <v>7.8947368421052602</v>
      </c>
      <c r="N48" s="15">
        <v>5.8823529411764701</v>
      </c>
      <c r="O48" s="20" t="s">
        <v>76</v>
      </c>
      <c r="P48" s="15">
        <v>15.492957746478901</v>
      </c>
      <c r="Q48" s="20" t="s">
        <v>76</v>
      </c>
      <c r="R48" s="20" t="s">
        <v>76</v>
      </c>
      <c r="S48" s="15">
        <v>14.634146341463399</v>
      </c>
      <c r="T48" s="15">
        <v>10.4166666666667</v>
      </c>
      <c r="U48" s="20" t="s">
        <v>76</v>
      </c>
      <c r="V48" s="20" t="s">
        <v>76</v>
      </c>
      <c r="W48" s="15">
        <v>8.4745762711864394</v>
      </c>
      <c r="X48" s="20" t="s">
        <v>76</v>
      </c>
      <c r="Y48" s="20" t="s">
        <v>76</v>
      </c>
      <c r="Z48" s="15">
        <v>12.8205128205128</v>
      </c>
      <c r="AA48" s="15">
        <v>18.348623853210999</v>
      </c>
      <c r="AB48" s="15">
        <v>36.764705882352899</v>
      </c>
      <c r="AC48" s="15">
        <v>12.1212121212121</v>
      </c>
      <c r="AD48" s="15">
        <v>18.75</v>
      </c>
      <c r="AE48" s="20" t="s">
        <v>76</v>
      </c>
      <c r="AF48" s="20" t="s">
        <v>76</v>
      </c>
      <c r="AG48" s="15">
        <v>6.6666666666666696</v>
      </c>
      <c r="AH48" s="15">
        <v>8.9285714285714306</v>
      </c>
      <c r="AI48" s="20" t="s">
        <v>76</v>
      </c>
      <c r="AJ48" s="20" t="s">
        <v>76</v>
      </c>
      <c r="AK48" s="20" t="s">
        <v>76</v>
      </c>
      <c r="AL48" s="15">
        <v>11.1111111111111</v>
      </c>
      <c r="AM48" s="20" t="s">
        <v>76</v>
      </c>
      <c r="AN48" s="20" t="s">
        <v>76</v>
      </c>
      <c r="AO48" s="20" t="s">
        <v>76</v>
      </c>
      <c r="AP48" s="15">
        <v>6.4935064935064899</v>
      </c>
      <c r="AQ48" s="15">
        <v>12.8205128205128</v>
      </c>
      <c r="AR48" s="20" t="s">
        <v>76</v>
      </c>
      <c r="AS48" s="20" t="s">
        <v>76</v>
      </c>
      <c r="AT48" s="15">
        <v>7.6923076923076898</v>
      </c>
      <c r="AU48" s="20" t="s">
        <v>76</v>
      </c>
      <c r="AV48" s="20" t="s">
        <v>76</v>
      </c>
      <c r="AW48" s="15">
        <v>4.31034482758621</v>
      </c>
      <c r="AX48" s="20" t="s">
        <v>76</v>
      </c>
      <c r="AY48" s="15">
        <v>17.1428571428571</v>
      </c>
      <c r="AZ48" s="15">
        <v>14</v>
      </c>
      <c r="BA48" s="15">
        <v>9.4339622641509404</v>
      </c>
      <c r="BB48" s="15">
        <v>19.402985074626901</v>
      </c>
      <c r="BC48" s="15">
        <v>10.8108108108108</v>
      </c>
      <c r="BD48" s="15">
        <v>11.538461538461499</v>
      </c>
      <c r="BE48" s="20" t="s">
        <v>76</v>
      </c>
      <c r="BF48" s="15">
        <v>9.6385542168674707</v>
      </c>
      <c r="BG48" s="15">
        <v>7.4626865671641802</v>
      </c>
      <c r="BH48" s="20" t="s">
        <v>76</v>
      </c>
      <c r="BI48" s="15">
        <v>42.105263157894697</v>
      </c>
      <c r="BJ48" s="15">
        <v>9.8214285714285694</v>
      </c>
      <c r="BK48" s="15">
        <v>12.5</v>
      </c>
      <c r="BL48" s="15">
        <v>8.59375</v>
      </c>
      <c r="BM48" s="15">
        <v>4.9504950495049496</v>
      </c>
      <c r="BN48" s="15">
        <v>10.924369747899201</v>
      </c>
      <c r="BO48" s="15">
        <v>11.1111111111111</v>
      </c>
      <c r="BP48" s="20" t="s">
        <v>76</v>
      </c>
      <c r="BQ48" s="20" t="s">
        <v>76</v>
      </c>
      <c r="BR48" s="15">
        <v>8.3333333333333304</v>
      </c>
      <c r="BS48" s="20" t="s">
        <v>76</v>
      </c>
      <c r="BT48" s="15">
        <v>7.3170731707317103</v>
      </c>
      <c r="BU48" s="15">
        <v>14.953271028037401</v>
      </c>
      <c r="BV48" s="15">
        <v>20.202020202020201</v>
      </c>
      <c r="BW48" s="20" t="s">
        <v>76</v>
      </c>
      <c r="BX48" s="20" t="s">
        <v>76</v>
      </c>
      <c r="BY48" s="20" t="s">
        <v>76</v>
      </c>
      <c r="BZ48" s="15">
        <v>15.6462585034014</v>
      </c>
      <c r="CA48" s="32">
        <v>9.9877543879388799</v>
      </c>
      <c r="CB48" s="15">
        <v>11.182108626198101</v>
      </c>
      <c r="CC48" s="15">
        <v>10.377358490565999</v>
      </c>
      <c r="CD48" s="15">
        <v>4.5161290322580596</v>
      </c>
      <c r="CE48" s="20" t="s">
        <v>76</v>
      </c>
      <c r="CF48" s="15">
        <v>10.179640718562901</v>
      </c>
      <c r="CG48" s="15">
        <v>12.290502793296101</v>
      </c>
      <c r="CH48" s="15">
        <v>7.9044117647058796</v>
      </c>
      <c r="CI48" s="15">
        <v>7.3921971252566703</v>
      </c>
      <c r="CJ48" s="15">
        <v>8.62745098039216</v>
      </c>
      <c r="CK48" s="15">
        <v>9.4170403587443907</v>
      </c>
      <c r="CL48" s="15">
        <v>16.818181818181799</v>
      </c>
      <c r="CM48" s="24">
        <v>8.7794432548179895</v>
      </c>
      <c r="CN48" s="37"/>
    </row>
    <row r="49" spans="1:92">
      <c r="A49" s="9" t="s">
        <v>304</v>
      </c>
      <c r="B49" s="35">
        <v>13.1062314083759</v>
      </c>
      <c r="C49" s="32">
        <v>18.407599200068699</v>
      </c>
      <c r="D49" s="32">
        <v>14.164303280191801</v>
      </c>
      <c r="E49" s="32">
        <v>14.6099745522344</v>
      </c>
      <c r="F49" s="20" t="s">
        <v>76</v>
      </c>
      <c r="G49" s="20" t="s">
        <v>76</v>
      </c>
      <c r="H49" s="20" t="s">
        <v>76</v>
      </c>
      <c r="I49" s="15">
        <v>50</v>
      </c>
      <c r="J49" s="15">
        <v>19.4444444444444</v>
      </c>
      <c r="K49" s="15">
        <v>17.948717948717899</v>
      </c>
      <c r="L49" s="15">
        <v>13.1147540983607</v>
      </c>
      <c r="M49" s="15">
        <v>9.2105263157894708</v>
      </c>
      <c r="N49" s="15">
        <v>11.764705882352899</v>
      </c>
      <c r="O49" s="20" t="s">
        <v>76</v>
      </c>
      <c r="P49" s="15">
        <v>18.309859154929601</v>
      </c>
      <c r="Q49" s="15">
        <v>11.2676056338028</v>
      </c>
      <c r="R49" s="20" t="s">
        <v>76</v>
      </c>
      <c r="S49" s="15">
        <v>14.634146341463399</v>
      </c>
      <c r="T49" s="15">
        <v>16.6666666666667</v>
      </c>
      <c r="U49" s="20" t="s">
        <v>76</v>
      </c>
      <c r="V49" s="15">
        <v>14.705882352941201</v>
      </c>
      <c r="W49" s="15">
        <v>13.559322033898299</v>
      </c>
      <c r="X49" s="20" t="s">
        <v>76</v>
      </c>
      <c r="Y49" s="20" t="s">
        <v>76</v>
      </c>
      <c r="Z49" s="15">
        <v>20.5128205128205</v>
      </c>
      <c r="AA49" s="15">
        <v>19.2660550458716</v>
      </c>
      <c r="AB49" s="15">
        <v>26.470588235294102</v>
      </c>
      <c r="AC49" s="15">
        <v>21.969696969697001</v>
      </c>
      <c r="AD49" s="15">
        <v>15.625</v>
      </c>
      <c r="AE49" s="20" t="s">
        <v>76</v>
      </c>
      <c r="AF49" s="20" t="s">
        <v>76</v>
      </c>
      <c r="AG49" s="15">
        <v>8.5714285714285694</v>
      </c>
      <c r="AH49" s="20" t="s">
        <v>76</v>
      </c>
      <c r="AI49" s="20" t="s">
        <v>76</v>
      </c>
      <c r="AJ49" s="15">
        <v>14.4144144144144</v>
      </c>
      <c r="AK49" s="15">
        <v>36.6666666666667</v>
      </c>
      <c r="AL49" s="15">
        <v>17.7777777777778</v>
      </c>
      <c r="AM49" s="15">
        <v>7.8125</v>
      </c>
      <c r="AN49" s="20" t="s">
        <v>76</v>
      </c>
      <c r="AO49" s="20" t="s">
        <v>76</v>
      </c>
      <c r="AP49" s="20" t="s">
        <v>76</v>
      </c>
      <c r="AQ49" s="15">
        <v>15.384615384615399</v>
      </c>
      <c r="AR49" s="15">
        <v>18.181818181818201</v>
      </c>
      <c r="AS49" s="20" t="s">
        <v>76</v>
      </c>
      <c r="AT49" s="15">
        <v>20</v>
      </c>
      <c r="AU49" s="15">
        <v>14.285714285714301</v>
      </c>
      <c r="AV49" s="15">
        <v>10.958904109589</v>
      </c>
      <c r="AW49" s="15">
        <v>13.7931034482759</v>
      </c>
      <c r="AX49" s="20" t="s">
        <v>76</v>
      </c>
      <c r="AY49" s="15">
        <v>22.8571428571429</v>
      </c>
      <c r="AZ49" s="15">
        <v>14</v>
      </c>
      <c r="BA49" s="15">
        <v>13.207547169811299</v>
      </c>
      <c r="BB49" s="15">
        <v>20.8955223880597</v>
      </c>
      <c r="BC49" s="15">
        <v>21.6216216216216</v>
      </c>
      <c r="BD49" s="15">
        <v>12.8205128205128</v>
      </c>
      <c r="BE49" s="20" t="s">
        <v>76</v>
      </c>
      <c r="BF49" s="15">
        <v>10.8433734939759</v>
      </c>
      <c r="BG49" s="15">
        <v>14.9253731343284</v>
      </c>
      <c r="BH49" s="15">
        <v>29.1666666666667</v>
      </c>
      <c r="BI49" s="20" t="s">
        <v>76</v>
      </c>
      <c r="BJ49" s="15">
        <v>10.714285714285699</v>
      </c>
      <c r="BK49" s="20" t="s">
        <v>76</v>
      </c>
      <c r="BL49" s="15">
        <v>17.1875</v>
      </c>
      <c r="BM49" s="15">
        <v>14.8514851485149</v>
      </c>
      <c r="BN49" s="15">
        <v>16.806722689075599</v>
      </c>
      <c r="BO49" s="15">
        <v>22.2222222222222</v>
      </c>
      <c r="BP49" s="20" t="s">
        <v>76</v>
      </c>
      <c r="BQ49" s="15">
        <v>9.5890410958904102</v>
      </c>
      <c r="BR49" s="15">
        <v>11.6666666666667</v>
      </c>
      <c r="BS49" s="15">
        <v>9.6385542168674707</v>
      </c>
      <c r="BT49" s="15">
        <v>15.853658536585399</v>
      </c>
      <c r="BU49" s="15">
        <v>14.018691588785</v>
      </c>
      <c r="BV49" s="15">
        <v>35.353535353535399</v>
      </c>
      <c r="BW49" s="15">
        <v>7.2463768115942004</v>
      </c>
      <c r="BX49" s="20" t="s">
        <v>76</v>
      </c>
      <c r="BY49" s="20" t="s">
        <v>76</v>
      </c>
      <c r="BZ49" s="15">
        <v>14.285714285714301</v>
      </c>
      <c r="CA49" s="32">
        <v>13.8043922341492</v>
      </c>
      <c r="CB49" s="15">
        <v>11.182108626198101</v>
      </c>
      <c r="CC49" s="15">
        <v>9.7484276729559696</v>
      </c>
      <c r="CD49" s="15">
        <v>14.8387096774194</v>
      </c>
      <c r="CE49" s="20" t="s">
        <v>76</v>
      </c>
      <c r="CF49" s="15">
        <v>10.179640718562901</v>
      </c>
      <c r="CG49" s="15">
        <v>17.318435754189899</v>
      </c>
      <c r="CH49" s="15">
        <v>14.889705882352899</v>
      </c>
      <c r="CI49" s="15">
        <v>14.9897330595483</v>
      </c>
      <c r="CJ49" s="15">
        <v>14.509803921568601</v>
      </c>
      <c r="CK49" s="15">
        <v>14.7982062780269</v>
      </c>
      <c r="CL49" s="15">
        <v>17.272727272727298</v>
      </c>
      <c r="CM49" s="24">
        <v>14.9892933618844</v>
      </c>
      <c r="CN49" s="37"/>
    </row>
    <row r="50" spans="1:92">
      <c r="A50" s="9" t="s">
        <v>305</v>
      </c>
      <c r="B50" s="35">
        <v>61.743324930935401</v>
      </c>
      <c r="C50" s="32">
        <v>62.345310132799398</v>
      </c>
      <c r="D50" s="32">
        <v>60.446343594748903</v>
      </c>
      <c r="E50" s="32">
        <v>68.831175592659207</v>
      </c>
      <c r="F50" s="15">
        <v>82.352941176470594</v>
      </c>
      <c r="G50" s="15">
        <v>88.235294117647101</v>
      </c>
      <c r="H50" s="15">
        <v>91.304347826086996</v>
      </c>
      <c r="I50" s="15">
        <v>80</v>
      </c>
      <c r="J50" s="15">
        <v>63.8888888888889</v>
      </c>
      <c r="K50" s="15">
        <v>87.179487179487197</v>
      </c>
      <c r="L50" s="15">
        <v>49.180327868852501</v>
      </c>
      <c r="M50" s="15">
        <v>19.7368421052632</v>
      </c>
      <c r="N50" s="15">
        <v>45.882352941176499</v>
      </c>
      <c r="O50" s="15">
        <v>67.441860465116307</v>
      </c>
      <c r="P50" s="15">
        <v>66.197183098591594</v>
      </c>
      <c r="Q50" s="15">
        <v>73.239436619718305</v>
      </c>
      <c r="R50" s="15">
        <v>46.153846153846203</v>
      </c>
      <c r="S50" s="15">
        <v>58.536585365853703</v>
      </c>
      <c r="T50" s="15">
        <v>50</v>
      </c>
      <c r="U50" s="15">
        <v>71.428571428571402</v>
      </c>
      <c r="V50" s="15">
        <v>76.470588235294102</v>
      </c>
      <c r="W50" s="15">
        <v>37.288135593220296</v>
      </c>
      <c r="X50" s="15">
        <v>61.538461538461497</v>
      </c>
      <c r="Y50" s="15">
        <v>87.5</v>
      </c>
      <c r="Z50" s="15">
        <v>83.3333333333333</v>
      </c>
      <c r="AA50" s="15">
        <v>75.229357798165097</v>
      </c>
      <c r="AB50" s="15">
        <v>80.882352941176507</v>
      </c>
      <c r="AC50" s="15">
        <v>70.454545454545496</v>
      </c>
      <c r="AD50" s="15">
        <v>87.5</v>
      </c>
      <c r="AE50" s="15">
        <v>48.148148148148103</v>
      </c>
      <c r="AF50" s="15">
        <v>100</v>
      </c>
      <c r="AG50" s="15">
        <v>52.380952380952401</v>
      </c>
      <c r="AH50" s="15">
        <v>58.928571428571402</v>
      </c>
      <c r="AI50" s="20" t="s">
        <v>76</v>
      </c>
      <c r="AJ50" s="15">
        <v>82.882882882882896</v>
      </c>
      <c r="AK50" s="15">
        <v>76.6666666666667</v>
      </c>
      <c r="AL50" s="15">
        <v>67.7777777777778</v>
      </c>
      <c r="AM50" s="15">
        <v>57.8125</v>
      </c>
      <c r="AN50" s="15">
        <v>62.5</v>
      </c>
      <c r="AO50" s="15">
        <v>65</v>
      </c>
      <c r="AP50" s="15">
        <v>76.6233766233766</v>
      </c>
      <c r="AQ50" s="15">
        <v>64.102564102564102</v>
      </c>
      <c r="AR50" s="15">
        <v>98.181818181818201</v>
      </c>
      <c r="AS50" s="15">
        <v>63.636363636363598</v>
      </c>
      <c r="AT50" s="15">
        <v>87.692307692307693</v>
      </c>
      <c r="AU50" s="15">
        <v>89.7959183673469</v>
      </c>
      <c r="AV50" s="15">
        <v>42.4657534246575</v>
      </c>
      <c r="AW50" s="15">
        <v>79.310344827586206</v>
      </c>
      <c r="AX50" s="15">
        <v>100</v>
      </c>
      <c r="AY50" s="15">
        <v>80</v>
      </c>
      <c r="AZ50" s="15">
        <v>92</v>
      </c>
      <c r="BA50" s="15">
        <v>69.811320754717002</v>
      </c>
      <c r="BB50" s="15">
        <v>74.626865671641795</v>
      </c>
      <c r="BC50" s="15">
        <v>66.216216216216196</v>
      </c>
      <c r="BD50" s="15">
        <v>55.128205128205103</v>
      </c>
      <c r="BE50" s="15">
        <v>87.931034482758605</v>
      </c>
      <c r="BF50" s="15">
        <v>49.397590361445801</v>
      </c>
      <c r="BG50" s="15">
        <v>73.134328358208904</v>
      </c>
      <c r="BH50" s="15">
        <v>66.6666666666667</v>
      </c>
      <c r="BI50" s="15">
        <v>84.210526315789494</v>
      </c>
      <c r="BJ50" s="15">
        <v>75</v>
      </c>
      <c r="BK50" s="15">
        <v>65</v>
      </c>
      <c r="BL50" s="15">
        <v>74.21875</v>
      </c>
      <c r="BM50" s="15">
        <v>81.188118811881196</v>
      </c>
      <c r="BN50" s="15">
        <v>78.991596638655494</v>
      </c>
      <c r="BO50" s="15">
        <v>68.8888888888889</v>
      </c>
      <c r="BP50" s="15">
        <v>93.3333333333333</v>
      </c>
      <c r="BQ50" s="15">
        <v>76.712328767123296</v>
      </c>
      <c r="BR50" s="15">
        <v>46.6666666666667</v>
      </c>
      <c r="BS50" s="15">
        <v>59.036144578313298</v>
      </c>
      <c r="BT50" s="15">
        <v>65.853658536585399</v>
      </c>
      <c r="BU50" s="15">
        <v>68.224299065420595</v>
      </c>
      <c r="BV50" s="15">
        <v>96.969696969696997</v>
      </c>
      <c r="BW50" s="15">
        <v>69.565217391304401</v>
      </c>
      <c r="BX50" s="15">
        <v>100</v>
      </c>
      <c r="BY50" s="15">
        <v>74.603174603174594</v>
      </c>
      <c r="BZ50" s="15">
        <v>64.625850340136097</v>
      </c>
      <c r="CA50" s="32">
        <v>53.674999232728197</v>
      </c>
      <c r="CB50" s="15">
        <v>50.7987220447284</v>
      </c>
      <c r="CC50" s="15">
        <v>49.056603773584897</v>
      </c>
      <c r="CD50" s="15">
        <v>60.645161290322598</v>
      </c>
      <c r="CE50" s="20" t="s">
        <v>76</v>
      </c>
      <c r="CF50" s="15">
        <v>49.401197604790397</v>
      </c>
      <c r="CG50" s="15">
        <v>58.659217877095003</v>
      </c>
      <c r="CH50" s="15">
        <v>54.595588235294102</v>
      </c>
      <c r="CI50" s="15">
        <v>52.5667351129363</v>
      </c>
      <c r="CJ50" s="15">
        <v>63.137254901960802</v>
      </c>
      <c r="CK50" s="15">
        <v>58.7443946188341</v>
      </c>
      <c r="CL50" s="15">
        <v>58.939393939393902</v>
      </c>
      <c r="CM50" s="24">
        <v>50.9635974304068</v>
      </c>
      <c r="CN50" s="37"/>
    </row>
    <row r="51" spans="1:92">
      <c r="A51" s="9" t="s">
        <v>306</v>
      </c>
      <c r="B51" s="35">
        <v>34.715225216693199</v>
      </c>
      <c r="C51" s="32">
        <v>35.9651510089653</v>
      </c>
      <c r="D51" s="32">
        <v>34.675852832154497</v>
      </c>
      <c r="E51" s="32">
        <v>31.685718771741101</v>
      </c>
      <c r="F51" s="15">
        <v>29.411764705882401</v>
      </c>
      <c r="G51" s="20" t="s">
        <v>76</v>
      </c>
      <c r="H51" s="15">
        <v>52.173913043478301</v>
      </c>
      <c r="I51" s="15">
        <v>90</v>
      </c>
      <c r="J51" s="15">
        <v>29.8611111111111</v>
      </c>
      <c r="K51" s="15">
        <v>33.3333333333333</v>
      </c>
      <c r="L51" s="15">
        <v>21.311475409836099</v>
      </c>
      <c r="M51" s="15">
        <v>26.315789473684202</v>
      </c>
      <c r="N51" s="15">
        <v>27.0588235294118</v>
      </c>
      <c r="O51" s="15">
        <v>34.883720930232599</v>
      </c>
      <c r="P51" s="15">
        <v>33.802816901408498</v>
      </c>
      <c r="Q51" s="15">
        <v>28.169014084507001</v>
      </c>
      <c r="R51" s="20" t="s">
        <v>76</v>
      </c>
      <c r="S51" s="15">
        <v>34.146341463414601</v>
      </c>
      <c r="T51" s="15">
        <v>35.4166666666667</v>
      </c>
      <c r="U51" s="15">
        <v>33.3333333333333</v>
      </c>
      <c r="V51" s="15">
        <v>32.352941176470601</v>
      </c>
      <c r="W51" s="15">
        <v>18.644067796610202</v>
      </c>
      <c r="X51" s="15">
        <v>38.461538461538503</v>
      </c>
      <c r="Y51" s="20" t="s">
        <v>76</v>
      </c>
      <c r="Z51" s="15">
        <v>30.769230769230798</v>
      </c>
      <c r="AA51" s="15">
        <v>43.119266055045898</v>
      </c>
      <c r="AB51" s="15">
        <v>47.058823529411796</v>
      </c>
      <c r="AC51" s="15">
        <v>37.878787878787897</v>
      </c>
      <c r="AD51" s="15">
        <v>15.625</v>
      </c>
      <c r="AE51" s="15">
        <v>33.3333333333333</v>
      </c>
      <c r="AF51" s="20" t="s">
        <v>76</v>
      </c>
      <c r="AG51" s="15">
        <v>20.952380952380999</v>
      </c>
      <c r="AH51" s="15">
        <v>19.6428571428571</v>
      </c>
      <c r="AI51" s="20" t="s">
        <v>76</v>
      </c>
      <c r="AJ51" s="15">
        <v>27.027027027027</v>
      </c>
      <c r="AK51" s="15">
        <v>40</v>
      </c>
      <c r="AL51" s="15">
        <v>35.5555555555556</v>
      </c>
      <c r="AM51" s="15">
        <v>31.25</v>
      </c>
      <c r="AN51" s="20" t="s">
        <v>76</v>
      </c>
      <c r="AO51" s="15">
        <v>32.5</v>
      </c>
      <c r="AP51" s="15">
        <v>20.7792207792208</v>
      </c>
      <c r="AQ51" s="15">
        <v>38.461538461538503</v>
      </c>
      <c r="AR51" s="15">
        <v>20</v>
      </c>
      <c r="AS51" s="20" t="s">
        <v>76</v>
      </c>
      <c r="AT51" s="15">
        <v>33.846153846153797</v>
      </c>
      <c r="AU51" s="15">
        <v>28.571428571428601</v>
      </c>
      <c r="AV51" s="15">
        <v>16.438356164383599</v>
      </c>
      <c r="AW51" s="15">
        <v>41.379310344827601</v>
      </c>
      <c r="AX51" s="15">
        <v>56.25</v>
      </c>
      <c r="AY51" s="15">
        <v>37.142857142857103</v>
      </c>
      <c r="AZ51" s="15">
        <v>48</v>
      </c>
      <c r="BA51" s="15">
        <v>30.188679245283002</v>
      </c>
      <c r="BB51" s="15">
        <v>46.268656716417901</v>
      </c>
      <c r="BC51" s="15">
        <v>47.297297297297298</v>
      </c>
      <c r="BD51" s="15">
        <v>30.769230769230798</v>
      </c>
      <c r="BE51" s="15">
        <v>68.965517241379303</v>
      </c>
      <c r="BF51" s="15">
        <v>36.144578313253</v>
      </c>
      <c r="BG51" s="15">
        <v>29.8507462686567</v>
      </c>
      <c r="BH51" s="15">
        <v>25</v>
      </c>
      <c r="BI51" s="15">
        <v>26.315789473684202</v>
      </c>
      <c r="BJ51" s="15">
        <v>35.714285714285701</v>
      </c>
      <c r="BK51" s="15">
        <v>27.5</v>
      </c>
      <c r="BL51" s="15">
        <v>23.4375</v>
      </c>
      <c r="BM51" s="15">
        <v>29.702970297029701</v>
      </c>
      <c r="BN51" s="15">
        <v>43.697478991596597</v>
      </c>
      <c r="BO51" s="15">
        <v>23.3333333333333</v>
      </c>
      <c r="BP51" s="15">
        <v>40</v>
      </c>
      <c r="BQ51" s="15">
        <v>28.7671232876712</v>
      </c>
      <c r="BR51" s="15">
        <v>25</v>
      </c>
      <c r="BS51" s="15">
        <v>30.120481927710799</v>
      </c>
      <c r="BT51" s="15">
        <v>32.9268292682927</v>
      </c>
      <c r="BU51" s="15">
        <v>33.644859813084103</v>
      </c>
      <c r="BV51" s="15">
        <v>60.606060606060602</v>
      </c>
      <c r="BW51" s="15">
        <v>15.9420289855072</v>
      </c>
      <c r="BX51" s="15">
        <v>88.8888888888889</v>
      </c>
      <c r="BY51" s="15">
        <v>20.634920634920601</v>
      </c>
      <c r="BZ51" s="15">
        <v>29.931972789115601</v>
      </c>
      <c r="CA51" s="32">
        <v>37.090597387169097</v>
      </c>
      <c r="CB51" s="15">
        <v>30.351437699680499</v>
      </c>
      <c r="CC51" s="15">
        <v>33.018867924528301</v>
      </c>
      <c r="CD51" s="15">
        <v>35.4838709677419</v>
      </c>
      <c r="CE51" s="20" t="s">
        <v>76</v>
      </c>
      <c r="CF51" s="15">
        <v>35.628742514970099</v>
      </c>
      <c r="CG51" s="15">
        <v>39.106145251396597</v>
      </c>
      <c r="CH51" s="15">
        <v>46.875</v>
      </c>
      <c r="CI51" s="15">
        <v>37.166324435318302</v>
      </c>
      <c r="CJ51" s="15">
        <v>39.2156862745098</v>
      </c>
      <c r="CK51" s="15">
        <v>37.668161434977598</v>
      </c>
      <c r="CL51" s="15">
        <v>43.3333333333333</v>
      </c>
      <c r="CM51" s="24">
        <v>31.263383297644499</v>
      </c>
      <c r="CN51" s="37"/>
    </row>
    <row r="52" spans="1:92">
      <c r="A52" s="9" t="s">
        <v>307</v>
      </c>
      <c r="B52" s="35">
        <v>13.567315293754399</v>
      </c>
      <c r="C52" s="32">
        <v>15.860845886947001</v>
      </c>
      <c r="D52" s="32">
        <v>16.273182608425799</v>
      </c>
      <c r="E52" s="32">
        <v>16.419390505900601</v>
      </c>
      <c r="F52" s="20" t="s">
        <v>76</v>
      </c>
      <c r="G52" s="20" t="s">
        <v>76</v>
      </c>
      <c r="H52" s="20" t="s">
        <v>76</v>
      </c>
      <c r="I52" s="20" t="s">
        <v>76</v>
      </c>
      <c r="J52" s="15">
        <v>12.5</v>
      </c>
      <c r="K52" s="15">
        <v>12.8205128205128</v>
      </c>
      <c r="L52" s="15">
        <v>34.426229508196698</v>
      </c>
      <c r="M52" s="20" t="s">
        <v>76</v>
      </c>
      <c r="N52" s="15">
        <v>8.2352941176470598</v>
      </c>
      <c r="O52" s="20" t="s">
        <v>76</v>
      </c>
      <c r="P52" s="15">
        <v>15.492957746478901</v>
      </c>
      <c r="Q52" s="15">
        <v>12.6760563380282</v>
      </c>
      <c r="R52" s="20" t="s">
        <v>76</v>
      </c>
      <c r="S52" s="15">
        <v>12.1951219512195</v>
      </c>
      <c r="T52" s="15">
        <v>18.75</v>
      </c>
      <c r="U52" s="20" t="s">
        <v>76</v>
      </c>
      <c r="V52" s="15">
        <v>14.705882352941201</v>
      </c>
      <c r="W52" s="15">
        <v>15.254237288135601</v>
      </c>
      <c r="X52" s="15">
        <v>38.461538461538503</v>
      </c>
      <c r="Y52" s="20" t="s">
        <v>76</v>
      </c>
      <c r="Z52" s="15">
        <v>14.1025641025641</v>
      </c>
      <c r="AA52" s="15">
        <v>24.7706422018349</v>
      </c>
      <c r="AB52" s="15">
        <v>16.176470588235301</v>
      </c>
      <c r="AC52" s="15">
        <v>24.2424242424242</v>
      </c>
      <c r="AD52" s="20" t="s">
        <v>76</v>
      </c>
      <c r="AE52" s="15">
        <v>18.518518518518501</v>
      </c>
      <c r="AF52" s="20" t="s">
        <v>76</v>
      </c>
      <c r="AG52" s="15">
        <v>13.3333333333333</v>
      </c>
      <c r="AH52" s="15">
        <v>12.5</v>
      </c>
      <c r="AI52" s="20" t="s">
        <v>76</v>
      </c>
      <c r="AJ52" s="15">
        <v>22.5225225225225</v>
      </c>
      <c r="AK52" s="15">
        <v>16.6666666666667</v>
      </c>
      <c r="AL52" s="15">
        <v>20</v>
      </c>
      <c r="AM52" s="15">
        <v>14.0625</v>
      </c>
      <c r="AN52" s="20" t="s">
        <v>76</v>
      </c>
      <c r="AO52" s="20" t="s">
        <v>76</v>
      </c>
      <c r="AP52" s="15">
        <v>10.3896103896104</v>
      </c>
      <c r="AQ52" s="15">
        <v>25.6410256410256</v>
      </c>
      <c r="AR52" s="20" t="s">
        <v>76</v>
      </c>
      <c r="AS52" s="20" t="s">
        <v>76</v>
      </c>
      <c r="AT52" s="15">
        <v>20</v>
      </c>
      <c r="AU52" s="15">
        <v>18.367346938775501</v>
      </c>
      <c r="AV52" s="15">
        <v>9.5890410958904102</v>
      </c>
      <c r="AW52" s="15">
        <v>11.2068965517241</v>
      </c>
      <c r="AX52" s="20" t="s">
        <v>76</v>
      </c>
      <c r="AY52" s="15">
        <v>25.714285714285701</v>
      </c>
      <c r="AZ52" s="15">
        <v>44</v>
      </c>
      <c r="BA52" s="15">
        <v>15.094339622641501</v>
      </c>
      <c r="BB52" s="15">
        <v>25.373134328358201</v>
      </c>
      <c r="BC52" s="15">
        <v>10.8108108108108</v>
      </c>
      <c r="BD52" s="15">
        <v>20.5128205128205</v>
      </c>
      <c r="BE52" s="15">
        <v>24.137931034482801</v>
      </c>
      <c r="BF52" s="15">
        <v>15.662650602409601</v>
      </c>
      <c r="BG52" s="15">
        <v>8.9552238805970106</v>
      </c>
      <c r="BH52" s="20" t="s">
        <v>76</v>
      </c>
      <c r="BI52" s="20" t="s">
        <v>76</v>
      </c>
      <c r="BJ52" s="15">
        <v>13.3928571428571</v>
      </c>
      <c r="BK52" s="15">
        <v>37.5</v>
      </c>
      <c r="BL52" s="15">
        <v>8.59375</v>
      </c>
      <c r="BM52" s="15">
        <v>16.8316831683168</v>
      </c>
      <c r="BN52" s="15">
        <v>27.731092436974802</v>
      </c>
      <c r="BO52" s="15">
        <v>13.3333333333333</v>
      </c>
      <c r="BP52" s="20" t="s">
        <v>76</v>
      </c>
      <c r="BQ52" s="20" t="s">
        <v>76</v>
      </c>
      <c r="BR52" s="15">
        <v>15</v>
      </c>
      <c r="BS52" s="15">
        <v>12.048192771084301</v>
      </c>
      <c r="BT52" s="15">
        <v>10.975609756097599</v>
      </c>
      <c r="BU52" s="15">
        <v>25.233644859813101</v>
      </c>
      <c r="BV52" s="15">
        <v>28.282828282828302</v>
      </c>
      <c r="BW52" s="15">
        <v>7.2463768115942004</v>
      </c>
      <c r="BX52" s="20" t="s">
        <v>76</v>
      </c>
      <c r="BY52" s="15">
        <v>23.8095238095238</v>
      </c>
      <c r="BZ52" s="15">
        <v>15.6462585034014</v>
      </c>
      <c r="CA52" s="32">
        <v>16.1551093992673</v>
      </c>
      <c r="CB52" s="15">
        <v>13.0990415335463</v>
      </c>
      <c r="CC52" s="15">
        <v>18.238993710691801</v>
      </c>
      <c r="CD52" s="15">
        <v>18.064516129032299</v>
      </c>
      <c r="CE52" s="20" t="s">
        <v>76</v>
      </c>
      <c r="CF52" s="15">
        <v>17.365269461077801</v>
      </c>
      <c r="CG52" s="15">
        <v>21.229050279329599</v>
      </c>
      <c r="CH52" s="15">
        <v>20.588235294117599</v>
      </c>
      <c r="CI52" s="15">
        <v>14.3737166324435</v>
      </c>
      <c r="CJ52" s="15">
        <v>16.862745098039198</v>
      </c>
      <c r="CK52" s="15">
        <v>17.4887892376682</v>
      </c>
      <c r="CL52" s="15">
        <v>17.272727272727298</v>
      </c>
      <c r="CM52" s="24">
        <v>15.203426124197</v>
      </c>
      <c r="CN52" s="37"/>
    </row>
    <row r="53" spans="1:92">
      <c r="A53" s="9" t="s">
        <v>308</v>
      </c>
      <c r="B53" s="35">
        <v>35.0203711353399</v>
      </c>
      <c r="C53" s="32">
        <v>34.619159984962501</v>
      </c>
      <c r="D53" s="32">
        <v>36.472072968954102</v>
      </c>
      <c r="E53" s="32">
        <v>35.187537403922299</v>
      </c>
      <c r="F53" s="15">
        <v>35.294117647058798</v>
      </c>
      <c r="G53" s="20" t="s">
        <v>76</v>
      </c>
      <c r="H53" s="15">
        <v>43.478260869565197</v>
      </c>
      <c r="I53" s="15">
        <v>80</v>
      </c>
      <c r="J53" s="15">
        <v>20.8333333333333</v>
      </c>
      <c r="K53" s="15">
        <v>20.5128205128205</v>
      </c>
      <c r="L53" s="15">
        <v>24.590163934426201</v>
      </c>
      <c r="M53" s="15">
        <v>36.842105263157897</v>
      </c>
      <c r="N53" s="15">
        <v>43.529411764705898</v>
      </c>
      <c r="O53" s="15">
        <v>30.232558139534898</v>
      </c>
      <c r="P53" s="15">
        <v>33.802816901408498</v>
      </c>
      <c r="Q53" s="15">
        <v>53.521126760563398</v>
      </c>
      <c r="R53" s="20" t="s">
        <v>76</v>
      </c>
      <c r="S53" s="15">
        <v>43.902439024390198</v>
      </c>
      <c r="T53" s="15">
        <v>39.5833333333333</v>
      </c>
      <c r="U53" s="15">
        <v>52.380952380952401</v>
      </c>
      <c r="V53" s="15">
        <v>26.470588235294102</v>
      </c>
      <c r="W53" s="15">
        <v>45.762711864406803</v>
      </c>
      <c r="X53" s="15">
        <v>46.153846153846203</v>
      </c>
      <c r="Y53" s="20" t="s">
        <v>76</v>
      </c>
      <c r="Z53" s="15">
        <v>53.846153846153797</v>
      </c>
      <c r="AA53" s="15">
        <v>38.5321100917431</v>
      </c>
      <c r="AB53" s="15">
        <v>48.529411764705898</v>
      </c>
      <c r="AC53" s="15">
        <v>31.818181818181799</v>
      </c>
      <c r="AD53" s="15">
        <v>78.125</v>
      </c>
      <c r="AE53" s="15">
        <v>29.629629629629601</v>
      </c>
      <c r="AF53" s="15">
        <v>64.285714285714306</v>
      </c>
      <c r="AG53" s="15">
        <v>19.047619047619001</v>
      </c>
      <c r="AH53" s="15">
        <v>46.428571428571402</v>
      </c>
      <c r="AI53" s="20" t="s">
        <v>76</v>
      </c>
      <c r="AJ53" s="15">
        <v>27.027027027027</v>
      </c>
      <c r="AK53" s="15">
        <v>33.3333333333333</v>
      </c>
      <c r="AL53" s="15">
        <v>41.1111111111111</v>
      </c>
      <c r="AM53" s="15">
        <v>46.875</v>
      </c>
      <c r="AN53" s="20" t="s">
        <v>76</v>
      </c>
      <c r="AO53" s="15">
        <v>20</v>
      </c>
      <c r="AP53" s="15">
        <v>22.0779220779221</v>
      </c>
      <c r="AQ53" s="15">
        <v>23.076923076923102</v>
      </c>
      <c r="AR53" s="15">
        <v>12.7272727272727</v>
      </c>
      <c r="AS53" s="15">
        <v>54.545454545454497</v>
      </c>
      <c r="AT53" s="15">
        <v>27.692307692307701</v>
      </c>
      <c r="AU53" s="15">
        <v>30.612244897959201</v>
      </c>
      <c r="AV53" s="15">
        <v>21.917808219178099</v>
      </c>
      <c r="AW53" s="15">
        <v>25</v>
      </c>
      <c r="AX53" s="15">
        <v>50</v>
      </c>
      <c r="AY53" s="15">
        <v>40</v>
      </c>
      <c r="AZ53" s="15">
        <v>56</v>
      </c>
      <c r="BA53" s="15">
        <v>47.169811320754697</v>
      </c>
      <c r="BB53" s="15">
        <v>62.686567164179102</v>
      </c>
      <c r="BC53" s="15">
        <v>43.243243243243199</v>
      </c>
      <c r="BD53" s="15">
        <v>38.461538461538503</v>
      </c>
      <c r="BE53" s="15">
        <v>55.172413793103502</v>
      </c>
      <c r="BF53" s="15">
        <v>22.891566265060199</v>
      </c>
      <c r="BG53" s="15">
        <v>34.328358208955201</v>
      </c>
      <c r="BH53" s="20" t="s">
        <v>76</v>
      </c>
      <c r="BI53" s="15">
        <v>31.578947368421101</v>
      </c>
      <c r="BJ53" s="15">
        <v>27.678571428571399</v>
      </c>
      <c r="BK53" s="15">
        <v>47.5</v>
      </c>
      <c r="BL53" s="15">
        <v>24.21875</v>
      </c>
      <c r="BM53" s="15">
        <v>29.702970297029701</v>
      </c>
      <c r="BN53" s="15">
        <v>39.495798319327697</v>
      </c>
      <c r="BO53" s="15">
        <v>37.7777777777778</v>
      </c>
      <c r="BP53" s="15">
        <v>40</v>
      </c>
      <c r="BQ53" s="15">
        <v>26.027397260274</v>
      </c>
      <c r="BR53" s="15">
        <v>23.3333333333333</v>
      </c>
      <c r="BS53" s="15">
        <v>50.602409638554199</v>
      </c>
      <c r="BT53" s="15">
        <v>24.390243902439</v>
      </c>
      <c r="BU53" s="15">
        <v>30.841121495327101</v>
      </c>
      <c r="BV53" s="15">
        <v>65.656565656565704</v>
      </c>
      <c r="BW53" s="15">
        <v>27.536231884058001</v>
      </c>
      <c r="BX53" s="15">
        <v>77.7777777777778</v>
      </c>
      <c r="BY53" s="15">
        <v>39.682539682539698</v>
      </c>
      <c r="BZ53" s="15">
        <v>27.891156462584998</v>
      </c>
      <c r="CA53" s="32">
        <v>37.509426210886801</v>
      </c>
      <c r="CB53" s="15">
        <v>33.226837060702898</v>
      </c>
      <c r="CC53" s="15">
        <v>33.647798742138399</v>
      </c>
      <c r="CD53" s="15">
        <v>30.9677419354839</v>
      </c>
      <c r="CE53" s="20" t="s">
        <v>76</v>
      </c>
      <c r="CF53" s="15">
        <v>42.215568862275497</v>
      </c>
      <c r="CG53" s="15">
        <v>36.871508379888297</v>
      </c>
      <c r="CH53" s="15">
        <v>49.816176470588204</v>
      </c>
      <c r="CI53" s="15">
        <v>43.7371663244353</v>
      </c>
      <c r="CJ53" s="15">
        <v>42.745098039215698</v>
      </c>
      <c r="CK53" s="15">
        <v>47.533632286995498</v>
      </c>
      <c r="CL53" s="15">
        <v>32.424242424242401</v>
      </c>
      <c r="CM53" s="24">
        <v>29.764453961456098</v>
      </c>
      <c r="CN53" s="37"/>
    </row>
    <row r="54" spans="1:92">
      <c r="A54" s="9" t="s">
        <v>309</v>
      </c>
      <c r="B54" s="35">
        <v>38.780831103357599</v>
      </c>
      <c r="C54" s="32">
        <v>39.294564821199899</v>
      </c>
      <c r="D54" s="32">
        <v>40.383817258672799</v>
      </c>
      <c r="E54" s="32">
        <v>49.220927090996398</v>
      </c>
      <c r="F54" s="15">
        <v>58.823529411764703</v>
      </c>
      <c r="G54" s="15">
        <v>35.294117647058798</v>
      </c>
      <c r="H54" s="15">
        <v>60.869565217391298</v>
      </c>
      <c r="I54" s="15">
        <v>70</v>
      </c>
      <c r="J54" s="15">
        <v>46.5277777777778</v>
      </c>
      <c r="K54" s="15">
        <v>35.897435897435898</v>
      </c>
      <c r="L54" s="15">
        <v>29.508196721311499</v>
      </c>
      <c r="M54" s="15">
        <v>25</v>
      </c>
      <c r="N54" s="15">
        <v>38.823529411764703</v>
      </c>
      <c r="O54" s="15">
        <v>55.8139534883721</v>
      </c>
      <c r="P54" s="15">
        <v>53.521126760563398</v>
      </c>
      <c r="Q54" s="15">
        <v>56.338028169014102</v>
      </c>
      <c r="R54" s="15">
        <v>26.923076923076898</v>
      </c>
      <c r="S54" s="15">
        <v>65.853658536585399</v>
      </c>
      <c r="T54" s="15">
        <v>47.9166666666667</v>
      </c>
      <c r="U54" s="20" t="s">
        <v>76</v>
      </c>
      <c r="V54" s="15">
        <v>58.823529411764703</v>
      </c>
      <c r="W54" s="15">
        <v>38.983050847457598</v>
      </c>
      <c r="X54" s="15">
        <v>61.538461538461497</v>
      </c>
      <c r="Y54" s="20" t="s">
        <v>76</v>
      </c>
      <c r="Z54" s="15">
        <v>56.410256410256402</v>
      </c>
      <c r="AA54" s="15">
        <v>64.220183486238497</v>
      </c>
      <c r="AB54" s="15">
        <v>63.235294117647101</v>
      </c>
      <c r="AC54" s="15">
        <v>55.303030303030297</v>
      </c>
      <c r="AD54" s="15">
        <v>56.25</v>
      </c>
      <c r="AE54" s="15">
        <v>37.037037037037003</v>
      </c>
      <c r="AF54" s="15">
        <v>64.285714285714306</v>
      </c>
      <c r="AG54" s="15">
        <v>31.428571428571399</v>
      </c>
      <c r="AH54" s="15">
        <v>32.142857142857103</v>
      </c>
      <c r="AI54" s="20" t="s">
        <v>76</v>
      </c>
      <c r="AJ54" s="15">
        <v>41.441441441441398</v>
      </c>
      <c r="AK54" s="15">
        <v>40</v>
      </c>
      <c r="AL54" s="15">
        <v>44.4444444444444</v>
      </c>
      <c r="AM54" s="15">
        <v>32.8125</v>
      </c>
      <c r="AN54" s="15">
        <v>62.5</v>
      </c>
      <c r="AO54" s="15">
        <v>30</v>
      </c>
      <c r="AP54" s="15">
        <v>49.350649350649299</v>
      </c>
      <c r="AQ54" s="15">
        <v>41.025641025641001</v>
      </c>
      <c r="AR54" s="15">
        <v>27.272727272727298</v>
      </c>
      <c r="AS54" s="20" t="s">
        <v>76</v>
      </c>
      <c r="AT54" s="15">
        <v>69.230769230769198</v>
      </c>
      <c r="AU54" s="15">
        <v>67.346938775510196</v>
      </c>
      <c r="AV54" s="15">
        <v>38.356164383561598</v>
      </c>
      <c r="AW54" s="15">
        <v>55.172413793103502</v>
      </c>
      <c r="AX54" s="15">
        <v>50</v>
      </c>
      <c r="AY54" s="15">
        <v>60</v>
      </c>
      <c r="AZ54" s="15">
        <v>70</v>
      </c>
      <c r="BA54" s="15">
        <v>52.830188679245303</v>
      </c>
      <c r="BB54" s="15">
        <v>65.671641791044806</v>
      </c>
      <c r="BC54" s="15">
        <v>50</v>
      </c>
      <c r="BD54" s="15">
        <v>48.717948717948701</v>
      </c>
      <c r="BE54" s="15">
        <v>81.034482758620697</v>
      </c>
      <c r="BF54" s="15">
        <v>50.602409638554199</v>
      </c>
      <c r="BG54" s="15">
        <v>47.761194029850699</v>
      </c>
      <c r="BH54" s="15">
        <v>45.8333333333333</v>
      </c>
      <c r="BI54" s="15">
        <v>52.631578947368403</v>
      </c>
      <c r="BJ54" s="15">
        <v>67.857142857142804</v>
      </c>
      <c r="BK54" s="15">
        <v>42.5</v>
      </c>
      <c r="BL54" s="15">
        <v>49.21875</v>
      </c>
      <c r="BM54" s="15">
        <v>35.643564356435597</v>
      </c>
      <c r="BN54" s="15">
        <v>56.302521008403403</v>
      </c>
      <c r="BO54" s="15">
        <v>43.3333333333333</v>
      </c>
      <c r="BP54" s="15">
        <v>73.3333333333333</v>
      </c>
      <c r="BQ54" s="15">
        <v>53.424657534246599</v>
      </c>
      <c r="BR54" s="15">
        <v>60</v>
      </c>
      <c r="BS54" s="15">
        <v>57.831325301204799</v>
      </c>
      <c r="BT54" s="15">
        <v>52.439024390243901</v>
      </c>
      <c r="BU54" s="15">
        <v>56.074766355140198</v>
      </c>
      <c r="BV54" s="15">
        <v>62.626262626262601</v>
      </c>
      <c r="BW54" s="15">
        <v>28.985507246376802</v>
      </c>
      <c r="BX54" s="15">
        <v>77.7777777777778</v>
      </c>
      <c r="BY54" s="15">
        <v>47.619047619047599</v>
      </c>
      <c r="BZ54" s="15">
        <v>52.380952380952401</v>
      </c>
      <c r="CA54" s="32">
        <v>33.247226584634802</v>
      </c>
      <c r="CB54" s="15">
        <v>26.1980830670927</v>
      </c>
      <c r="CC54" s="15">
        <v>33.018867924528301</v>
      </c>
      <c r="CD54" s="15">
        <v>33.548387096774199</v>
      </c>
      <c r="CE54" s="20" t="s">
        <v>76</v>
      </c>
      <c r="CF54" s="15">
        <v>26.646706586826301</v>
      </c>
      <c r="CG54" s="15">
        <v>36.312849162011197</v>
      </c>
      <c r="CH54" s="15">
        <v>36.397058823529399</v>
      </c>
      <c r="CI54" s="15">
        <v>40.862422997946602</v>
      </c>
      <c r="CJ54" s="15">
        <v>43.921568627451002</v>
      </c>
      <c r="CK54" s="15">
        <v>35.426008968609899</v>
      </c>
      <c r="CL54" s="15">
        <v>37.575757575757599</v>
      </c>
      <c r="CM54" s="24">
        <v>36.402569593147803</v>
      </c>
      <c r="CN54" s="37"/>
    </row>
    <row r="55" spans="1:92">
      <c r="A55" s="9" t="s">
        <v>310</v>
      </c>
      <c r="B55" s="35">
        <v>5.0022913128617201</v>
      </c>
      <c r="C55" s="32">
        <v>6.0488953047688003</v>
      </c>
      <c r="D55" s="32">
        <v>5.7912091160638299</v>
      </c>
      <c r="E55" s="32">
        <v>8.1330234701168997</v>
      </c>
      <c r="F55" s="20" t="s">
        <v>76</v>
      </c>
      <c r="G55" s="20" t="s">
        <v>76</v>
      </c>
      <c r="H55" s="15">
        <v>26.086956521739101</v>
      </c>
      <c r="I55" s="20" t="s">
        <v>76</v>
      </c>
      <c r="J55" s="15">
        <v>7.6388888888888902</v>
      </c>
      <c r="K55" s="15">
        <v>12.8205128205128</v>
      </c>
      <c r="L55" s="20" t="s">
        <v>76</v>
      </c>
      <c r="M55" s="15">
        <v>6.5789473684210504</v>
      </c>
      <c r="N55" s="15">
        <v>5.8823529411764701</v>
      </c>
      <c r="O55" s="20" t="s">
        <v>76</v>
      </c>
      <c r="P55" s="15">
        <v>12.6760563380282</v>
      </c>
      <c r="Q55" s="20" t="s">
        <v>76</v>
      </c>
      <c r="R55" s="20" t="s">
        <v>76</v>
      </c>
      <c r="S55" s="15">
        <v>14.634146341463399</v>
      </c>
      <c r="T55" s="20" t="s">
        <v>76</v>
      </c>
      <c r="U55" s="20" t="s">
        <v>76</v>
      </c>
      <c r="V55" s="20" t="s">
        <v>76</v>
      </c>
      <c r="W55" s="15">
        <v>8.4745762711864394</v>
      </c>
      <c r="X55" s="20" t="s">
        <v>76</v>
      </c>
      <c r="Y55" s="20" t="s">
        <v>76</v>
      </c>
      <c r="Z55" s="20" t="s">
        <v>76</v>
      </c>
      <c r="AA55" s="15">
        <v>22.0183486238532</v>
      </c>
      <c r="AB55" s="15">
        <v>14.705882352941201</v>
      </c>
      <c r="AC55" s="15">
        <v>6.8181818181818201</v>
      </c>
      <c r="AD55" s="15">
        <v>18.75</v>
      </c>
      <c r="AE55" s="20" t="s">
        <v>76</v>
      </c>
      <c r="AF55" s="20" t="s">
        <v>76</v>
      </c>
      <c r="AG55" s="15">
        <v>5.71428571428571</v>
      </c>
      <c r="AH55" s="15">
        <v>10.714285714285699</v>
      </c>
      <c r="AI55" s="20" t="s">
        <v>76</v>
      </c>
      <c r="AJ55" s="15">
        <v>5.4054054054054097</v>
      </c>
      <c r="AK55" s="15">
        <v>16.6666666666667</v>
      </c>
      <c r="AL55" s="15">
        <v>6.6666666666666696</v>
      </c>
      <c r="AM55" s="20" t="s">
        <v>76</v>
      </c>
      <c r="AN55" s="20" t="s">
        <v>76</v>
      </c>
      <c r="AO55" s="20" t="s">
        <v>76</v>
      </c>
      <c r="AP55" s="15">
        <v>7.7922077922077904</v>
      </c>
      <c r="AQ55" s="20" t="s">
        <v>76</v>
      </c>
      <c r="AR55" s="20" t="s">
        <v>76</v>
      </c>
      <c r="AS55" s="20" t="s">
        <v>76</v>
      </c>
      <c r="AT55" s="15">
        <v>7.6923076923076898</v>
      </c>
      <c r="AU55" s="20" t="s">
        <v>76</v>
      </c>
      <c r="AV55" s="20" t="s">
        <v>76</v>
      </c>
      <c r="AW55" s="20" t="s">
        <v>76</v>
      </c>
      <c r="AX55" s="20" t="s">
        <v>76</v>
      </c>
      <c r="AY55" s="20" t="s">
        <v>76</v>
      </c>
      <c r="AZ55" s="20" t="s">
        <v>76</v>
      </c>
      <c r="BA55" s="20" t="s">
        <v>76</v>
      </c>
      <c r="BB55" s="15">
        <v>14.9253731343284</v>
      </c>
      <c r="BC55" s="20" t="s">
        <v>76</v>
      </c>
      <c r="BD55" s="15">
        <v>7.6923076923076898</v>
      </c>
      <c r="BE55" s="15">
        <v>10.3448275862069</v>
      </c>
      <c r="BF55" s="15">
        <v>8.4337349397590398</v>
      </c>
      <c r="BG55" s="20" t="s">
        <v>76</v>
      </c>
      <c r="BH55" s="20" t="s">
        <v>76</v>
      </c>
      <c r="BI55" s="20" t="s">
        <v>76</v>
      </c>
      <c r="BJ55" s="15">
        <v>8.9285714285714306</v>
      </c>
      <c r="BK55" s="20" t="s">
        <v>76</v>
      </c>
      <c r="BL55" s="15">
        <v>7.8125</v>
      </c>
      <c r="BM55" s="15">
        <v>5.9405940594059397</v>
      </c>
      <c r="BN55" s="15">
        <v>15.126050420168101</v>
      </c>
      <c r="BO55" s="20" t="s">
        <v>76</v>
      </c>
      <c r="BP55" s="20" t="s">
        <v>76</v>
      </c>
      <c r="BQ55" s="15">
        <v>6.8493150684931496</v>
      </c>
      <c r="BR55" s="20" t="s">
        <v>76</v>
      </c>
      <c r="BS55" s="20" t="s">
        <v>76</v>
      </c>
      <c r="BT55" s="15">
        <v>14.634146341463399</v>
      </c>
      <c r="BU55" s="15">
        <v>5.6074766355140202</v>
      </c>
      <c r="BV55" s="15">
        <v>12.1212121212121</v>
      </c>
      <c r="BW55" s="20" t="s">
        <v>76</v>
      </c>
      <c r="BX55" s="20" t="s">
        <v>76</v>
      </c>
      <c r="BY55" s="20" t="s">
        <v>76</v>
      </c>
      <c r="BZ55" s="15">
        <v>13.605442176870699</v>
      </c>
      <c r="CA55" s="32">
        <v>3.90002853818602</v>
      </c>
      <c r="CB55" s="15">
        <v>3.19488817891374</v>
      </c>
      <c r="CC55" s="20" t="s">
        <v>76</v>
      </c>
      <c r="CD55" s="15">
        <v>3.87096774193548</v>
      </c>
      <c r="CE55" s="20" t="s">
        <v>76</v>
      </c>
      <c r="CF55" s="15">
        <v>3.8922155688622802</v>
      </c>
      <c r="CG55" s="20" t="s">
        <v>76</v>
      </c>
      <c r="CH55" s="15">
        <v>5.5147058823529402</v>
      </c>
      <c r="CI55" s="15">
        <v>4.5174537987679697</v>
      </c>
      <c r="CJ55" s="15">
        <v>3.9215686274509798</v>
      </c>
      <c r="CK55" s="15">
        <v>3.1390134529148002</v>
      </c>
      <c r="CL55" s="15">
        <v>5.9090909090909101</v>
      </c>
      <c r="CM55" s="24">
        <v>5.99571734475375</v>
      </c>
      <c r="CN55" s="37"/>
    </row>
    <row r="56" spans="1:92">
      <c r="A56" s="9" t="s">
        <v>311</v>
      </c>
      <c r="B56" s="35">
        <v>13.9800913504642</v>
      </c>
      <c r="C56" s="32">
        <v>14.2112147714221</v>
      </c>
      <c r="D56" s="32">
        <v>13.703543327484301</v>
      </c>
      <c r="E56" s="32">
        <v>13.906293144093</v>
      </c>
      <c r="F56" s="20" t="s">
        <v>76</v>
      </c>
      <c r="G56" s="20" t="s">
        <v>76</v>
      </c>
      <c r="H56" s="20" t="s">
        <v>76</v>
      </c>
      <c r="I56" s="20" t="s">
        <v>76</v>
      </c>
      <c r="J56" s="15">
        <v>9.7222222222222197</v>
      </c>
      <c r="K56" s="15">
        <v>12.8205128205128</v>
      </c>
      <c r="L56" s="15">
        <v>16.393442622950801</v>
      </c>
      <c r="M56" s="15">
        <v>11.842105263157899</v>
      </c>
      <c r="N56" s="15">
        <v>15.294117647058799</v>
      </c>
      <c r="O56" s="15">
        <v>18.604651162790699</v>
      </c>
      <c r="P56" s="15">
        <v>25.352112676056301</v>
      </c>
      <c r="Q56" s="15">
        <v>30.985915492957702</v>
      </c>
      <c r="R56" s="20" t="s">
        <v>76</v>
      </c>
      <c r="S56" s="15">
        <v>17.0731707317073</v>
      </c>
      <c r="T56" s="15">
        <v>14.5833333333333</v>
      </c>
      <c r="U56" s="20" t="s">
        <v>76</v>
      </c>
      <c r="V56" s="20" t="s">
        <v>76</v>
      </c>
      <c r="W56" s="15">
        <v>10.1694915254237</v>
      </c>
      <c r="X56" s="20" t="s">
        <v>76</v>
      </c>
      <c r="Y56" s="20" t="s">
        <v>76</v>
      </c>
      <c r="Z56" s="15">
        <v>8.9743589743589691</v>
      </c>
      <c r="AA56" s="15">
        <v>15.5963302752294</v>
      </c>
      <c r="AB56" s="15">
        <v>22.0588235294118</v>
      </c>
      <c r="AC56" s="15">
        <v>9.8484848484848495</v>
      </c>
      <c r="AD56" s="15">
        <v>28.125</v>
      </c>
      <c r="AE56" s="15">
        <v>22.2222222222222</v>
      </c>
      <c r="AF56" s="20" t="s">
        <v>76</v>
      </c>
      <c r="AG56" s="15">
        <v>17.1428571428571</v>
      </c>
      <c r="AH56" s="15">
        <v>19.6428571428571</v>
      </c>
      <c r="AI56" s="20" t="s">
        <v>76</v>
      </c>
      <c r="AJ56" s="15">
        <v>12.612612612612599</v>
      </c>
      <c r="AK56" s="15">
        <v>16.6666666666667</v>
      </c>
      <c r="AL56" s="15">
        <v>12.2222222222222</v>
      </c>
      <c r="AM56" s="15">
        <v>18.75</v>
      </c>
      <c r="AN56" s="20" t="s">
        <v>76</v>
      </c>
      <c r="AO56" s="15">
        <v>15</v>
      </c>
      <c r="AP56" s="15">
        <v>6.4935064935064899</v>
      </c>
      <c r="AQ56" s="20" t="s">
        <v>76</v>
      </c>
      <c r="AR56" s="20" t="s">
        <v>76</v>
      </c>
      <c r="AS56" s="20" t="s">
        <v>76</v>
      </c>
      <c r="AT56" s="15">
        <v>13.846153846153801</v>
      </c>
      <c r="AU56" s="15">
        <v>14.285714285714301</v>
      </c>
      <c r="AV56" s="20" t="s">
        <v>76</v>
      </c>
      <c r="AW56" s="15">
        <v>12.0689655172414</v>
      </c>
      <c r="AX56" s="20" t="s">
        <v>76</v>
      </c>
      <c r="AY56" s="15">
        <v>17.1428571428571</v>
      </c>
      <c r="AZ56" s="15">
        <v>32</v>
      </c>
      <c r="BA56" s="15">
        <v>18.867924528301899</v>
      </c>
      <c r="BB56" s="15">
        <v>26.865671641791</v>
      </c>
      <c r="BC56" s="15">
        <v>14.8648648648649</v>
      </c>
      <c r="BD56" s="15">
        <v>19.230769230769202</v>
      </c>
      <c r="BE56" s="15">
        <v>20.689655172413801</v>
      </c>
      <c r="BF56" s="15">
        <v>12.048192771084301</v>
      </c>
      <c r="BG56" s="15">
        <v>7.4626865671641802</v>
      </c>
      <c r="BH56" s="15">
        <v>25</v>
      </c>
      <c r="BI56" s="20" t="s">
        <v>76</v>
      </c>
      <c r="BJ56" s="15">
        <v>15.1785714285714</v>
      </c>
      <c r="BK56" s="20" t="s">
        <v>76</v>
      </c>
      <c r="BL56" s="15">
        <v>7.03125</v>
      </c>
      <c r="BM56" s="15">
        <v>12.8712871287129</v>
      </c>
      <c r="BN56" s="15">
        <v>14.285714285714301</v>
      </c>
      <c r="BO56" s="15">
        <v>22.2222222222222</v>
      </c>
      <c r="BP56" s="20" t="s">
        <v>76</v>
      </c>
      <c r="BQ56" s="20" t="s">
        <v>76</v>
      </c>
      <c r="BR56" s="20" t="s">
        <v>76</v>
      </c>
      <c r="BS56" s="15">
        <v>10.8433734939759</v>
      </c>
      <c r="BT56" s="15">
        <v>17.0731707317073</v>
      </c>
      <c r="BU56" s="15">
        <v>15.887850467289701</v>
      </c>
      <c r="BV56" s="15">
        <v>27.272727272727298</v>
      </c>
      <c r="BW56" s="15">
        <v>10.144927536231901</v>
      </c>
      <c r="BX56" s="20" t="s">
        <v>76</v>
      </c>
      <c r="BY56" s="20" t="s">
        <v>76</v>
      </c>
      <c r="BZ56" s="15">
        <v>12.244897959183699</v>
      </c>
      <c r="CA56" s="32">
        <v>13.539808523025901</v>
      </c>
      <c r="CB56" s="15">
        <v>17.252396166134201</v>
      </c>
      <c r="CC56" s="15">
        <v>15.094339622641501</v>
      </c>
      <c r="CD56" s="15">
        <v>12.9032258064516</v>
      </c>
      <c r="CE56" s="20" t="s">
        <v>76</v>
      </c>
      <c r="CF56" s="15">
        <v>10.4790419161677</v>
      </c>
      <c r="CG56" s="15">
        <v>21.229050279329599</v>
      </c>
      <c r="CH56" s="15">
        <v>10.110294117647101</v>
      </c>
      <c r="CI56" s="15">
        <v>18.275154004106799</v>
      </c>
      <c r="CJ56" s="15">
        <v>11.372549019607799</v>
      </c>
      <c r="CK56" s="15">
        <v>11.2107623318386</v>
      </c>
      <c r="CL56" s="15">
        <v>15.454545454545499</v>
      </c>
      <c r="CM56" s="24">
        <v>10.4925053533191</v>
      </c>
      <c r="CN56" s="37"/>
    </row>
    <row r="57" spans="1:92">
      <c r="A57" s="9" t="s">
        <v>312</v>
      </c>
      <c r="B57" s="35">
        <v>10.609941314842301</v>
      </c>
      <c r="C57" s="32">
        <v>10.2423489832728</v>
      </c>
      <c r="D57" s="32">
        <v>9.9259730039771803</v>
      </c>
      <c r="E57" s="32">
        <v>13.651641806190399</v>
      </c>
      <c r="F57" s="20" t="s">
        <v>76</v>
      </c>
      <c r="G57" s="20" t="s">
        <v>76</v>
      </c>
      <c r="H57" s="15">
        <v>26.086956521739101</v>
      </c>
      <c r="I57" s="20" t="s">
        <v>76</v>
      </c>
      <c r="J57" s="15">
        <v>11.8055555555556</v>
      </c>
      <c r="K57" s="15">
        <v>15.384615384615399</v>
      </c>
      <c r="L57" s="15">
        <v>13.1147540983607</v>
      </c>
      <c r="M57" s="20" t="s">
        <v>76</v>
      </c>
      <c r="N57" s="15">
        <v>7.0588235294117601</v>
      </c>
      <c r="O57" s="20" t="s">
        <v>76</v>
      </c>
      <c r="P57" s="15">
        <v>18.309859154929601</v>
      </c>
      <c r="Q57" s="15">
        <v>12.6760563380282</v>
      </c>
      <c r="R57" s="20" t="s">
        <v>76</v>
      </c>
      <c r="S57" s="15">
        <v>29.268292682926798</v>
      </c>
      <c r="T57" s="15">
        <v>12.5</v>
      </c>
      <c r="U57" s="20" t="s">
        <v>76</v>
      </c>
      <c r="V57" s="15">
        <v>20.588235294117599</v>
      </c>
      <c r="W57" s="15">
        <v>16.9491525423729</v>
      </c>
      <c r="X57" s="20" t="s">
        <v>76</v>
      </c>
      <c r="Y57" s="20" t="s">
        <v>76</v>
      </c>
      <c r="Z57" s="20" t="s">
        <v>76</v>
      </c>
      <c r="AA57" s="15">
        <v>22.0183486238532</v>
      </c>
      <c r="AB57" s="15">
        <v>29.411764705882401</v>
      </c>
      <c r="AC57" s="15">
        <v>14.3939393939394</v>
      </c>
      <c r="AD57" s="15">
        <v>21.875</v>
      </c>
      <c r="AE57" s="20" t="s">
        <v>76</v>
      </c>
      <c r="AF57" s="15">
        <v>35.714285714285701</v>
      </c>
      <c r="AG57" s="15">
        <v>17.1428571428571</v>
      </c>
      <c r="AH57" s="20" t="s">
        <v>76</v>
      </c>
      <c r="AI57" s="20" t="s">
        <v>76</v>
      </c>
      <c r="AJ57" s="15">
        <v>12.612612612612599</v>
      </c>
      <c r="AK57" s="15">
        <v>26.6666666666667</v>
      </c>
      <c r="AL57" s="15">
        <v>21.1111111111111</v>
      </c>
      <c r="AM57" s="15">
        <v>12.5</v>
      </c>
      <c r="AN57" s="20" t="s">
        <v>76</v>
      </c>
      <c r="AO57" s="20" t="s">
        <v>76</v>
      </c>
      <c r="AP57" s="15">
        <v>15.5844155844156</v>
      </c>
      <c r="AQ57" s="20" t="s">
        <v>76</v>
      </c>
      <c r="AR57" s="15">
        <v>12.7272727272727</v>
      </c>
      <c r="AS57" s="20" t="s">
        <v>76</v>
      </c>
      <c r="AT57" s="15">
        <v>7.6923076923076898</v>
      </c>
      <c r="AU57" s="20" t="s">
        <v>76</v>
      </c>
      <c r="AV57" s="15">
        <v>6.8493150684931496</v>
      </c>
      <c r="AW57" s="15">
        <v>18.965517241379299</v>
      </c>
      <c r="AX57" s="20" t="s">
        <v>76</v>
      </c>
      <c r="AY57" s="15">
        <v>20</v>
      </c>
      <c r="AZ57" s="15">
        <v>26</v>
      </c>
      <c r="BA57" s="20" t="s">
        <v>76</v>
      </c>
      <c r="BB57" s="15">
        <v>22.388059701492502</v>
      </c>
      <c r="BC57" s="20" t="s">
        <v>76</v>
      </c>
      <c r="BD57" s="15">
        <v>6.4102564102564097</v>
      </c>
      <c r="BE57" s="15">
        <v>12.0689655172414</v>
      </c>
      <c r="BF57" s="15">
        <v>13.253012048192801</v>
      </c>
      <c r="BG57" s="15">
        <v>8.9552238805970106</v>
      </c>
      <c r="BH57" s="20" t="s">
        <v>76</v>
      </c>
      <c r="BI57" s="20" t="s">
        <v>76</v>
      </c>
      <c r="BJ57" s="15">
        <v>15.1785714285714</v>
      </c>
      <c r="BK57" s="20" t="s">
        <v>76</v>
      </c>
      <c r="BL57" s="15">
        <v>9.375</v>
      </c>
      <c r="BM57" s="15">
        <v>8.9108910891089099</v>
      </c>
      <c r="BN57" s="15">
        <v>19.327731092436998</v>
      </c>
      <c r="BO57" s="15">
        <v>10</v>
      </c>
      <c r="BP57" s="20" t="s">
        <v>76</v>
      </c>
      <c r="BQ57" s="15">
        <v>15.068493150684899</v>
      </c>
      <c r="BR57" s="15">
        <v>16.6666666666667</v>
      </c>
      <c r="BS57" s="20" t="s">
        <v>76</v>
      </c>
      <c r="BT57" s="15">
        <v>20.731707317073202</v>
      </c>
      <c r="BU57" s="15">
        <v>17.757009345794401</v>
      </c>
      <c r="BV57" s="15">
        <v>22.2222222222222</v>
      </c>
      <c r="BW57" s="15">
        <v>10.144927536231901</v>
      </c>
      <c r="BX57" s="20" t="s">
        <v>76</v>
      </c>
      <c r="BY57" s="20" t="s">
        <v>76</v>
      </c>
      <c r="BZ57" s="15">
        <v>14.285714285714301</v>
      </c>
      <c r="CA57" s="32">
        <v>6.91723216755849</v>
      </c>
      <c r="CB57" s="15">
        <v>6.38977635782748</v>
      </c>
      <c r="CC57" s="15">
        <v>8.4905660377358494</v>
      </c>
      <c r="CD57" s="15">
        <v>7.0967741935483897</v>
      </c>
      <c r="CE57" s="20" t="s">
        <v>76</v>
      </c>
      <c r="CF57" s="15">
        <v>5.6886227544910204</v>
      </c>
      <c r="CG57" s="15">
        <v>6.7039106145251397</v>
      </c>
      <c r="CH57" s="15">
        <v>6.9852941176470598</v>
      </c>
      <c r="CI57" s="15">
        <v>7.3921971252566703</v>
      </c>
      <c r="CJ57" s="15">
        <v>10.1960784313726</v>
      </c>
      <c r="CK57" s="15">
        <v>8.0717488789237706</v>
      </c>
      <c r="CL57" s="15">
        <v>8.6363636363636402</v>
      </c>
      <c r="CM57" s="24">
        <v>6.2098501070663801</v>
      </c>
      <c r="CN57" s="37"/>
    </row>
    <row r="58" spans="1:92">
      <c r="A58" s="9" t="s">
        <v>313</v>
      </c>
      <c r="B58" s="35">
        <v>25.3531912638284</v>
      </c>
      <c r="C58" s="32">
        <v>25.9382993911799</v>
      </c>
      <c r="D58" s="32">
        <v>28.967710276468299</v>
      </c>
      <c r="E58" s="32">
        <v>22.786359685730201</v>
      </c>
      <c r="F58" s="20" t="s">
        <v>76</v>
      </c>
      <c r="G58" s="20" t="s">
        <v>76</v>
      </c>
      <c r="H58" s="20" t="s">
        <v>76</v>
      </c>
      <c r="I58" s="15">
        <v>50</v>
      </c>
      <c r="J58" s="15">
        <v>22.9166666666667</v>
      </c>
      <c r="K58" s="15">
        <v>17.948717948717899</v>
      </c>
      <c r="L58" s="15">
        <v>14.7540983606557</v>
      </c>
      <c r="M58" s="20" t="s">
        <v>76</v>
      </c>
      <c r="N58" s="15">
        <v>20</v>
      </c>
      <c r="O58" s="15">
        <v>25.581395348837201</v>
      </c>
      <c r="P58" s="15">
        <v>29.577464788732399</v>
      </c>
      <c r="Q58" s="15">
        <v>21.126760563380302</v>
      </c>
      <c r="R58" s="20" t="s">
        <v>76</v>
      </c>
      <c r="S58" s="15">
        <v>24.390243902439</v>
      </c>
      <c r="T58" s="15">
        <v>29.1666666666667</v>
      </c>
      <c r="U58" s="20" t="s">
        <v>76</v>
      </c>
      <c r="V58" s="15">
        <v>17.647058823529399</v>
      </c>
      <c r="W58" s="15">
        <v>15.254237288135601</v>
      </c>
      <c r="X58" s="15">
        <v>46.153846153846203</v>
      </c>
      <c r="Y58" s="20" t="s">
        <v>76</v>
      </c>
      <c r="Z58" s="15">
        <v>21.794871794871799</v>
      </c>
      <c r="AA58" s="15">
        <v>29.357798165137599</v>
      </c>
      <c r="AB58" s="15">
        <v>29.411764705882401</v>
      </c>
      <c r="AC58" s="15">
        <v>26.515151515151501</v>
      </c>
      <c r="AD58" s="20" t="s">
        <v>76</v>
      </c>
      <c r="AE58" s="15">
        <v>22.2222222222222</v>
      </c>
      <c r="AF58" s="20" t="s">
        <v>76</v>
      </c>
      <c r="AG58" s="15">
        <v>20</v>
      </c>
      <c r="AH58" s="20" t="s">
        <v>76</v>
      </c>
      <c r="AI58" s="20" t="s">
        <v>76</v>
      </c>
      <c r="AJ58" s="15">
        <v>27.027027027027</v>
      </c>
      <c r="AK58" s="20" t="s">
        <v>76</v>
      </c>
      <c r="AL58" s="15">
        <v>27.7777777777778</v>
      </c>
      <c r="AM58" s="15">
        <v>17.1875</v>
      </c>
      <c r="AN58" s="20" t="s">
        <v>76</v>
      </c>
      <c r="AO58" s="15">
        <v>12.5</v>
      </c>
      <c r="AP58" s="15">
        <v>15.5844155844156</v>
      </c>
      <c r="AQ58" s="15">
        <v>23.076923076923102</v>
      </c>
      <c r="AR58" s="15">
        <v>25.454545454545499</v>
      </c>
      <c r="AS58" s="20" t="s">
        <v>76</v>
      </c>
      <c r="AT58" s="15">
        <v>24.615384615384599</v>
      </c>
      <c r="AU58" s="15">
        <v>22.4489795918367</v>
      </c>
      <c r="AV58" s="15">
        <v>12.328767123287699</v>
      </c>
      <c r="AW58" s="15">
        <v>17.241379310344801</v>
      </c>
      <c r="AX58" s="15">
        <v>31.25</v>
      </c>
      <c r="AY58" s="15">
        <v>25.714285714285701</v>
      </c>
      <c r="AZ58" s="15">
        <v>26</v>
      </c>
      <c r="BA58" s="15">
        <v>16.981132075471699</v>
      </c>
      <c r="BB58" s="15">
        <v>25.373134328358201</v>
      </c>
      <c r="BC58" s="15">
        <v>14.8648648648649</v>
      </c>
      <c r="BD58" s="15">
        <v>24.3589743589744</v>
      </c>
      <c r="BE58" s="15">
        <v>43.1034482758621</v>
      </c>
      <c r="BF58" s="15">
        <v>34.939759036144601</v>
      </c>
      <c r="BG58" s="15">
        <v>17.910447761194</v>
      </c>
      <c r="BH58" s="20" t="s">
        <v>76</v>
      </c>
      <c r="BI58" s="15">
        <v>26.315789473684202</v>
      </c>
      <c r="BJ58" s="15">
        <v>28.571428571428601</v>
      </c>
      <c r="BK58" s="15">
        <v>35</v>
      </c>
      <c r="BL58" s="15">
        <v>21.875</v>
      </c>
      <c r="BM58" s="15">
        <v>17.821782178217799</v>
      </c>
      <c r="BN58" s="15">
        <v>31.932773109243701</v>
      </c>
      <c r="BO58" s="15">
        <v>11.1111111111111</v>
      </c>
      <c r="BP58" s="20" t="s">
        <v>76</v>
      </c>
      <c r="BQ58" s="15">
        <v>36.986301369863</v>
      </c>
      <c r="BR58" s="15">
        <v>18.3333333333333</v>
      </c>
      <c r="BS58" s="15">
        <v>18.0722891566265</v>
      </c>
      <c r="BT58" s="15">
        <v>29.268292682926798</v>
      </c>
      <c r="BU58" s="15">
        <v>28.037383177570099</v>
      </c>
      <c r="BV58" s="15">
        <v>38.383838383838402</v>
      </c>
      <c r="BW58" s="15">
        <v>11.5942028985507</v>
      </c>
      <c r="BX58" s="20" t="s">
        <v>76</v>
      </c>
      <c r="BY58" s="15">
        <v>23.8095238095238</v>
      </c>
      <c r="BZ58" s="15">
        <v>23.8095238095238</v>
      </c>
      <c r="CA58" s="32">
        <v>33.959587690672798</v>
      </c>
      <c r="CB58" s="15">
        <v>23.961661341852999</v>
      </c>
      <c r="CC58" s="15">
        <v>29.874213836477999</v>
      </c>
      <c r="CD58" s="15">
        <v>34.838709677419402</v>
      </c>
      <c r="CE58" s="20" t="s">
        <v>76</v>
      </c>
      <c r="CF58" s="15">
        <v>31.437125748503</v>
      </c>
      <c r="CG58" s="15">
        <v>29.050279329608902</v>
      </c>
      <c r="CH58" s="15">
        <v>28.125</v>
      </c>
      <c r="CI58" s="15">
        <v>35.934291581108802</v>
      </c>
      <c r="CJ58" s="15">
        <v>24.705882352941199</v>
      </c>
      <c r="CK58" s="15">
        <v>37.668161434977598</v>
      </c>
      <c r="CL58" s="15">
        <v>41.515151515151501</v>
      </c>
      <c r="CM58" s="24">
        <v>35.331905781584602</v>
      </c>
      <c r="CN58" s="37"/>
    </row>
    <row r="59" spans="1:92">
      <c r="A59" s="9" t="s">
        <v>314</v>
      </c>
      <c r="B59" s="35">
        <v>1.51754319838762</v>
      </c>
      <c r="C59" s="32">
        <v>1.2067390702879699</v>
      </c>
      <c r="D59" s="32">
        <v>0.83732121247702895</v>
      </c>
      <c r="E59" s="32">
        <v>0.72840466922755198</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20" t="s">
        <v>76</v>
      </c>
      <c r="AH59" s="15">
        <v>8.9285714285714306</v>
      </c>
      <c r="AI59" s="20" t="s">
        <v>76</v>
      </c>
      <c r="AJ59" s="20" t="s">
        <v>76</v>
      </c>
      <c r="AK59" s="20" t="s">
        <v>76</v>
      </c>
      <c r="AL59" s="20" t="s">
        <v>76</v>
      </c>
      <c r="AM59" s="20" t="s">
        <v>76</v>
      </c>
      <c r="AN59" s="20" t="s">
        <v>76</v>
      </c>
      <c r="AO59" s="20" t="s">
        <v>76</v>
      </c>
      <c r="AP59" s="20" t="s">
        <v>76</v>
      </c>
      <c r="AQ59" s="20" t="s">
        <v>76</v>
      </c>
      <c r="AR59" s="20" t="s">
        <v>76</v>
      </c>
      <c r="AS59" s="20" t="s">
        <v>76</v>
      </c>
      <c r="AT59" s="20" t="s">
        <v>76</v>
      </c>
      <c r="AU59" s="20" t="s">
        <v>76</v>
      </c>
      <c r="AV59" s="20" t="s">
        <v>76</v>
      </c>
      <c r="AW59" s="20" t="s">
        <v>76</v>
      </c>
      <c r="AX59" s="20" t="s">
        <v>76</v>
      </c>
      <c r="AY59" s="20" t="s">
        <v>76</v>
      </c>
      <c r="AZ59" s="20" t="s">
        <v>76</v>
      </c>
      <c r="BA59" s="20" t="s">
        <v>76</v>
      </c>
      <c r="BB59" s="20" t="s">
        <v>76</v>
      </c>
      <c r="BC59" s="20" t="s">
        <v>76</v>
      </c>
      <c r="BD59" s="20" t="s">
        <v>76</v>
      </c>
      <c r="BE59" s="20" t="s">
        <v>76</v>
      </c>
      <c r="BF59" s="20" t="s">
        <v>76</v>
      </c>
      <c r="BG59" s="20" t="s">
        <v>76</v>
      </c>
      <c r="BH59" s="20" t="s">
        <v>76</v>
      </c>
      <c r="BI59" s="20" t="s">
        <v>76</v>
      </c>
      <c r="BJ59" s="20" t="s">
        <v>76</v>
      </c>
      <c r="BK59" s="20" t="s">
        <v>76</v>
      </c>
      <c r="BL59" s="20" t="s">
        <v>76</v>
      </c>
      <c r="BM59" s="20" t="s">
        <v>76</v>
      </c>
      <c r="BN59" s="20" t="s">
        <v>76</v>
      </c>
      <c r="BO59" s="20" t="s">
        <v>76</v>
      </c>
      <c r="BP59" s="20" t="s">
        <v>76</v>
      </c>
      <c r="BQ59" s="20" t="s">
        <v>76</v>
      </c>
      <c r="BR59" s="20" t="s">
        <v>76</v>
      </c>
      <c r="BS59" s="20" t="s">
        <v>76</v>
      </c>
      <c r="BT59" s="20" t="s">
        <v>76</v>
      </c>
      <c r="BU59" s="20" t="s">
        <v>76</v>
      </c>
      <c r="BV59" s="20" t="s">
        <v>76</v>
      </c>
      <c r="BW59" s="20" t="s">
        <v>76</v>
      </c>
      <c r="BX59" s="20" t="s">
        <v>76</v>
      </c>
      <c r="BY59" s="20" t="s">
        <v>76</v>
      </c>
      <c r="BZ59" s="20" t="s">
        <v>76</v>
      </c>
      <c r="CA59" s="32">
        <v>0.92527901786262701</v>
      </c>
      <c r="CB59" s="15">
        <v>1.91693290734824</v>
      </c>
      <c r="CC59" s="20" t="s">
        <v>76</v>
      </c>
      <c r="CD59" s="20" t="s">
        <v>76</v>
      </c>
      <c r="CE59" s="20" t="s">
        <v>76</v>
      </c>
      <c r="CF59" s="20" t="s">
        <v>76</v>
      </c>
      <c r="CG59" s="20" t="s">
        <v>76</v>
      </c>
      <c r="CH59" s="20" t="s">
        <v>76</v>
      </c>
      <c r="CI59" s="20" t="s">
        <v>76</v>
      </c>
      <c r="CJ59" s="20" t="s">
        <v>76</v>
      </c>
      <c r="CK59" s="20" t="s">
        <v>76</v>
      </c>
      <c r="CL59" s="15">
        <v>1.9696969696969699</v>
      </c>
      <c r="CM59" s="24">
        <v>1.4989293361884399</v>
      </c>
      <c r="CN59" s="37"/>
    </row>
    <row r="60" spans="1:92">
      <c r="A60" s="9" t="s">
        <v>315</v>
      </c>
      <c r="B60" s="35">
        <v>1.1300126511994499</v>
      </c>
      <c r="C60" s="32">
        <v>0.96552821568578295</v>
      </c>
      <c r="D60" s="32">
        <v>0.92513387131948499</v>
      </c>
      <c r="E60" s="32">
        <v>0.81202770083295195</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20" t="s">
        <v>76</v>
      </c>
      <c r="AH60" s="20" t="s">
        <v>76</v>
      </c>
      <c r="AI60" s="20" t="s">
        <v>76</v>
      </c>
      <c r="AJ60" s="20" t="s">
        <v>76</v>
      </c>
      <c r="AK60" s="20" t="s">
        <v>76</v>
      </c>
      <c r="AL60" s="20" t="s">
        <v>76</v>
      </c>
      <c r="AM60" s="20" t="s">
        <v>76</v>
      </c>
      <c r="AN60" s="20" t="s">
        <v>76</v>
      </c>
      <c r="AO60" s="20" t="s">
        <v>76</v>
      </c>
      <c r="AP60" s="20" t="s">
        <v>76</v>
      </c>
      <c r="AQ60" s="20" t="s">
        <v>76</v>
      </c>
      <c r="AR60" s="20" t="s">
        <v>76</v>
      </c>
      <c r="AS60" s="20" t="s">
        <v>76</v>
      </c>
      <c r="AT60" s="20" t="s">
        <v>76</v>
      </c>
      <c r="AU60" s="20" t="s">
        <v>76</v>
      </c>
      <c r="AV60" s="20" t="s">
        <v>76</v>
      </c>
      <c r="AW60" s="20" t="s">
        <v>76</v>
      </c>
      <c r="AX60" s="20" t="s">
        <v>76</v>
      </c>
      <c r="AY60" s="20" t="s">
        <v>76</v>
      </c>
      <c r="AZ60" s="20" t="s">
        <v>76</v>
      </c>
      <c r="BA60" s="20" t="s">
        <v>76</v>
      </c>
      <c r="BB60" s="20" t="s">
        <v>76</v>
      </c>
      <c r="BC60" s="20" t="s">
        <v>76</v>
      </c>
      <c r="BD60" s="20" t="s">
        <v>76</v>
      </c>
      <c r="BE60" s="20" t="s">
        <v>76</v>
      </c>
      <c r="BF60" s="20" t="s">
        <v>76</v>
      </c>
      <c r="BG60" s="20" t="s">
        <v>76</v>
      </c>
      <c r="BH60" s="20" t="s">
        <v>76</v>
      </c>
      <c r="BI60" s="20" t="s">
        <v>76</v>
      </c>
      <c r="BJ60" s="20" t="s">
        <v>76</v>
      </c>
      <c r="BK60" s="20" t="s">
        <v>76</v>
      </c>
      <c r="BL60" s="20" t="s">
        <v>76</v>
      </c>
      <c r="BM60" s="20" t="s">
        <v>76</v>
      </c>
      <c r="BN60" s="20" t="s">
        <v>76</v>
      </c>
      <c r="BO60" s="20" t="s">
        <v>76</v>
      </c>
      <c r="BP60" s="20" t="s">
        <v>76</v>
      </c>
      <c r="BQ60" s="20" t="s">
        <v>76</v>
      </c>
      <c r="BR60" s="20" t="s">
        <v>76</v>
      </c>
      <c r="BS60" s="20" t="s">
        <v>76</v>
      </c>
      <c r="BT60" s="20" t="s">
        <v>76</v>
      </c>
      <c r="BU60" s="20" t="s">
        <v>76</v>
      </c>
      <c r="BV60" s="20" t="s">
        <v>76</v>
      </c>
      <c r="BW60" s="20" t="s">
        <v>76</v>
      </c>
      <c r="BX60" s="20" t="s">
        <v>76</v>
      </c>
      <c r="BY60" s="20" t="s">
        <v>76</v>
      </c>
      <c r="BZ60" s="20" t="s">
        <v>76</v>
      </c>
      <c r="CA60" s="32">
        <v>1.0164750967637901</v>
      </c>
      <c r="CB60" s="15">
        <v>1.91693290734824</v>
      </c>
      <c r="CC60" s="20" t="s">
        <v>76</v>
      </c>
      <c r="CD60" s="20" t="s">
        <v>76</v>
      </c>
      <c r="CE60" s="20" t="s">
        <v>76</v>
      </c>
      <c r="CF60" s="20" t="s">
        <v>76</v>
      </c>
      <c r="CG60" s="20" t="s">
        <v>76</v>
      </c>
      <c r="CH60" s="20" t="s">
        <v>76</v>
      </c>
      <c r="CI60" s="20" t="s">
        <v>76</v>
      </c>
      <c r="CJ60" s="20" t="s">
        <v>76</v>
      </c>
      <c r="CK60" s="20" t="s">
        <v>76</v>
      </c>
      <c r="CL60" s="15">
        <v>2.2727272727272698</v>
      </c>
      <c r="CM60" s="24">
        <v>1.2847965738758</v>
      </c>
      <c r="CN60" s="37"/>
    </row>
    <row r="61" spans="1:92">
      <c r="A61" s="9" t="s">
        <v>316</v>
      </c>
      <c r="B61" s="35">
        <v>1.20267165928746</v>
      </c>
      <c r="C61" s="32">
        <v>1.0626238240729999</v>
      </c>
      <c r="D61" s="32">
        <v>0.98205859151010799</v>
      </c>
      <c r="E61" s="32">
        <v>0.98956930384782404</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20" t="s">
        <v>76</v>
      </c>
      <c r="AH61" s="15">
        <v>8.9285714285714306</v>
      </c>
      <c r="AI61" s="20" t="s">
        <v>76</v>
      </c>
      <c r="AJ61" s="20" t="s">
        <v>76</v>
      </c>
      <c r="AK61" s="20" t="s">
        <v>76</v>
      </c>
      <c r="AL61" s="20" t="s">
        <v>76</v>
      </c>
      <c r="AM61" s="20" t="s">
        <v>76</v>
      </c>
      <c r="AN61" s="20" t="s">
        <v>76</v>
      </c>
      <c r="AO61" s="20" t="s">
        <v>76</v>
      </c>
      <c r="AP61" s="20" t="s">
        <v>76</v>
      </c>
      <c r="AQ61" s="20" t="s">
        <v>76</v>
      </c>
      <c r="AR61" s="20" t="s">
        <v>76</v>
      </c>
      <c r="AS61" s="20" t="s">
        <v>76</v>
      </c>
      <c r="AT61" s="20" t="s">
        <v>76</v>
      </c>
      <c r="AU61" s="20" t="s">
        <v>76</v>
      </c>
      <c r="AV61" s="20" t="s">
        <v>76</v>
      </c>
      <c r="AW61" s="20" t="s">
        <v>76</v>
      </c>
      <c r="AX61" s="20" t="s">
        <v>76</v>
      </c>
      <c r="AY61" s="20" t="s">
        <v>76</v>
      </c>
      <c r="AZ61" s="20" t="s">
        <v>76</v>
      </c>
      <c r="BA61" s="20" t="s">
        <v>76</v>
      </c>
      <c r="BB61" s="20" t="s">
        <v>76</v>
      </c>
      <c r="BC61" s="20" t="s">
        <v>76</v>
      </c>
      <c r="BD61" s="20" t="s">
        <v>76</v>
      </c>
      <c r="BE61" s="20" t="s">
        <v>76</v>
      </c>
      <c r="BF61" s="20" t="s">
        <v>76</v>
      </c>
      <c r="BG61" s="20" t="s">
        <v>76</v>
      </c>
      <c r="BH61" s="20" t="s">
        <v>76</v>
      </c>
      <c r="BI61" s="20" t="s">
        <v>76</v>
      </c>
      <c r="BJ61" s="20" t="s">
        <v>76</v>
      </c>
      <c r="BK61" s="20" t="s">
        <v>76</v>
      </c>
      <c r="BL61" s="20" t="s">
        <v>76</v>
      </c>
      <c r="BM61" s="20" t="s">
        <v>76</v>
      </c>
      <c r="BN61" s="20" t="s">
        <v>76</v>
      </c>
      <c r="BO61" s="20" t="s">
        <v>76</v>
      </c>
      <c r="BP61" s="20" t="s">
        <v>76</v>
      </c>
      <c r="BQ61" s="20" t="s">
        <v>76</v>
      </c>
      <c r="BR61" s="20" t="s">
        <v>76</v>
      </c>
      <c r="BS61" s="20" t="s">
        <v>76</v>
      </c>
      <c r="BT61" s="20" t="s">
        <v>76</v>
      </c>
      <c r="BU61" s="20" t="s">
        <v>76</v>
      </c>
      <c r="BV61" s="20" t="s">
        <v>76</v>
      </c>
      <c r="BW61" s="20" t="s">
        <v>76</v>
      </c>
      <c r="BX61" s="20" t="s">
        <v>76</v>
      </c>
      <c r="BY61" s="20" t="s">
        <v>76</v>
      </c>
      <c r="BZ61" s="20" t="s">
        <v>76</v>
      </c>
      <c r="CA61" s="32">
        <v>0.97599316054435603</v>
      </c>
      <c r="CB61" s="15">
        <v>2.8753993610223598</v>
      </c>
      <c r="CC61" s="20" t="s">
        <v>76</v>
      </c>
      <c r="CD61" s="20" t="s">
        <v>76</v>
      </c>
      <c r="CE61" s="20" t="s">
        <v>76</v>
      </c>
      <c r="CF61" s="20" t="s">
        <v>76</v>
      </c>
      <c r="CG61" s="20" t="s">
        <v>76</v>
      </c>
      <c r="CH61" s="20" t="s">
        <v>76</v>
      </c>
      <c r="CI61" s="20" t="s">
        <v>76</v>
      </c>
      <c r="CJ61" s="20" t="s">
        <v>76</v>
      </c>
      <c r="CK61" s="20" t="s">
        <v>76</v>
      </c>
      <c r="CL61" s="15">
        <v>1.36363636363636</v>
      </c>
      <c r="CM61" s="24">
        <v>1.9271948608137</v>
      </c>
      <c r="CN61" s="37"/>
    </row>
    <row r="62" spans="1:92">
      <c r="A62" s="9" t="s">
        <v>317</v>
      </c>
      <c r="B62" s="35">
        <v>2.6865863482646999</v>
      </c>
      <c r="C62" s="32">
        <v>2.76955376136927</v>
      </c>
      <c r="D62" s="32">
        <v>2.3962938618624601</v>
      </c>
      <c r="E62" s="32">
        <v>3.13728859394985</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20" t="s">
        <v>76</v>
      </c>
      <c r="AB62" s="15">
        <v>10.294117647058799</v>
      </c>
      <c r="AC62" s="15">
        <v>6.0606060606060597</v>
      </c>
      <c r="AD62" s="20" t="s">
        <v>76</v>
      </c>
      <c r="AE62" s="20" t="s">
        <v>76</v>
      </c>
      <c r="AF62" s="20" t="s">
        <v>76</v>
      </c>
      <c r="AG62" s="20" t="s">
        <v>76</v>
      </c>
      <c r="AH62" s="20" t="s">
        <v>76</v>
      </c>
      <c r="AI62" s="20" t="s">
        <v>76</v>
      </c>
      <c r="AJ62" s="15">
        <v>4.5045045045045002</v>
      </c>
      <c r="AK62" s="20" t="s">
        <v>76</v>
      </c>
      <c r="AL62" s="20" t="s">
        <v>76</v>
      </c>
      <c r="AM62" s="20" t="s">
        <v>76</v>
      </c>
      <c r="AN62" s="20" t="s">
        <v>76</v>
      </c>
      <c r="AO62" s="20" t="s">
        <v>76</v>
      </c>
      <c r="AP62" s="20" t="s">
        <v>76</v>
      </c>
      <c r="AQ62" s="20" t="s">
        <v>76</v>
      </c>
      <c r="AR62" s="20" t="s">
        <v>76</v>
      </c>
      <c r="AS62" s="20" t="s">
        <v>76</v>
      </c>
      <c r="AT62" s="20" t="s">
        <v>76</v>
      </c>
      <c r="AU62" s="20" t="s">
        <v>76</v>
      </c>
      <c r="AV62" s="20" t="s">
        <v>76</v>
      </c>
      <c r="AW62" s="20" t="s">
        <v>76</v>
      </c>
      <c r="AX62" s="20" t="s">
        <v>76</v>
      </c>
      <c r="AY62" s="20" t="s">
        <v>76</v>
      </c>
      <c r="AZ62" s="20" t="s">
        <v>76</v>
      </c>
      <c r="BA62" s="20" t="s">
        <v>76</v>
      </c>
      <c r="BB62" s="20" t="s">
        <v>76</v>
      </c>
      <c r="BC62" s="20" t="s">
        <v>76</v>
      </c>
      <c r="BD62" s="15">
        <v>7.6923076923076898</v>
      </c>
      <c r="BE62" s="20" t="s">
        <v>76</v>
      </c>
      <c r="BF62" s="20" t="s">
        <v>76</v>
      </c>
      <c r="BG62" s="20" t="s">
        <v>76</v>
      </c>
      <c r="BH62" s="20" t="s">
        <v>76</v>
      </c>
      <c r="BI62" s="20" t="s">
        <v>76</v>
      </c>
      <c r="BJ62" s="20" t="s">
        <v>76</v>
      </c>
      <c r="BK62" s="20" t="s">
        <v>76</v>
      </c>
      <c r="BL62" s="20" t="s">
        <v>76</v>
      </c>
      <c r="BM62" s="20" t="s">
        <v>76</v>
      </c>
      <c r="BN62" s="20" t="s">
        <v>76</v>
      </c>
      <c r="BO62" s="20" t="s">
        <v>76</v>
      </c>
      <c r="BP62" s="20" t="s">
        <v>76</v>
      </c>
      <c r="BQ62" s="20" t="s">
        <v>76</v>
      </c>
      <c r="BR62" s="20" t="s">
        <v>76</v>
      </c>
      <c r="BS62" s="20" t="s">
        <v>76</v>
      </c>
      <c r="BT62" s="20" t="s">
        <v>76</v>
      </c>
      <c r="BU62" s="20" t="s">
        <v>76</v>
      </c>
      <c r="BV62" s="15">
        <v>11.1111111111111</v>
      </c>
      <c r="BW62" s="20" t="s">
        <v>76</v>
      </c>
      <c r="BX62" s="20" t="s">
        <v>76</v>
      </c>
      <c r="BY62" s="20" t="s">
        <v>76</v>
      </c>
      <c r="BZ62" s="15">
        <v>3.40136054421769</v>
      </c>
      <c r="CA62" s="32">
        <v>1.7978882524647399</v>
      </c>
      <c r="CB62" s="15">
        <v>2.2364217252396199</v>
      </c>
      <c r="CC62" s="20" t="s">
        <v>76</v>
      </c>
      <c r="CD62" s="20" t="s">
        <v>76</v>
      </c>
      <c r="CE62" s="20" t="s">
        <v>76</v>
      </c>
      <c r="CF62" s="15">
        <v>1.79640718562874</v>
      </c>
      <c r="CG62" s="15">
        <v>3.91061452513966</v>
      </c>
      <c r="CH62" s="15">
        <v>2.0220588235294099</v>
      </c>
      <c r="CI62" s="15">
        <v>1.84804928131417</v>
      </c>
      <c r="CJ62" s="15">
        <v>3.1372549019607798</v>
      </c>
      <c r="CK62" s="20" t="s">
        <v>76</v>
      </c>
      <c r="CL62" s="15">
        <v>2.1212121212121202</v>
      </c>
      <c r="CM62" s="24">
        <v>1.4989293361884399</v>
      </c>
      <c r="CN62" s="37"/>
    </row>
    <row r="63" spans="1:92">
      <c r="A63" s="9" t="s">
        <v>318</v>
      </c>
      <c r="B63" s="35">
        <v>10.778992366175601</v>
      </c>
      <c r="C63" s="32">
        <v>9.8862464954442402</v>
      </c>
      <c r="D63" s="32">
        <v>10.0498263969526</v>
      </c>
      <c r="E63" s="32">
        <v>13.4887459386067</v>
      </c>
      <c r="F63" s="20" t="s">
        <v>76</v>
      </c>
      <c r="G63" s="20" t="s">
        <v>76</v>
      </c>
      <c r="H63" s="15">
        <v>39.130434782608702</v>
      </c>
      <c r="I63" s="20" t="s">
        <v>76</v>
      </c>
      <c r="J63" s="15">
        <v>11.8055555555556</v>
      </c>
      <c r="K63" s="15">
        <v>20.5128205128205</v>
      </c>
      <c r="L63" s="15">
        <v>11.4754098360656</v>
      </c>
      <c r="M63" s="20" t="s">
        <v>76</v>
      </c>
      <c r="N63" s="15">
        <v>15.294117647058799</v>
      </c>
      <c r="O63" s="20" t="s">
        <v>76</v>
      </c>
      <c r="P63" s="15">
        <v>21.126760563380302</v>
      </c>
      <c r="Q63" s="15">
        <v>15.492957746478901</v>
      </c>
      <c r="R63" s="20" t="s">
        <v>76</v>
      </c>
      <c r="S63" s="15">
        <v>24.390243902439</v>
      </c>
      <c r="T63" s="15">
        <v>18.75</v>
      </c>
      <c r="U63" s="20" t="s">
        <v>76</v>
      </c>
      <c r="V63" s="20" t="s">
        <v>76</v>
      </c>
      <c r="W63" s="15">
        <v>18.644067796610202</v>
      </c>
      <c r="X63" s="20" t="s">
        <v>76</v>
      </c>
      <c r="Y63" s="20" t="s">
        <v>76</v>
      </c>
      <c r="Z63" s="15">
        <v>6.4102564102564097</v>
      </c>
      <c r="AA63" s="15">
        <v>19.2660550458716</v>
      </c>
      <c r="AB63" s="15">
        <v>14.705882352941201</v>
      </c>
      <c r="AC63" s="15">
        <v>19.696969696969699</v>
      </c>
      <c r="AD63" s="20" t="s">
        <v>76</v>
      </c>
      <c r="AE63" s="20" t="s">
        <v>76</v>
      </c>
      <c r="AF63" s="20" t="s">
        <v>76</v>
      </c>
      <c r="AG63" s="15">
        <v>10.476190476190499</v>
      </c>
      <c r="AH63" s="20" t="s">
        <v>76</v>
      </c>
      <c r="AI63" s="20" t="s">
        <v>76</v>
      </c>
      <c r="AJ63" s="15">
        <v>14.4144144144144</v>
      </c>
      <c r="AK63" s="20" t="s">
        <v>76</v>
      </c>
      <c r="AL63" s="15">
        <v>15.5555555555556</v>
      </c>
      <c r="AM63" s="15">
        <v>10.9375</v>
      </c>
      <c r="AN63" s="20" t="s">
        <v>76</v>
      </c>
      <c r="AO63" s="20" t="s">
        <v>76</v>
      </c>
      <c r="AP63" s="15">
        <v>11.6883116883117</v>
      </c>
      <c r="AQ63" s="15">
        <v>25.6410256410256</v>
      </c>
      <c r="AR63" s="15">
        <v>9.0909090909090899</v>
      </c>
      <c r="AS63" s="20" t="s">
        <v>76</v>
      </c>
      <c r="AT63" s="15">
        <v>12.307692307692299</v>
      </c>
      <c r="AU63" s="15">
        <v>18.367346938775501</v>
      </c>
      <c r="AV63" s="15">
        <v>8.2191780821917799</v>
      </c>
      <c r="AW63" s="15">
        <v>5.1724137931034502</v>
      </c>
      <c r="AX63" s="20" t="s">
        <v>76</v>
      </c>
      <c r="AY63" s="15">
        <v>22.8571428571429</v>
      </c>
      <c r="AZ63" s="20" t="s">
        <v>76</v>
      </c>
      <c r="BA63" s="15">
        <v>24.528301886792502</v>
      </c>
      <c r="BB63" s="15">
        <v>20.8955223880597</v>
      </c>
      <c r="BC63" s="15">
        <v>12.1621621621622</v>
      </c>
      <c r="BD63" s="15">
        <v>12.8205128205128</v>
      </c>
      <c r="BE63" s="20" t="s">
        <v>76</v>
      </c>
      <c r="BF63" s="15">
        <v>16.867469879518101</v>
      </c>
      <c r="BG63" s="15">
        <v>13.4328358208955</v>
      </c>
      <c r="BH63" s="20" t="s">
        <v>76</v>
      </c>
      <c r="BI63" s="20" t="s">
        <v>76</v>
      </c>
      <c r="BJ63" s="15">
        <v>14.285714285714301</v>
      </c>
      <c r="BK63" s="20" t="s">
        <v>76</v>
      </c>
      <c r="BL63" s="15">
        <v>10.9375</v>
      </c>
      <c r="BM63" s="15">
        <v>10.891089108910901</v>
      </c>
      <c r="BN63" s="15">
        <v>14.285714285714301</v>
      </c>
      <c r="BO63" s="15">
        <v>13.3333333333333</v>
      </c>
      <c r="BP63" s="20" t="s">
        <v>76</v>
      </c>
      <c r="BQ63" s="15">
        <v>13.698630136986299</v>
      </c>
      <c r="BR63" s="15">
        <v>16.6666666666667</v>
      </c>
      <c r="BS63" s="15">
        <v>7.2289156626505999</v>
      </c>
      <c r="BT63" s="15">
        <v>13.4146341463415</v>
      </c>
      <c r="BU63" s="15">
        <v>21.495327102803699</v>
      </c>
      <c r="BV63" s="15">
        <v>23.2323232323232</v>
      </c>
      <c r="BW63" s="15">
        <v>7.2463768115942004</v>
      </c>
      <c r="BX63" s="20" t="s">
        <v>76</v>
      </c>
      <c r="BY63" s="20" t="s">
        <v>76</v>
      </c>
      <c r="BZ63" s="15">
        <v>10.8843537414966</v>
      </c>
      <c r="CA63" s="32">
        <v>7.2726558518987297</v>
      </c>
      <c r="CB63" s="15">
        <v>5.7507987220447303</v>
      </c>
      <c r="CC63" s="15">
        <v>10.062893081761001</v>
      </c>
      <c r="CD63" s="15">
        <v>3.87096774193548</v>
      </c>
      <c r="CE63" s="20" t="s">
        <v>76</v>
      </c>
      <c r="CF63" s="15">
        <v>7.7844311377245496</v>
      </c>
      <c r="CG63" s="15">
        <v>7.8212290502793298</v>
      </c>
      <c r="CH63" s="15">
        <v>8.2720588235294095</v>
      </c>
      <c r="CI63" s="15">
        <v>8.6242299794661204</v>
      </c>
      <c r="CJ63" s="15">
        <v>6.2745098039215703</v>
      </c>
      <c r="CK63" s="15">
        <v>9.8654708520179408</v>
      </c>
      <c r="CL63" s="15">
        <v>10.909090909090899</v>
      </c>
      <c r="CM63" s="24">
        <v>4.4967880085653098</v>
      </c>
      <c r="CN63" s="37"/>
    </row>
    <row r="64" spans="1:92">
      <c r="A64" s="11" t="s">
        <v>319</v>
      </c>
      <c r="B64" s="36">
        <v>10.071137761762801</v>
      </c>
      <c r="C64" s="33">
        <v>9.4296933329155692</v>
      </c>
      <c r="D64" s="33">
        <v>8.9714309426420602</v>
      </c>
      <c r="E64" s="33">
        <v>11.390737902335699</v>
      </c>
      <c r="F64" s="28" t="s">
        <v>76</v>
      </c>
      <c r="G64" s="28" t="s">
        <v>76</v>
      </c>
      <c r="H64" s="28" t="s">
        <v>76</v>
      </c>
      <c r="I64" s="28" t="s">
        <v>76</v>
      </c>
      <c r="J64" s="16">
        <v>8.3333333333333304</v>
      </c>
      <c r="K64" s="16">
        <v>12.8205128205128</v>
      </c>
      <c r="L64" s="16">
        <v>14.7540983606557</v>
      </c>
      <c r="M64" s="16">
        <v>6.5789473684210504</v>
      </c>
      <c r="N64" s="28" t="s">
        <v>76</v>
      </c>
      <c r="O64" s="28" t="s">
        <v>76</v>
      </c>
      <c r="P64" s="16">
        <v>16.901408450704199</v>
      </c>
      <c r="Q64" s="16">
        <v>14.084507042253501</v>
      </c>
      <c r="R64" s="28" t="s">
        <v>76</v>
      </c>
      <c r="S64" s="16">
        <v>12.1951219512195</v>
      </c>
      <c r="T64" s="16">
        <v>14.5833333333333</v>
      </c>
      <c r="U64" s="28" t="s">
        <v>76</v>
      </c>
      <c r="V64" s="16">
        <v>17.647058823529399</v>
      </c>
      <c r="W64" s="16">
        <v>11.864406779661</v>
      </c>
      <c r="X64" s="28" t="s">
        <v>76</v>
      </c>
      <c r="Y64" s="28" t="s">
        <v>76</v>
      </c>
      <c r="Z64" s="28" t="s">
        <v>76</v>
      </c>
      <c r="AA64" s="16">
        <v>10.0917431192661</v>
      </c>
      <c r="AB64" s="16">
        <v>13.235294117647101</v>
      </c>
      <c r="AC64" s="16">
        <v>4.5454545454545396</v>
      </c>
      <c r="AD64" s="28" t="s">
        <v>76</v>
      </c>
      <c r="AE64" s="28" t="s">
        <v>76</v>
      </c>
      <c r="AF64" s="28" t="s">
        <v>76</v>
      </c>
      <c r="AG64" s="16">
        <v>10.476190476190499</v>
      </c>
      <c r="AH64" s="28" t="s">
        <v>76</v>
      </c>
      <c r="AI64" s="28" t="s">
        <v>76</v>
      </c>
      <c r="AJ64" s="16">
        <v>11.7117117117117</v>
      </c>
      <c r="AK64" s="16">
        <v>16.6666666666667</v>
      </c>
      <c r="AL64" s="16">
        <v>20</v>
      </c>
      <c r="AM64" s="16">
        <v>7.8125</v>
      </c>
      <c r="AN64" s="28" t="s">
        <v>76</v>
      </c>
      <c r="AO64" s="28" t="s">
        <v>76</v>
      </c>
      <c r="AP64" s="16">
        <v>6.4935064935064899</v>
      </c>
      <c r="AQ64" s="28" t="s">
        <v>76</v>
      </c>
      <c r="AR64" s="28" t="s">
        <v>76</v>
      </c>
      <c r="AS64" s="16">
        <v>72.727272727272705</v>
      </c>
      <c r="AT64" s="16">
        <v>7.6923076923076898</v>
      </c>
      <c r="AU64" s="16">
        <v>20.408163265306101</v>
      </c>
      <c r="AV64" s="16">
        <v>6.8493150684931496</v>
      </c>
      <c r="AW64" s="16">
        <v>11.2068965517241</v>
      </c>
      <c r="AX64" s="28" t="s">
        <v>76</v>
      </c>
      <c r="AY64" s="16">
        <v>14.285714285714301</v>
      </c>
      <c r="AZ64" s="28" t="s">
        <v>76</v>
      </c>
      <c r="BA64" s="16">
        <v>13.207547169811299</v>
      </c>
      <c r="BB64" s="16">
        <v>14.9253731343284</v>
      </c>
      <c r="BC64" s="16">
        <v>17.5675675675676</v>
      </c>
      <c r="BD64" s="16">
        <v>21.794871794871799</v>
      </c>
      <c r="BE64" s="28" t="s">
        <v>76</v>
      </c>
      <c r="BF64" s="28" t="s">
        <v>76</v>
      </c>
      <c r="BG64" s="28" t="s">
        <v>76</v>
      </c>
      <c r="BH64" s="28" t="s">
        <v>76</v>
      </c>
      <c r="BI64" s="28" t="s">
        <v>76</v>
      </c>
      <c r="BJ64" s="16">
        <v>16.964285714285701</v>
      </c>
      <c r="BK64" s="28" t="s">
        <v>76</v>
      </c>
      <c r="BL64" s="16">
        <v>10.15625</v>
      </c>
      <c r="BM64" s="16">
        <v>11.881188118811901</v>
      </c>
      <c r="BN64" s="28" t="s">
        <v>76</v>
      </c>
      <c r="BO64" s="16">
        <v>13.3333333333333</v>
      </c>
      <c r="BP64" s="28" t="s">
        <v>76</v>
      </c>
      <c r="BQ64" s="16">
        <v>12.328767123287699</v>
      </c>
      <c r="BR64" s="16">
        <v>10</v>
      </c>
      <c r="BS64" s="28" t="s">
        <v>76</v>
      </c>
      <c r="BT64" s="28" t="s">
        <v>76</v>
      </c>
      <c r="BU64" s="16">
        <v>19.6261682242991</v>
      </c>
      <c r="BV64" s="16">
        <v>25.252525252525299</v>
      </c>
      <c r="BW64" s="16">
        <v>14.492753623188401</v>
      </c>
      <c r="BX64" s="28" t="s">
        <v>76</v>
      </c>
      <c r="BY64" s="28" t="s">
        <v>76</v>
      </c>
      <c r="BZ64" s="16">
        <v>13.605442176870699</v>
      </c>
      <c r="CA64" s="33">
        <v>7.0176696096062301</v>
      </c>
      <c r="CB64" s="16">
        <v>5.1118210862619797</v>
      </c>
      <c r="CC64" s="16">
        <v>5.3459119496855303</v>
      </c>
      <c r="CD64" s="16">
        <v>8.3870967741935498</v>
      </c>
      <c r="CE64" s="28" t="s">
        <v>76</v>
      </c>
      <c r="CF64" s="16">
        <v>6.88622754491018</v>
      </c>
      <c r="CG64" s="16">
        <v>5.5865921787709496</v>
      </c>
      <c r="CH64" s="16">
        <v>8.2720588235294095</v>
      </c>
      <c r="CI64" s="16">
        <v>5.74948665297741</v>
      </c>
      <c r="CJ64" s="16">
        <v>10.588235294117601</v>
      </c>
      <c r="CK64" s="16">
        <v>8.9686098654708495</v>
      </c>
      <c r="CL64" s="16">
        <v>8.0303030303030294</v>
      </c>
      <c r="CM64" s="25">
        <v>9.2077087794432604</v>
      </c>
      <c r="CN64" s="37"/>
    </row>
    <row r="65" spans="1:1" ht="30" customHeight="1">
      <c r="A65" t="s">
        <v>252</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99"/>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321</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50.025390461660201</v>
      </c>
      <c r="C3" s="15">
        <v>54.120559916894202</v>
      </c>
      <c r="D3" s="24">
        <v>46.641143799788097</v>
      </c>
      <c r="E3" s="15">
        <v>51.277897339333002</v>
      </c>
      <c r="F3" s="15">
        <v>55.128081875589601</v>
      </c>
      <c r="G3" s="24">
        <v>48.048221349580501</v>
      </c>
      <c r="H3" s="15">
        <v>49.228687428579804</v>
      </c>
      <c r="I3" s="15">
        <v>52.911991022075597</v>
      </c>
      <c r="J3" s="24">
        <v>46.132661739963297</v>
      </c>
      <c r="K3" s="15">
        <v>42.283161055250403</v>
      </c>
      <c r="L3" s="15">
        <v>59.9483551312169</v>
      </c>
      <c r="M3" s="24">
        <v>37.828917659090401</v>
      </c>
      <c r="N3" s="15">
        <v>42.8578763798496</v>
      </c>
      <c r="O3" s="15">
        <v>56.218953907076497</v>
      </c>
      <c r="P3" s="24">
        <v>33.194754376307799</v>
      </c>
    </row>
    <row r="4" spans="1:16" ht="21.95" customHeight="1">
      <c r="A4" s="22" t="s">
        <v>69</v>
      </c>
      <c r="B4" s="15">
        <v>50.507058536694601</v>
      </c>
      <c r="C4" s="15">
        <v>54.653404504888897</v>
      </c>
      <c r="D4" s="24">
        <v>47.106247468846902</v>
      </c>
      <c r="E4" s="15">
        <v>51.4852879412568</v>
      </c>
      <c r="F4" s="15">
        <v>55.3579249136043</v>
      </c>
      <c r="G4" s="24">
        <v>48.248338187863197</v>
      </c>
      <c r="H4" s="15">
        <v>49.899349274490099</v>
      </c>
      <c r="I4" s="15">
        <v>53.654864980050597</v>
      </c>
      <c r="J4" s="24">
        <v>46.812193863927803</v>
      </c>
      <c r="K4" s="15">
        <v>43.013307934471797</v>
      </c>
      <c r="L4" s="15">
        <v>60.693472037487403</v>
      </c>
      <c r="M4" s="24">
        <v>37.571921460037103</v>
      </c>
      <c r="N4" s="15">
        <v>44.640690673589702</v>
      </c>
      <c r="O4" s="15">
        <v>59.080762382379703</v>
      </c>
      <c r="P4" s="24">
        <v>33.330498044271202</v>
      </c>
    </row>
    <row r="5" spans="1:16" ht="21.95" customHeight="1">
      <c r="A5" s="22" t="s">
        <v>70</v>
      </c>
      <c r="B5" s="15">
        <v>47.7092186401186</v>
      </c>
      <c r="C5" s="15">
        <v>48.3264614147595</v>
      </c>
      <c r="D5" s="24">
        <v>47.210751481432098</v>
      </c>
      <c r="E5" s="15">
        <v>48.680106173679498</v>
      </c>
      <c r="F5" s="15">
        <v>49.488207779314997</v>
      </c>
      <c r="G5" s="24">
        <v>48.0228137561745</v>
      </c>
      <c r="H5" s="15">
        <v>46.938637178930598</v>
      </c>
      <c r="I5" s="15">
        <v>46.695236105926902</v>
      </c>
      <c r="J5" s="24">
        <v>47.1394974027369</v>
      </c>
      <c r="K5" s="15">
        <v>44.699029238995003</v>
      </c>
      <c r="L5" s="20" t="s">
        <v>76</v>
      </c>
      <c r="M5" s="26" t="s">
        <v>76</v>
      </c>
      <c r="N5" s="15">
        <v>42.762860983486398</v>
      </c>
      <c r="O5" s="15">
        <v>61.420795418400502</v>
      </c>
      <c r="P5" s="26" t="s">
        <v>76</v>
      </c>
    </row>
    <row r="6" spans="1:16" ht="21.95" customHeight="1">
      <c r="A6" s="22" t="s">
        <v>165</v>
      </c>
      <c r="B6" s="15">
        <v>48.3264614147595</v>
      </c>
      <c r="C6" s="15">
        <v>48.3264614147595</v>
      </c>
      <c r="D6" s="26" t="s">
        <v>76</v>
      </c>
      <c r="E6" s="15">
        <v>49.488207779314997</v>
      </c>
      <c r="F6" s="15">
        <v>49.488207779314997</v>
      </c>
      <c r="G6" s="26" t="s">
        <v>76</v>
      </c>
      <c r="H6" s="15">
        <v>46.695236105926902</v>
      </c>
      <c r="I6" s="15">
        <v>46.695236105926902</v>
      </c>
      <c r="J6" s="26" t="s">
        <v>76</v>
      </c>
      <c r="K6" s="20" t="s">
        <v>76</v>
      </c>
      <c r="L6" s="20" t="s">
        <v>76</v>
      </c>
      <c r="M6" s="26" t="s">
        <v>76</v>
      </c>
      <c r="N6" s="15">
        <v>61.420795418400502</v>
      </c>
      <c r="O6" s="15">
        <v>61.420795418400502</v>
      </c>
      <c r="P6" s="26" t="s">
        <v>76</v>
      </c>
    </row>
    <row r="7" spans="1:16">
      <c r="A7" s="9" t="s">
        <v>166</v>
      </c>
      <c r="B7" s="15">
        <v>29.411764705882401</v>
      </c>
      <c r="C7" s="15">
        <v>29.411764705882401</v>
      </c>
      <c r="D7" s="26" t="s">
        <v>76</v>
      </c>
      <c r="E7" s="20" t="s">
        <v>76</v>
      </c>
      <c r="F7" s="20" t="s">
        <v>76</v>
      </c>
      <c r="G7" s="26" t="s">
        <v>76</v>
      </c>
      <c r="H7" s="20" t="s">
        <v>76</v>
      </c>
      <c r="I7" s="20" t="s">
        <v>76</v>
      </c>
      <c r="J7" s="26" t="s">
        <v>76</v>
      </c>
      <c r="K7" s="20" t="s">
        <v>76</v>
      </c>
      <c r="L7" s="20" t="s">
        <v>76</v>
      </c>
      <c r="M7" s="26" t="s">
        <v>76</v>
      </c>
      <c r="N7" s="20" t="s">
        <v>76</v>
      </c>
      <c r="O7" s="20" t="s">
        <v>76</v>
      </c>
      <c r="P7" s="26" t="s">
        <v>76</v>
      </c>
    </row>
    <row r="8" spans="1:16">
      <c r="A8" s="9" t="s">
        <v>167</v>
      </c>
      <c r="B8" s="15">
        <v>29.411764705882401</v>
      </c>
      <c r="C8" s="15">
        <v>29.411764705882401</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c r="A9" s="9" t="s">
        <v>168</v>
      </c>
      <c r="B9" s="15">
        <v>86.956521739130395</v>
      </c>
      <c r="C9" s="15">
        <v>86.956521739130395</v>
      </c>
      <c r="D9" s="26" t="s">
        <v>76</v>
      </c>
      <c r="E9" s="15">
        <v>100</v>
      </c>
      <c r="F9" s="15">
        <v>100</v>
      </c>
      <c r="G9" s="26" t="s">
        <v>76</v>
      </c>
      <c r="H9" s="15">
        <v>66.6666666666667</v>
      </c>
      <c r="I9" s="15">
        <v>66.6666666666667</v>
      </c>
      <c r="J9" s="26" t="s">
        <v>76</v>
      </c>
      <c r="K9" s="20" t="s">
        <v>76</v>
      </c>
      <c r="L9" s="20" t="s">
        <v>76</v>
      </c>
      <c r="M9" s="26" t="s">
        <v>76</v>
      </c>
      <c r="N9" s="20" t="s">
        <v>76</v>
      </c>
      <c r="O9" s="20" t="s">
        <v>76</v>
      </c>
      <c r="P9" s="26" t="s">
        <v>76</v>
      </c>
    </row>
    <row r="10" spans="1:16">
      <c r="A10" s="9" t="s">
        <v>169</v>
      </c>
      <c r="B10" s="15">
        <v>50</v>
      </c>
      <c r="C10" s="15">
        <v>50</v>
      </c>
      <c r="D10" s="26" t="s">
        <v>76</v>
      </c>
      <c r="E10" s="20" t="s">
        <v>76</v>
      </c>
      <c r="F10" s="20" t="s">
        <v>76</v>
      </c>
      <c r="G10" s="26" t="s">
        <v>76</v>
      </c>
      <c r="H10" s="20" t="s">
        <v>76</v>
      </c>
      <c r="I10" s="20" t="s">
        <v>76</v>
      </c>
      <c r="J10" s="26" t="s">
        <v>76</v>
      </c>
      <c r="K10" s="20" t="s">
        <v>76</v>
      </c>
      <c r="L10" s="20" t="s">
        <v>76</v>
      </c>
      <c r="M10" s="26" t="s">
        <v>76</v>
      </c>
      <c r="N10" s="20" t="s">
        <v>76</v>
      </c>
      <c r="O10" s="20" t="s">
        <v>76</v>
      </c>
      <c r="P10" s="26" t="s">
        <v>76</v>
      </c>
    </row>
    <row r="11" spans="1:16">
      <c r="A11" s="9" t="s">
        <v>170</v>
      </c>
      <c r="B11" s="15">
        <v>45.8333333333333</v>
      </c>
      <c r="C11" s="15">
        <v>45.8333333333333</v>
      </c>
      <c r="D11" s="26" t="s">
        <v>76</v>
      </c>
      <c r="E11" s="15">
        <v>48.148148148148103</v>
      </c>
      <c r="F11" s="15">
        <v>48.148148148148103</v>
      </c>
      <c r="G11" s="26" t="s">
        <v>76</v>
      </c>
      <c r="H11" s="15">
        <v>42.857142857142897</v>
      </c>
      <c r="I11" s="15">
        <v>42.857142857142897</v>
      </c>
      <c r="J11" s="26" t="s">
        <v>76</v>
      </c>
      <c r="K11" s="20" t="s">
        <v>76</v>
      </c>
      <c r="L11" s="20" t="s">
        <v>76</v>
      </c>
      <c r="M11" s="26" t="s">
        <v>76</v>
      </c>
      <c r="N11" s="20" t="s">
        <v>76</v>
      </c>
      <c r="O11" s="20" t="s">
        <v>76</v>
      </c>
      <c r="P11" s="26" t="s">
        <v>76</v>
      </c>
    </row>
    <row r="12" spans="1:16">
      <c r="A12" s="9" t="s">
        <v>171</v>
      </c>
      <c r="B12" s="15">
        <v>35.897435897435898</v>
      </c>
      <c r="C12" s="15">
        <v>35.897435897435898</v>
      </c>
      <c r="D12" s="26" t="s">
        <v>76</v>
      </c>
      <c r="E12" s="15">
        <v>55.5555555555556</v>
      </c>
      <c r="F12" s="15">
        <v>55.5555555555556</v>
      </c>
      <c r="G12" s="26" t="s">
        <v>76</v>
      </c>
      <c r="H12" s="20" t="s">
        <v>76</v>
      </c>
      <c r="I12" s="20" t="s">
        <v>76</v>
      </c>
      <c r="J12" s="26" t="s">
        <v>76</v>
      </c>
      <c r="K12" s="20" t="s">
        <v>76</v>
      </c>
      <c r="L12" s="20" t="s">
        <v>76</v>
      </c>
      <c r="M12" s="26" t="s">
        <v>76</v>
      </c>
      <c r="N12" s="20" t="s">
        <v>76</v>
      </c>
      <c r="O12" s="20" t="s">
        <v>76</v>
      </c>
      <c r="P12" s="26" t="s">
        <v>76</v>
      </c>
    </row>
    <row r="13" spans="1:16">
      <c r="A13" s="9" t="s">
        <v>172</v>
      </c>
      <c r="B13" s="15">
        <v>85.245901639344297</v>
      </c>
      <c r="C13" s="15">
        <v>85.245901639344297</v>
      </c>
      <c r="D13" s="26" t="s">
        <v>76</v>
      </c>
      <c r="E13" s="15">
        <v>86.2068965517241</v>
      </c>
      <c r="F13" s="15">
        <v>86.2068965517241</v>
      </c>
      <c r="G13" s="26" t="s">
        <v>76</v>
      </c>
      <c r="H13" s="15">
        <v>84.375</v>
      </c>
      <c r="I13" s="15">
        <v>84.375</v>
      </c>
      <c r="J13" s="26" t="s">
        <v>76</v>
      </c>
      <c r="K13" s="20" t="s">
        <v>76</v>
      </c>
      <c r="L13" s="20" t="s">
        <v>76</v>
      </c>
      <c r="M13" s="26" t="s">
        <v>76</v>
      </c>
      <c r="N13" s="20" t="s">
        <v>76</v>
      </c>
      <c r="O13" s="20" t="s">
        <v>76</v>
      </c>
      <c r="P13" s="26" t="s">
        <v>76</v>
      </c>
    </row>
    <row r="14" spans="1:16">
      <c r="A14" s="9" t="s">
        <v>173</v>
      </c>
      <c r="B14" s="15">
        <v>59.210526315789501</v>
      </c>
      <c r="C14" s="15">
        <v>59.210526315789501</v>
      </c>
      <c r="D14" s="26" t="s">
        <v>76</v>
      </c>
      <c r="E14" s="15">
        <v>54.054054054054099</v>
      </c>
      <c r="F14" s="15">
        <v>54.054054054054099</v>
      </c>
      <c r="G14" s="26" t="s">
        <v>76</v>
      </c>
      <c r="H14" s="15">
        <v>65.789473684210506</v>
      </c>
      <c r="I14" s="15">
        <v>65.789473684210506</v>
      </c>
      <c r="J14" s="26" t="s">
        <v>76</v>
      </c>
      <c r="K14" s="20" t="s">
        <v>76</v>
      </c>
      <c r="L14" s="20" t="s">
        <v>76</v>
      </c>
      <c r="M14" s="26" t="s">
        <v>76</v>
      </c>
      <c r="N14" s="20" t="s">
        <v>76</v>
      </c>
      <c r="O14" s="20" t="s">
        <v>76</v>
      </c>
      <c r="P14" s="26" t="s">
        <v>76</v>
      </c>
    </row>
    <row r="15" spans="1:16">
      <c r="A15" s="9" t="s">
        <v>174</v>
      </c>
      <c r="B15" s="15">
        <v>63.529411764705898</v>
      </c>
      <c r="C15" s="15">
        <v>63.529411764705898</v>
      </c>
      <c r="D15" s="26" t="s">
        <v>76</v>
      </c>
      <c r="E15" s="15">
        <v>68.292682926829301</v>
      </c>
      <c r="F15" s="15">
        <v>68.292682926829301</v>
      </c>
      <c r="G15" s="26" t="s">
        <v>76</v>
      </c>
      <c r="H15" s="15">
        <v>59.090909090909101</v>
      </c>
      <c r="I15" s="15">
        <v>59.090909090909101</v>
      </c>
      <c r="J15" s="26" t="s">
        <v>76</v>
      </c>
      <c r="K15" s="20" t="s">
        <v>76</v>
      </c>
      <c r="L15" s="20" t="s">
        <v>76</v>
      </c>
      <c r="M15" s="26" t="s">
        <v>76</v>
      </c>
      <c r="N15" s="20" t="s">
        <v>76</v>
      </c>
      <c r="O15" s="20" t="s">
        <v>76</v>
      </c>
      <c r="P15" s="26" t="s">
        <v>76</v>
      </c>
    </row>
    <row r="16" spans="1:16">
      <c r="A16" s="9" t="s">
        <v>175</v>
      </c>
      <c r="B16" s="15">
        <v>46.511627906976699</v>
      </c>
      <c r="C16" s="15">
        <v>46.511627906976699</v>
      </c>
      <c r="D16" s="26" t="s">
        <v>76</v>
      </c>
      <c r="E16" s="15">
        <v>52.380952380952401</v>
      </c>
      <c r="F16" s="15">
        <v>52.380952380952401</v>
      </c>
      <c r="G16" s="26" t="s">
        <v>76</v>
      </c>
      <c r="H16" s="15">
        <v>40.909090909090899</v>
      </c>
      <c r="I16" s="15">
        <v>40.909090909090899</v>
      </c>
      <c r="J16" s="26" t="s">
        <v>76</v>
      </c>
      <c r="K16" s="20" t="s">
        <v>76</v>
      </c>
      <c r="L16" s="20" t="s">
        <v>76</v>
      </c>
      <c r="M16" s="26" t="s">
        <v>76</v>
      </c>
      <c r="N16" s="20" t="s">
        <v>76</v>
      </c>
      <c r="O16" s="20" t="s">
        <v>76</v>
      </c>
      <c r="P16" s="26" t="s">
        <v>76</v>
      </c>
    </row>
    <row r="17" spans="1:16">
      <c r="A17" s="9" t="s">
        <v>176</v>
      </c>
      <c r="B17" s="15">
        <v>42.253521126760603</v>
      </c>
      <c r="C17" s="15">
        <v>42.253521126760603</v>
      </c>
      <c r="D17" s="26" t="s">
        <v>76</v>
      </c>
      <c r="E17" s="15">
        <v>46.153846153846203</v>
      </c>
      <c r="F17" s="15">
        <v>46.153846153846203</v>
      </c>
      <c r="G17" s="26" t="s">
        <v>76</v>
      </c>
      <c r="H17" s="15">
        <v>37.5</v>
      </c>
      <c r="I17" s="15">
        <v>37.5</v>
      </c>
      <c r="J17" s="26" t="s">
        <v>76</v>
      </c>
      <c r="K17" s="20" t="s">
        <v>76</v>
      </c>
      <c r="L17" s="20" t="s">
        <v>76</v>
      </c>
      <c r="M17" s="26" t="s">
        <v>76</v>
      </c>
      <c r="N17" s="20" t="s">
        <v>76</v>
      </c>
      <c r="O17" s="20" t="s">
        <v>76</v>
      </c>
      <c r="P17" s="26" t="s">
        <v>76</v>
      </c>
    </row>
    <row r="18" spans="1:16">
      <c r="A18" s="9" t="s">
        <v>177</v>
      </c>
      <c r="B18" s="15">
        <v>66.197183098591594</v>
      </c>
      <c r="C18" s="15">
        <v>66.197183098591594</v>
      </c>
      <c r="D18" s="26" t="s">
        <v>76</v>
      </c>
      <c r="E18" s="15">
        <v>68.965517241379303</v>
      </c>
      <c r="F18" s="15">
        <v>68.965517241379303</v>
      </c>
      <c r="G18" s="26" t="s">
        <v>76</v>
      </c>
      <c r="H18" s="15">
        <v>62.5</v>
      </c>
      <c r="I18" s="15">
        <v>62.5</v>
      </c>
      <c r="J18" s="26" t="s">
        <v>76</v>
      </c>
      <c r="K18" s="20" t="s">
        <v>76</v>
      </c>
      <c r="L18" s="20" t="s">
        <v>76</v>
      </c>
      <c r="M18" s="26" t="s">
        <v>76</v>
      </c>
      <c r="N18" s="20" t="s">
        <v>76</v>
      </c>
      <c r="O18" s="20" t="s">
        <v>76</v>
      </c>
      <c r="P18" s="26" t="s">
        <v>76</v>
      </c>
    </row>
    <row r="19" spans="1:16">
      <c r="A19" s="9" t="s">
        <v>178</v>
      </c>
      <c r="B19" s="20" t="s">
        <v>76</v>
      </c>
      <c r="C19" s="20" t="s">
        <v>76</v>
      </c>
      <c r="D19" s="26" t="s">
        <v>76</v>
      </c>
      <c r="E19" s="20" t="s">
        <v>76</v>
      </c>
      <c r="F19" s="20" t="s">
        <v>76</v>
      </c>
      <c r="G19" s="26" t="s">
        <v>76</v>
      </c>
      <c r="H19" s="20" t="s">
        <v>76</v>
      </c>
      <c r="I19" s="20" t="s">
        <v>76</v>
      </c>
      <c r="J19" s="26" t="s">
        <v>76</v>
      </c>
      <c r="K19" s="20" t="s">
        <v>76</v>
      </c>
      <c r="L19" s="20" t="s">
        <v>76</v>
      </c>
      <c r="M19" s="26" t="s">
        <v>76</v>
      </c>
      <c r="N19" s="20" t="s">
        <v>76</v>
      </c>
      <c r="O19" s="20" t="s">
        <v>76</v>
      </c>
      <c r="P19" s="26" t="s">
        <v>76</v>
      </c>
    </row>
    <row r="20" spans="1:16">
      <c r="A20" s="9" t="s">
        <v>179</v>
      </c>
      <c r="B20" s="15">
        <v>41.463414634146297</v>
      </c>
      <c r="C20" s="15">
        <v>41.463414634146297</v>
      </c>
      <c r="D20" s="26" t="s">
        <v>76</v>
      </c>
      <c r="E20" s="15">
        <v>31.818181818181799</v>
      </c>
      <c r="F20" s="15">
        <v>31.818181818181799</v>
      </c>
      <c r="G20" s="26" t="s">
        <v>76</v>
      </c>
      <c r="H20" s="15">
        <v>52.941176470588204</v>
      </c>
      <c r="I20" s="15">
        <v>52.941176470588204</v>
      </c>
      <c r="J20" s="26" t="s">
        <v>76</v>
      </c>
      <c r="K20" s="20" t="s">
        <v>76</v>
      </c>
      <c r="L20" s="20" t="s">
        <v>76</v>
      </c>
      <c r="M20" s="26" t="s">
        <v>76</v>
      </c>
      <c r="N20" s="20" t="s">
        <v>76</v>
      </c>
      <c r="O20" s="20" t="s">
        <v>76</v>
      </c>
      <c r="P20" s="26" t="s">
        <v>76</v>
      </c>
    </row>
    <row r="21" spans="1:16">
      <c r="A21" s="9" t="s">
        <v>180</v>
      </c>
      <c r="B21" s="15">
        <v>37.5</v>
      </c>
      <c r="C21" s="15">
        <v>37.5</v>
      </c>
      <c r="D21" s="26" t="s">
        <v>76</v>
      </c>
      <c r="E21" s="15">
        <v>38.095238095238102</v>
      </c>
      <c r="F21" s="15">
        <v>38.095238095238102</v>
      </c>
      <c r="G21" s="26" t="s">
        <v>76</v>
      </c>
      <c r="H21" s="15">
        <v>34.615384615384599</v>
      </c>
      <c r="I21" s="15">
        <v>34.615384615384599</v>
      </c>
      <c r="J21" s="26" t="s">
        <v>76</v>
      </c>
      <c r="K21" s="20" t="s">
        <v>76</v>
      </c>
      <c r="L21" s="20" t="s">
        <v>76</v>
      </c>
      <c r="M21" s="26" t="s">
        <v>76</v>
      </c>
      <c r="N21" s="20" t="s">
        <v>76</v>
      </c>
      <c r="O21" s="20" t="s">
        <v>76</v>
      </c>
      <c r="P21" s="26" t="s">
        <v>76</v>
      </c>
    </row>
    <row r="22" spans="1:16">
      <c r="A22" s="9" t="s">
        <v>181</v>
      </c>
      <c r="B22" s="15">
        <v>66.6666666666667</v>
      </c>
      <c r="C22" s="15">
        <v>66.6666666666667</v>
      </c>
      <c r="D22" s="26" t="s">
        <v>76</v>
      </c>
      <c r="E22" s="15">
        <v>70</v>
      </c>
      <c r="F22" s="15">
        <v>70</v>
      </c>
      <c r="G22" s="26" t="s">
        <v>76</v>
      </c>
      <c r="H22" s="15">
        <v>63.636363636363598</v>
      </c>
      <c r="I22" s="15">
        <v>63.636363636363598</v>
      </c>
      <c r="J22" s="26" t="s">
        <v>76</v>
      </c>
      <c r="K22" s="20" t="s">
        <v>76</v>
      </c>
      <c r="L22" s="20" t="s">
        <v>76</v>
      </c>
      <c r="M22" s="26" t="s">
        <v>76</v>
      </c>
      <c r="N22" s="20" t="s">
        <v>76</v>
      </c>
      <c r="O22" s="20" t="s">
        <v>76</v>
      </c>
      <c r="P22" s="26" t="s">
        <v>76</v>
      </c>
    </row>
    <row r="23" spans="1:16">
      <c r="A23" s="9" t="s">
        <v>182</v>
      </c>
      <c r="B23" s="15">
        <v>38.235294117647101</v>
      </c>
      <c r="C23" s="15">
        <v>38.235294117647101</v>
      </c>
      <c r="D23" s="26" t="s">
        <v>76</v>
      </c>
      <c r="E23" s="15">
        <v>50</v>
      </c>
      <c r="F23" s="15">
        <v>50</v>
      </c>
      <c r="G23" s="26" t="s">
        <v>76</v>
      </c>
      <c r="H23" s="15">
        <v>34.7826086956522</v>
      </c>
      <c r="I23" s="15">
        <v>34.7826086956522</v>
      </c>
      <c r="J23" s="26" t="s">
        <v>76</v>
      </c>
      <c r="K23" s="20" t="s">
        <v>76</v>
      </c>
      <c r="L23" s="20" t="s">
        <v>76</v>
      </c>
      <c r="M23" s="26" t="s">
        <v>76</v>
      </c>
      <c r="N23" s="20" t="s">
        <v>76</v>
      </c>
      <c r="O23" s="20" t="s">
        <v>76</v>
      </c>
      <c r="P23" s="26" t="s">
        <v>76</v>
      </c>
    </row>
    <row r="24" spans="1:16">
      <c r="A24" s="9" t="s">
        <v>183</v>
      </c>
      <c r="B24" s="15">
        <v>50.847457627118601</v>
      </c>
      <c r="C24" s="15">
        <v>50.847457627118601</v>
      </c>
      <c r="D24" s="26" t="s">
        <v>76</v>
      </c>
      <c r="E24" s="15">
        <v>51.612903225806498</v>
      </c>
      <c r="F24" s="15">
        <v>51.612903225806498</v>
      </c>
      <c r="G24" s="26" t="s">
        <v>76</v>
      </c>
      <c r="H24" s="15">
        <v>54.1666666666667</v>
      </c>
      <c r="I24" s="15">
        <v>54.1666666666667</v>
      </c>
      <c r="J24" s="26" t="s">
        <v>76</v>
      </c>
      <c r="K24" s="20" t="s">
        <v>76</v>
      </c>
      <c r="L24" s="20" t="s">
        <v>76</v>
      </c>
      <c r="M24" s="26" t="s">
        <v>76</v>
      </c>
      <c r="N24" s="20" t="s">
        <v>76</v>
      </c>
      <c r="O24" s="20" t="s">
        <v>76</v>
      </c>
      <c r="P24" s="26" t="s">
        <v>76</v>
      </c>
    </row>
    <row r="25" spans="1:16">
      <c r="A25" s="9" t="s">
        <v>184</v>
      </c>
      <c r="B25" s="20" t="s">
        <v>76</v>
      </c>
      <c r="C25" s="20" t="s">
        <v>76</v>
      </c>
      <c r="D25" s="26" t="s">
        <v>76</v>
      </c>
      <c r="E25" s="20" t="s">
        <v>76</v>
      </c>
      <c r="F25" s="20" t="s">
        <v>76</v>
      </c>
      <c r="G25" s="26" t="s">
        <v>76</v>
      </c>
      <c r="H25" s="20" t="s">
        <v>76</v>
      </c>
      <c r="I25" s="20" t="s">
        <v>76</v>
      </c>
      <c r="J25" s="26" t="s">
        <v>76</v>
      </c>
      <c r="K25" s="20" t="s">
        <v>76</v>
      </c>
      <c r="L25" s="20" t="s">
        <v>76</v>
      </c>
      <c r="M25" s="26" t="s">
        <v>76</v>
      </c>
      <c r="N25" s="20" t="s">
        <v>76</v>
      </c>
      <c r="O25" s="20" t="s">
        <v>76</v>
      </c>
      <c r="P25" s="26" t="s">
        <v>76</v>
      </c>
    </row>
    <row r="26" spans="1:16">
      <c r="A26" s="9" t="s">
        <v>185</v>
      </c>
      <c r="B26" s="20" t="s">
        <v>76</v>
      </c>
      <c r="C26" s="20" t="s">
        <v>76</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c r="A27" s="9" t="s">
        <v>186</v>
      </c>
      <c r="B27" s="15">
        <v>29.4871794871795</v>
      </c>
      <c r="C27" s="15">
        <v>29.4871794871795</v>
      </c>
      <c r="D27" s="26" t="s">
        <v>76</v>
      </c>
      <c r="E27" s="15">
        <v>33.3333333333333</v>
      </c>
      <c r="F27" s="15">
        <v>33.3333333333333</v>
      </c>
      <c r="G27" s="26" t="s">
        <v>76</v>
      </c>
      <c r="H27" s="15">
        <v>26.923076923076898</v>
      </c>
      <c r="I27" s="15">
        <v>26.923076923076898</v>
      </c>
      <c r="J27" s="26" t="s">
        <v>76</v>
      </c>
      <c r="K27" s="20" t="s">
        <v>76</v>
      </c>
      <c r="L27" s="20" t="s">
        <v>76</v>
      </c>
      <c r="M27" s="26" t="s">
        <v>76</v>
      </c>
      <c r="N27" s="20" t="s">
        <v>76</v>
      </c>
      <c r="O27" s="20" t="s">
        <v>76</v>
      </c>
      <c r="P27" s="26" t="s">
        <v>76</v>
      </c>
    </row>
    <row r="28" spans="1:16">
      <c r="A28" s="9" t="s">
        <v>187</v>
      </c>
      <c r="B28" s="15">
        <v>66.055045871559599</v>
      </c>
      <c r="C28" s="15">
        <v>66.055045871559599</v>
      </c>
      <c r="D28" s="26" t="s">
        <v>76</v>
      </c>
      <c r="E28" s="15">
        <v>59.259259259259302</v>
      </c>
      <c r="F28" s="15">
        <v>59.259259259259302</v>
      </c>
      <c r="G28" s="26" t="s">
        <v>76</v>
      </c>
      <c r="H28" s="15">
        <v>74.074074074074105</v>
      </c>
      <c r="I28" s="15">
        <v>74.074074074074105</v>
      </c>
      <c r="J28" s="26" t="s">
        <v>76</v>
      </c>
      <c r="K28" s="20" t="s">
        <v>76</v>
      </c>
      <c r="L28" s="20" t="s">
        <v>76</v>
      </c>
      <c r="M28" s="26" t="s">
        <v>76</v>
      </c>
      <c r="N28" s="20" t="s">
        <v>76</v>
      </c>
      <c r="O28" s="20" t="s">
        <v>76</v>
      </c>
      <c r="P28" s="26" t="s">
        <v>76</v>
      </c>
    </row>
    <row r="29" spans="1:16">
      <c r="A29" s="9" t="s">
        <v>188</v>
      </c>
      <c r="B29" s="15">
        <v>42.647058823529399</v>
      </c>
      <c r="C29" s="15">
        <v>42.647058823529399</v>
      </c>
      <c r="D29" s="26" t="s">
        <v>76</v>
      </c>
      <c r="E29" s="15">
        <v>38.709677419354797</v>
      </c>
      <c r="F29" s="15">
        <v>38.709677419354797</v>
      </c>
      <c r="G29" s="26" t="s">
        <v>76</v>
      </c>
      <c r="H29" s="15">
        <v>45.945945945945901</v>
      </c>
      <c r="I29" s="15">
        <v>45.945945945945901</v>
      </c>
      <c r="J29" s="26" t="s">
        <v>76</v>
      </c>
      <c r="K29" s="20" t="s">
        <v>76</v>
      </c>
      <c r="L29" s="20" t="s">
        <v>76</v>
      </c>
      <c r="M29" s="26" t="s">
        <v>76</v>
      </c>
      <c r="N29" s="20" t="s">
        <v>76</v>
      </c>
      <c r="O29" s="20" t="s">
        <v>76</v>
      </c>
      <c r="P29" s="26" t="s">
        <v>76</v>
      </c>
    </row>
    <row r="30" spans="1:16">
      <c r="A30" s="9" t="s">
        <v>189</v>
      </c>
      <c r="B30" s="15">
        <v>28.7878787878788</v>
      </c>
      <c r="C30" s="15">
        <v>28.7878787878788</v>
      </c>
      <c r="D30" s="26" t="s">
        <v>76</v>
      </c>
      <c r="E30" s="15">
        <v>33.3333333333333</v>
      </c>
      <c r="F30" s="15">
        <v>33.3333333333333</v>
      </c>
      <c r="G30" s="26" t="s">
        <v>76</v>
      </c>
      <c r="H30" s="15">
        <v>25.714285714285701</v>
      </c>
      <c r="I30" s="15">
        <v>25.714285714285701</v>
      </c>
      <c r="J30" s="26" t="s">
        <v>76</v>
      </c>
      <c r="K30" s="20" t="s">
        <v>76</v>
      </c>
      <c r="L30" s="20" t="s">
        <v>76</v>
      </c>
      <c r="M30" s="26" t="s">
        <v>76</v>
      </c>
      <c r="N30" s="20" t="s">
        <v>76</v>
      </c>
      <c r="O30" s="20" t="s">
        <v>76</v>
      </c>
      <c r="P30" s="26" t="s">
        <v>76</v>
      </c>
    </row>
    <row r="31" spans="1:16">
      <c r="A31" s="9" t="s">
        <v>190</v>
      </c>
      <c r="B31" s="15">
        <v>100</v>
      </c>
      <c r="C31" s="15">
        <v>100</v>
      </c>
      <c r="D31" s="26" t="s">
        <v>76</v>
      </c>
      <c r="E31" s="15">
        <v>100</v>
      </c>
      <c r="F31" s="15">
        <v>100</v>
      </c>
      <c r="G31" s="26" t="s">
        <v>76</v>
      </c>
      <c r="H31" s="15">
        <v>100</v>
      </c>
      <c r="I31" s="15">
        <v>100</v>
      </c>
      <c r="J31" s="26" t="s">
        <v>76</v>
      </c>
      <c r="K31" s="20" t="s">
        <v>76</v>
      </c>
      <c r="L31" s="20" t="s">
        <v>76</v>
      </c>
      <c r="M31" s="26" t="s">
        <v>76</v>
      </c>
      <c r="N31" s="20" t="s">
        <v>76</v>
      </c>
      <c r="O31" s="20" t="s">
        <v>76</v>
      </c>
      <c r="P31" s="26" t="s">
        <v>76</v>
      </c>
    </row>
    <row r="32" spans="1:16">
      <c r="A32" s="9" t="s">
        <v>191</v>
      </c>
      <c r="B32" s="15">
        <v>25.925925925925899</v>
      </c>
      <c r="C32" s="15">
        <v>25.925925925925899</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c r="A33" s="9" t="s">
        <v>192</v>
      </c>
      <c r="B33" s="15">
        <v>50</v>
      </c>
      <c r="C33" s="15">
        <v>50</v>
      </c>
      <c r="D33" s="26" t="s">
        <v>76</v>
      </c>
      <c r="E33" s="20" t="s">
        <v>76</v>
      </c>
      <c r="F33" s="20" t="s">
        <v>76</v>
      </c>
      <c r="G33" s="26" t="s">
        <v>76</v>
      </c>
      <c r="H33" s="15">
        <v>53.846153846153797</v>
      </c>
      <c r="I33" s="15">
        <v>53.846153846153797</v>
      </c>
      <c r="J33" s="26" t="s">
        <v>76</v>
      </c>
      <c r="K33" s="20" t="s">
        <v>76</v>
      </c>
      <c r="L33" s="20" t="s">
        <v>76</v>
      </c>
      <c r="M33" s="26" t="s">
        <v>76</v>
      </c>
      <c r="N33" s="20" t="s">
        <v>76</v>
      </c>
      <c r="O33" s="20" t="s">
        <v>76</v>
      </c>
      <c r="P33" s="26" t="s">
        <v>76</v>
      </c>
    </row>
    <row r="34" spans="1:16">
      <c r="A34" s="9" t="s">
        <v>193</v>
      </c>
      <c r="B34" s="15">
        <v>26.6666666666667</v>
      </c>
      <c r="C34" s="15">
        <v>26.6666666666667</v>
      </c>
      <c r="D34" s="26" t="s">
        <v>76</v>
      </c>
      <c r="E34" s="15">
        <v>27.7777777777778</v>
      </c>
      <c r="F34" s="15">
        <v>27.7777777777778</v>
      </c>
      <c r="G34" s="26" t="s">
        <v>76</v>
      </c>
      <c r="H34" s="15">
        <v>26</v>
      </c>
      <c r="I34" s="15">
        <v>26</v>
      </c>
      <c r="J34" s="26" t="s">
        <v>76</v>
      </c>
      <c r="K34" s="20" t="s">
        <v>76</v>
      </c>
      <c r="L34" s="20" t="s">
        <v>76</v>
      </c>
      <c r="M34" s="26" t="s">
        <v>76</v>
      </c>
      <c r="N34" s="20" t="s">
        <v>76</v>
      </c>
      <c r="O34" s="20" t="s">
        <v>76</v>
      </c>
      <c r="P34" s="26" t="s">
        <v>76</v>
      </c>
    </row>
    <row r="35" spans="1:16">
      <c r="A35" s="9" t="s">
        <v>194</v>
      </c>
      <c r="B35" s="15">
        <v>73.214285714285694</v>
      </c>
      <c r="C35" s="15">
        <v>73.214285714285694</v>
      </c>
      <c r="D35" s="26" t="s">
        <v>76</v>
      </c>
      <c r="E35" s="15">
        <v>68</v>
      </c>
      <c r="F35" s="15">
        <v>68</v>
      </c>
      <c r="G35" s="26" t="s">
        <v>76</v>
      </c>
      <c r="H35" s="15">
        <v>76.6666666666667</v>
      </c>
      <c r="I35" s="15">
        <v>76.6666666666667</v>
      </c>
      <c r="J35" s="26" t="s">
        <v>76</v>
      </c>
      <c r="K35" s="20" t="s">
        <v>76</v>
      </c>
      <c r="L35" s="20" t="s">
        <v>76</v>
      </c>
      <c r="M35" s="26" t="s">
        <v>76</v>
      </c>
      <c r="N35" s="20" t="s">
        <v>76</v>
      </c>
      <c r="O35" s="20" t="s">
        <v>76</v>
      </c>
      <c r="P35" s="26" t="s">
        <v>76</v>
      </c>
    </row>
    <row r="36" spans="1:16">
      <c r="A36" s="9" t="s">
        <v>195</v>
      </c>
      <c r="B36" s="20" t="s">
        <v>76</v>
      </c>
      <c r="C36" s="20" t="s">
        <v>76</v>
      </c>
      <c r="D36" s="26" t="s">
        <v>76</v>
      </c>
      <c r="E36" s="20" t="s">
        <v>76</v>
      </c>
      <c r="F36" s="20" t="s">
        <v>76</v>
      </c>
      <c r="G36" s="26" t="s">
        <v>76</v>
      </c>
      <c r="H36" s="20" t="s">
        <v>76</v>
      </c>
      <c r="I36" s="20" t="s">
        <v>76</v>
      </c>
      <c r="J36" s="26" t="s">
        <v>76</v>
      </c>
      <c r="K36" s="20" t="s">
        <v>76</v>
      </c>
      <c r="L36" s="20" t="s">
        <v>76</v>
      </c>
      <c r="M36" s="26" t="s">
        <v>76</v>
      </c>
      <c r="N36" s="20" t="s">
        <v>76</v>
      </c>
      <c r="O36" s="20" t="s">
        <v>76</v>
      </c>
      <c r="P36" s="26" t="s">
        <v>76</v>
      </c>
    </row>
    <row r="37" spans="1:16">
      <c r="A37" s="9" t="s">
        <v>196</v>
      </c>
      <c r="B37" s="15">
        <v>31.531531531531499</v>
      </c>
      <c r="C37" s="15">
        <v>31.531531531531499</v>
      </c>
      <c r="D37" s="26" t="s">
        <v>76</v>
      </c>
      <c r="E37" s="15">
        <v>37.5</v>
      </c>
      <c r="F37" s="15">
        <v>37.5</v>
      </c>
      <c r="G37" s="26" t="s">
        <v>76</v>
      </c>
      <c r="H37" s="15">
        <v>24.074074074074101</v>
      </c>
      <c r="I37" s="15">
        <v>24.074074074074101</v>
      </c>
      <c r="J37" s="26" t="s">
        <v>76</v>
      </c>
      <c r="K37" s="20" t="s">
        <v>76</v>
      </c>
      <c r="L37" s="20" t="s">
        <v>76</v>
      </c>
      <c r="M37" s="26" t="s">
        <v>76</v>
      </c>
      <c r="N37" s="20" t="s">
        <v>76</v>
      </c>
      <c r="O37" s="20" t="s">
        <v>76</v>
      </c>
      <c r="P37" s="26" t="s">
        <v>76</v>
      </c>
    </row>
    <row r="38" spans="1:16">
      <c r="A38" s="9" t="s">
        <v>197</v>
      </c>
      <c r="B38" s="15">
        <v>66.6666666666667</v>
      </c>
      <c r="C38" s="15">
        <v>66.6666666666667</v>
      </c>
      <c r="D38" s="26" t="s">
        <v>76</v>
      </c>
      <c r="E38" s="15">
        <v>70.588235294117595</v>
      </c>
      <c r="F38" s="15">
        <v>70.588235294117595</v>
      </c>
      <c r="G38" s="26" t="s">
        <v>76</v>
      </c>
      <c r="H38" s="15">
        <v>54.545454545454497</v>
      </c>
      <c r="I38" s="15">
        <v>54.545454545454497</v>
      </c>
      <c r="J38" s="26" t="s">
        <v>76</v>
      </c>
      <c r="K38" s="20" t="s">
        <v>76</v>
      </c>
      <c r="L38" s="20" t="s">
        <v>76</v>
      </c>
      <c r="M38" s="26" t="s">
        <v>76</v>
      </c>
      <c r="N38" s="20" t="s">
        <v>76</v>
      </c>
      <c r="O38" s="20" t="s">
        <v>76</v>
      </c>
      <c r="P38" s="26" t="s">
        <v>76</v>
      </c>
    </row>
    <row r="39" spans="1:16">
      <c r="A39" s="9" t="s">
        <v>198</v>
      </c>
      <c r="B39" s="15">
        <v>50</v>
      </c>
      <c r="C39" s="15">
        <v>50</v>
      </c>
      <c r="D39" s="26" t="s">
        <v>76</v>
      </c>
      <c r="E39" s="15">
        <v>51.351351351351397</v>
      </c>
      <c r="F39" s="15">
        <v>51.351351351351397</v>
      </c>
      <c r="G39" s="26" t="s">
        <v>76</v>
      </c>
      <c r="H39" s="15">
        <v>41.304347826087003</v>
      </c>
      <c r="I39" s="15">
        <v>41.304347826087003</v>
      </c>
      <c r="J39" s="26" t="s">
        <v>76</v>
      </c>
      <c r="K39" s="20" t="s">
        <v>76</v>
      </c>
      <c r="L39" s="20" t="s">
        <v>76</v>
      </c>
      <c r="M39" s="26" t="s">
        <v>76</v>
      </c>
      <c r="N39" s="15">
        <v>100</v>
      </c>
      <c r="O39" s="15">
        <v>100</v>
      </c>
      <c r="P39" s="26" t="s">
        <v>76</v>
      </c>
    </row>
    <row r="40" spans="1:16">
      <c r="A40" s="9" t="s">
        <v>199</v>
      </c>
      <c r="B40" s="15">
        <v>48.4375</v>
      </c>
      <c r="C40" s="15">
        <v>48.4375</v>
      </c>
      <c r="D40" s="26" t="s">
        <v>76</v>
      </c>
      <c r="E40" s="15">
        <v>48.484848484848499</v>
      </c>
      <c r="F40" s="15">
        <v>48.484848484848499</v>
      </c>
      <c r="G40" s="26" t="s">
        <v>76</v>
      </c>
      <c r="H40" s="15">
        <v>48.387096774193601</v>
      </c>
      <c r="I40" s="15">
        <v>48.387096774193601</v>
      </c>
      <c r="J40" s="26" t="s">
        <v>76</v>
      </c>
      <c r="K40" s="20" t="s">
        <v>76</v>
      </c>
      <c r="L40" s="20" t="s">
        <v>76</v>
      </c>
      <c r="M40" s="26" t="s">
        <v>76</v>
      </c>
      <c r="N40" s="20" t="s">
        <v>76</v>
      </c>
      <c r="O40" s="20" t="s">
        <v>76</v>
      </c>
      <c r="P40" s="26" t="s">
        <v>76</v>
      </c>
    </row>
    <row r="41" spans="1:16">
      <c r="A41" s="9" t="s">
        <v>200</v>
      </c>
      <c r="B41" s="20" t="s">
        <v>76</v>
      </c>
      <c r="C41" s="20" t="s">
        <v>76</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c r="A42" s="9" t="s">
        <v>201</v>
      </c>
      <c r="B42" s="15">
        <v>37.5</v>
      </c>
      <c r="C42" s="15">
        <v>37.5</v>
      </c>
      <c r="D42" s="26" t="s">
        <v>76</v>
      </c>
      <c r="E42" s="15">
        <v>53.3333333333333</v>
      </c>
      <c r="F42" s="15">
        <v>53.3333333333333</v>
      </c>
      <c r="G42" s="26" t="s">
        <v>76</v>
      </c>
      <c r="H42" s="15">
        <v>28</v>
      </c>
      <c r="I42" s="15">
        <v>28</v>
      </c>
      <c r="J42" s="26" t="s">
        <v>76</v>
      </c>
      <c r="K42" s="20" t="s">
        <v>76</v>
      </c>
      <c r="L42" s="20" t="s">
        <v>76</v>
      </c>
      <c r="M42" s="26" t="s">
        <v>76</v>
      </c>
      <c r="N42" s="20" t="s">
        <v>76</v>
      </c>
      <c r="O42" s="20" t="s">
        <v>76</v>
      </c>
      <c r="P42" s="26" t="s">
        <v>76</v>
      </c>
    </row>
    <row r="43" spans="1:16">
      <c r="A43" s="9" t="s">
        <v>202</v>
      </c>
      <c r="B43" s="15">
        <v>32.4675324675325</v>
      </c>
      <c r="C43" s="15">
        <v>32.4675324675325</v>
      </c>
      <c r="D43" s="26" t="s">
        <v>76</v>
      </c>
      <c r="E43" s="15">
        <v>30.769230769230798</v>
      </c>
      <c r="F43" s="15">
        <v>30.769230769230798</v>
      </c>
      <c r="G43" s="26" t="s">
        <v>76</v>
      </c>
      <c r="H43" s="15">
        <v>34.210526315789501</v>
      </c>
      <c r="I43" s="15">
        <v>34.210526315789501</v>
      </c>
      <c r="J43" s="26" t="s">
        <v>76</v>
      </c>
      <c r="K43" s="20" t="s">
        <v>76</v>
      </c>
      <c r="L43" s="20" t="s">
        <v>76</v>
      </c>
      <c r="M43" s="26" t="s">
        <v>76</v>
      </c>
      <c r="N43" s="20" t="s">
        <v>76</v>
      </c>
      <c r="O43" s="20" t="s">
        <v>76</v>
      </c>
      <c r="P43" s="26" t="s">
        <v>76</v>
      </c>
    </row>
    <row r="44" spans="1:16">
      <c r="A44" s="9" t="s">
        <v>203</v>
      </c>
      <c r="B44" s="15">
        <v>30.769230769230798</v>
      </c>
      <c r="C44" s="15">
        <v>30.769230769230798</v>
      </c>
      <c r="D44" s="26" t="s">
        <v>76</v>
      </c>
      <c r="E44" s="20" t="s">
        <v>76</v>
      </c>
      <c r="F44" s="20" t="s">
        <v>76</v>
      </c>
      <c r="G44" s="26" t="s">
        <v>76</v>
      </c>
      <c r="H44" s="15">
        <v>38.8888888888889</v>
      </c>
      <c r="I44" s="15">
        <v>38.8888888888889</v>
      </c>
      <c r="J44" s="26" t="s">
        <v>76</v>
      </c>
      <c r="K44" s="20" t="s">
        <v>76</v>
      </c>
      <c r="L44" s="20" t="s">
        <v>76</v>
      </c>
      <c r="M44" s="26" t="s">
        <v>76</v>
      </c>
      <c r="N44" s="20" t="s">
        <v>76</v>
      </c>
      <c r="O44" s="20" t="s">
        <v>76</v>
      </c>
      <c r="P44" s="26" t="s">
        <v>76</v>
      </c>
    </row>
    <row r="45" spans="1:16">
      <c r="A45" s="9" t="s">
        <v>204</v>
      </c>
      <c r="B45" s="15">
        <v>52.727272727272698</v>
      </c>
      <c r="C45" s="15">
        <v>52.727272727272698</v>
      </c>
      <c r="D45" s="26" t="s">
        <v>76</v>
      </c>
      <c r="E45" s="15">
        <v>45.714285714285701</v>
      </c>
      <c r="F45" s="15">
        <v>45.714285714285701</v>
      </c>
      <c r="G45" s="26" t="s">
        <v>76</v>
      </c>
      <c r="H45" s="15">
        <v>64.705882352941202</v>
      </c>
      <c r="I45" s="15">
        <v>64.705882352941202</v>
      </c>
      <c r="J45" s="26" t="s">
        <v>76</v>
      </c>
      <c r="K45" s="20" t="s">
        <v>76</v>
      </c>
      <c r="L45" s="20" t="s">
        <v>76</v>
      </c>
      <c r="M45" s="26" t="s">
        <v>76</v>
      </c>
      <c r="N45" s="20" t="s">
        <v>76</v>
      </c>
      <c r="O45" s="20" t="s">
        <v>76</v>
      </c>
      <c r="P45" s="26" t="s">
        <v>76</v>
      </c>
    </row>
    <row r="46" spans="1:16">
      <c r="A46" s="9" t="s">
        <v>205</v>
      </c>
      <c r="B46" s="15">
        <v>72.727272727272705</v>
      </c>
      <c r="C46" s="15">
        <v>72.727272727272705</v>
      </c>
      <c r="D46" s="26" t="s">
        <v>76</v>
      </c>
      <c r="E46" s="15">
        <v>62.5</v>
      </c>
      <c r="F46" s="15">
        <v>62.5</v>
      </c>
      <c r="G46" s="26" t="s">
        <v>76</v>
      </c>
      <c r="H46" s="20" t="s">
        <v>76</v>
      </c>
      <c r="I46" s="20" t="s">
        <v>76</v>
      </c>
      <c r="J46" s="26" t="s">
        <v>76</v>
      </c>
      <c r="K46" s="20" t="s">
        <v>76</v>
      </c>
      <c r="L46" s="20" t="s">
        <v>76</v>
      </c>
      <c r="M46" s="26" t="s">
        <v>76</v>
      </c>
      <c r="N46" s="20" t="s">
        <v>76</v>
      </c>
      <c r="O46" s="20" t="s">
        <v>76</v>
      </c>
      <c r="P46" s="26" t="s">
        <v>76</v>
      </c>
    </row>
    <row r="47" spans="1:16">
      <c r="A47" s="9" t="s">
        <v>206</v>
      </c>
      <c r="B47" s="15">
        <v>29.230769230769202</v>
      </c>
      <c r="C47" s="15">
        <v>29.230769230769202</v>
      </c>
      <c r="D47" s="26" t="s">
        <v>76</v>
      </c>
      <c r="E47" s="15">
        <v>41.176470588235297</v>
      </c>
      <c r="F47" s="15">
        <v>41.176470588235297</v>
      </c>
      <c r="G47" s="26" t="s">
        <v>76</v>
      </c>
      <c r="H47" s="15">
        <v>16.129032258064498</v>
      </c>
      <c r="I47" s="15">
        <v>16.129032258064498</v>
      </c>
      <c r="J47" s="26" t="s">
        <v>76</v>
      </c>
      <c r="K47" s="20" t="s">
        <v>76</v>
      </c>
      <c r="L47" s="20" t="s">
        <v>76</v>
      </c>
      <c r="M47" s="26" t="s">
        <v>76</v>
      </c>
      <c r="N47" s="20" t="s">
        <v>76</v>
      </c>
      <c r="O47" s="20" t="s">
        <v>76</v>
      </c>
      <c r="P47" s="26" t="s">
        <v>76</v>
      </c>
    </row>
    <row r="48" spans="1:16">
      <c r="A48" s="9" t="s">
        <v>207</v>
      </c>
      <c r="B48" s="15">
        <v>32.653061224489797</v>
      </c>
      <c r="C48" s="15">
        <v>32.653061224489797</v>
      </c>
      <c r="D48" s="26" t="s">
        <v>76</v>
      </c>
      <c r="E48" s="20" t="s">
        <v>76</v>
      </c>
      <c r="F48" s="20" t="s">
        <v>76</v>
      </c>
      <c r="G48" s="26" t="s">
        <v>76</v>
      </c>
      <c r="H48" s="15">
        <v>44.4444444444444</v>
      </c>
      <c r="I48" s="15">
        <v>44.4444444444444</v>
      </c>
      <c r="J48" s="26" t="s">
        <v>76</v>
      </c>
      <c r="K48" s="20" t="s">
        <v>76</v>
      </c>
      <c r="L48" s="20" t="s">
        <v>76</v>
      </c>
      <c r="M48" s="26" t="s">
        <v>76</v>
      </c>
      <c r="N48" s="20" t="s">
        <v>76</v>
      </c>
      <c r="O48" s="20" t="s">
        <v>76</v>
      </c>
      <c r="P48" s="26" t="s">
        <v>76</v>
      </c>
    </row>
    <row r="49" spans="1:16">
      <c r="A49" s="9" t="s">
        <v>208</v>
      </c>
      <c r="B49" s="15">
        <v>24.657534246575299</v>
      </c>
      <c r="C49" s="15">
        <v>24.657534246575299</v>
      </c>
      <c r="D49" s="26" t="s">
        <v>76</v>
      </c>
      <c r="E49" s="15">
        <v>22.8571428571429</v>
      </c>
      <c r="F49" s="15">
        <v>22.8571428571429</v>
      </c>
      <c r="G49" s="26" t="s">
        <v>76</v>
      </c>
      <c r="H49" s="15">
        <v>26.315789473684202</v>
      </c>
      <c r="I49" s="15">
        <v>26.315789473684202</v>
      </c>
      <c r="J49" s="26" t="s">
        <v>76</v>
      </c>
      <c r="K49" s="20" t="s">
        <v>76</v>
      </c>
      <c r="L49" s="20" t="s">
        <v>76</v>
      </c>
      <c r="M49" s="26" t="s">
        <v>76</v>
      </c>
      <c r="N49" s="20" t="s">
        <v>76</v>
      </c>
      <c r="O49" s="20" t="s">
        <v>76</v>
      </c>
      <c r="P49" s="26" t="s">
        <v>76</v>
      </c>
    </row>
    <row r="50" spans="1:16">
      <c r="A50" s="9" t="s">
        <v>209</v>
      </c>
      <c r="B50" s="15">
        <v>43.965517241379303</v>
      </c>
      <c r="C50" s="15">
        <v>43.965517241379303</v>
      </c>
      <c r="D50" s="26" t="s">
        <v>76</v>
      </c>
      <c r="E50" s="15">
        <v>43.137254901960802</v>
      </c>
      <c r="F50" s="15">
        <v>43.137254901960802</v>
      </c>
      <c r="G50" s="26" t="s">
        <v>76</v>
      </c>
      <c r="H50" s="15">
        <v>42.857142857142897</v>
      </c>
      <c r="I50" s="15">
        <v>42.857142857142897</v>
      </c>
      <c r="J50" s="26" t="s">
        <v>76</v>
      </c>
      <c r="K50" s="20" t="s">
        <v>76</v>
      </c>
      <c r="L50" s="20" t="s">
        <v>76</v>
      </c>
      <c r="M50" s="26" t="s">
        <v>76</v>
      </c>
      <c r="N50" s="20" t="s">
        <v>76</v>
      </c>
      <c r="O50" s="20" t="s">
        <v>76</v>
      </c>
      <c r="P50" s="26" t="s">
        <v>76</v>
      </c>
    </row>
    <row r="51" spans="1:16">
      <c r="A51" s="9" t="s">
        <v>210</v>
      </c>
      <c r="B51" s="15">
        <v>68.75</v>
      </c>
      <c r="C51" s="15">
        <v>68.75</v>
      </c>
      <c r="D51" s="26" t="s">
        <v>76</v>
      </c>
      <c r="E51" s="15">
        <v>80</v>
      </c>
      <c r="F51" s="15">
        <v>80</v>
      </c>
      <c r="G51" s="26" t="s">
        <v>76</v>
      </c>
      <c r="H51" s="20" t="s">
        <v>76</v>
      </c>
      <c r="I51" s="20" t="s">
        <v>76</v>
      </c>
      <c r="J51" s="26" t="s">
        <v>76</v>
      </c>
      <c r="K51" s="20" t="s">
        <v>76</v>
      </c>
      <c r="L51" s="20" t="s">
        <v>76</v>
      </c>
      <c r="M51" s="26" t="s">
        <v>76</v>
      </c>
      <c r="N51" s="20" t="s">
        <v>76</v>
      </c>
      <c r="O51" s="20" t="s">
        <v>76</v>
      </c>
      <c r="P51" s="26" t="s">
        <v>76</v>
      </c>
    </row>
    <row r="52" spans="1:16">
      <c r="A52" s="9" t="s">
        <v>211</v>
      </c>
      <c r="B52" s="15">
        <v>77.142857142857196</v>
      </c>
      <c r="C52" s="15">
        <v>77.142857142857196</v>
      </c>
      <c r="D52" s="26" t="s">
        <v>76</v>
      </c>
      <c r="E52" s="15">
        <v>57.142857142857103</v>
      </c>
      <c r="F52" s="15">
        <v>57.142857142857103</v>
      </c>
      <c r="G52" s="26" t="s">
        <v>76</v>
      </c>
      <c r="H52" s="15">
        <v>90</v>
      </c>
      <c r="I52" s="15">
        <v>90</v>
      </c>
      <c r="J52" s="26" t="s">
        <v>76</v>
      </c>
      <c r="K52" s="20" t="s">
        <v>76</v>
      </c>
      <c r="L52" s="20" t="s">
        <v>76</v>
      </c>
      <c r="M52" s="26" t="s">
        <v>76</v>
      </c>
      <c r="N52" s="20" t="s">
        <v>76</v>
      </c>
      <c r="O52" s="20" t="s">
        <v>76</v>
      </c>
      <c r="P52" s="26" t="s">
        <v>76</v>
      </c>
    </row>
    <row r="53" spans="1:16">
      <c r="A53" s="9" t="s">
        <v>212</v>
      </c>
      <c r="B53" s="15">
        <v>74</v>
      </c>
      <c r="C53" s="15">
        <v>74</v>
      </c>
      <c r="D53" s="26" t="s">
        <v>76</v>
      </c>
      <c r="E53" s="15">
        <v>76</v>
      </c>
      <c r="F53" s="15">
        <v>76</v>
      </c>
      <c r="G53" s="26" t="s">
        <v>76</v>
      </c>
      <c r="H53" s="15">
        <v>72</v>
      </c>
      <c r="I53" s="15">
        <v>72</v>
      </c>
      <c r="J53" s="26" t="s">
        <v>76</v>
      </c>
      <c r="K53" s="20" t="s">
        <v>76</v>
      </c>
      <c r="L53" s="20" t="s">
        <v>76</v>
      </c>
      <c r="M53" s="26" t="s">
        <v>76</v>
      </c>
      <c r="N53" s="20" t="s">
        <v>76</v>
      </c>
      <c r="O53" s="20" t="s">
        <v>76</v>
      </c>
      <c r="P53" s="26" t="s">
        <v>76</v>
      </c>
    </row>
    <row r="54" spans="1:16">
      <c r="A54" s="9" t="s">
        <v>213</v>
      </c>
      <c r="B54" s="15">
        <v>33.962264150943398</v>
      </c>
      <c r="C54" s="15">
        <v>33.962264150943398</v>
      </c>
      <c r="D54" s="26" t="s">
        <v>76</v>
      </c>
      <c r="E54" s="15">
        <v>50</v>
      </c>
      <c r="F54" s="15">
        <v>50</v>
      </c>
      <c r="G54" s="26" t="s">
        <v>76</v>
      </c>
      <c r="H54" s="15">
        <v>21.428571428571399</v>
      </c>
      <c r="I54" s="15">
        <v>21.428571428571399</v>
      </c>
      <c r="J54" s="26" t="s">
        <v>76</v>
      </c>
      <c r="K54" s="20" t="s">
        <v>76</v>
      </c>
      <c r="L54" s="20" t="s">
        <v>76</v>
      </c>
      <c r="M54" s="26" t="s">
        <v>76</v>
      </c>
      <c r="N54" s="20" t="s">
        <v>76</v>
      </c>
      <c r="O54" s="20" t="s">
        <v>76</v>
      </c>
      <c r="P54" s="26" t="s">
        <v>76</v>
      </c>
    </row>
    <row r="55" spans="1:16">
      <c r="A55" s="9" t="s">
        <v>214</v>
      </c>
      <c r="B55" s="15">
        <v>71.641791044776099</v>
      </c>
      <c r="C55" s="15">
        <v>71.641791044776099</v>
      </c>
      <c r="D55" s="26" t="s">
        <v>76</v>
      </c>
      <c r="E55" s="15">
        <v>62.5</v>
      </c>
      <c r="F55" s="15">
        <v>62.5</v>
      </c>
      <c r="G55" s="26" t="s">
        <v>76</v>
      </c>
      <c r="H55" s="15">
        <v>80</v>
      </c>
      <c r="I55" s="15">
        <v>80</v>
      </c>
      <c r="J55" s="26" t="s">
        <v>76</v>
      </c>
      <c r="K55" s="20" t="s">
        <v>76</v>
      </c>
      <c r="L55" s="20" t="s">
        <v>76</v>
      </c>
      <c r="M55" s="26" t="s">
        <v>76</v>
      </c>
      <c r="N55" s="20" t="s">
        <v>76</v>
      </c>
      <c r="O55" s="20" t="s">
        <v>76</v>
      </c>
      <c r="P55" s="26" t="s">
        <v>76</v>
      </c>
    </row>
    <row r="56" spans="1:16">
      <c r="A56" s="9" t="s">
        <v>215</v>
      </c>
      <c r="B56" s="15">
        <v>36.486486486486498</v>
      </c>
      <c r="C56" s="15">
        <v>36.486486486486498</v>
      </c>
      <c r="D56" s="26" t="s">
        <v>76</v>
      </c>
      <c r="E56" s="15">
        <v>43.243243243243199</v>
      </c>
      <c r="F56" s="15">
        <v>43.243243243243199</v>
      </c>
      <c r="G56" s="26" t="s">
        <v>76</v>
      </c>
      <c r="H56" s="15">
        <v>30.5555555555556</v>
      </c>
      <c r="I56" s="15">
        <v>30.5555555555556</v>
      </c>
      <c r="J56" s="26" t="s">
        <v>76</v>
      </c>
      <c r="K56" s="20" t="s">
        <v>76</v>
      </c>
      <c r="L56" s="20" t="s">
        <v>76</v>
      </c>
      <c r="M56" s="26" t="s">
        <v>76</v>
      </c>
      <c r="N56" s="20" t="s">
        <v>76</v>
      </c>
      <c r="O56" s="20" t="s">
        <v>76</v>
      </c>
      <c r="P56" s="26" t="s">
        <v>76</v>
      </c>
    </row>
    <row r="57" spans="1:16">
      <c r="A57" s="9" t="s">
        <v>216</v>
      </c>
      <c r="B57" s="15">
        <v>50</v>
      </c>
      <c r="C57" s="15">
        <v>50</v>
      </c>
      <c r="D57" s="26" t="s">
        <v>76</v>
      </c>
      <c r="E57" s="15">
        <v>50</v>
      </c>
      <c r="F57" s="15">
        <v>50</v>
      </c>
      <c r="G57" s="26" t="s">
        <v>76</v>
      </c>
      <c r="H57" s="15">
        <v>50</v>
      </c>
      <c r="I57" s="15">
        <v>50</v>
      </c>
      <c r="J57" s="26" t="s">
        <v>76</v>
      </c>
      <c r="K57" s="20" t="s">
        <v>76</v>
      </c>
      <c r="L57" s="20" t="s">
        <v>76</v>
      </c>
      <c r="M57" s="26" t="s">
        <v>76</v>
      </c>
      <c r="N57" s="20" t="s">
        <v>76</v>
      </c>
      <c r="O57" s="20" t="s">
        <v>76</v>
      </c>
      <c r="P57" s="26" t="s">
        <v>76</v>
      </c>
    </row>
    <row r="58" spans="1:16">
      <c r="A58" s="9" t="s">
        <v>217</v>
      </c>
      <c r="B58" s="15">
        <v>93.103448275862107</v>
      </c>
      <c r="C58" s="15">
        <v>93.103448275862107</v>
      </c>
      <c r="D58" s="26" t="s">
        <v>76</v>
      </c>
      <c r="E58" s="15">
        <v>95.8333333333333</v>
      </c>
      <c r="F58" s="15">
        <v>95.8333333333333</v>
      </c>
      <c r="G58" s="26" t="s">
        <v>76</v>
      </c>
      <c r="H58" s="15">
        <v>91.176470588235304</v>
      </c>
      <c r="I58" s="15">
        <v>91.176470588235304</v>
      </c>
      <c r="J58" s="26" t="s">
        <v>76</v>
      </c>
      <c r="K58" s="20" t="s">
        <v>76</v>
      </c>
      <c r="L58" s="20" t="s">
        <v>76</v>
      </c>
      <c r="M58" s="26" t="s">
        <v>76</v>
      </c>
      <c r="N58" s="20" t="s">
        <v>76</v>
      </c>
      <c r="O58" s="20" t="s">
        <v>76</v>
      </c>
      <c r="P58" s="26" t="s">
        <v>76</v>
      </c>
    </row>
    <row r="59" spans="1:16">
      <c r="A59" s="9" t="s">
        <v>218</v>
      </c>
      <c r="B59" s="15">
        <v>28.9156626506024</v>
      </c>
      <c r="C59" s="15">
        <v>28.9156626506024</v>
      </c>
      <c r="D59" s="26" t="s">
        <v>76</v>
      </c>
      <c r="E59" s="15">
        <v>33.3333333333333</v>
      </c>
      <c r="F59" s="15">
        <v>33.3333333333333</v>
      </c>
      <c r="G59" s="26" t="s">
        <v>76</v>
      </c>
      <c r="H59" s="15">
        <v>25</v>
      </c>
      <c r="I59" s="15">
        <v>25</v>
      </c>
      <c r="J59" s="26" t="s">
        <v>76</v>
      </c>
      <c r="K59" s="20" t="s">
        <v>76</v>
      </c>
      <c r="L59" s="20" t="s">
        <v>76</v>
      </c>
      <c r="M59" s="26" t="s">
        <v>76</v>
      </c>
      <c r="N59" s="20" t="s">
        <v>76</v>
      </c>
      <c r="O59" s="20" t="s">
        <v>76</v>
      </c>
      <c r="P59" s="26" t="s">
        <v>76</v>
      </c>
    </row>
    <row r="60" spans="1:16">
      <c r="A60" s="9" t="s">
        <v>219</v>
      </c>
      <c r="B60" s="15">
        <v>56.716417910447802</v>
      </c>
      <c r="C60" s="15">
        <v>56.716417910447802</v>
      </c>
      <c r="D60" s="26" t="s">
        <v>76</v>
      </c>
      <c r="E60" s="15">
        <v>62.5</v>
      </c>
      <c r="F60" s="15">
        <v>62.5</v>
      </c>
      <c r="G60" s="26" t="s">
        <v>76</v>
      </c>
      <c r="H60" s="15">
        <v>51.428571428571402</v>
      </c>
      <c r="I60" s="15">
        <v>51.428571428571402</v>
      </c>
      <c r="J60" s="26" t="s">
        <v>76</v>
      </c>
      <c r="K60" s="20" t="s">
        <v>76</v>
      </c>
      <c r="L60" s="20" t="s">
        <v>76</v>
      </c>
      <c r="M60" s="26" t="s">
        <v>76</v>
      </c>
      <c r="N60" s="20" t="s">
        <v>76</v>
      </c>
      <c r="O60" s="20" t="s">
        <v>76</v>
      </c>
      <c r="P60" s="26" t="s">
        <v>76</v>
      </c>
    </row>
    <row r="61" spans="1:16">
      <c r="A61" s="9" t="s">
        <v>220</v>
      </c>
      <c r="B61" s="15">
        <v>54.1666666666667</v>
      </c>
      <c r="C61" s="15">
        <v>54.1666666666667</v>
      </c>
      <c r="D61" s="26" t="s">
        <v>76</v>
      </c>
      <c r="E61" s="15">
        <v>50</v>
      </c>
      <c r="F61" s="15">
        <v>50</v>
      </c>
      <c r="G61" s="26" t="s">
        <v>76</v>
      </c>
      <c r="H61" s="15">
        <v>63.636363636363598</v>
      </c>
      <c r="I61" s="15">
        <v>63.636363636363598</v>
      </c>
      <c r="J61" s="26" t="s">
        <v>76</v>
      </c>
      <c r="K61" s="20" t="s">
        <v>76</v>
      </c>
      <c r="L61" s="20" t="s">
        <v>76</v>
      </c>
      <c r="M61" s="26" t="s">
        <v>76</v>
      </c>
      <c r="N61" s="20" t="s">
        <v>76</v>
      </c>
      <c r="O61" s="20" t="s">
        <v>76</v>
      </c>
      <c r="P61" s="26" t="s">
        <v>76</v>
      </c>
    </row>
    <row r="62" spans="1:16">
      <c r="A62" s="9" t="s">
        <v>221</v>
      </c>
      <c r="B62" s="15">
        <v>68.421052631578902</v>
      </c>
      <c r="C62" s="15">
        <v>68.421052631578902</v>
      </c>
      <c r="D62" s="26" t="s">
        <v>76</v>
      </c>
      <c r="E62" s="15">
        <v>71.428571428571402</v>
      </c>
      <c r="F62" s="15">
        <v>71.428571428571402</v>
      </c>
      <c r="G62" s="26" t="s">
        <v>76</v>
      </c>
      <c r="H62" s="15">
        <v>66.6666666666667</v>
      </c>
      <c r="I62" s="15">
        <v>66.6666666666667</v>
      </c>
      <c r="J62" s="26" t="s">
        <v>76</v>
      </c>
      <c r="K62" s="20" t="s">
        <v>76</v>
      </c>
      <c r="L62" s="20" t="s">
        <v>76</v>
      </c>
      <c r="M62" s="26" t="s">
        <v>76</v>
      </c>
      <c r="N62" s="20" t="s">
        <v>76</v>
      </c>
      <c r="O62" s="20" t="s">
        <v>76</v>
      </c>
      <c r="P62" s="26" t="s">
        <v>76</v>
      </c>
    </row>
    <row r="63" spans="1:16">
      <c r="A63" s="9" t="s">
        <v>222</v>
      </c>
      <c r="B63" s="15">
        <v>43.75</v>
      </c>
      <c r="C63" s="15">
        <v>43.75</v>
      </c>
      <c r="D63" s="26" t="s">
        <v>76</v>
      </c>
      <c r="E63" s="15">
        <v>45.762711864406803</v>
      </c>
      <c r="F63" s="15">
        <v>45.762711864406803</v>
      </c>
      <c r="G63" s="26" t="s">
        <v>76</v>
      </c>
      <c r="H63" s="15">
        <v>40.384615384615401</v>
      </c>
      <c r="I63" s="15">
        <v>40.384615384615401</v>
      </c>
      <c r="J63" s="26" t="s">
        <v>76</v>
      </c>
      <c r="K63" s="20" t="s">
        <v>76</v>
      </c>
      <c r="L63" s="20" t="s">
        <v>76</v>
      </c>
      <c r="M63" s="26" t="s">
        <v>76</v>
      </c>
      <c r="N63" s="20" t="s">
        <v>76</v>
      </c>
      <c r="O63" s="20" t="s">
        <v>76</v>
      </c>
      <c r="P63" s="26" t="s">
        <v>76</v>
      </c>
    </row>
    <row r="64" spans="1:16">
      <c r="A64" s="9" t="s">
        <v>223</v>
      </c>
      <c r="B64" s="15">
        <v>67.5</v>
      </c>
      <c r="C64" s="15">
        <v>67.5</v>
      </c>
      <c r="D64" s="26" t="s">
        <v>76</v>
      </c>
      <c r="E64" s="15">
        <v>68.421052631578902</v>
      </c>
      <c r="F64" s="15">
        <v>68.421052631578902</v>
      </c>
      <c r="G64" s="26" t="s">
        <v>76</v>
      </c>
      <c r="H64" s="15">
        <v>66.6666666666667</v>
      </c>
      <c r="I64" s="15">
        <v>66.6666666666667</v>
      </c>
      <c r="J64" s="26" t="s">
        <v>76</v>
      </c>
      <c r="K64" s="20" t="s">
        <v>76</v>
      </c>
      <c r="L64" s="20" t="s">
        <v>76</v>
      </c>
      <c r="M64" s="26" t="s">
        <v>76</v>
      </c>
      <c r="N64" s="20" t="s">
        <v>76</v>
      </c>
      <c r="O64" s="20" t="s">
        <v>76</v>
      </c>
      <c r="P64" s="26" t="s">
        <v>76</v>
      </c>
    </row>
    <row r="65" spans="1:16">
      <c r="A65" s="9" t="s">
        <v>224</v>
      </c>
      <c r="B65" s="15">
        <v>44.53125</v>
      </c>
      <c r="C65" s="15">
        <v>44.53125</v>
      </c>
      <c r="D65" s="26" t="s">
        <v>76</v>
      </c>
      <c r="E65" s="15">
        <v>44.262295081967203</v>
      </c>
      <c r="F65" s="15">
        <v>44.262295081967203</v>
      </c>
      <c r="G65" s="26" t="s">
        <v>76</v>
      </c>
      <c r="H65" s="15">
        <v>45.454545454545503</v>
      </c>
      <c r="I65" s="15">
        <v>45.454545454545503</v>
      </c>
      <c r="J65" s="26" t="s">
        <v>76</v>
      </c>
      <c r="K65" s="20" t="s">
        <v>76</v>
      </c>
      <c r="L65" s="20" t="s">
        <v>76</v>
      </c>
      <c r="M65" s="26" t="s">
        <v>76</v>
      </c>
      <c r="N65" s="20" t="s">
        <v>76</v>
      </c>
      <c r="O65" s="20" t="s">
        <v>76</v>
      </c>
      <c r="P65" s="26" t="s">
        <v>76</v>
      </c>
    </row>
    <row r="66" spans="1:16">
      <c r="A66" s="9" t="s">
        <v>225</v>
      </c>
      <c r="B66" s="15">
        <v>65.346534653465298</v>
      </c>
      <c r="C66" s="15">
        <v>65.346534653465298</v>
      </c>
      <c r="D66" s="26" t="s">
        <v>76</v>
      </c>
      <c r="E66" s="15">
        <v>66.037735849056602</v>
      </c>
      <c r="F66" s="15">
        <v>66.037735849056602</v>
      </c>
      <c r="G66" s="26" t="s">
        <v>76</v>
      </c>
      <c r="H66" s="15">
        <v>64.5833333333333</v>
      </c>
      <c r="I66" s="15">
        <v>64.5833333333333</v>
      </c>
      <c r="J66" s="26" t="s">
        <v>76</v>
      </c>
      <c r="K66" s="20" t="s">
        <v>76</v>
      </c>
      <c r="L66" s="20" t="s">
        <v>76</v>
      </c>
      <c r="M66" s="26" t="s">
        <v>76</v>
      </c>
      <c r="N66" s="20" t="s">
        <v>76</v>
      </c>
      <c r="O66" s="20" t="s">
        <v>76</v>
      </c>
      <c r="P66" s="26" t="s">
        <v>76</v>
      </c>
    </row>
    <row r="67" spans="1:16">
      <c r="A67" s="9" t="s">
        <v>226</v>
      </c>
      <c r="B67" s="15">
        <v>21.848739495798299</v>
      </c>
      <c r="C67" s="15">
        <v>21.848739495798299</v>
      </c>
      <c r="D67" s="26" t="s">
        <v>76</v>
      </c>
      <c r="E67" s="15">
        <v>26.5625</v>
      </c>
      <c r="F67" s="15">
        <v>26.5625</v>
      </c>
      <c r="G67" s="26" t="s">
        <v>76</v>
      </c>
      <c r="H67" s="15">
        <v>16.6666666666667</v>
      </c>
      <c r="I67" s="15">
        <v>16.6666666666667</v>
      </c>
      <c r="J67" s="26" t="s">
        <v>76</v>
      </c>
      <c r="K67" s="20" t="s">
        <v>76</v>
      </c>
      <c r="L67" s="20" t="s">
        <v>76</v>
      </c>
      <c r="M67" s="26" t="s">
        <v>76</v>
      </c>
      <c r="N67" s="20" t="s">
        <v>76</v>
      </c>
      <c r="O67" s="20" t="s">
        <v>76</v>
      </c>
      <c r="P67" s="26" t="s">
        <v>76</v>
      </c>
    </row>
    <row r="68" spans="1:16">
      <c r="A68" s="9" t="s">
        <v>227</v>
      </c>
      <c r="B68" s="15">
        <v>37.7777777777778</v>
      </c>
      <c r="C68" s="15">
        <v>37.7777777777778</v>
      </c>
      <c r="D68" s="26" t="s">
        <v>76</v>
      </c>
      <c r="E68" s="15">
        <v>55.2631578947368</v>
      </c>
      <c r="F68" s="15">
        <v>55.2631578947368</v>
      </c>
      <c r="G68" s="26" t="s">
        <v>76</v>
      </c>
      <c r="H68" s="15">
        <v>25</v>
      </c>
      <c r="I68" s="15">
        <v>25</v>
      </c>
      <c r="J68" s="26" t="s">
        <v>76</v>
      </c>
      <c r="K68" s="20" t="s">
        <v>76</v>
      </c>
      <c r="L68" s="20" t="s">
        <v>76</v>
      </c>
      <c r="M68" s="26" t="s">
        <v>76</v>
      </c>
      <c r="N68" s="20" t="s">
        <v>76</v>
      </c>
      <c r="O68" s="20" t="s">
        <v>76</v>
      </c>
      <c r="P68" s="26" t="s">
        <v>76</v>
      </c>
    </row>
    <row r="69" spans="1:16">
      <c r="A69" s="9" t="s">
        <v>228</v>
      </c>
      <c r="B69" s="15">
        <v>46.6666666666667</v>
      </c>
      <c r="C69" s="15">
        <v>46.6666666666667</v>
      </c>
      <c r="D69" s="26" t="s">
        <v>76</v>
      </c>
      <c r="E69" s="20" t="s">
        <v>76</v>
      </c>
      <c r="F69" s="20" t="s">
        <v>76</v>
      </c>
      <c r="G69" s="26" t="s">
        <v>76</v>
      </c>
      <c r="H69" s="20" t="s">
        <v>76</v>
      </c>
      <c r="I69" s="20" t="s">
        <v>76</v>
      </c>
      <c r="J69" s="26" t="s">
        <v>76</v>
      </c>
      <c r="K69" s="20" t="s">
        <v>76</v>
      </c>
      <c r="L69" s="20" t="s">
        <v>76</v>
      </c>
      <c r="M69" s="26" t="s">
        <v>76</v>
      </c>
      <c r="N69" s="20" t="s">
        <v>76</v>
      </c>
      <c r="O69" s="20" t="s">
        <v>76</v>
      </c>
      <c r="P69" s="26" t="s">
        <v>76</v>
      </c>
    </row>
    <row r="70" spans="1:16">
      <c r="A70" s="9" t="s">
        <v>229</v>
      </c>
      <c r="B70" s="15">
        <v>52.054794520547901</v>
      </c>
      <c r="C70" s="15">
        <v>52.054794520547901</v>
      </c>
      <c r="D70" s="26" t="s">
        <v>76</v>
      </c>
      <c r="E70" s="15">
        <v>50</v>
      </c>
      <c r="F70" s="15">
        <v>50</v>
      </c>
      <c r="G70" s="26" t="s">
        <v>76</v>
      </c>
      <c r="H70" s="15">
        <v>54.545454545454497</v>
      </c>
      <c r="I70" s="15">
        <v>54.545454545454497</v>
      </c>
      <c r="J70" s="26" t="s">
        <v>76</v>
      </c>
      <c r="K70" s="20" t="s">
        <v>76</v>
      </c>
      <c r="L70" s="20" t="s">
        <v>76</v>
      </c>
      <c r="M70" s="26" t="s">
        <v>76</v>
      </c>
      <c r="N70" s="20" t="s">
        <v>76</v>
      </c>
      <c r="O70" s="20" t="s">
        <v>76</v>
      </c>
      <c r="P70" s="26" t="s">
        <v>76</v>
      </c>
    </row>
    <row r="71" spans="1:16">
      <c r="A71" s="9" t="s">
        <v>230</v>
      </c>
      <c r="B71" s="15">
        <v>63.3333333333333</v>
      </c>
      <c r="C71" s="15">
        <v>63.3333333333333</v>
      </c>
      <c r="D71" s="26" t="s">
        <v>76</v>
      </c>
      <c r="E71" s="15">
        <v>62.5</v>
      </c>
      <c r="F71" s="15">
        <v>62.5</v>
      </c>
      <c r="G71" s="26" t="s">
        <v>76</v>
      </c>
      <c r="H71" s="15">
        <v>60.714285714285701</v>
      </c>
      <c r="I71" s="15">
        <v>60.714285714285701</v>
      </c>
      <c r="J71" s="26" t="s">
        <v>76</v>
      </c>
      <c r="K71" s="20" t="s">
        <v>76</v>
      </c>
      <c r="L71" s="20" t="s">
        <v>76</v>
      </c>
      <c r="M71" s="26" t="s">
        <v>76</v>
      </c>
      <c r="N71" s="15">
        <v>85.714285714285694</v>
      </c>
      <c r="O71" s="15">
        <v>85.714285714285694</v>
      </c>
      <c r="P71" s="26" t="s">
        <v>76</v>
      </c>
    </row>
    <row r="72" spans="1:16">
      <c r="A72" s="9" t="s">
        <v>231</v>
      </c>
      <c r="B72" s="15">
        <v>38.554216867469897</v>
      </c>
      <c r="C72" s="15">
        <v>38.554216867469897</v>
      </c>
      <c r="D72" s="26" t="s">
        <v>76</v>
      </c>
      <c r="E72" s="15">
        <v>38.095238095238102</v>
      </c>
      <c r="F72" s="15">
        <v>38.095238095238102</v>
      </c>
      <c r="G72" s="26" t="s">
        <v>76</v>
      </c>
      <c r="H72" s="15">
        <v>41.025641025641001</v>
      </c>
      <c r="I72" s="15">
        <v>41.025641025641001</v>
      </c>
      <c r="J72" s="26" t="s">
        <v>76</v>
      </c>
      <c r="K72" s="20" t="s">
        <v>76</v>
      </c>
      <c r="L72" s="20" t="s">
        <v>76</v>
      </c>
      <c r="M72" s="26" t="s">
        <v>76</v>
      </c>
      <c r="N72" s="20" t="s">
        <v>76</v>
      </c>
      <c r="O72" s="20" t="s">
        <v>76</v>
      </c>
      <c r="P72" s="26" t="s">
        <v>76</v>
      </c>
    </row>
    <row r="73" spans="1:16">
      <c r="A73" s="9" t="s">
        <v>232</v>
      </c>
      <c r="B73" s="15">
        <v>65.853658536585399</v>
      </c>
      <c r="C73" s="15">
        <v>65.853658536585399</v>
      </c>
      <c r="D73" s="26" t="s">
        <v>76</v>
      </c>
      <c r="E73" s="15">
        <v>65.789473684210506</v>
      </c>
      <c r="F73" s="15">
        <v>65.789473684210506</v>
      </c>
      <c r="G73" s="26" t="s">
        <v>76</v>
      </c>
      <c r="H73" s="15">
        <v>64.285714285714306</v>
      </c>
      <c r="I73" s="15">
        <v>64.285714285714306</v>
      </c>
      <c r="J73" s="26" t="s">
        <v>76</v>
      </c>
      <c r="K73" s="20" t="s">
        <v>76</v>
      </c>
      <c r="L73" s="20" t="s">
        <v>76</v>
      </c>
      <c r="M73" s="26" t="s">
        <v>76</v>
      </c>
      <c r="N73" s="20" t="s">
        <v>76</v>
      </c>
      <c r="O73" s="20" t="s">
        <v>76</v>
      </c>
      <c r="P73" s="26" t="s">
        <v>76</v>
      </c>
    </row>
    <row r="74" spans="1:16">
      <c r="A74" s="9" t="s">
        <v>233</v>
      </c>
      <c r="B74" s="15">
        <v>31.775700934579401</v>
      </c>
      <c r="C74" s="15">
        <v>31.775700934579401</v>
      </c>
      <c r="D74" s="26" t="s">
        <v>76</v>
      </c>
      <c r="E74" s="15">
        <v>39.682539682539698</v>
      </c>
      <c r="F74" s="15">
        <v>39.682539682539698</v>
      </c>
      <c r="G74" s="26" t="s">
        <v>76</v>
      </c>
      <c r="H74" s="15">
        <v>19.047619047619001</v>
      </c>
      <c r="I74" s="15">
        <v>19.047619047619001</v>
      </c>
      <c r="J74" s="26" t="s">
        <v>76</v>
      </c>
      <c r="K74" s="20" t="s">
        <v>76</v>
      </c>
      <c r="L74" s="20" t="s">
        <v>76</v>
      </c>
      <c r="M74" s="26" t="s">
        <v>76</v>
      </c>
      <c r="N74" s="20" t="s">
        <v>76</v>
      </c>
      <c r="O74" s="20" t="s">
        <v>76</v>
      </c>
      <c r="P74" s="26" t="s">
        <v>76</v>
      </c>
    </row>
    <row r="75" spans="1:16">
      <c r="A75" s="9" t="s">
        <v>234</v>
      </c>
      <c r="B75" s="15">
        <v>56.565656565656603</v>
      </c>
      <c r="C75" s="15">
        <v>56.565656565656603</v>
      </c>
      <c r="D75" s="26" t="s">
        <v>76</v>
      </c>
      <c r="E75" s="15">
        <v>60.7843137254902</v>
      </c>
      <c r="F75" s="15">
        <v>60.7843137254902</v>
      </c>
      <c r="G75" s="26" t="s">
        <v>76</v>
      </c>
      <c r="H75" s="15">
        <v>50</v>
      </c>
      <c r="I75" s="15">
        <v>50</v>
      </c>
      <c r="J75" s="26" t="s">
        <v>76</v>
      </c>
      <c r="K75" s="20" t="s">
        <v>76</v>
      </c>
      <c r="L75" s="20" t="s">
        <v>76</v>
      </c>
      <c r="M75" s="26" t="s">
        <v>76</v>
      </c>
      <c r="N75" s="20" t="s">
        <v>76</v>
      </c>
      <c r="O75" s="20" t="s">
        <v>76</v>
      </c>
      <c r="P75" s="26" t="s">
        <v>76</v>
      </c>
    </row>
    <row r="76" spans="1:16">
      <c r="A76" s="9" t="s">
        <v>235</v>
      </c>
      <c r="B76" s="15">
        <v>65.2173913043478</v>
      </c>
      <c r="C76" s="15">
        <v>65.2173913043478</v>
      </c>
      <c r="D76" s="26" t="s">
        <v>76</v>
      </c>
      <c r="E76" s="15">
        <v>60.606060606060602</v>
      </c>
      <c r="F76" s="15">
        <v>60.606060606060602</v>
      </c>
      <c r="G76" s="26" t="s">
        <v>76</v>
      </c>
      <c r="H76" s="15">
        <v>68.571428571428598</v>
      </c>
      <c r="I76" s="15">
        <v>68.571428571428598</v>
      </c>
      <c r="J76" s="26" t="s">
        <v>76</v>
      </c>
      <c r="K76" s="20" t="s">
        <v>76</v>
      </c>
      <c r="L76" s="20" t="s">
        <v>76</v>
      </c>
      <c r="M76" s="26" t="s">
        <v>76</v>
      </c>
      <c r="N76" s="20" t="s">
        <v>76</v>
      </c>
      <c r="O76" s="20" t="s">
        <v>76</v>
      </c>
      <c r="P76" s="26" t="s">
        <v>76</v>
      </c>
    </row>
    <row r="77" spans="1:16">
      <c r="A77" s="9" t="s">
        <v>236</v>
      </c>
      <c r="B77" s="15">
        <v>88.8888888888889</v>
      </c>
      <c r="C77" s="15">
        <v>88.8888888888889</v>
      </c>
      <c r="D77" s="26" t="s">
        <v>76</v>
      </c>
      <c r="E77" s="20" t="s">
        <v>76</v>
      </c>
      <c r="F77" s="20" t="s">
        <v>76</v>
      </c>
      <c r="G77" s="26" t="s">
        <v>76</v>
      </c>
      <c r="H77" s="20" t="s">
        <v>76</v>
      </c>
      <c r="I77" s="20" t="s">
        <v>76</v>
      </c>
      <c r="J77" s="26" t="s">
        <v>76</v>
      </c>
      <c r="K77" s="20" t="s">
        <v>76</v>
      </c>
      <c r="L77" s="20" t="s">
        <v>76</v>
      </c>
      <c r="M77" s="26" t="s">
        <v>76</v>
      </c>
      <c r="N77" s="20" t="s">
        <v>76</v>
      </c>
      <c r="O77" s="20" t="s">
        <v>76</v>
      </c>
      <c r="P77" s="26" t="s">
        <v>76</v>
      </c>
    </row>
    <row r="78" spans="1:16">
      <c r="A78" s="9" t="s">
        <v>237</v>
      </c>
      <c r="B78" s="15">
        <v>61.904761904761898</v>
      </c>
      <c r="C78" s="15">
        <v>61.904761904761898</v>
      </c>
      <c r="D78" s="26" t="s">
        <v>76</v>
      </c>
      <c r="E78" s="15">
        <v>69.230769230769198</v>
      </c>
      <c r="F78" s="15">
        <v>69.230769230769198</v>
      </c>
      <c r="G78" s="26" t="s">
        <v>76</v>
      </c>
      <c r="H78" s="15">
        <v>56.756756756756801</v>
      </c>
      <c r="I78" s="15">
        <v>56.756756756756801</v>
      </c>
      <c r="J78" s="26" t="s">
        <v>76</v>
      </c>
      <c r="K78" s="20" t="s">
        <v>76</v>
      </c>
      <c r="L78" s="20" t="s">
        <v>76</v>
      </c>
      <c r="M78" s="26" t="s">
        <v>76</v>
      </c>
      <c r="N78" s="20" t="s">
        <v>76</v>
      </c>
      <c r="O78" s="20" t="s">
        <v>76</v>
      </c>
      <c r="P78" s="26" t="s">
        <v>76</v>
      </c>
    </row>
    <row r="79" spans="1:16">
      <c r="A79" s="9" t="s">
        <v>238</v>
      </c>
      <c r="B79" s="15">
        <v>51.700680272108798</v>
      </c>
      <c r="C79" s="15">
        <v>51.700680272108798</v>
      </c>
      <c r="D79" s="26" t="s">
        <v>76</v>
      </c>
      <c r="E79" s="15">
        <v>50.649350649350701</v>
      </c>
      <c r="F79" s="15">
        <v>50.649350649350701</v>
      </c>
      <c r="G79" s="26" t="s">
        <v>76</v>
      </c>
      <c r="H79" s="15">
        <v>52.238805970149301</v>
      </c>
      <c r="I79" s="15">
        <v>52.238805970149301</v>
      </c>
      <c r="J79" s="26" t="s">
        <v>76</v>
      </c>
      <c r="K79" s="20" t="s">
        <v>76</v>
      </c>
      <c r="L79" s="20" t="s">
        <v>76</v>
      </c>
      <c r="M79" s="26" t="s">
        <v>76</v>
      </c>
      <c r="N79" s="20" t="s">
        <v>76</v>
      </c>
      <c r="O79" s="20" t="s">
        <v>76</v>
      </c>
      <c r="P79" s="26" t="s">
        <v>76</v>
      </c>
    </row>
    <row r="80" spans="1:16" ht="21.95" customHeight="1">
      <c r="A80" s="22" t="s">
        <v>239</v>
      </c>
      <c r="B80" s="15">
        <v>47.210751481432098</v>
      </c>
      <c r="C80" s="20" t="s">
        <v>76</v>
      </c>
      <c r="D80" s="24">
        <v>47.210751481432098</v>
      </c>
      <c r="E80" s="15">
        <v>48.0228137561745</v>
      </c>
      <c r="F80" s="20" t="s">
        <v>76</v>
      </c>
      <c r="G80" s="24">
        <v>48.0228137561745</v>
      </c>
      <c r="H80" s="15">
        <v>47.1394974027369</v>
      </c>
      <c r="I80" s="20" t="s">
        <v>76</v>
      </c>
      <c r="J80" s="24">
        <v>47.1394974027369</v>
      </c>
      <c r="K80" s="20" t="s">
        <v>76</v>
      </c>
      <c r="L80" s="20" t="s">
        <v>76</v>
      </c>
      <c r="M80" s="26" t="s">
        <v>76</v>
      </c>
      <c r="N80" s="20" t="s">
        <v>76</v>
      </c>
      <c r="O80" s="20" t="s">
        <v>76</v>
      </c>
      <c r="P80" s="26" t="s">
        <v>76</v>
      </c>
    </row>
    <row r="81" spans="1:16">
      <c r="A81" s="9" t="s">
        <v>240</v>
      </c>
      <c r="B81" s="15">
        <v>41.853035143770001</v>
      </c>
      <c r="C81" s="20" t="s">
        <v>76</v>
      </c>
      <c r="D81" s="24">
        <v>41.853035143770001</v>
      </c>
      <c r="E81" s="15">
        <v>44.378698224852101</v>
      </c>
      <c r="F81" s="20" t="s">
        <v>76</v>
      </c>
      <c r="G81" s="24">
        <v>44.378698224852101</v>
      </c>
      <c r="H81" s="15">
        <v>40</v>
      </c>
      <c r="I81" s="20" t="s">
        <v>76</v>
      </c>
      <c r="J81" s="24">
        <v>40</v>
      </c>
      <c r="K81" s="20" t="s">
        <v>76</v>
      </c>
      <c r="L81" s="20" t="s">
        <v>76</v>
      </c>
      <c r="M81" s="26" t="s">
        <v>76</v>
      </c>
      <c r="N81" s="20" t="s">
        <v>76</v>
      </c>
      <c r="O81" s="20" t="s">
        <v>76</v>
      </c>
      <c r="P81" s="26" t="s">
        <v>76</v>
      </c>
    </row>
    <row r="82" spans="1:16">
      <c r="A82" s="9" t="s">
        <v>241</v>
      </c>
      <c r="B82" s="15">
        <v>45.597484276729602</v>
      </c>
      <c r="C82" s="20" t="s">
        <v>76</v>
      </c>
      <c r="D82" s="24">
        <v>45.597484276729602</v>
      </c>
      <c r="E82" s="15">
        <v>47.133757961783402</v>
      </c>
      <c r="F82" s="20" t="s">
        <v>76</v>
      </c>
      <c r="G82" s="24">
        <v>47.133757961783402</v>
      </c>
      <c r="H82" s="15">
        <v>45.161290322580598</v>
      </c>
      <c r="I82" s="20" t="s">
        <v>76</v>
      </c>
      <c r="J82" s="24">
        <v>45.161290322580598</v>
      </c>
      <c r="K82" s="20" t="s">
        <v>76</v>
      </c>
      <c r="L82" s="20" t="s">
        <v>76</v>
      </c>
      <c r="M82" s="26" t="s">
        <v>76</v>
      </c>
      <c r="N82" s="20" t="s">
        <v>76</v>
      </c>
      <c r="O82" s="20" t="s">
        <v>76</v>
      </c>
      <c r="P82" s="26" t="s">
        <v>76</v>
      </c>
    </row>
    <row r="83" spans="1:16">
      <c r="A83" s="9" t="s">
        <v>242</v>
      </c>
      <c r="B83" s="15">
        <v>48.387096774193502</v>
      </c>
      <c r="C83" s="20" t="s">
        <v>76</v>
      </c>
      <c r="D83" s="24">
        <v>48.387096774193502</v>
      </c>
      <c r="E83" s="15">
        <v>41.758241758241802</v>
      </c>
      <c r="F83" s="20" t="s">
        <v>76</v>
      </c>
      <c r="G83" s="24">
        <v>41.758241758241802</v>
      </c>
      <c r="H83" s="15">
        <v>57.142857142857103</v>
      </c>
      <c r="I83" s="20" t="s">
        <v>76</v>
      </c>
      <c r="J83" s="24">
        <v>57.142857142857103</v>
      </c>
      <c r="K83" s="20" t="s">
        <v>76</v>
      </c>
      <c r="L83" s="20" t="s">
        <v>76</v>
      </c>
      <c r="M83" s="26" t="s">
        <v>76</v>
      </c>
      <c r="N83" s="20" t="s">
        <v>76</v>
      </c>
      <c r="O83" s="20" t="s">
        <v>76</v>
      </c>
      <c r="P83" s="26" t="s">
        <v>76</v>
      </c>
    </row>
    <row r="84" spans="1:16">
      <c r="A84" s="9" t="s">
        <v>243</v>
      </c>
      <c r="B84" s="15">
        <v>60</v>
      </c>
      <c r="C84" s="20" t="s">
        <v>76</v>
      </c>
      <c r="D84" s="24">
        <v>60</v>
      </c>
      <c r="E84" s="20" t="s">
        <v>76</v>
      </c>
      <c r="F84" s="20" t="s">
        <v>76</v>
      </c>
      <c r="G84" s="26" t="s">
        <v>76</v>
      </c>
      <c r="H84" s="20" t="s">
        <v>76</v>
      </c>
      <c r="I84" s="20" t="s">
        <v>76</v>
      </c>
      <c r="J84" s="26" t="s">
        <v>76</v>
      </c>
      <c r="K84" s="20" t="s">
        <v>76</v>
      </c>
      <c r="L84" s="20" t="s">
        <v>76</v>
      </c>
      <c r="M84" s="26" t="s">
        <v>76</v>
      </c>
      <c r="N84" s="20" t="s">
        <v>76</v>
      </c>
      <c r="O84" s="20" t="s">
        <v>76</v>
      </c>
      <c r="P84" s="26" t="s">
        <v>76</v>
      </c>
    </row>
    <row r="85" spans="1:16">
      <c r="A85" s="9" t="s">
        <v>244</v>
      </c>
      <c r="B85" s="15">
        <v>54.191616766467099</v>
      </c>
      <c r="C85" s="20" t="s">
        <v>76</v>
      </c>
      <c r="D85" s="24">
        <v>54.191616766467099</v>
      </c>
      <c r="E85" s="15">
        <v>53.374233128834398</v>
      </c>
      <c r="F85" s="20" t="s">
        <v>76</v>
      </c>
      <c r="G85" s="24">
        <v>53.374233128834398</v>
      </c>
      <c r="H85" s="15">
        <v>58.064516129032299</v>
      </c>
      <c r="I85" s="20" t="s">
        <v>76</v>
      </c>
      <c r="J85" s="24">
        <v>58.064516129032299</v>
      </c>
      <c r="K85" s="20" t="s">
        <v>76</v>
      </c>
      <c r="L85" s="20" t="s">
        <v>76</v>
      </c>
      <c r="M85" s="26" t="s">
        <v>76</v>
      </c>
      <c r="N85" s="20" t="s">
        <v>76</v>
      </c>
      <c r="O85" s="20" t="s">
        <v>76</v>
      </c>
      <c r="P85" s="26" t="s">
        <v>76</v>
      </c>
    </row>
    <row r="86" spans="1:16">
      <c r="A86" s="9" t="s">
        <v>245</v>
      </c>
      <c r="B86" s="15">
        <v>44.692737430167597</v>
      </c>
      <c r="C86" s="20" t="s">
        <v>76</v>
      </c>
      <c r="D86" s="24">
        <v>44.692737430167597</v>
      </c>
      <c r="E86" s="15">
        <v>46.25</v>
      </c>
      <c r="F86" s="20" t="s">
        <v>76</v>
      </c>
      <c r="G86" s="24">
        <v>46.25</v>
      </c>
      <c r="H86" s="15">
        <v>45.977011494252899</v>
      </c>
      <c r="I86" s="20" t="s">
        <v>76</v>
      </c>
      <c r="J86" s="24">
        <v>45.977011494252899</v>
      </c>
      <c r="K86" s="20" t="s">
        <v>76</v>
      </c>
      <c r="L86" s="20" t="s">
        <v>76</v>
      </c>
      <c r="M86" s="26" t="s">
        <v>76</v>
      </c>
      <c r="N86" s="20" t="s">
        <v>76</v>
      </c>
      <c r="O86" s="20" t="s">
        <v>76</v>
      </c>
      <c r="P86" s="26" t="s">
        <v>76</v>
      </c>
    </row>
    <row r="87" spans="1:16">
      <c r="A87" s="9" t="s">
        <v>246</v>
      </c>
      <c r="B87" s="15">
        <v>43.382352941176499</v>
      </c>
      <c r="C87" s="20" t="s">
        <v>76</v>
      </c>
      <c r="D87" s="24">
        <v>43.382352941176499</v>
      </c>
      <c r="E87" s="15">
        <v>45</v>
      </c>
      <c r="F87" s="20" t="s">
        <v>76</v>
      </c>
      <c r="G87" s="24">
        <v>45</v>
      </c>
      <c r="H87" s="15">
        <v>42.629482071713099</v>
      </c>
      <c r="I87" s="20" t="s">
        <v>76</v>
      </c>
      <c r="J87" s="24">
        <v>42.629482071713099</v>
      </c>
      <c r="K87" s="20" t="s">
        <v>76</v>
      </c>
      <c r="L87" s="20" t="s">
        <v>76</v>
      </c>
      <c r="M87" s="26" t="s">
        <v>76</v>
      </c>
      <c r="N87" s="20" t="s">
        <v>76</v>
      </c>
      <c r="O87" s="20" t="s">
        <v>76</v>
      </c>
      <c r="P87" s="26" t="s">
        <v>76</v>
      </c>
    </row>
    <row r="88" spans="1:16">
      <c r="A88" s="9" t="s">
        <v>247</v>
      </c>
      <c r="B88" s="15">
        <v>55.646817248460003</v>
      </c>
      <c r="C88" s="20" t="s">
        <v>76</v>
      </c>
      <c r="D88" s="24">
        <v>55.646817248460003</v>
      </c>
      <c r="E88" s="15">
        <v>55.513307984790899</v>
      </c>
      <c r="F88" s="20" t="s">
        <v>76</v>
      </c>
      <c r="G88" s="24">
        <v>55.513307984790899</v>
      </c>
      <c r="H88" s="15">
        <v>56.585365853658502</v>
      </c>
      <c r="I88" s="20" t="s">
        <v>76</v>
      </c>
      <c r="J88" s="24">
        <v>56.585365853658502</v>
      </c>
      <c r="K88" s="15">
        <v>55.5555555555556</v>
      </c>
      <c r="L88" s="20" t="s">
        <v>76</v>
      </c>
      <c r="M88" s="24">
        <v>55.5555555555556</v>
      </c>
      <c r="N88" s="20" t="s">
        <v>76</v>
      </c>
      <c r="O88" s="20" t="s">
        <v>76</v>
      </c>
      <c r="P88" s="26" t="s">
        <v>76</v>
      </c>
    </row>
    <row r="89" spans="1:16">
      <c r="A89" s="9" t="s">
        <v>248</v>
      </c>
      <c r="B89" s="15">
        <v>47.058823529411796</v>
      </c>
      <c r="C89" s="20" t="s">
        <v>76</v>
      </c>
      <c r="D89" s="24">
        <v>47.058823529411796</v>
      </c>
      <c r="E89" s="15">
        <v>48.760330578512402</v>
      </c>
      <c r="F89" s="20" t="s">
        <v>76</v>
      </c>
      <c r="G89" s="24">
        <v>48.760330578512402</v>
      </c>
      <c r="H89" s="15">
        <v>45.378151260504197</v>
      </c>
      <c r="I89" s="20" t="s">
        <v>76</v>
      </c>
      <c r="J89" s="24">
        <v>45.378151260504197</v>
      </c>
      <c r="K89" s="15">
        <v>60</v>
      </c>
      <c r="L89" s="20" t="s">
        <v>76</v>
      </c>
      <c r="M89" s="24">
        <v>60</v>
      </c>
      <c r="N89" s="20" t="s">
        <v>76</v>
      </c>
      <c r="O89" s="20" t="s">
        <v>76</v>
      </c>
      <c r="P89" s="26" t="s">
        <v>76</v>
      </c>
    </row>
    <row r="90" spans="1:16">
      <c r="A90" s="9" t="s">
        <v>249</v>
      </c>
      <c r="B90" s="15">
        <v>48.878923766816101</v>
      </c>
      <c r="C90" s="20" t="s">
        <v>76</v>
      </c>
      <c r="D90" s="24">
        <v>48.878923766816101</v>
      </c>
      <c r="E90" s="15">
        <v>52.830188679245303</v>
      </c>
      <c r="F90" s="20" t="s">
        <v>76</v>
      </c>
      <c r="G90" s="24">
        <v>52.830188679245303</v>
      </c>
      <c r="H90" s="15">
        <v>45.045045045045001</v>
      </c>
      <c r="I90" s="20" t="s">
        <v>76</v>
      </c>
      <c r="J90" s="24">
        <v>45.045045045045001</v>
      </c>
      <c r="K90" s="20" t="s">
        <v>76</v>
      </c>
      <c r="L90" s="20" t="s">
        <v>76</v>
      </c>
      <c r="M90" s="26" t="s">
        <v>76</v>
      </c>
      <c r="N90" s="20" t="s">
        <v>76</v>
      </c>
      <c r="O90" s="20" t="s">
        <v>76</v>
      </c>
      <c r="P90" s="26" t="s">
        <v>76</v>
      </c>
    </row>
    <row r="91" spans="1:16">
      <c r="A91" s="9" t="s">
        <v>250</v>
      </c>
      <c r="B91" s="15">
        <v>48.181818181818201</v>
      </c>
      <c r="C91" s="20" t="s">
        <v>76</v>
      </c>
      <c r="D91" s="24">
        <v>48.181818181818201</v>
      </c>
      <c r="E91" s="15">
        <v>51.465798045602597</v>
      </c>
      <c r="F91" s="20" t="s">
        <v>76</v>
      </c>
      <c r="G91" s="24">
        <v>51.465798045602597</v>
      </c>
      <c r="H91" s="15">
        <v>45.110410094637203</v>
      </c>
      <c r="I91" s="20" t="s">
        <v>76</v>
      </c>
      <c r="J91" s="24">
        <v>45.110410094637203</v>
      </c>
      <c r="K91" s="15">
        <v>55.5555555555556</v>
      </c>
      <c r="L91" s="20" t="s">
        <v>76</v>
      </c>
      <c r="M91" s="24">
        <v>55.5555555555556</v>
      </c>
      <c r="N91" s="15">
        <v>38.8888888888889</v>
      </c>
      <c r="O91" s="20" t="s">
        <v>76</v>
      </c>
      <c r="P91" s="24">
        <v>38.8888888888889</v>
      </c>
    </row>
    <row r="92" spans="1:16">
      <c r="A92" s="11" t="s">
        <v>251</v>
      </c>
      <c r="B92" s="16">
        <v>46.252676659528902</v>
      </c>
      <c r="C92" s="28" t="s">
        <v>76</v>
      </c>
      <c r="D92" s="25">
        <v>46.252676659528902</v>
      </c>
      <c r="E92" s="16">
        <v>41.350210970464097</v>
      </c>
      <c r="F92" s="28" t="s">
        <v>76</v>
      </c>
      <c r="G92" s="25">
        <v>41.350210970464097</v>
      </c>
      <c r="H92" s="16">
        <v>52.017937219730896</v>
      </c>
      <c r="I92" s="28" t="s">
        <v>76</v>
      </c>
      <c r="J92" s="25">
        <v>52.017937219730896</v>
      </c>
      <c r="K92" s="28" t="s">
        <v>76</v>
      </c>
      <c r="L92" s="28" t="s">
        <v>76</v>
      </c>
      <c r="M92" s="29" t="s">
        <v>76</v>
      </c>
      <c r="N92" s="28" t="s">
        <v>76</v>
      </c>
      <c r="O92" s="28" t="s">
        <v>76</v>
      </c>
      <c r="P92" s="29" t="s">
        <v>76</v>
      </c>
    </row>
    <row r="93" spans="1:16" ht="30" customHeight="1">
      <c r="A93" t="s">
        <v>252</v>
      </c>
    </row>
    <row r="94" spans="1:16">
      <c r="A94" t="s">
        <v>143</v>
      </c>
    </row>
    <row r="95" spans="1:16">
      <c r="A95" t="s">
        <v>144</v>
      </c>
    </row>
    <row r="96" spans="1:16">
      <c r="A96" t="s">
        <v>145</v>
      </c>
    </row>
    <row r="97" spans="1:1">
      <c r="A97" t="s">
        <v>146</v>
      </c>
    </row>
    <row r="98" spans="1:1">
      <c r="A98" t="s">
        <v>147</v>
      </c>
    </row>
    <row r="99" spans="1:1">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0"/>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322</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9" t="s">
        <v>258</v>
      </c>
      <c r="B3" s="15">
        <v>1.21346521042036</v>
      </c>
      <c r="C3" s="15">
        <v>1.9209057536824099</v>
      </c>
      <c r="D3" s="26" t="s">
        <v>76</v>
      </c>
      <c r="E3" s="15">
        <v>1.28839262370511</v>
      </c>
      <c r="F3" s="15">
        <v>2.0493427062762302</v>
      </c>
      <c r="G3" s="26" t="s">
        <v>76</v>
      </c>
      <c r="H3" s="15">
        <v>1.08830613293736</v>
      </c>
      <c r="I3" s="15">
        <v>1.8159001636141301</v>
      </c>
      <c r="J3" s="26" t="s">
        <v>76</v>
      </c>
      <c r="K3" s="20" t="s">
        <v>76</v>
      </c>
      <c r="L3" s="20" t="s">
        <v>76</v>
      </c>
      <c r="M3" s="26" t="s">
        <v>76</v>
      </c>
      <c r="N3" s="20" t="s">
        <v>76</v>
      </c>
      <c r="O3" s="20" t="s">
        <v>76</v>
      </c>
      <c r="P3" s="26" t="s">
        <v>76</v>
      </c>
    </row>
    <row r="4" spans="1:16">
      <c r="A4" s="9" t="s">
        <v>259</v>
      </c>
      <c r="B4" s="15">
        <v>12.177878138792</v>
      </c>
      <c r="C4" s="15">
        <v>4.7305932701175299</v>
      </c>
      <c r="D4" s="24">
        <v>18.1920869411185</v>
      </c>
      <c r="E4" s="15">
        <v>12.643074264800401</v>
      </c>
      <c r="F4" s="15">
        <v>4.8094836437251303</v>
      </c>
      <c r="G4" s="24">
        <v>19.0147479270769</v>
      </c>
      <c r="H4" s="15">
        <v>11.9087103082955</v>
      </c>
      <c r="I4" s="15">
        <v>4.7511613829764796</v>
      </c>
      <c r="J4" s="24">
        <v>17.815286073560301</v>
      </c>
      <c r="K4" s="20" t="s">
        <v>76</v>
      </c>
      <c r="L4" s="20" t="s">
        <v>76</v>
      </c>
      <c r="M4" s="26" t="s">
        <v>76</v>
      </c>
      <c r="N4" s="20" t="s">
        <v>76</v>
      </c>
      <c r="O4" s="20" t="s">
        <v>76</v>
      </c>
      <c r="P4" s="26" t="s">
        <v>76</v>
      </c>
    </row>
    <row r="5" spans="1:16">
      <c r="A5" s="9" t="s">
        <v>260</v>
      </c>
      <c r="B5" s="15">
        <v>5.4903193080970096</v>
      </c>
      <c r="C5" s="15">
        <v>1.6900885237073699</v>
      </c>
      <c r="D5" s="24">
        <v>8.5592742141305909</v>
      </c>
      <c r="E5" s="15">
        <v>5.4838122902069202</v>
      </c>
      <c r="F5" s="15">
        <v>1.8365598969539001</v>
      </c>
      <c r="G5" s="24">
        <v>8.4504087257218501</v>
      </c>
      <c r="H5" s="15">
        <v>5.5339229968538701</v>
      </c>
      <c r="I5" s="15">
        <v>1.60867965205835</v>
      </c>
      <c r="J5" s="24">
        <v>8.7731250554137592</v>
      </c>
      <c r="K5" s="20" t="s">
        <v>76</v>
      </c>
      <c r="L5" s="20" t="s">
        <v>76</v>
      </c>
      <c r="M5" s="26" t="s">
        <v>76</v>
      </c>
      <c r="N5" s="20" t="s">
        <v>76</v>
      </c>
      <c r="O5" s="20" t="s">
        <v>76</v>
      </c>
      <c r="P5" s="26" t="s">
        <v>76</v>
      </c>
    </row>
    <row r="6" spans="1:16">
      <c r="A6" s="9" t="s">
        <v>261</v>
      </c>
      <c r="B6" s="15">
        <v>10.960948776117601</v>
      </c>
      <c r="C6" s="15">
        <v>10.133421945262</v>
      </c>
      <c r="D6" s="24">
        <v>11.629235170159999</v>
      </c>
      <c r="E6" s="15">
        <v>13.365208899448</v>
      </c>
      <c r="F6" s="15">
        <v>11.2064994348477</v>
      </c>
      <c r="G6" s="24">
        <v>15.121056620555001</v>
      </c>
      <c r="H6" s="15">
        <v>8.3460814456690908</v>
      </c>
      <c r="I6" s="15">
        <v>9.0279190224247596</v>
      </c>
      <c r="J6" s="24">
        <v>7.7834132265996097</v>
      </c>
      <c r="K6" s="20" t="s">
        <v>76</v>
      </c>
      <c r="L6" s="20" t="s">
        <v>76</v>
      </c>
      <c r="M6" s="26" t="s">
        <v>76</v>
      </c>
      <c r="N6" s="20" t="s">
        <v>76</v>
      </c>
      <c r="O6" s="20" t="s">
        <v>76</v>
      </c>
      <c r="P6" s="26" t="s">
        <v>76</v>
      </c>
    </row>
    <row r="7" spans="1:16">
      <c r="A7" s="9" t="s">
        <v>262</v>
      </c>
      <c r="B7" s="15">
        <v>1.2197385773089999</v>
      </c>
      <c r="C7" s="15">
        <v>2.0854398519406798</v>
      </c>
      <c r="D7" s="26" t="s">
        <v>76</v>
      </c>
      <c r="E7" s="15">
        <v>1.18167447486038</v>
      </c>
      <c r="F7" s="15">
        <v>1.8966345773914799</v>
      </c>
      <c r="G7" s="26" t="s">
        <v>76</v>
      </c>
      <c r="H7" s="15">
        <v>1.26633703567016</v>
      </c>
      <c r="I7" s="15">
        <v>2.2786220890510802</v>
      </c>
      <c r="J7" s="26" t="s">
        <v>76</v>
      </c>
      <c r="K7" s="20" t="s">
        <v>76</v>
      </c>
      <c r="L7" s="20" t="s">
        <v>76</v>
      </c>
      <c r="M7" s="26" t="s">
        <v>76</v>
      </c>
      <c r="N7" s="20" t="s">
        <v>76</v>
      </c>
      <c r="O7" s="20" t="s">
        <v>76</v>
      </c>
      <c r="P7" s="26" t="s">
        <v>76</v>
      </c>
    </row>
    <row r="8" spans="1:16">
      <c r="A8" s="9" t="s">
        <v>263</v>
      </c>
      <c r="B8" s="20" t="s">
        <v>76</v>
      </c>
      <c r="C8" s="20" t="s">
        <v>76</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c r="A9" s="9" t="s">
        <v>264</v>
      </c>
      <c r="B9" s="15">
        <v>0.78325444852840198</v>
      </c>
      <c r="C9" s="15">
        <v>1.00610507838232</v>
      </c>
      <c r="D9" s="26" t="s">
        <v>76</v>
      </c>
      <c r="E9" s="15">
        <v>0.81168506700350695</v>
      </c>
      <c r="F9" s="20" t="s">
        <v>76</v>
      </c>
      <c r="G9" s="26" t="s">
        <v>76</v>
      </c>
      <c r="H9" s="15">
        <v>0.77789721129119305</v>
      </c>
      <c r="I9" s="20" t="s">
        <v>76</v>
      </c>
      <c r="J9" s="26" t="s">
        <v>76</v>
      </c>
      <c r="K9" s="20" t="s">
        <v>76</v>
      </c>
      <c r="L9" s="20" t="s">
        <v>76</v>
      </c>
      <c r="M9" s="26" t="s">
        <v>76</v>
      </c>
      <c r="N9" s="20" t="s">
        <v>76</v>
      </c>
      <c r="O9" s="20" t="s">
        <v>76</v>
      </c>
      <c r="P9" s="26" t="s">
        <v>76</v>
      </c>
    </row>
    <row r="10" spans="1:16">
      <c r="A10" s="9" t="s">
        <v>265</v>
      </c>
      <c r="B10" s="15">
        <v>0.74720396645206599</v>
      </c>
      <c r="C10" s="15">
        <v>1.0239262541148899</v>
      </c>
      <c r="D10" s="26" t="s">
        <v>76</v>
      </c>
      <c r="E10" s="15">
        <v>0.71339596630897195</v>
      </c>
      <c r="F10" s="20" t="s">
        <v>76</v>
      </c>
      <c r="G10" s="26" t="s">
        <v>76</v>
      </c>
      <c r="H10" s="20" t="s">
        <v>76</v>
      </c>
      <c r="I10" s="20" t="s">
        <v>76</v>
      </c>
      <c r="J10" s="26" t="s">
        <v>76</v>
      </c>
      <c r="K10" s="20" t="s">
        <v>76</v>
      </c>
      <c r="L10" s="20" t="s">
        <v>76</v>
      </c>
      <c r="M10" s="26" t="s">
        <v>76</v>
      </c>
      <c r="N10" s="20" t="s">
        <v>76</v>
      </c>
      <c r="O10" s="20" t="s">
        <v>76</v>
      </c>
      <c r="P10" s="26" t="s">
        <v>76</v>
      </c>
    </row>
    <row r="11" spans="1:16">
      <c r="A11" s="9" t="s">
        <v>266</v>
      </c>
      <c r="B11" s="15">
        <v>1.0950744171481099</v>
      </c>
      <c r="C11" s="15">
        <v>1.96822157464589</v>
      </c>
      <c r="D11" s="26" t="s">
        <v>76</v>
      </c>
      <c r="E11" s="15">
        <v>1.2266329755124601</v>
      </c>
      <c r="F11" s="15">
        <v>2.0986540989557101</v>
      </c>
      <c r="G11" s="26" t="s">
        <v>76</v>
      </c>
      <c r="H11" s="15">
        <v>0.97766053093387895</v>
      </c>
      <c r="I11" s="15">
        <v>1.8188277427628901</v>
      </c>
      <c r="J11" s="26" t="s">
        <v>76</v>
      </c>
      <c r="K11" s="20" t="s">
        <v>76</v>
      </c>
      <c r="L11" s="20" t="s">
        <v>76</v>
      </c>
      <c r="M11" s="26" t="s">
        <v>76</v>
      </c>
      <c r="N11" s="20" t="s">
        <v>76</v>
      </c>
      <c r="O11" s="20" t="s">
        <v>76</v>
      </c>
      <c r="P11" s="26" t="s">
        <v>76</v>
      </c>
    </row>
    <row r="12" spans="1:16">
      <c r="A12" s="9" t="s">
        <v>267</v>
      </c>
      <c r="B12" s="15">
        <v>0.45272447243311598</v>
      </c>
      <c r="C12" s="15">
        <v>0.69478824706895803</v>
      </c>
      <c r="D12" s="26" t="s">
        <v>76</v>
      </c>
      <c r="E12" s="20" t="s">
        <v>76</v>
      </c>
      <c r="F12" s="20" t="s">
        <v>76</v>
      </c>
      <c r="G12" s="26" t="s">
        <v>76</v>
      </c>
      <c r="H12" s="20" t="s">
        <v>76</v>
      </c>
      <c r="I12" s="20" t="s">
        <v>76</v>
      </c>
      <c r="J12" s="26" t="s">
        <v>76</v>
      </c>
      <c r="K12" s="20" t="s">
        <v>76</v>
      </c>
      <c r="L12" s="20" t="s">
        <v>76</v>
      </c>
      <c r="M12" s="26" t="s">
        <v>76</v>
      </c>
      <c r="N12" s="20" t="s">
        <v>76</v>
      </c>
      <c r="O12" s="20" t="s">
        <v>76</v>
      </c>
      <c r="P12" s="26" t="s">
        <v>76</v>
      </c>
    </row>
    <row r="13" spans="1:16">
      <c r="A13" s="9" t="s">
        <v>268</v>
      </c>
      <c r="B13" s="15">
        <v>0.41926953331594102</v>
      </c>
      <c r="C13" s="15">
        <v>0.73563484042883998</v>
      </c>
      <c r="D13" s="26" t="s">
        <v>76</v>
      </c>
      <c r="E13" s="20" t="s">
        <v>76</v>
      </c>
      <c r="F13" s="20" t="s">
        <v>76</v>
      </c>
      <c r="G13" s="26" t="s">
        <v>76</v>
      </c>
      <c r="H13" s="20" t="s">
        <v>76</v>
      </c>
      <c r="I13" s="20" t="s">
        <v>76</v>
      </c>
      <c r="J13" s="26" t="s">
        <v>76</v>
      </c>
      <c r="K13" s="20" t="s">
        <v>76</v>
      </c>
      <c r="L13" s="20" t="s">
        <v>76</v>
      </c>
      <c r="M13" s="26" t="s">
        <v>76</v>
      </c>
      <c r="N13" s="20" t="s">
        <v>76</v>
      </c>
      <c r="O13" s="20" t="s">
        <v>76</v>
      </c>
      <c r="P13" s="26" t="s">
        <v>76</v>
      </c>
    </row>
    <row r="14" spans="1:16">
      <c r="A14" s="9" t="s">
        <v>269</v>
      </c>
      <c r="B14" s="15">
        <v>1.94172151998249</v>
      </c>
      <c r="C14" s="15">
        <v>2.7434600917150802</v>
      </c>
      <c r="D14" s="24">
        <v>1.2942609675386301</v>
      </c>
      <c r="E14" s="15">
        <v>1.83181056254097</v>
      </c>
      <c r="F14" s="15">
        <v>2.7344110589079098</v>
      </c>
      <c r="G14" s="26" t="s">
        <v>76</v>
      </c>
      <c r="H14" s="15">
        <v>2.0759574940323402</v>
      </c>
      <c r="I14" s="15">
        <v>2.8164371002636401</v>
      </c>
      <c r="J14" s="26" t="s">
        <v>76</v>
      </c>
      <c r="K14" s="20" t="s">
        <v>76</v>
      </c>
      <c r="L14" s="20" t="s">
        <v>76</v>
      </c>
      <c r="M14" s="26" t="s">
        <v>76</v>
      </c>
      <c r="N14" s="20" t="s">
        <v>76</v>
      </c>
      <c r="O14" s="20" t="s">
        <v>76</v>
      </c>
      <c r="P14" s="26" t="s">
        <v>76</v>
      </c>
    </row>
    <row r="15" spans="1:16">
      <c r="A15" s="9" t="s">
        <v>270</v>
      </c>
      <c r="B15" s="15">
        <v>10.2048195840236</v>
      </c>
      <c r="C15" s="15">
        <v>10.255560542568199</v>
      </c>
      <c r="D15" s="24">
        <v>10.1638426743312</v>
      </c>
      <c r="E15" s="15">
        <v>12.405405069996201</v>
      </c>
      <c r="F15" s="15">
        <v>11.2078174847661</v>
      </c>
      <c r="G15" s="24">
        <v>13.379496983167099</v>
      </c>
      <c r="H15" s="15">
        <v>7.9633049869901003</v>
      </c>
      <c r="I15" s="15">
        <v>9.2240030511405404</v>
      </c>
      <c r="J15" s="24">
        <v>6.9229476369080798</v>
      </c>
      <c r="K15" s="20" t="s">
        <v>76</v>
      </c>
      <c r="L15" s="20" t="s">
        <v>76</v>
      </c>
      <c r="M15" s="26" t="s">
        <v>76</v>
      </c>
      <c r="N15" s="20" t="s">
        <v>76</v>
      </c>
      <c r="O15" s="20" t="s">
        <v>76</v>
      </c>
      <c r="P15" s="26" t="s">
        <v>76</v>
      </c>
    </row>
    <row r="16" spans="1:16">
      <c r="A16" s="9" t="s">
        <v>271</v>
      </c>
      <c r="B16" s="20" t="s">
        <v>76</v>
      </c>
      <c r="C16" s="20" t="s">
        <v>76</v>
      </c>
      <c r="D16" s="26" t="s">
        <v>76</v>
      </c>
      <c r="E16" s="20" t="s">
        <v>76</v>
      </c>
      <c r="F16" s="20" t="s">
        <v>76</v>
      </c>
      <c r="G16" s="26" t="s">
        <v>76</v>
      </c>
      <c r="H16" s="20" t="s">
        <v>76</v>
      </c>
      <c r="I16" s="20" t="s">
        <v>76</v>
      </c>
      <c r="J16" s="26" t="s">
        <v>76</v>
      </c>
      <c r="K16" s="20" t="s">
        <v>76</v>
      </c>
      <c r="L16" s="20" t="s">
        <v>76</v>
      </c>
      <c r="M16" s="26" t="s">
        <v>76</v>
      </c>
      <c r="N16" s="20" t="s">
        <v>76</v>
      </c>
      <c r="O16" s="20" t="s">
        <v>76</v>
      </c>
      <c r="P16" s="26" t="s">
        <v>76</v>
      </c>
    </row>
    <row r="17" spans="1:16">
      <c r="A17" s="9" t="s">
        <v>272</v>
      </c>
      <c r="B17" s="15">
        <v>3.1743643918516802</v>
      </c>
      <c r="C17" s="15">
        <v>3.9709772041804099</v>
      </c>
      <c r="D17" s="24">
        <v>2.5310432523440598</v>
      </c>
      <c r="E17" s="15">
        <v>2.8533406880969698</v>
      </c>
      <c r="F17" s="15">
        <v>3.5734032627355501</v>
      </c>
      <c r="G17" s="24">
        <v>2.2676573196462102</v>
      </c>
      <c r="H17" s="15">
        <v>3.5170874040840698</v>
      </c>
      <c r="I17" s="15">
        <v>4.5006689858922</v>
      </c>
      <c r="J17" s="24">
        <v>2.7054130173791502</v>
      </c>
      <c r="K17" s="20" t="s">
        <v>76</v>
      </c>
      <c r="L17" s="20" t="s">
        <v>76</v>
      </c>
      <c r="M17" s="26" t="s">
        <v>76</v>
      </c>
      <c r="N17" s="20" t="s">
        <v>76</v>
      </c>
      <c r="O17" s="20" t="s">
        <v>76</v>
      </c>
      <c r="P17" s="26" t="s">
        <v>76</v>
      </c>
    </row>
    <row r="18" spans="1:16">
      <c r="A18" s="9" t="s">
        <v>273</v>
      </c>
      <c r="B18" s="15">
        <v>6.7172924419628499</v>
      </c>
      <c r="C18" s="15">
        <v>10.6365707596695</v>
      </c>
      <c r="D18" s="24">
        <v>3.5521982401461898</v>
      </c>
      <c r="E18" s="15">
        <v>4.8288031093652402</v>
      </c>
      <c r="F18" s="15">
        <v>9.1720048804454102</v>
      </c>
      <c r="G18" s="26" t="s">
        <v>76</v>
      </c>
      <c r="H18" s="15">
        <v>8.5665607297138298</v>
      </c>
      <c r="I18" s="15">
        <v>12.0975409540745</v>
      </c>
      <c r="J18" s="24">
        <v>5.6527137636019296</v>
      </c>
      <c r="K18" s="20" t="s">
        <v>76</v>
      </c>
      <c r="L18" s="20" t="s">
        <v>76</v>
      </c>
      <c r="M18" s="26" t="s">
        <v>76</v>
      </c>
      <c r="N18" s="20" t="s">
        <v>76</v>
      </c>
      <c r="O18" s="20" t="s">
        <v>76</v>
      </c>
      <c r="P18" s="26" t="s">
        <v>76</v>
      </c>
    </row>
    <row r="19" spans="1:16">
      <c r="A19" s="9" t="s">
        <v>274</v>
      </c>
      <c r="B19" s="15">
        <v>12.8324285453733</v>
      </c>
      <c r="C19" s="15">
        <v>14.327340893392799</v>
      </c>
      <c r="D19" s="24">
        <v>11.625181184663001</v>
      </c>
      <c r="E19" s="15">
        <v>13.8768865284804</v>
      </c>
      <c r="F19" s="15">
        <v>15.1369835148014</v>
      </c>
      <c r="G19" s="24">
        <v>12.8519508166174</v>
      </c>
      <c r="H19" s="15">
        <v>11.568512168021099</v>
      </c>
      <c r="I19" s="15">
        <v>13.5067322846065</v>
      </c>
      <c r="J19" s="24">
        <v>9.9690478698624396</v>
      </c>
      <c r="K19" s="20" t="s">
        <v>76</v>
      </c>
      <c r="L19" s="20" t="s">
        <v>76</v>
      </c>
      <c r="M19" s="26" t="s">
        <v>76</v>
      </c>
      <c r="N19" s="20" t="s">
        <v>76</v>
      </c>
      <c r="O19" s="20" t="s">
        <v>76</v>
      </c>
      <c r="P19" s="26" t="s">
        <v>76</v>
      </c>
    </row>
    <row r="20" spans="1:16">
      <c r="A20" s="9" t="s">
        <v>275</v>
      </c>
      <c r="B20" s="15">
        <v>0.40959667040951903</v>
      </c>
      <c r="C20" s="15">
        <v>0.70269477068645103</v>
      </c>
      <c r="D20" s="26" t="s">
        <v>76</v>
      </c>
      <c r="E20" s="20" t="s">
        <v>76</v>
      </c>
      <c r="F20" s="20" t="s">
        <v>76</v>
      </c>
      <c r="G20" s="26" t="s">
        <v>76</v>
      </c>
      <c r="H20" s="20" t="s">
        <v>76</v>
      </c>
      <c r="I20" s="20" t="s">
        <v>76</v>
      </c>
      <c r="J20" s="26" t="s">
        <v>76</v>
      </c>
      <c r="K20" s="20" t="s">
        <v>76</v>
      </c>
      <c r="L20" s="20" t="s">
        <v>76</v>
      </c>
      <c r="M20" s="26" t="s">
        <v>76</v>
      </c>
      <c r="N20" s="20" t="s">
        <v>76</v>
      </c>
      <c r="O20" s="20" t="s">
        <v>76</v>
      </c>
      <c r="P20" s="26" t="s">
        <v>76</v>
      </c>
    </row>
    <row r="21" spans="1:16">
      <c r="A21" s="9" t="s">
        <v>276</v>
      </c>
      <c r="B21" s="15">
        <v>6.6366376347099196</v>
      </c>
      <c r="C21" s="15">
        <v>5.0307522318344198</v>
      </c>
      <c r="D21" s="24">
        <v>7.9335035792538697</v>
      </c>
      <c r="E21" s="15">
        <v>5.0707616988016602</v>
      </c>
      <c r="F21" s="15">
        <v>5.3239980620113796</v>
      </c>
      <c r="G21" s="24">
        <v>4.8647847025755597</v>
      </c>
      <c r="H21" s="15">
        <v>8.2973045142600999</v>
      </c>
      <c r="I21" s="15">
        <v>4.8200540575999797</v>
      </c>
      <c r="J21" s="24">
        <v>11.1668124270054</v>
      </c>
      <c r="K21" s="20" t="s">
        <v>76</v>
      </c>
      <c r="L21" s="20" t="s">
        <v>76</v>
      </c>
      <c r="M21" s="26" t="s">
        <v>76</v>
      </c>
      <c r="N21" s="20" t="s">
        <v>76</v>
      </c>
      <c r="O21" s="20" t="s">
        <v>76</v>
      </c>
      <c r="P21" s="26" t="s">
        <v>76</v>
      </c>
    </row>
    <row r="22" spans="1:16">
      <c r="A22" s="9" t="s">
        <v>277</v>
      </c>
      <c r="B22" s="20" t="s">
        <v>76</v>
      </c>
      <c r="C22" s="20" t="s">
        <v>76</v>
      </c>
      <c r="D22" s="26" t="s">
        <v>76</v>
      </c>
      <c r="E22" s="20" t="s">
        <v>76</v>
      </c>
      <c r="F22" s="20" t="s">
        <v>76</v>
      </c>
      <c r="G22" s="26" t="s">
        <v>76</v>
      </c>
      <c r="H22" s="20" t="s">
        <v>76</v>
      </c>
      <c r="I22" s="20" t="s">
        <v>76</v>
      </c>
      <c r="J22" s="26" t="s">
        <v>76</v>
      </c>
      <c r="K22" s="20" t="s">
        <v>76</v>
      </c>
      <c r="L22" s="20" t="s">
        <v>76</v>
      </c>
      <c r="M22" s="26" t="s">
        <v>76</v>
      </c>
      <c r="N22" s="20" t="s">
        <v>76</v>
      </c>
      <c r="O22" s="20" t="s">
        <v>76</v>
      </c>
      <c r="P22" s="26" t="s">
        <v>76</v>
      </c>
    </row>
    <row r="23" spans="1:16">
      <c r="A23" s="9" t="s">
        <v>278</v>
      </c>
      <c r="B23" s="15">
        <v>6.5571303783247696</v>
      </c>
      <c r="C23" s="15">
        <v>8.9496818021449904</v>
      </c>
      <c r="D23" s="24">
        <v>4.6249760312171402</v>
      </c>
      <c r="E23" s="15">
        <v>6.4784741307382401</v>
      </c>
      <c r="F23" s="15">
        <v>9.1409329104571704</v>
      </c>
      <c r="G23" s="24">
        <v>4.3128875811945804</v>
      </c>
      <c r="H23" s="15">
        <v>6.5940687903620097</v>
      </c>
      <c r="I23" s="15">
        <v>8.84701555867513</v>
      </c>
      <c r="J23" s="24">
        <v>4.73488474272283</v>
      </c>
      <c r="K23" s="20" t="s">
        <v>76</v>
      </c>
      <c r="L23" s="20" t="s">
        <v>76</v>
      </c>
      <c r="M23" s="26" t="s">
        <v>76</v>
      </c>
      <c r="N23" s="20" t="s">
        <v>76</v>
      </c>
      <c r="O23" s="20" t="s">
        <v>76</v>
      </c>
      <c r="P23" s="26" t="s">
        <v>76</v>
      </c>
    </row>
    <row r="24" spans="1:16">
      <c r="A24" s="9" t="s">
        <v>279</v>
      </c>
      <c r="B24" s="15">
        <v>18.436553386053401</v>
      </c>
      <c r="C24" s="15">
        <v>20.157732987983799</v>
      </c>
      <c r="D24" s="24">
        <v>17.0465792283767</v>
      </c>
      <c r="E24" s="15">
        <v>23.4431137010463</v>
      </c>
      <c r="F24" s="15">
        <v>23.654843686391299</v>
      </c>
      <c r="G24" s="24">
        <v>23.270897097397501</v>
      </c>
      <c r="H24" s="15">
        <v>13.2420449680423</v>
      </c>
      <c r="I24" s="15">
        <v>16.2644137118108</v>
      </c>
      <c r="J24" s="24">
        <v>10.7479160194454</v>
      </c>
      <c r="K24" s="20" t="s">
        <v>76</v>
      </c>
      <c r="L24" s="20" t="s">
        <v>76</v>
      </c>
      <c r="M24" s="26" t="s">
        <v>76</v>
      </c>
      <c r="N24" s="20" t="s">
        <v>76</v>
      </c>
      <c r="O24" s="20" t="s">
        <v>76</v>
      </c>
      <c r="P24" s="26" t="s">
        <v>76</v>
      </c>
    </row>
    <row r="25" spans="1:16">
      <c r="A25" s="9" t="s">
        <v>280</v>
      </c>
      <c r="B25" s="20" t="s">
        <v>76</v>
      </c>
      <c r="C25" s="20" t="s">
        <v>76</v>
      </c>
      <c r="D25" s="26" t="s">
        <v>76</v>
      </c>
      <c r="E25" s="20" t="s">
        <v>76</v>
      </c>
      <c r="F25" s="20" t="s">
        <v>76</v>
      </c>
      <c r="G25" s="26" t="s">
        <v>76</v>
      </c>
      <c r="H25" s="20" t="s">
        <v>76</v>
      </c>
      <c r="I25" s="20" t="s">
        <v>76</v>
      </c>
      <c r="J25" s="26" t="s">
        <v>76</v>
      </c>
      <c r="K25" s="20" t="s">
        <v>76</v>
      </c>
      <c r="L25" s="20" t="s">
        <v>76</v>
      </c>
      <c r="M25" s="26" t="s">
        <v>76</v>
      </c>
      <c r="N25" s="20" t="s">
        <v>76</v>
      </c>
      <c r="O25" s="20" t="s">
        <v>76</v>
      </c>
      <c r="P25" s="26" t="s">
        <v>76</v>
      </c>
    </row>
    <row r="26" spans="1:16">
      <c r="A26" s="9" t="s">
        <v>281</v>
      </c>
      <c r="B26" s="15">
        <v>0.56766677744423799</v>
      </c>
      <c r="C26" s="15">
        <v>1.0206542839225099</v>
      </c>
      <c r="D26" s="26" t="s">
        <v>76</v>
      </c>
      <c r="E26" s="15">
        <v>0.57283501183142205</v>
      </c>
      <c r="F26" s="20" t="s">
        <v>76</v>
      </c>
      <c r="G26" s="26" t="s">
        <v>76</v>
      </c>
      <c r="H26" s="20" t="s">
        <v>76</v>
      </c>
      <c r="I26" s="20" t="s">
        <v>76</v>
      </c>
      <c r="J26" s="26" t="s">
        <v>76</v>
      </c>
      <c r="K26" s="20" t="s">
        <v>76</v>
      </c>
      <c r="L26" s="20" t="s">
        <v>76</v>
      </c>
      <c r="M26" s="26" t="s">
        <v>76</v>
      </c>
      <c r="N26" s="20" t="s">
        <v>76</v>
      </c>
      <c r="O26" s="20" t="s">
        <v>76</v>
      </c>
      <c r="P26" s="26" t="s">
        <v>76</v>
      </c>
    </row>
    <row r="27" spans="1:16">
      <c r="A27" s="9" t="s">
        <v>282</v>
      </c>
      <c r="B27" s="15">
        <v>3.3604229192434198</v>
      </c>
      <c r="C27" s="15">
        <v>3.7060392928101402</v>
      </c>
      <c r="D27" s="24">
        <v>3.0813132742134002</v>
      </c>
      <c r="E27" s="15">
        <v>2.9175524305832798</v>
      </c>
      <c r="F27" s="15">
        <v>3.27657364503226</v>
      </c>
      <c r="G27" s="24">
        <v>2.6255323178461198</v>
      </c>
      <c r="H27" s="15">
        <v>3.90511179888101</v>
      </c>
      <c r="I27" s="15">
        <v>4.3099271989724297</v>
      </c>
      <c r="J27" s="24">
        <v>3.5710487199507499</v>
      </c>
      <c r="K27" s="20" t="s">
        <v>76</v>
      </c>
      <c r="L27" s="20" t="s">
        <v>76</v>
      </c>
      <c r="M27" s="26" t="s">
        <v>76</v>
      </c>
      <c r="N27" s="20" t="s">
        <v>76</v>
      </c>
      <c r="O27" s="20" t="s">
        <v>76</v>
      </c>
      <c r="P27" s="26" t="s">
        <v>76</v>
      </c>
    </row>
    <row r="28" spans="1:16">
      <c r="A28" s="9" t="s">
        <v>283</v>
      </c>
      <c r="B28" s="15">
        <v>0.41864598540630799</v>
      </c>
      <c r="C28" s="20" t="s">
        <v>76</v>
      </c>
      <c r="D28" s="26" t="s">
        <v>76</v>
      </c>
      <c r="E28" s="20" t="s">
        <v>76</v>
      </c>
      <c r="F28" s="20" t="s">
        <v>76</v>
      </c>
      <c r="G28" s="26" t="s">
        <v>76</v>
      </c>
      <c r="H28" s="20" t="s">
        <v>76</v>
      </c>
      <c r="I28" s="20" t="s">
        <v>76</v>
      </c>
      <c r="J28" s="26" t="s">
        <v>76</v>
      </c>
      <c r="K28" s="20" t="s">
        <v>76</v>
      </c>
      <c r="L28" s="20" t="s">
        <v>76</v>
      </c>
      <c r="M28" s="26" t="s">
        <v>76</v>
      </c>
      <c r="N28" s="20" t="s">
        <v>76</v>
      </c>
      <c r="O28" s="20" t="s">
        <v>76</v>
      </c>
      <c r="P28" s="26" t="s">
        <v>76</v>
      </c>
    </row>
    <row r="29" spans="1:16">
      <c r="A29" s="9" t="s">
        <v>284</v>
      </c>
      <c r="B29" s="20" t="s">
        <v>76</v>
      </c>
      <c r="C29" s="20" t="s">
        <v>76</v>
      </c>
      <c r="D29" s="26" t="s">
        <v>76</v>
      </c>
      <c r="E29" s="20" t="s">
        <v>76</v>
      </c>
      <c r="F29" s="20" t="s">
        <v>76</v>
      </c>
      <c r="G29" s="26" t="s">
        <v>76</v>
      </c>
      <c r="H29" s="20" t="s">
        <v>76</v>
      </c>
      <c r="I29" s="20" t="s">
        <v>76</v>
      </c>
      <c r="J29" s="26" t="s">
        <v>76</v>
      </c>
      <c r="K29" s="20" t="s">
        <v>76</v>
      </c>
      <c r="L29" s="20" t="s">
        <v>76</v>
      </c>
      <c r="M29" s="26" t="s">
        <v>76</v>
      </c>
      <c r="N29" s="20" t="s">
        <v>76</v>
      </c>
      <c r="O29" s="20" t="s">
        <v>76</v>
      </c>
      <c r="P29" s="26" t="s">
        <v>76</v>
      </c>
    </row>
    <row r="30" spans="1:16">
      <c r="A30" s="9" t="s">
        <v>285</v>
      </c>
      <c r="B30" s="20" t="s">
        <v>76</v>
      </c>
      <c r="C30" s="20" t="s">
        <v>76</v>
      </c>
      <c r="D30" s="26" t="s">
        <v>76</v>
      </c>
      <c r="E30" s="20" t="s">
        <v>76</v>
      </c>
      <c r="F30" s="20" t="s">
        <v>76</v>
      </c>
      <c r="G30" s="26" t="s">
        <v>76</v>
      </c>
      <c r="H30" s="20" t="s">
        <v>76</v>
      </c>
      <c r="I30" s="20" t="s">
        <v>76</v>
      </c>
      <c r="J30" s="26" t="s">
        <v>76</v>
      </c>
      <c r="K30" s="20" t="s">
        <v>76</v>
      </c>
      <c r="L30" s="20" t="s">
        <v>76</v>
      </c>
      <c r="M30" s="26" t="s">
        <v>76</v>
      </c>
      <c r="N30" s="20" t="s">
        <v>76</v>
      </c>
      <c r="O30" s="20" t="s">
        <v>76</v>
      </c>
      <c r="P30" s="26" t="s">
        <v>76</v>
      </c>
    </row>
    <row r="31" spans="1:16">
      <c r="A31" s="9" t="s">
        <v>286</v>
      </c>
      <c r="B31" s="15">
        <v>0.37807669397186</v>
      </c>
      <c r="C31" s="20" t="s">
        <v>76</v>
      </c>
      <c r="D31" s="26" t="s">
        <v>76</v>
      </c>
      <c r="E31" s="20" t="s">
        <v>76</v>
      </c>
      <c r="F31" s="20" t="s">
        <v>76</v>
      </c>
      <c r="G31" s="26" t="s">
        <v>76</v>
      </c>
      <c r="H31" s="20" t="s">
        <v>76</v>
      </c>
      <c r="I31" s="20" t="s">
        <v>76</v>
      </c>
      <c r="J31" s="26" t="s">
        <v>76</v>
      </c>
      <c r="K31" s="20" t="s">
        <v>76</v>
      </c>
      <c r="L31" s="20" t="s">
        <v>76</v>
      </c>
      <c r="M31" s="26" t="s">
        <v>76</v>
      </c>
      <c r="N31" s="20" t="s">
        <v>76</v>
      </c>
      <c r="O31" s="20" t="s">
        <v>76</v>
      </c>
      <c r="P31" s="26" t="s">
        <v>76</v>
      </c>
    </row>
    <row r="32" spans="1:16">
      <c r="A32" s="9" t="s">
        <v>287</v>
      </c>
      <c r="B32" s="20" t="s">
        <v>76</v>
      </c>
      <c r="C32" s="20" t="s">
        <v>76</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c r="A33" s="9" t="s">
        <v>288</v>
      </c>
      <c r="B33" s="15">
        <v>0.92486307933496503</v>
      </c>
      <c r="C33" s="15">
        <v>1.6399621955616901</v>
      </c>
      <c r="D33" s="26" t="s">
        <v>76</v>
      </c>
      <c r="E33" s="15">
        <v>0.91393929261213003</v>
      </c>
      <c r="F33" s="15">
        <v>1.67981425483487</v>
      </c>
      <c r="G33" s="26" t="s">
        <v>76</v>
      </c>
      <c r="H33" s="15">
        <v>0.90475860007672604</v>
      </c>
      <c r="I33" s="15">
        <v>1.57603238878456</v>
      </c>
      <c r="J33" s="26" t="s">
        <v>76</v>
      </c>
      <c r="K33" s="20" t="s">
        <v>76</v>
      </c>
      <c r="L33" s="20" t="s">
        <v>76</v>
      </c>
      <c r="M33" s="26" t="s">
        <v>76</v>
      </c>
      <c r="N33" s="20" t="s">
        <v>76</v>
      </c>
      <c r="O33" s="20" t="s">
        <v>76</v>
      </c>
      <c r="P33" s="26" t="s">
        <v>76</v>
      </c>
    </row>
    <row r="34" spans="1:16">
      <c r="A34" s="9" t="s">
        <v>289</v>
      </c>
      <c r="B34" s="15">
        <v>0.61345624427670997</v>
      </c>
      <c r="C34" s="15">
        <v>0.69281777320093196</v>
      </c>
      <c r="D34" s="26" t="s">
        <v>76</v>
      </c>
      <c r="E34" s="20" t="s">
        <v>76</v>
      </c>
      <c r="F34" s="20" t="s">
        <v>76</v>
      </c>
      <c r="G34" s="26" t="s">
        <v>76</v>
      </c>
      <c r="H34" s="20" t="s">
        <v>76</v>
      </c>
      <c r="I34" s="20" t="s">
        <v>76</v>
      </c>
      <c r="J34" s="26" t="s">
        <v>76</v>
      </c>
      <c r="K34" s="20" t="s">
        <v>76</v>
      </c>
      <c r="L34" s="20" t="s">
        <v>76</v>
      </c>
      <c r="M34" s="26" t="s">
        <v>76</v>
      </c>
      <c r="N34" s="20" t="s">
        <v>76</v>
      </c>
      <c r="O34" s="20" t="s">
        <v>76</v>
      </c>
      <c r="P34" s="26" t="s">
        <v>76</v>
      </c>
    </row>
    <row r="35" spans="1:16">
      <c r="A35" s="9" t="s">
        <v>290</v>
      </c>
      <c r="B35" s="15">
        <v>0.86671144759895002</v>
      </c>
      <c r="C35" s="15">
        <v>0.863397517002224</v>
      </c>
      <c r="D35" s="24">
        <v>0.86938768073848804</v>
      </c>
      <c r="E35" s="15">
        <v>1.10762017684999</v>
      </c>
      <c r="F35" s="20" t="s">
        <v>76</v>
      </c>
      <c r="G35" s="26" t="s">
        <v>76</v>
      </c>
      <c r="H35" s="20" t="s">
        <v>76</v>
      </c>
      <c r="I35" s="20" t="s">
        <v>76</v>
      </c>
      <c r="J35" s="26" t="s">
        <v>76</v>
      </c>
      <c r="K35" s="20" t="s">
        <v>76</v>
      </c>
      <c r="L35" s="20" t="s">
        <v>76</v>
      </c>
      <c r="M35" s="26" t="s">
        <v>76</v>
      </c>
      <c r="N35" s="20" t="s">
        <v>76</v>
      </c>
      <c r="O35" s="20" t="s">
        <v>76</v>
      </c>
      <c r="P35" s="26" t="s">
        <v>76</v>
      </c>
    </row>
    <row r="36" spans="1:16">
      <c r="A36" s="9" t="s">
        <v>291</v>
      </c>
      <c r="B36" s="15">
        <v>11.7609182313515</v>
      </c>
      <c r="C36" s="15">
        <v>9.4147047292630006</v>
      </c>
      <c r="D36" s="24">
        <v>13.6556514321388</v>
      </c>
      <c r="E36" s="15">
        <v>4.5953441877269903</v>
      </c>
      <c r="F36" s="15">
        <v>6.8677196753831904</v>
      </c>
      <c r="G36" s="24">
        <v>2.7470429749283198</v>
      </c>
      <c r="H36" s="15">
        <v>19.164680553648001</v>
      </c>
      <c r="I36" s="15">
        <v>12.115728220511199</v>
      </c>
      <c r="J36" s="24">
        <v>24.981639886490701</v>
      </c>
      <c r="K36" s="20" t="s">
        <v>76</v>
      </c>
      <c r="L36" s="20" t="s">
        <v>76</v>
      </c>
      <c r="M36" s="26" t="s">
        <v>76</v>
      </c>
      <c r="N36" s="20" t="s">
        <v>76</v>
      </c>
      <c r="O36" s="20" t="s">
        <v>76</v>
      </c>
      <c r="P36" s="26" t="s">
        <v>76</v>
      </c>
    </row>
    <row r="37" spans="1:16">
      <c r="A37" s="9" t="s">
        <v>292</v>
      </c>
      <c r="B37" s="15">
        <v>0.664728167374529</v>
      </c>
      <c r="C37" s="15">
        <v>1.2018707219167399</v>
      </c>
      <c r="D37" s="26" t="s">
        <v>76</v>
      </c>
      <c r="E37" s="20" t="s">
        <v>76</v>
      </c>
      <c r="F37" s="20" t="s">
        <v>76</v>
      </c>
      <c r="G37" s="26" t="s">
        <v>76</v>
      </c>
      <c r="H37" s="15">
        <v>0.71760012045481403</v>
      </c>
      <c r="I37" s="15">
        <v>1.34327725321044</v>
      </c>
      <c r="J37" s="26" t="s">
        <v>76</v>
      </c>
      <c r="K37" s="20" t="s">
        <v>76</v>
      </c>
      <c r="L37" s="20" t="s">
        <v>76</v>
      </c>
      <c r="M37" s="26" t="s">
        <v>76</v>
      </c>
      <c r="N37" s="20" t="s">
        <v>76</v>
      </c>
      <c r="O37" s="20" t="s">
        <v>76</v>
      </c>
      <c r="P37" s="26" t="s">
        <v>76</v>
      </c>
    </row>
    <row r="38" spans="1:16">
      <c r="A38" s="9" t="s">
        <v>293</v>
      </c>
      <c r="B38" s="15">
        <v>1.4260241722601401</v>
      </c>
      <c r="C38" s="15">
        <v>2.48864817090353</v>
      </c>
      <c r="D38" s="26" t="s">
        <v>76</v>
      </c>
      <c r="E38" s="15">
        <v>1.5556701350859401</v>
      </c>
      <c r="F38" s="15">
        <v>2.6623125587084902</v>
      </c>
      <c r="G38" s="26" t="s">
        <v>76</v>
      </c>
      <c r="H38" s="15">
        <v>1.2599896583519099</v>
      </c>
      <c r="I38" s="15">
        <v>2.3200522604965701</v>
      </c>
      <c r="J38" s="26" t="s">
        <v>76</v>
      </c>
      <c r="K38" s="20" t="s">
        <v>76</v>
      </c>
      <c r="L38" s="20" t="s">
        <v>76</v>
      </c>
      <c r="M38" s="26" t="s">
        <v>76</v>
      </c>
      <c r="N38" s="20" t="s">
        <v>76</v>
      </c>
      <c r="O38" s="20" t="s">
        <v>76</v>
      </c>
      <c r="P38" s="26" t="s">
        <v>76</v>
      </c>
    </row>
    <row r="39" spans="1:16">
      <c r="A39" s="9" t="s">
        <v>294</v>
      </c>
      <c r="B39" s="15">
        <v>0.47742308002094502</v>
      </c>
      <c r="C39" s="15">
        <v>0.73049645103264804</v>
      </c>
      <c r="D39" s="26" t="s">
        <v>76</v>
      </c>
      <c r="E39" s="15">
        <v>0.72728633712051205</v>
      </c>
      <c r="F39" s="20" t="s">
        <v>76</v>
      </c>
      <c r="G39" s="26" t="s">
        <v>76</v>
      </c>
      <c r="H39" s="20" t="s">
        <v>76</v>
      </c>
      <c r="I39" s="20" t="s">
        <v>76</v>
      </c>
      <c r="J39" s="26" t="s">
        <v>76</v>
      </c>
      <c r="K39" s="20" t="s">
        <v>76</v>
      </c>
      <c r="L39" s="20" t="s">
        <v>76</v>
      </c>
      <c r="M39" s="26" t="s">
        <v>76</v>
      </c>
      <c r="N39" s="20" t="s">
        <v>76</v>
      </c>
      <c r="O39" s="20" t="s">
        <v>76</v>
      </c>
      <c r="P39" s="26" t="s">
        <v>76</v>
      </c>
    </row>
    <row r="40" spans="1:16">
      <c r="A40" s="9" t="s">
        <v>295</v>
      </c>
      <c r="B40" s="20" t="s">
        <v>76</v>
      </c>
      <c r="C40" s="20" t="s">
        <v>76</v>
      </c>
      <c r="D40" s="26" t="s">
        <v>76</v>
      </c>
      <c r="E40" s="20" t="s">
        <v>76</v>
      </c>
      <c r="F40" s="20" t="s">
        <v>76</v>
      </c>
      <c r="G40" s="26" t="s">
        <v>76</v>
      </c>
      <c r="H40" s="20" t="s">
        <v>76</v>
      </c>
      <c r="I40" s="20" t="s">
        <v>76</v>
      </c>
      <c r="J40" s="26" t="s">
        <v>76</v>
      </c>
      <c r="K40" s="20" t="s">
        <v>76</v>
      </c>
      <c r="L40" s="20" t="s">
        <v>76</v>
      </c>
      <c r="M40" s="26" t="s">
        <v>76</v>
      </c>
      <c r="N40" s="20" t="s">
        <v>76</v>
      </c>
      <c r="O40" s="20" t="s">
        <v>76</v>
      </c>
      <c r="P40" s="26" t="s">
        <v>76</v>
      </c>
    </row>
    <row r="41" spans="1:16">
      <c r="A41" s="9" t="s">
        <v>296</v>
      </c>
      <c r="B41" s="15">
        <v>14.826689053808099</v>
      </c>
      <c r="C41" s="15">
        <v>15.5167924541418</v>
      </c>
      <c r="D41" s="24">
        <v>14.269381791095499</v>
      </c>
      <c r="E41" s="15">
        <v>14.519162123835599</v>
      </c>
      <c r="F41" s="15">
        <v>16.004299918147399</v>
      </c>
      <c r="G41" s="24">
        <v>13.311183072261199</v>
      </c>
      <c r="H41" s="15">
        <v>15.311423690535401</v>
      </c>
      <c r="I41" s="15">
        <v>15.1885843168648</v>
      </c>
      <c r="J41" s="24">
        <v>15.412793597344701</v>
      </c>
      <c r="K41" s="20" t="s">
        <v>76</v>
      </c>
      <c r="L41" s="20" t="s">
        <v>76</v>
      </c>
      <c r="M41" s="26" t="s">
        <v>76</v>
      </c>
      <c r="N41" s="20" t="s">
        <v>76</v>
      </c>
      <c r="O41" s="20" t="s">
        <v>76</v>
      </c>
      <c r="P41" s="26" t="s">
        <v>76</v>
      </c>
    </row>
    <row r="42" spans="1:16">
      <c r="A42" s="9" t="s">
        <v>297</v>
      </c>
      <c r="B42" s="15">
        <v>0.46856150583633799</v>
      </c>
      <c r="C42" s="15">
        <v>0.81908516446380597</v>
      </c>
      <c r="D42" s="26" t="s">
        <v>76</v>
      </c>
      <c r="E42" s="20" t="s">
        <v>76</v>
      </c>
      <c r="F42" s="20" t="s">
        <v>76</v>
      </c>
      <c r="G42" s="26" t="s">
        <v>76</v>
      </c>
      <c r="H42" s="20" t="s">
        <v>76</v>
      </c>
      <c r="I42" s="20" t="s">
        <v>76</v>
      </c>
      <c r="J42" s="26" t="s">
        <v>76</v>
      </c>
      <c r="K42" s="20" t="s">
        <v>76</v>
      </c>
      <c r="L42" s="20" t="s">
        <v>76</v>
      </c>
      <c r="M42" s="26" t="s">
        <v>76</v>
      </c>
      <c r="N42" s="20" t="s">
        <v>76</v>
      </c>
      <c r="O42" s="20" t="s">
        <v>76</v>
      </c>
      <c r="P42" s="26" t="s">
        <v>76</v>
      </c>
    </row>
    <row r="43" spans="1:16">
      <c r="A43" s="9" t="s">
        <v>298</v>
      </c>
      <c r="B43" s="15">
        <v>15.286872864740699</v>
      </c>
      <c r="C43" s="15">
        <v>14.0001600105749</v>
      </c>
      <c r="D43" s="24">
        <v>16.325984421509698</v>
      </c>
      <c r="E43" s="15">
        <v>18.58823295757</v>
      </c>
      <c r="F43" s="15">
        <v>15.3716285071841</v>
      </c>
      <c r="G43" s="24">
        <v>21.204549644242999</v>
      </c>
      <c r="H43" s="15">
        <v>12.0488566754627</v>
      </c>
      <c r="I43" s="15">
        <v>12.6619921634388</v>
      </c>
      <c r="J43" s="24">
        <v>11.542883017176999</v>
      </c>
      <c r="K43" s="20" t="s">
        <v>76</v>
      </c>
      <c r="L43" s="20" t="s">
        <v>76</v>
      </c>
      <c r="M43" s="26" t="s">
        <v>76</v>
      </c>
      <c r="N43" s="20" t="s">
        <v>76</v>
      </c>
      <c r="O43" s="20" t="s">
        <v>76</v>
      </c>
      <c r="P43" s="26" t="s">
        <v>76</v>
      </c>
    </row>
    <row r="44" spans="1:16">
      <c r="A44" s="9" t="s">
        <v>299</v>
      </c>
      <c r="B44" s="15">
        <v>13.1165884325805</v>
      </c>
      <c r="C44" s="15">
        <v>15.647742455223</v>
      </c>
      <c r="D44" s="24">
        <v>11.0725026924133</v>
      </c>
      <c r="E44" s="15">
        <v>13.4215447274014</v>
      </c>
      <c r="F44" s="15">
        <v>15.574929706291901</v>
      </c>
      <c r="G44" s="24">
        <v>11.670027828136201</v>
      </c>
      <c r="H44" s="15">
        <v>12.631130456854599</v>
      </c>
      <c r="I44" s="15">
        <v>15.642454862828099</v>
      </c>
      <c r="J44" s="24">
        <v>10.146115552554701</v>
      </c>
      <c r="K44" s="20" t="s">
        <v>76</v>
      </c>
      <c r="L44" s="20" t="s">
        <v>76</v>
      </c>
      <c r="M44" s="26" t="s">
        <v>76</v>
      </c>
      <c r="N44" s="20" t="s">
        <v>76</v>
      </c>
      <c r="O44" s="20" t="s">
        <v>76</v>
      </c>
      <c r="P44" s="26" t="s">
        <v>76</v>
      </c>
    </row>
    <row r="45" spans="1:16">
      <c r="A45" s="9" t="s">
        <v>300</v>
      </c>
      <c r="B45" s="20" t="s">
        <v>76</v>
      </c>
      <c r="C45" s="20" t="s">
        <v>76</v>
      </c>
      <c r="D45" s="26" t="s">
        <v>76</v>
      </c>
      <c r="E45" s="20" t="s">
        <v>76</v>
      </c>
      <c r="F45" s="20" t="s">
        <v>76</v>
      </c>
      <c r="G45" s="26" t="s">
        <v>76</v>
      </c>
      <c r="H45" s="20" t="s">
        <v>76</v>
      </c>
      <c r="I45" s="20" t="s">
        <v>76</v>
      </c>
      <c r="J45" s="26" t="s">
        <v>76</v>
      </c>
      <c r="K45" s="20" t="s">
        <v>76</v>
      </c>
      <c r="L45" s="20" t="s">
        <v>76</v>
      </c>
      <c r="M45" s="26" t="s">
        <v>76</v>
      </c>
      <c r="N45" s="20" t="s">
        <v>76</v>
      </c>
      <c r="O45" s="20" t="s">
        <v>76</v>
      </c>
      <c r="P45" s="26" t="s">
        <v>76</v>
      </c>
    </row>
    <row r="46" spans="1:16">
      <c r="A46" s="9" t="s">
        <v>301</v>
      </c>
      <c r="B46" s="20" t="s">
        <v>76</v>
      </c>
      <c r="C46" s="20" t="s">
        <v>76</v>
      </c>
      <c r="D46" s="26" t="s">
        <v>76</v>
      </c>
      <c r="E46" s="20" t="s">
        <v>76</v>
      </c>
      <c r="F46" s="20" t="s">
        <v>76</v>
      </c>
      <c r="G46" s="26" t="s">
        <v>76</v>
      </c>
      <c r="H46" s="20" t="s">
        <v>76</v>
      </c>
      <c r="I46" s="20" t="s">
        <v>76</v>
      </c>
      <c r="J46" s="26" t="s">
        <v>76</v>
      </c>
      <c r="K46" s="20" t="s">
        <v>76</v>
      </c>
      <c r="L46" s="20" t="s">
        <v>76</v>
      </c>
      <c r="M46" s="26" t="s">
        <v>76</v>
      </c>
      <c r="N46" s="20" t="s">
        <v>76</v>
      </c>
      <c r="O46" s="20" t="s">
        <v>76</v>
      </c>
      <c r="P46" s="26" t="s">
        <v>76</v>
      </c>
    </row>
    <row r="47" spans="1:16">
      <c r="A47" s="9" t="s">
        <v>302</v>
      </c>
      <c r="B47" s="15">
        <v>1.0231176655059999</v>
      </c>
      <c r="C47" s="15">
        <v>1.0321805234921799</v>
      </c>
      <c r="D47" s="24">
        <v>1.01579876724497</v>
      </c>
      <c r="E47" s="15">
        <v>0.91217629612783602</v>
      </c>
      <c r="F47" s="20" t="s">
        <v>76</v>
      </c>
      <c r="G47" s="26" t="s">
        <v>76</v>
      </c>
      <c r="H47" s="15">
        <v>1.1328853530091401</v>
      </c>
      <c r="I47" s="15">
        <v>1.3176486662636999</v>
      </c>
      <c r="J47" s="26" t="s">
        <v>76</v>
      </c>
      <c r="K47" s="20" t="s">
        <v>76</v>
      </c>
      <c r="L47" s="20" t="s">
        <v>76</v>
      </c>
      <c r="M47" s="26" t="s">
        <v>76</v>
      </c>
      <c r="N47" s="20" t="s">
        <v>76</v>
      </c>
      <c r="O47" s="20" t="s">
        <v>76</v>
      </c>
      <c r="P47" s="26" t="s">
        <v>76</v>
      </c>
    </row>
    <row r="48" spans="1:16">
      <c r="A48" s="9" t="s">
        <v>303</v>
      </c>
      <c r="B48" s="15">
        <v>0.91667896221358303</v>
      </c>
      <c r="C48" s="15">
        <v>0.97812322899808002</v>
      </c>
      <c r="D48" s="24">
        <v>0.86705837475597003</v>
      </c>
      <c r="E48" s="15">
        <v>1.0697915180192299</v>
      </c>
      <c r="F48" s="20" t="s">
        <v>76</v>
      </c>
      <c r="G48" s="26" t="s">
        <v>76</v>
      </c>
      <c r="H48" s="15">
        <v>0.70039636696358698</v>
      </c>
      <c r="I48" s="20" t="s">
        <v>76</v>
      </c>
      <c r="J48" s="26" t="s">
        <v>76</v>
      </c>
      <c r="K48" s="20" t="s">
        <v>76</v>
      </c>
      <c r="L48" s="20" t="s">
        <v>76</v>
      </c>
      <c r="M48" s="26" t="s">
        <v>76</v>
      </c>
      <c r="N48" s="20" t="s">
        <v>76</v>
      </c>
      <c r="O48" s="20" t="s">
        <v>76</v>
      </c>
      <c r="P48" s="26" t="s">
        <v>76</v>
      </c>
    </row>
    <row r="49" spans="1:16">
      <c r="A49" s="9" t="s">
        <v>304</v>
      </c>
      <c r="B49" s="15">
        <v>0.35992360821929098</v>
      </c>
      <c r="C49" s="20" t="s">
        <v>76</v>
      </c>
      <c r="D49" s="26" t="s">
        <v>76</v>
      </c>
      <c r="E49" s="20" t="s">
        <v>76</v>
      </c>
      <c r="F49" s="20" t="s">
        <v>76</v>
      </c>
      <c r="G49" s="26" t="s">
        <v>76</v>
      </c>
      <c r="H49" s="20" t="s">
        <v>76</v>
      </c>
      <c r="I49" s="20" t="s">
        <v>76</v>
      </c>
      <c r="J49" s="26" t="s">
        <v>76</v>
      </c>
      <c r="K49" s="20" t="s">
        <v>76</v>
      </c>
      <c r="L49" s="20" t="s">
        <v>76</v>
      </c>
      <c r="M49" s="26" t="s">
        <v>76</v>
      </c>
      <c r="N49" s="20" t="s">
        <v>76</v>
      </c>
      <c r="O49" s="20" t="s">
        <v>76</v>
      </c>
      <c r="P49" s="26" t="s">
        <v>76</v>
      </c>
    </row>
    <row r="50" spans="1:16">
      <c r="A50" s="9" t="s">
        <v>305</v>
      </c>
      <c r="B50" s="15">
        <v>5.0059627563867197</v>
      </c>
      <c r="C50" s="15">
        <v>9.9562963930164496</v>
      </c>
      <c r="D50" s="24">
        <v>1.0082185238406201</v>
      </c>
      <c r="E50" s="15">
        <v>5.12550707951472</v>
      </c>
      <c r="F50" s="15">
        <v>10.1967566102054</v>
      </c>
      <c r="G50" s="26" t="s">
        <v>76</v>
      </c>
      <c r="H50" s="15">
        <v>4.6940036637939402</v>
      </c>
      <c r="I50" s="15">
        <v>9.4912858036862904</v>
      </c>
      <c r="J50" s="26" t="s">
        <v>76</v>
      </c>
      <c r="K50" s="20" t="s">
        <v>76</v>
      </c>
      <c r="L50" s="20" t="s">
        <v>76</v>
      </c>
      <c r="M50" s="26" t="s">
        <v>76</v>
      </c>
      <c r="N50" s="20" t="s">
        <v>76</v>
      </c>
      <c r="O50" s="20" t="s">
        <v>76</v>
      </c>
      <c r="P50" s="26" t="s">
        <v>76</v>
      </c>
    </row>
    <row r="51" spans="1:16">
      <c r="A51" s="9" t="s">
        <v>306</v>
      </c>
      <c r="B51" s="15">
        <v>2.5308666176431802</v>
      </c>
      <c r="C51" s="15">
        <v>1.9771630191412899</v>
      </c>
      <c r="D51" s="24">
        <v>2.9780214015292299</v>
      </c>
      <c r="E51" s="15">
        <v>3.1010154206313998</v>
      </c>
      <c r="F51" s="15">
        <v>2.64087128734243</v>
      </c>
      <c r="G51" s="24">
        <v>3.4752867346110201</v>
      </c>
      <c r="H51" s="15">
        <v>1.9357308328601099</v>
      </c>
      <c r="I51" s="15">
        <v>1.3271678349163001</v>
      </c>
      <c r="J51" s="24">
        <v>2.4379311660742702</v>
      </c>
      <c r="K51" s="20" t="s">
        <v>76</v>
      </c>
      <c r="L51" s="20" t="s">
        <v>76</v>
      </c>
      <c r="M51" s="26" t="s">
        <v>76</v>
      </c>
      <c r="N51" s="20" t="s">
        <v>76</v>
      </c>
      <c r="O51" s="20" t="s">
        <v>76</v>
      </c>
      <c r="P51" s="26" t="s">
        <v>76</v>
      </c>
    </row>
    <row r="52" spans="1:16">
      <c r="A52" s="9" t="s">
        <v>307</v>
      </c>
      <c r="B52" s="15">
        <v>0.46242306803657501</v>
      </c>
      <c r="C52" s="15">
        <v>0.79083510446043204</v>
      </c>
      <c r="D52" s="26" t="s">
        <v>76</v>
      </c>
      <c r="E52" s="20" t="s">
        <v>76</v>
      </c>
      <c r="F52" s="20" t="s">
        <v>76</v>
      </c>
      <c r="G52" s="26" t="s">
        <v>76</v>
      </c>
      <c r="H52" s="20" t="s">
        <v>76</v>
      </c>
      <c r="I52" s="20" t="s">
        <v>76</v>
      </c>
      <c r="J52" s="26" t="s">
        <v>76</v>
      </c>
      <c r="K52" s="20" t="s">
        <v>76</v>
      </c>
      <c r="L52" s="20" t="s">
        <v>76</v>
      </c>
      <c r="M52" s="26" t="s">
        <v>76</v>
      </c>
      <c r="N52" s="20" t="s">
        <v>76</v>
      </c>
      <c r="O52" s="20" t="s">
        <v>76</v>
      </c>
      <c r="P52" s="26" t="s">
        <v>76</v>
      </c>
    </row>
    <row r="53" spans="1:16">
      <c r="A53" s="9" t="s">
        <v>308</v>
      </c>
      <c r="B53" s="15">
        <v>6.6504785665814099</v>
      </c>
      <c r="C53" s="15">
        <v>5.7792477883298599</v>
      </c>
      <c r="D53" s="24">
        <v>7.3540589865352999</v>
      </c>
      <c r="E53" s="15">
        <v>6.4728851199889004</v>
      </c>
      <c r="F53" s="15">
        <v>6.1324049248156598</v>
      </c>
      <c r="G53" s="24">
        <v>6.7498243675257097</v>
      </c>
      <c r="H53" s="15">
        <v>6.84549878662963</v>
      </c>
      <c r="I53" s="15">
        <v>5.5556956915966804</v>
      </c>
      <c r="J53" s="24">
        <v>7.9098742848027896</v>
      </c>
      <c r="K53" s="20" t="s">
        <v>76</v>
      </c>
      <c r="L53" s="20" t="s">
        <v>76</v>
      </c>
      <c r="M53" s="26" t="s">
        <v>76</v>
      </c>
      <c r="N53" s="20" t="s">
        <v>76</v>
      </c>
      <c r="O53" s="20" t="s">
        <v>76</v>
      </c>
      <c r="P53" s="26" t="s">
        <v>76</v>
      </c>
    </row>
    <row r="54" spans="1:16">
      <c r="A54" s="9" t="s">
        <v>309</v>
      </c>
      <c r="B54" s="15">
        <v>1.03260516516681</v>
      </c>
      <c r="C54" s="15">
        <v>0.94121895435534797</v>
      </c>
      <c r="D54" s="24">
        <v>1.1064059883077899</v>
      </c>
      <c r="E54" s="15">
        <v>0.96090174207816104</v>
      </c>
      <c r="F54" s="20" t="s">
        <v>76</v>
      </c>
      <c r="G54" s="26" t="s">
        <v>76</v>
      </c>
      <c r="H54" s="15">
        <v>1.0122711200908501</v>
      </c>
      <c r="I54" s="20" t="s">
        <v>76</v>
      </c>
      <c r="J54" s="26" t="s">
        <v>76</v>
      </c>
      <c r="K54" s="20" t="s">
        <v>76</v>
      </c>
      <c r="L54" s="20" t="s">
        <v>76</v>
      </c>
      <c r="M54" s="26" t="s">
        <v>76</v>
      </c>
      <c r="N54" s="20" t="s">
        <v>76</v>
      </c>
      <c r="O54" s="20" t="s">
        <v>76</v>
      </c>
      <c r="P54" s="26" t="s">
        <v>76</v>
      </c>
    </row>
    <row r="55" spans="1:16">
      <c r="A55" s="9" t="s">
        <v>310</v>
      </c>
      <c r="B55" s="15">
        <v>0.58501528007640502</v>
      </c>
      <c r="C55" s="15">
        <v>0.845590964025976</v>
      </c>
      <c r="D55" s="26" t="s">
        <v>76</v>
      </c>
      <c r="E55" s="20" t="s">
        <v>76</v>
      </c>
      <c r="F55" s="20" t="s">
        <v>76</v>
      </c>
      <c r="G55" s="26" t="s">
        <v>76</v>
      </c>
      <c r="H55" s="20" t="s">
        <v>76</v>
      </c>
      <c r="I55" s="20" t="s">
        <v>76</v>
      </c>
      <c r="J55" s="26" t="s">
        <v>76</v>
      </c>
      <c r="K55" s="20" t="s">
        <v>76</v>
      </c>
      <c r="L55" s="20" t="s">
        <v>76</v>
      </c>
      <c r="M55" s="26" t="s">
        <v>76</v>
      </c>
      <c r="N55" s="20" t="s">
        <v>76</v>
      </c>
      <c r="O55" s="20" t="s">
        <v>76</v>
      </c>
      <c r="P55" s="26" t="s">
        <v>76</v>
      </c>
    </row>
    <row r="56" spans="1:16">
      <c r="A56" s="9" t="s">
        <v>311</v>
      </c>
      <c r="B56" s="15">
        <v>2.186464825521</v>
      </c>
      <c r="C56" s="15">
        <v>1.5959636097454999</v>
      </c>
      <c r="D56" s="24">
        <v>2.6633362857010399</v>
      </c>
      <c r="E56" s="15">
        <v>2.0237272638933699</v>
      </c>
      <c r="F56" s="15">
        <v>1.52762101547868</v>
      </c>
      <c r="G56" s="24">
        <v>2.42724938671279</v>
      </c>
      <c r="H56" s="15">
        <v>2.3143227870370602</v>
      </c>
      <c r="I56" s="15">
        <v>1.6381886547070299</v>
      </c>
      <c r="J56" s="24">
        <v>2.8722843911781002</v>
      </c>
      <c r="K56" s="20" t="s">
        <v>76</v>
      </c>
      <c r="L56" s="20" t="s">
        <v>76</v>
      </c>
      <c r="M56" s="26" t="s">
        <v>76</v>
      </c>
      <c r="N56" s="20" t="s">
        <v>76</v>
      </c>
      <c r="O56" s="20" t="s">
        <v>76</v>
      </c>
      <c r="P56" s="26" t="s">
        <v>76</v>
      </c>
    </row>
    <row r="57" spans="1:16">
      <c r="A57" s="9" t="s">
        <v>312</v>
      </c>
      <c r="B57" s="15">
        <v>0.42677808920246602</v>
      </c>
      <c r="C57" s="15">
        <v>0.79764921053562998</v>
      </c>
      <c r="D57" s="26" t="s">
        <v>76</v>
      </c>
      <c r="E57" s="20" t="s">
        <v>76</v>
      </c>
      <c r="F57" s="20" t="s">
        <v>76</v>
      </c>
      <c r="G57" s="26" t="s">
        <v>76</v>
      </c>
      <c r="H57" s="20" t="s">
        <v>76</v>
      </c>
      <c r="I57" s="20" t="s">
        <v>76</v>
      </c>
      <c r="J57" s="26" t="s">
        <v>76</v>
      </c>
      <c r="K57" s="20" t="s">
        <v>76</v>
      </c>
      <c r="L57" s="20" t="s">
        <v>76</v>
      </c>
      <c r="M57" s="26" t="s">
        <v>76</v>
      </c>
      <c r="N57" s="20" t="s">
        <v>76</v>
      </c>
      <c r="O57" s="20" t="s">
        <v>76</v>
      </c>
      <c r="P57" s="26" t="s">
        <v>76</v>
      </c>
    </row>
    <row r="58" spans="1:16">
      <c r="A58" s="9" t="s">
        <v>313</v>
      </c>
      <c r="B58" s="15">
        <v>1.87336675327421</v>
      </c>
      <c r="C58" s="20" t="s">
        <v>76</v>
      </c>
      <c r="D58" s="24">
        <v>3.1043870550364301</v>
      </c>
      <c r="E58" s="15">
        <v>2.4354639252530199</v>
      </c>
      <c r="F58" s="20" t="s">
        <v>76</v>
      </c>
      <c r="G58" s="24">
        <v>3.9633348332482998</v>
      </c>
      <c r="H58" s="15">
        <v>1.27226384051382</v>
      </c>
      <c r="I58" s="20" t="s">
        <v>76</v>
      </c>
      <c r="J58" s="24">
        <v>2.2450486479334799</v>
      </c>
      <c r="K58" s="20" t="s">
        <v>76</v>
      </c>
      <c r="L58" s="20" t="s">
        <v>76</v>
      </c>
      <c r="M58" s="26" t="s">
        <v>76</v>
      </c>
      <c r="N58" s="20" t="s">
        <v>76</v>
      </c>
      <c r="O58" s="20" t="s">
        <v>76</v>
      </c>
      <c r="P58" s="26" t="s">
        <v>76</v>
      </c>
    </row>
    <row r="59" spans="1:16">
      <c r="A59" s="9" t="s">
        <v>314</v>
      </c>
      <c r="B59" s="20" t="s">
        <v>76</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c r="A60" s="9" t="s">
        <v>315</v>
      </c>
      <c r="B60" s="20" t="s">
        <v>76</v>
      </c>
      <c r="C60" s="20" t="s">
        <v>76</v>
      </c>
      <c r="D60" s="26" t="s">
        <v>76</v>
      </c>
      <c r="E60" s="20" t="s">
        <v>76</v>
      </c>
      <c r="F60" s="20" t="s">
        <v>76</v>
      </c>
      <c r="G60" s="26" t="s">
        <v>76</v>
      </c>
      <c r="H60" s="20" t="s">
        <v>76</v>
      </c>
      <c r="I60" s="20" t="s">
        <v>76</v>
      </c>
      <c r="J60" s="26" t="s">
        <v>76</v>
      </c>
      <c r="K60" s="20" t="s">
        <v>76</v>
      </c>
      <c r="L60" s="20" t="s">
        <v>76</v>
      </c>
      <c r="M60" s="26" t="s">
        <v>76</v>
      </c>
      <c r="N60" s="20" t="s">
        <v>76</v>
      </c>
      <c r="O60" s="20" t="s">
        <v>76</v>
      </c>
      <c r="P60" s="26" t="s">
        <v>76</v>
      </c>
    </row>
    <row r="61" spans="1:16">
      <c r="A61" s="9" t="s">
        <v>316</v>
      </c>
      <c r="B61" s="20" t="s">
        <v>76</v>
      </c>
      <c r="C61" s="20" t="s">
        <v>76</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c r="A62" s="9" t="s">
        <v>317</v>
      </c>
      <c r="B62" s="20" t="s">
        <v>76</v>
      </c>
      <c r="C62" s="20" t="s">
        <v>76</v>
      </c>
      <c r="D62" s="26" t="s">
        <v>76</v>
      </c>
      <c r="E62" s="20" t="s">
        <v>76</v>
      </c>
      <c r="F62" s="20" t="s">
        <v>76</v>
      </c>
      <c r="G62" s="26" t="s">
        <v>76</v>
      </c>
      <c r="H62" s="20" t="s">
        <v>76</v>
      </c>
      <c r="I62" s="20" t="s">
        <v>76</v>
      </c>
      <c r="J62" s="26" t="s">
        <v>76</v>
      </c>
      <c r="K62" s="20" t="s">
        <v>76</v>
      </c>
      <c r="L62" s="20" t="s">
        <v>76</v>
      </c>
      <c r="M62" s="26" t="s">
        <v>76</v>
      </c>
      <c r="N62" s="20" t="s">
        <v>76</v>
      </c>
      <c r="O62" s="20" t="s">
        <v>76</v>
      </c>
      <c r="P62" s="26" t="s">
        <v>76</v>
      </c>
    </row>
    <row r="63" spans="1:16">
      <c r="A63" s="9" t="s">
        <v>318</v>
      </c>
      <c r="B63" s="15">
        <v>0.36604026874025503</v>
      </c>
      <c r="C63" s="20" t="s">
        <v>76</v>
      </c>
      <c r="D63" s="26" t="s">
        <v>76</v>
      </c>
      <c r="E63" s="20" t="s">
        <v>76</v>
      </c>
      <c r="F63" s="20" t="s">
        <v>76</v>
      </c>
      <c r="G63" s="26" t="s">
        <v>76</v>
      </c>
      <c r="H63" s="20" t="s">
        <v>76</v>
      </c>
      <c r="I63" s="20" t="s">
        <v>76</v>
      </c>
      <c r="J63" s="26" t="s">
        <v>76</v>
      </c>
      <c r="K63" s="20" t="s">
        <v>76</v>
      </c>
      <c r="L63" s="20" t="s">
        <v>76</v>
      </c>
      <c r="M63" s="26" t="s">
        <v>76</v>
      </c>
      <c r="N63" s="20" t="s">
        <v>76</v>
      </c>
      <c r="O63" s="20" t="s">
        <v>76</v>
      </c>
      <c r="P63" s="26" t="s">
        <v>76</v>
      </c>
    </row>
    <row r="64" spans="1:16">
      <c r="A64" s="11" t="s">
        <v>319</v>
      </c>
      <c r="B64" s="16">
        <v>1.2822116268824999</v>
      </c>
      <c r="C64" s="16">
        <v>1.80960173215002</v>
      </c>
      <c r="D64" s="25">
        <v>0.85630684825620196</v>
      </c>
      <c r="E64" s="16">
        <v>1.4382365733359399</v>
      </c>
      <c r="F64" s="16">
        <v>1.9787962682972</v>
      </c>
      <c r="G64" s="29" t="s">
        <v>76</v>
      </c>
      <c r="H64" s="16">
        <v>1.0426752950587299</v>
      </c>
      <c r="I64" s="16">
        <v>1.54196467891181</v>
      </c>
      <c r="J64" s="29" t="s">
        <v>76</v>
      </c>
      <c r="K64" s="28" t="s">
        <v>76</v>
      </c>
      <c r="L64" s="28" t="s">
        <v>76</v>
      </c>
      <c r="M64" s="29" t="s">
        <v>76</v>
      </c>
      <c r="N64" s="28" t="s">
        <v>76</v>
      </c>
      <c r="O64" s="28" t="s">
        <v>76</v>
      </c>
      <c r="P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N71"/>
  <sheetViews>
    <sheetView zoomScale="55" workbookViewId="0"/>
  </sheetViews>
  <sheetFormatPr defaultColWidth="10.88671875" defaultRowHeight="15"/>
  <cols>
    <col min="1" max="1" width="51.6640625" customWidth="1"/>
    <col min="2" max="91" width="13.6640625" customWidth="1"/>
  </cols>
  <sheetData>
    <row r="1" spans="1:92" ht="39.950000000000003" customHeight="1">
      <c r="A1" s="10" t="s">
        <v>323</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0">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c r="A3" s="9" t="s">
        <v>258</v>
      </c>
      <c r="B3" s="35">
        <v>1.90207180532728</v>
      </c>
      <c r="C3" s="32">
        <v>1.32353549926734</v>
      </c>
      <c r="D3" s="32">
        <v>1.21346521042036</v>
      </c>
      <c r="E3" s="32">
        <v>1.9209057536824099</v>
      </c>
      <c r="F3" s="20" t="s">
        <v>76</v>
      </c>
      <c r="G3" s="20" t="s">
        <v>76</v>
      </c>
      <c r="H3" s="20" t="s">
        <v>76</v>
      </c>
      <c r="I3" s="20" t="s">
        <v>76</v>
      </c>
      <c r="J3" s="20" t="s">
        <v>76</v>
      </c>
      <c r="K3" s="20" t="s">
        <v>76</v>
      </c>
      <c r="L3" s="15">
        <v>31.1475409836066</v>
      </c>
      <c r="M3" s="20" t="s">
        <v>76</v>
      </c>
      <c r="N3" s="20" t="s">
        <v>76</v>
      </c>
      <c r="O3" s="20" t="s">
        <v>76</v>
      </c>
      <c r="P3" s="20" t="s">
        <v>76</v>
      </c>
      <c r="Q3" s="20" t="s">
        <v>76</v>
      </c>
      <c r="R3" s="20" t="s">
        <v>76</v>
      </c>
      <c r="S3" s="20" t="s">
        <v>76</v>
      </c>
      <c r="T3" s="20" t="s">
        <v>76</v>
      </c>
      <c r="U3" s="20" t="s">
        <v>76</v>
      </c>
      <c r="V3" s="20" t="s">
        <v>76</v>
      </c>
      <c r="W3" s="20" t="s">
        <v>76</v>
      </c>
      <c r="X3" s="20" t="s">
        <v>76</v>
      </c>
      <c r="Y3" s="20" t="s">
        <v>76</v>
      </c>
      <c r="Z3" s="20" t="s">
        <v>76</v>
      </c>
      <c r="AA3" s="15">
        <v>5.5045871559632999</v>
      </c>
      <c r="AB3" s="20" t="s">
        <v>76</v>
      </c>
      <c r="AC3" s="20" t="s">
        <v>76</v>
      </c>
      <c r="AD3" s="20" t="s">
        <v>76</v>
      </c>
      <c r="AE3" s="20" t="s">
        <v>76</v>
      </c>
      <c r="AF3" s="20" t="s">
        <v>76</v>
      </c>
      <c r="AG3" s="20" t="s">
        <v>76</v>
      </c>
      <c r="AH3" s="20" t="s">
        <v>76</v>
      </c>
      <c r="AI3" s="20" t="s">
        <v>76</v>
      </c>
      <c r="AJ3" s="20" t="s">
        <v>76</v>
      </c>
      <c r="AK3" s="20" t="s">
        <v>76</v>
      </c>
      <c r="AL3" s="20" t="s">
        <v>76</v>
      </c>
      <c r="AM3" s="20" t="s">
        <v>76</v>
      </c>
      <c r="AN3" s="20" t="s">
        <v>76</v>
      </c>
      <c r="AO3" s="20" t="s">
        <v>76</v>
      </c>
      <c r="AP3" s="20" t="s">
        <v>76</v>
      </c>
      <c r="AQ3" s="20" t="s">
        <v>76</v>
      </c>
      <c r="AR3" s="20" t="s">
        <v>76</v>
      </c>
      <c r="AS3" s="20" t="s">
        <v>76</v>
      </c>
      <c r="AT3" s="15">
        <v>10.7692307692308</v>
      </c>
      <c r="AU3" s="20" t="s">
        <v>76</v>
      </c>
      <c r="AV3" s="20" t="s">
        <v>76</v>
      </c>
      <c r="AW3" s="20" t="s">
        <v>76</v>
      </c>
      <c r="AX3" s="20" t="s">
        <v>76</v>
      </c>
      <c r="AY3" s="20" t="s">
        <v>76</v>
      </c>
      <c r="AZ3" s="15">
        <v>18</v>
      </c>
      <c r="BA3" s="20" t="s">
        <v>76</v>
      </c>
      <c r="BB3" s="20" t="s">
        <v>76</v>
      </c>
      <c r="BC3" s="20" t="s">
        <v>76</v>
      </c>
      <c r="BD3" s="20" t="s">
        <v>76</v>
      </c>
      <c r="BE3" s="15">
        <v>31.034482758620701</v>
      </c>
      <c r="BF3" s="20" t="s">
        <v>76</v>
      </c>
      <c r="BG3" s="20" t="s">
        <v>76</v>
      </c>
      <c r="BH3" s="20" t="s">
        <v>76</v>
      </c>
      <c r="BI3" s="20" t="s">
        <v>76</v>
      </c>
      <c r="BJ3" s="20" t="s">
        <v>76</v>
      </c>
      <c r="BK3" s="15">
        <v>15</v>
      </c>
      <c r="BL3" s="20" t="s">
        <v>76</v>
      </c>
      <c r="BM3" s="20" t="s">
        <v>76</v>
      </c>
      <c r="BN3" s="20" t="s">
        <v>76</v>
      </c>
      <c r="BO3" s="20" t="s">
        <v>76</v>
      </c>
      <c r="BP3" s="20" t="s">
        <v>76</v>
      </c>
      <c r="BQ3" s="20" t="s">
        <v>76</v>
      </c>
      <c r="BR3" s="20" t="s">
        <v>76</v>
      </c>
      <c r="BS3" s="20" t="s">
        <v>76</v>
      </c>
      <c r="BT3" s="20" t="s">
        <v>76</v>
      </c>
      <c r="BU3" s="20" t="s">
        <v>76</v>
      </c>
      <c r="BV3" s="20" t="s">
        <v>76</v>
      </c>
      <c r="BW3" s="20" t="s">
        <v>76</v>
      </c>
      <c r="BX3" s="20" t="s">
        <v>76</v>
      </c>
      <c r="BY3" s="20" t="s">
        <v>76</v>
      </c>
      <c r="BZ3" s="20" t="s">
        <v>76</v>
      </c>
      <c r="CA3" s="38" t="s">
        <v>76</v>
      </c>
      <c r="CB3" s="20" t="s">
        <v>76</v>
      </c>
      <c r="CC3" s="20" t="s">
        <v>76</v>
      </c>
      <c r="CD3" s="20" t="s">
        <v>76</v>
      </c>
      <c r="CE3" s="20" t="s">
        <v>76</v>
      </c>
      <c r="CF3" s="20" t="s">
        <v>76</v>
      </c>
      <c r="CG3" s="20" t="s">
        <v>76</v>
      </c>
      <c r="CH3" s="20" t="s">
        <v>76</v>
      </c>
      <c r="CI3" s="20" t="s">
        <v>76</v>
      </c>
      <c r="CJ3" s="20" t="s">
        <v>76</v>
      </c>
      <c r="CK3" s="20" t="s">
        <v>76</v>
      </c>
      <c r="CL3" s="15">
        <v>1.51515151515152</v>
      </c>
      <c r="CM3" s="26" t="s">
        <v>76</v>
      </c>
      <c r="CN3" s="37"/>
    </row>
    <row r="4" spans="1:92">
      <c r="A4" s="9" t="s">
        <v>259</v>
      </c>
      <c r="B4" s="35">
        <v>9.6614135791084994</v>
      </c>
      <c r="C4" s="32">
        <v>10.4226032058444</v>
      </c>
      <c r="D4" s="32">
        <v>12.177878138792</v>
      </c>
      <c r="E4" s="32">
        <v>4.7305932701175299</v>
      </c>
      <c r="F4" s="20" t="s">
        <v>76</v>
      </c>
      <c r="G4" s="20" t="s">
        <v>76</v>
      </c>
      <c r="H4" s="15">
        <v>26.086956521739101</v>
      </c>
      <c r="I4" s="20" t="s">
        <v>76</v>
      </c>
      <c r="J4" s="15">
        <v>5.5555555555555598</v>
      </c>
      <c r="K4" s="20" t="s">
        <v>76</v>
      </c>
      <c r="L4" s="15">
        <v>19.672131147540998</v>
      </c>
      <c r="M4" s="15">
        <v>14.473684210526301</v>
      </c>
      <c r="N4" s="20" t="s">
        <v>76</v>
      </c>
      <c r="O4" s="20" t="s">
        <v>76</v>
      </c>
      <c r="P4" s="20" t="s">
        <v>76</v>
      </c>
      <c r="Q4" s="15">
        <v>15.492957746478901</v>
      </c>
      <c r="R4" s="20" t="s">
        <v>76</v>
      </c>
      <c r="S4" s="20" t="s">
        <v>76</v>
      </c>
      <c r="T4" s="20" t="s">
        <v>76</v>
      </c>
      <c r="U4" s="20" t="s">
        <v>76</v>
      </c>
      <c r="V4" s="20" t="s">
        <v>76</v>
      </c>
      <c r="W4" s="15">
        <v>8.4745762711864394</v>
      </c>
      <c r="X4" s="20" t="s">
        <v>76</v>
      </c>
      <c r="Y4" s="20" t="s">
        <v>76</v>
      </c>
      <c r="Z4" s="20" t="s">
        <v>76</v>
      </c>
      <c r="AA4" s="15">
        <v>4.5871559633027497</v>
      </c>
      <c r="AB4" s="15">
        <v>7.3529411764705896</v>
      </c>
      <c r="AC4" s="20" t="s">
        <v>76</v>
      </c>
      <c r="AD4" s="15">
        <v>21.875</v>
      </c>
      <c r="AE4" s="20" t="s">
        <v>76</v>
      </c>
      <c r="AF4" s="20" t="s">
        <v>76</v>
      </c>
      <c r="AG4" s="20" t="s">
        <v>76</v>
      </c>
      <c r="AH4" s="15">
        <v>10.714285714285699</v>
      </c>
      <c r="AI4" s="20" t="s">
        <v>76</v>
      </c>
      <c r="AJ4" s="15">
        <v>7.20720720720721</v>
      </c>
      <c r="AK4" s="15">
        <v>20</v>
      </c>
      <c r="AL4" s="20" t="s">
        <v>76</v>
      </c>
      <c r="AM4" s="20" t="s">
        <v>76</v>
      </c>
      <c r="AN4" s="20" t="s">
        <v>76</v>
      </c>
      <c r="AO4" s="20" t="s">
        <v>76</v>
      </c>
      <c r="AP4" s="15">
        <v>6.4935064935064899</v>
      </c>
      <c r="AQ4" s="20" t="s">
        <v>76</v>
      </c>
      <c r="AR4" s="20" t="s">
        <v>76</v>
      </c>
      <c r="AS4" s="20" t="s">
        <v>76</v>
      </c>
      <c r="AT4" s="20" t="s">
        <v>76</v>
      </c>
      <c r="AU4" s="20" t="s">
        <v>76</v>
      </c>
      <c r="AV4" s="20" t="s">
        <v>76</v>
      </c>
      <c r="AW4" s="15">
        <v>6.0344827586206904</v>
      </c>
      <c r="AX4" s="20" t="s">
        <v>76</v>
      </c>
      <c r="AY4" s="15">
        <v>20</v>
      </c>
      <c r="AZ4" s="20" t="s">
        <v>76</v>
      </c>
      <c r="BA4" s="20" t="s">
        <v>76</v>
      </c>
      <c r="BB4" s="15">
        <v>10.4477611940298</v>
      </c>
      <c r="BC4" s="20" t="s">
        <v>76</v>
      </c>
      <c r="BD4" s="15">
        <v>8.9743589743589691</v>
      </c>
      <c r="BE4" s="20" t="s">
        <v>76</v>
      </c>
      <c r="BF4" s="20" t="s">
        <v>76</v>
      </c>
      <c r="BG4" s="20" t="s">
        <v>76</v>
      </c>
      <c r="BH4" s="20" t="s">
        <v>76</v>
      </c>
      <c r="BI4" s="20" t="s">
        <v>76</v>
      </c>
      <c r="BJ4" s="20" t="s">
        <v>76</v>
      </c>
      <c r="BK4" s="20" t="s">
        <v>76</v>
      </c>
      <c r="BL4" s="20" t="s">
        <v>76</v>
      </c>
      <c r="BM4" s="15">
        <v>8.9108910891089099</v>
      </c>
      <c r="BN4" s="20" t="s">
        <v>76</v>
      </c>
      <c r="BO4" s="20" t="s">
        <v>76</v>
      </c>
      <c r="BP4" s="20" t="s">
        <v>76</v>
      </c>
      <c r="BQ4" s="20" t="s">
        <v>76</v>
      </c>
      <c r="BR4" s="20" t="s">
        <v>76</v>
      </c>
      <c r="BS4" s="20" t="s">
        <v>76</v>
      </c>
      <c r="BT4" s="15">
        <v>9.7560975609756095</v>
      </c>
      <c r="BU4" s="20" t="s">
        <v>76</v>
      </c>
      <c r="BV4" s="15">
        <v>5.0505050505050502</v>
      </c>
      <c r="BW4" s="20" t="s">
        <v>76</v>
      </c>
      <c r="BX4" s="20" t="s">
        <v>76</v>
      </c>
      <c r="BY4" s="20" t="s">
        <v>76</v>
      </c>
      <c r="BZ4" s="15">
        <v>4.0816326530612201</v>
      </c>
      <c r="CA4" s="32">
        <v>18.1920869411185</v>
      </c>
      <c r="CB4" s="15">
        <v>12.779552715655001</v>
      </c>
      <c r="CC4" s="15">
        <v>16.352201257861601</v>
      </c>
      <c r="CD4" s="15">
        <v>25.161290322580601</v>
      </c>
      <c r="CE4" s="20" t="s">
        <v>76</v>
      </c>
      <c r="CF4" s="15">
        <v>26.047904191616801</v>
      </c>
      <c r="CG4" s="15">
        <v>13.407821229050301</v>
      </c>
      <c r="CH4" s="15">
        <v>14.889705882352899</v>
      </c>
      <c r="CI4" s="15">
        <v>25.0513347022587</v>
      </c>
      <c r="CJ4" s="15">
        <v>15.6862745098039</v>
      </c>
      <c r="CK4" s="15">
        <v>10.3139013452915</v>
      </c>
      <c r="CL4" s="15">
        <v>17.727272727272702</v>
      </c>
      <c r="CM4" s="24">
        <v>21.413276231263399</v>
      </c>
      <c r="CN4" s="37"/>
    </row>
    <row r="5" spans="1:92">
      <c r="A5" s="9" t="s">
        <v>260</v>
      </c>
      <c r="B5" s="35">
        <v>7.6432491092914301</v>
      </c>
      <c r="C5" s="32">
        <v>6.6443254696329896</v>
      </c>
      <c r="D5" s="32">
        <v>5.4903193080970096</v>
      </c>
      <c r="E5" s="32">
        <v>1.6900885237073699</v>
      </c>
      <c r="F5" s="20" t="s">
        <v>76</v>
      </c>
      <c r="G5" s="20" t="s">
        <v>76</v>
      </c>
      <c r="H5" s="20" t="s">
        <v>76</v>
      </c>
      <c r="I5" s="20" t="s">
        <v>76</v>
      </c>
      <c r="J5" s="20" t="s">
        <v>76</v>
      </c>
      <c r="K5" s="20" t="s">
        <v>76</v>
      </c>
      <c r="L5" s="20" t="s">
        <v>76</v>
      </c>
      <c r="M5" s="20" t="s">
        <v>76</v>
      </c>
      <c r="N5" s="20" t="s">
        <v>76</v>
      </c>
      <c r="O5" s="20" t="s">
        <v>76</v>
      </c>
      <c r="P5" s="20" t="s">
        <v>76</v>
      </c>
      <c r="Q5" s="20" t="s">
        <v>76</v>
      </c>
      <c r="R5" s="20" t="s">
        <v>76</v>
      </c>
      <c r="S5" s="20" t="s">
        <v>76</v>
      </c>
      <c r="T5" s="20" t="s">
        <v>76</v>
      </c>
      <c r="U5" s="20" t="s">
        <v>76</v>
      </c>
      <c r="V5" s="20" t="s">
        <v>76</v>
      </c>
      <c r="W5" s="20" t="s">
        <v>76</v>
      </c>
      <c r="X5" s="20" t="s">
        <v>76</v>
      </c>
      <c r="Y5" s="20" t="s">
        <v>76</v>
      </c>
      <c r="Z5" s="20" t="s">
        <v>76</v>
      </c>
      <c r="AA5" s="20" t="s">
        <v>76</v>
      </c>
      <c r="AB5" s="20" t="s">
        <v>76</v>
      </c>
      <c r="AC5" s="20" t="s">
        <v>76</v>
      </c>
      <c r="AD5" s="20" t="s">
        <v>76</v>
      </c>
      <c r="AE5" s="20" t="s">
        <v>76</v>
      </c>
      <c r="AF5" s="20" t="s">
        <v>76</v>
      </c>
      <c r="AG5" s="20" t="s">
        <v>76</v>
      </c>
      <c r="AH5" s="15">
        <v>14.285714285714301</v>
      </c>
      <c r="AI5" s="20" t="s">
        <v>76</v>
      </c>
      <c r="AJ5" s="20" t="s">
        <v>76</v>
      </c>
      <c r="AK5" s="20" t="s">
        <v>76</v>
      </c>
      <c r="AL5" s="20" t="s">
        <v>76</v>
      </c>
      <c r="AM5" s="20" t="s">
        <v>76</v>
      </c>
      <c r="AN5" s="20" t="s">
        <v>76</v>
      </c>
      <c r="AO5" s="20" t="s">
        <v>76</v>
      </c>
      <c r="AP5" s="20" t="s">
        <v>76</v>
      </c>
      <c r="AQ5" s="20" t="s">
        <v>76</v>
      </c>
      <c r="AR5" s="20" t="s">
        <v>76</v>
      </c>
      <c r="AS5" s="20" t="s">
        <v>76</v>
      </c>
      <c r="AT5" s="20" t="s">
        <v>76</v>
      </c>
      <c r="AU5" s="20" t="s">
        <v>76</v>
      </c>
      <c r="AV5" s="20" t="s">
        <v>76</v>
      </c>
      <c r="AW5" s="20" t="s">
        <v>76</v>
      </c>
      <c r="AX5" s="20" t="s">
        <v>76</v>
      </c>
      <c r="AY5" s="20" t="s">
        <v>76</v>
      </c>
      <c r="AZ5" s="20" t="s">
        <v>76</v>
      </c>
      <c r="BA5" s="20" t="s">
        <v>76</v>
      </c>
      <c r="BB5" s="20" t="s">
        <v>76</v>
      </c>
      <c r="BC5" s="20" t="s">
        <v>76</v>
      </c>
      <c r="BD5" s="20" t="s">
        <v>76</v>
      </c>
      <c r="BE5" s="20" t="s">
        <v>76</v>
      </c>
      <c r="BF5" s="20" t="s">
        <v>76</v>
      </c>
      <c r="BG5" s="20" t="s">
        <v>76</v>
      </c>
      <c r="BH5" s="20" t="s">
        <v>76</v>
      </c>
      <c r="BI5" s="20" t="s">
        <v>76</v>
      </c>
      <c r="BJ5" s="15">
        <v>4.46428571428571</v>
      </c>
      <c r="BK5" s="20" t="s">
        <v>76</v>
      </c>
      <c r="BL5" s="20" t="s">
        <v>76</v>
      </c>
      <c r="BM5" s="20" t="s">
        <v>76</v>
      </c>
      <c r="BN5" s="20" t="s">
        <v>76</v>
      </c>
      <c r="BO5" s="20" t="s">
        <v>76</v>
      </c>
      <c r="BP5" s="20" t="s">
        <v>76</v>
      </c>
      <c r="BQ5" s="20" t="s">
        <v>76</v>
      </c>
      <c r="BR5" s="20" t="s">
        <v>76</v>
      </c>
      <c r="BS5" s="20" t="s">
        <v>76</v>
      </c>
      <c r="BT5" s="15">
        <v>32.9268292682927</v>
      </c>
      <c r="BU5" s="20" t="s">
        <v>76</v>
      </c>
      <c r="BV5" s="20" t="s">
        <v>76</v>
      </c>
      <c r="BW5" s="20" t="s">
        <v>76</v>
      </c>
      <c r="BX5" s="20" t="s">
        <v>76</v>
      </c>
      <c r="BY5" s="20" t="s">
        <v>76</v>
      </c>
      <c r="BZ5" s="20" t="s">
        <v>76</v>
      </c>
      <c r="CA5" s="32">
        <v>8.5592742141305909</v>
      </c>
      <c r="CB5" s="15">
        <v>13.7380191693291</v>
      </c>
      <c r="CC5" s="15">
        <v>7.8616352201257902</v>
      </c>
      <c r="CD5" s="15">
        <v>5.8064516129032304</v>
      </c>
      <c r="CE5" s="20" t="s">
        <v>76</v>
      </c>
      <c r="CF5" s="15">
        <v>5.9880239520958103</v>
      </c>
      <c r="CG5" s="15">
        <v>11.731843575418999</v>
      </c>
      <c r="CH5" s="15">
        <v>12.6838235294118</v>
      </c>
      <c r="CI5" s="15">
        <v>9.4455852156057496</v>
      </c>
      <c r="CJ5" s="15">
        <v>12.156862745098</v>
      </c>
      <c r="CK5" s="15">
        <v>3.1390134529148002</v>
      </c>
      <c r="CL5" s="15">
        <v>1.0606060606060601</v>
      </c>
      <c r="CM5" s="24">
        <v>3.4261241970021401</v>
      </c>
      <c r="CN5" s="37"/>
    </row>
    <row r="6" spans="1:92">
      <c r="A6" s="9" t="s">
        <v>261</v>
      </c>
      <c r="B6" s="35">
        <v>12.950828808395</v>
      </c>
      <c r="C6" s="32">
        <v>11.8291417625242</v>
      </c>
      <c r="D6" s="32">
        <v>10.960948776117601</v>
      </c>
      <c r="E6" s="32">
        <v>10.133421945262</v>
      </c>
      <c r="F6" s="20" t="s">
        <v>76</v>
      </c>
      <c r="G6" s="20" t="s">
        <v>76</v>
      </c>
      <c r="H6" s="15">
        <v>47.826086956521699</v>
      </c>
      <c r="I6" s="20" t="s">
        <v>76</v>
      </c>
      <c r="J6" s="15">
        <v>9.7222222222222197</v>
      </c>
      <c r="K6" s="20" t="s">
        <v>76</v>
      </c>
      <c r="L6" s="15">
        <v>36.065573770491802</v>
      </c>
      <c r="M6" s="15">
        <v>32.894736842105303</v>
      </c>
      <c r="N6" s="15">
        <v>23.529411764705898</v>
      </c>
      <c r="O6" s="15">
        <v>16.2790697674419</v>
      </c>
      <c r="P6" s="15">
        <v>9.8591549295774694</v>
      </c>
      <c r="Q6" s="15">
        <v>15.492957746478901</v>
      </c>
      <c r="R6" s="20" t="s">
        <v>76</v>
      </c>
      <c r="S6" s="20" t="s">
        <v>76</v>
      </c>
      <c r="T6" s="20" t="s">
        <v>76</v>
      </c>
      <c r="U6" s="15">
        <v>33.3333333333333</v>
      </c>
      <c r="V6" s="20" t="s">
        <v>76</v>
      </c>
      <c r="W6" s="15">
        <v>20.338983050847499</v>
      </c>
      <c r="X6" s="20" t="s">
        <v>76</v>
      </c>
      <c r="Y6" s="20" t="s">
        <v>76</v>
      </c>
      <c r="Z6" s="20" t="s">
        <v>76</v>
      </c>
      <c r="AA6" s="15">
        <v>4.5871559633027497</v>
      </c>
      <c r="AB6" s="20" t="s">
        <v>76</v>
      </c>
      <c r="AC6" s="15">
        <v>7.5757575757575797</v>
      </c>
      <c r="AD6" s="15">
        <v>28.125</v>
      </c>
      <c r="AE6" s="20" t="s">
        <v>76</v>
      </c>
      <c r="AF6" s="20" t="s">
        <v>76</v>
      </c>
      <c r="AG6" s="20" t="s">
        <v>76</v>
      </c>
      <c r="AH6" s="15">
        <v>17.8571428571429</v>
      </c>
      <c r="AI6" s="20" t="s">
        <v>76</v>
      </c>
      <c r="AJ6" s="15">
        <v>4.5045045045045002</v>
      </c>
      <c r="AK6" s="15">
        <v>43.3333333333333</v>
      </c>
      <c r="AL6" s="15">
        <v>12.2222222222222</v>
      </c>
      <c r="AM6" s="20" t="s">
        <v>76</v>
      </c>
      <c r="AN6" s="20" t="s">
        <v>76</v>
      </c>
      <c r="AO6" s="20" t="s">
        <v>76</v>
      </c>
      <c r="AP6" s="20" t="s">
        <v>76</v>
      </c>
      <c r="AQ6" s="20" t="s">
        <v>76</v>
      </c>
      <c r="AR6" s="20" t="s">
        <v>76</v>
      </c>
      <c r="AS6" s="20" t="s">
        <v>76</v>
      </c>
      <c r="AT6" s="20" t="s">
        <v>76</v>
      </c>
      <c r="AU6" s="20" t="s">
        <v>76</v>
      </c>
      <c r="AV6" s="20" t="s">
        <v>76</v>
      </c>
      <c r="AW6" s="15">
        <v>6.8965517241379297</v>
      </c>
      <c r="AX6" s="20" t="s">
        <v>76</v>
      </c>
      <c r="AY6" s="15">
        <v>34.285714285714299</v>
      </c>
      <c r="AZ6" s="15">
        <v>22</v>
      </c>
      <c r="BA6" s="15">
        <v>11.320754716981099</v>
      </c>
      <c r="BB6" s="20" t="s">
        <v>76</v>
      </c>
      <c r="BC6" s="15">
        <v>8.1081081081081106</v>
      </c>
      <c r="BD6" s="15">
        <v>14.1025641025641</v>
      </c>
      <c r="BE6" s="15">
        <v>22.413793103448299</v>
      </c>
      <c r="BF6" s="20" t="s">
        <v>76</v>
      </c>
      <c r="BG6" s="15">
        <v>7.4626865671641802</v>
      </c>
      <c r="BH6" s="20" t="s">
        <v>76</v>
      </c>
      <c r="BI6" s="20" t="s">
        <v>76</v>
      </c>
      <c r="BJ6" s="15">
        <v>11.6071428571429</v>
      </c>
      <c r="BK6" s="20" t="s">
        <v>76</v>
      </c>
      <c r="BL6" s="20" t="s">
        <v>76</v>
      </c>
      <c r="BM6" s="15">
        <v>12.8712871287129</v>
      </c>
      <c r="BN6" s="20" t="s">
        <v>76</v>
      </c>
      <c r="BO6" s="20" t="s">
        <v>76</v>
      </c>
      <c r="BP6" s="20" t="s">
        <v>76</v>
      </c>
      <c r="BQ6" s="15">
        <v>6.8493150684931496</v>
      </c>
      <c r="BR6" s="20" t="s">
        <v>76</v>
      </c>
      <c r="BS6" s="15">
        <v>8.4337349397590398</v>
      </c>
      <c r="BT6" s="15">
        <v>15.853658536585399</v>
      </c>
      <c r="BU6" s="20" t="s">
        <v>76</v>
      </c>
      <c r="BV6" s="15">
        <v>11.1111111111111</v>
      </c>
      <c r="BW6" s="20" t="s">
        <v>76</v>
      </c>
      <c r="BX6" s="20" t="s">
        <v>76</v>
      </c>
      <c r="BY6" s="20" t="s">
        <v>76</v>
      </c>
      <c r="BZ6" s="15">
        <v>5.4421768707483</v>
      </c>
      <c r="CA6" s="32">
        <v>11.629235170159999</v>
      </c>
      <c r="CB6" s="15">
        <v>8.3067092651757193</v>
      </c>
      <c r="CC6" s="15">
        <v>13.207547169811299</v>
      </c>
      <c r="CD6" s="15">
        <v>9.0322580645161299</v>
      </c>
      <c r="CE6" s="20" t="s">
        <v>76</v>
      </c>
      <c r="CF6" s="15">
        <v>17.365269461077801</v>
      </c>
      <c r="CG6" s="15">
        <v>9.4972067039106101</v>
      </c>
      <c r="CH6" s="15">
        <v>5.6985294117647101</v>
      </c>
      <c r="CI6" s="15">
        <v>19.917864476386001</v>
      </c>
      <c r="CJ6" s="15">
        <v>14.509803921568601</v>
      </c>
      <c r="CK6" s="15">
        <v>9.8654708520179408</v>
      </c>
      <c r="CL6" s="15">
        <v>13.181818181818199</v>
      </c>
      <c r="CM6" s="24">
        <v>5.5674518201284799</v>
      </c>
      <c r="CN6" s="37"/>
    </row>
    <row r="7" spans="1:92">
      <c r="A7" s="9" t="s">
        <v>262</v>
      </c>
      <c r="B7" s="35">
        <v>1.11469054239633</v>
      </c>
      <c r="C7" s="32">
        <v>0.99265512225854102</v>
      </c>
      <c r="D7" s="32">
        <v>1.2197385773089999</v>
      </c>
      <c r="E7" s="32">
        <v>2.0854398519406798</v>
      </c>
      <c r="F7" s="20" t="s">
        <v>76</v>
      </c>
      <c r="G7" s="20" t="s">
        <v>76</v>
      </c>
      <c r="H7" s="20" t="s">
        <v>76</v>
      </c>
      <c r="I7" s="20" t="s">
        <v>76</v>
      </c>
      <c r="J7" s="20" t="s">
        <v>76</v>
      </c>
      <c r="K7" s="20" t="s">
        <v>76</v>
      </c>
      <c r="L7" s="20" t="s">
        <v>76</v>
      </c>
      <c r="M7" s="15">
        <v>19.7368421052632</v>
      </c>
      <c r="N7" s="20" t="s">
        <v>76</v>
      </c>
      <c r="O7" s="20" t="s">
        <v>76</v>
      </c>
      <c r="P7" s="20" t="s">
        <v>76</v>
      </c>
      <c r="Q7" s="20" t="s">
        <v>76</v>
      </c>
      <c r="R7" s="20" t="s">
        <v>76</v>
      </c>
      <c r="S7" s="20" t="s">
        <v>76</v>
      </c>
      <c r="T7" s="20" t="s">
        <v>76</v>
      </c>
      <c r="U7" s="20" t="s">
        <v>76</v>
      </c>
      <c r="V7" s="20" t="s">
        <v>76</v>
      </c>
      <c r="W7" s="20" t="s">
        <v>76</v>
      </c>
      <c r="X7" s="20" t="s">
        <v>76</v>
      </c>
      <c r="Y7" s="20" t="s">
        <v>76</v>
      </c>
      <c r="Z7" s="20" t="s">
        <v>76</v>
      </c>
      <c r="AA7" s="20" t="s">
        <v>76</v>
      </c>
      <c r="AB7" s="20" t="s">
        <v>76</v>
      </c>
      <c r="AC7" s="20" t="s">
        <v>76</v>
      </c>
      <c r="AD7" s="20" t="s">
        <v>76</v>
      </c>
      <c r="AE7" s="20" t="s">
        <v>76</v>
      </c>
      <c r="AF7" s="20" t="s">
        <v>76</v>
      </c>
      <c r="AG7" s="20" t="s">
        <v>76</v>
      </c>
      <c r="AH7" s="20" t="s">
        <v>76</v>
      </c>
      <c r="AI7" s="20" t="s">
        <v>76</v>
      </c>
      <c r="AJ7" s="20" t="s">
        <v>76</v>
      </c>
      <c r="AK7" s="20" t="s">
        <v>76</v>
      </c>
      <c r="AL7" s="20" t="s">
        <v>76</v>
      </c>
      <c r="AM7" s="15">
        <v>10.9375</v>
      </c>
      <c r="AN7" s="20" t="s">
        <v>76</v>
      </c>
      <c r="AO7" s="20" t="s">
        <v>76</v>
      </c>
      <c r="AP7" s="20" t="s">
        <v>76</v>
      </c>
      <c r="AQ7" s="20" t="s">
        <v>76</v>
      </c>
      <c r="AR7" s="20" t="s">
        <v>76</v>
      </c>
      <c r="AS7" s="20" t="s">
        <v>76</v>
      </c>
      <c r="AT7" s="20" t="s">
        <v>76</v>
      </c>
      <c r="AU7" s="20" t="s">
        <v>76</v>
      </c>
      <c r="AV7" s="20" t="s">
        <v>76</v>
      </c>
      <c r="AW7" s="20" t="s">
        <v>76</v>
      </c>
      <c r="AX7" s="20" t="s">
        <v>76</v>
      </c>
      <c r="AY7" s="15">
        <v>14.285714285714301</v>
      </c>
      <c r="AZ7" s="20" t="s">
        <v>76</v>
      </c>
      <c r="BA7" s="20" t="s">
        <v>76</v>
      </c>
      <c r="BB7" s="20" t="s">
        <v>76</v>
      </c>
      <c r="BC7" s="20" t="s">
        <v>76</v>
      </c>
      <c r="BD7" s="20" t="s">
        <v>76</v>
      </c>
      <c r="BE7" s="20" t="s">
        <v>76</v>
      </c>
      <c r="BF7" s="20" t="s">
        <v>76</v>
      </c>
      <c r="BG7" s="20" t="s">
        <v>76</v>
      </c>
      <c r="BH7" s="20" t="s">
        <v>76</v>
      </c>
      <c r="BI7" s="20" t="s">
        <v>76</v>
      </c>
      <c r="BJ7" s="20" t="s">
        <v>76</v>
      </c>
      <c r="BK7" s="20" t="s">
        <v>76</v>
      </c>
      <c r="BL7" s="20" t="s">
        <v>76</v>
      </c>
      <c r="BM7" s="20" t="s">
        <v>76</v>
      </c>
      <c r="BN7" s="20" t="s">
        <v>76</v>
      </c>
      <c r="BO7" s="20" t="s">
        <v>76</v>
      </c>
      <c r="BP7" s="20" t="s">
        <v>76</v>
      </c>
      <c r="BQ7" s="20" t="s">
        <v>76</v>
      </c>
      <c r="BR7" s="20" t="s">
        <v>76</v>
      </c>
      <c r="BS7" s="20" t="s">
        <v>76</v>
      </c>
      <c r="BT7" s="20" t="s">
        <v>76</v>
      </c>
      <c r="BU7" s="20" t="s">
        <v>76</v>
      </c>
      <c r="BV7" s="20" t="s">
        <v>76</v>
      </c>
      <c r="BW7" s="20" t="s">
        <v>76</v>
      </c>
      <c r="BX7" s="20" t="s">
        <v>76</v>
      </c>
      <c r="BY7" s="20" t="s">
        <v>76</v>
      </c>
      <c r="BZ7" s="20" t="s">
        <v>76</v>
      </c>
      <c r="CA7" s="38" t="s">
        <v>76</v>
      </c>
      <c r="CB7" s="20" t="s">
        <v>76</v>
      </c>
      <c r="CC7" s="20" t="s">
        <v>76</v>
      </c>
      <c r="CD7" s="20" t="s">
        <v>76</v>
      </c>
      <c r="CE7" s="20" t="s">
        <v>76</v>
      </c>
      <c r="CF7" s="15">
        <v>1.79640718562874</v>
      </c>
      <c r="CG7" s="20" t="s">
        <v>76</v>
      </c>
      <c r="CH7" s="20" t="s">
        <v>76</v>
      </c>
      <c r="CI7" s="20" t="s">
        <v>76</v>
      </c>
      <c r="CJ7" s="20" t="s">
        <v>76</v>
      </c>
      <c r="CK7" s="20" t="s">
        <v>76</v>
      </c>
      <c r="CL7" s="20" t="s">
        <v>76</v>
      </c>
      <c r="CM7" s="26" t="s">
        <v>76</v>
      </c>
      <c r="CN7" s="37"/>
    </row>
    <row r="8" spans="1:92">
      <c r="A8" s="9" t="s">
        <v>263</v>
      </c>
      <c r="B8" s="35">
        <v>0.74390752112428904</v>
      </c>
      <c r="C8" s="32">
        <v>0.34839369310059398</v>
      </c>
      <c r="D8" s="38" t="s">
        <v>76</v>
      </c>
      <c r="E8" s="38" t="s">
        <v>76</v>
      </c>
      <c r="F8" s="20" t="s">
        <v>76</v>
      </c>
      <c r="G8" s="20" t="s">
        <v>76</v>
      </c>
      <c r="H8" s="20" t="s">
        <v>76</v>
      </c>
      <c r="I8" s="20" t="s">
        <v>76</v>
      </c>
      <c r="J8" s="20" t="s">
        <v>76</v>
      </c>
      <c r="K8" s="20" t="s">
        <v>76</v>
      </c>
      <c r="L8" s="20" t="s">
        <v>76</v>
      </c>
      <c r="M8" s="20" t="s">
        <v>76</v>
      </c>
      <c r="N8" s="20" t="s">
        <v>76</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20" t="s">
        <v>76</v>
      </c>
      <c r="AH8" s="15">
        <v>21.428571428571399</v>
      </c>
      <c r="AI8" s="20" t="s">
        <v>76</v>
      </c>
      <c r="AJ8" s="20" t="s">
        <v>76</v>
      </c>
      <c r="AK8" s="20" t="s">
        <v>76</v>
      </c>
      <c r="AL8" s="20" t="s">
        <v>76</v>
      </c>
      <c r="AM8" s="20" t="s">
        <v>76</v>
      </c>
      <c r="AN8" s="20" t="s">
        <v>76</v>
      </c>
      <c r="AO8" s="20" t="s">
        <v>76</v>
      </c>
      <c r="AP8" s="20" t="s">
        <v>76</v>
      </c>
      <c r="AQ8" s="20" t="s">
        <v>76</v>
      </c>
      <c r="AR8" s="20" t="s">
        <v>76</v>
      </c>
      <c r="AS8" s="20" t="s">
        <v>76</v>
      </c>
      <c r="AT8" s="20" t="s">
        <v>76</v>
      </c>
      <c r="AU8" s="20" t="s">
        <v>76</v>
      </c>
      <c r="AV8" s="20" t="s">
        <v>76</v>
      </c>
      <c r="AW8" s="20" t="s">
        <v>76</v>
      </c>
      <c r="AX8" s="20" t="s">
        <v>76</v>
      </c>
      <c r="AY8" s="20" t="s">
        <v>76</v>
      </c>
      <c r="AZ8" s="20" t="s">
        <v>76</v>
      </c>
      <c r="BA8" s="20" t="s">
        <v>76</v>
      </c>
      <c r="BB8" s="20" t="s">
        <v>76</v>
      </c>
      <c r="BC8" s="20" t="s">
        <v>76</v>
      </c>
      <c r="BD8" s="20" t="s">
        <v>76</v>
      </c>
      <c r="BE8" s="20" t="s">
        <v>76</v>
      </c>
      <c r="BF8" s="20" t="s">
        <v>76</v>
      </c>
      <c r="BG8" s="20" t="s">
        <v>76</v>
      </c>
      <c r="BH8" s="20" t="s">
        <v>76</v>
      </c>
      <c r="BI8" s="20" t="s">
        <v>76</v>
      </c>
      <c r="BJ8" s="20" t="s">
        <v>76</v>
      </c>
      <c r="BK8" s="20" t="s">
        <v>76</v>
      </c>
      <c r="BL8" s="20" t="s">
        <v>76</v>
      </c>
      <c r="BM8" s="20" t="s">
        <v>76</v>
      </c>
      <c r="BN8" s="20" t="s">
        <v>76</v>
      </c>
      <c r="BO8" s="20" t="s">
        <v>76</v>
      </c>
      <c r="BP8" s="20" t="s">
        <v>76</v>
      </c>
      <c r="BQ8" s="20" t="s">
        <v>76</v>
      </c>
      <c r="BR8" s="20" t="s">
        <v>76</v>
      </c>
      <c r="BS8" s="20" t="s">
        <v>76</v>
      </c>
      <c r="BT8" s="20" t="s">
        <v>76</v>
      </c>
      <c r="BU8" s="20" t="s">
        <v>76</v>
      </c>
      <c r="BV8" s="20" t="s">
        <v>76</v>
      </c>
      <c r="BW8" s="20" t="s">
        <v>76</v>
      </c>
      <c r="BX8" s="20" t="s">
        <v>76</v>
      </c>
      <c r="BY8" s="20" t="s">
        <v>76</v>
      </c>
      <c r="BZ8" s="20" t="s">
        <v>76</v>
      </c>
      <c r="CA8" s="38" t="s">
        <v>76</v>
      </c>
      <c r="CB8" s="20" t="s">
        <v>76</v>
      </c>
      <c r="CC8" s="20" t="s">
        <v>76</v>
      </c>
      <c r="CD8" s="20" t="s">
        <v>76</v>
      </c>
      <c r="CE8" s="20" t="s">
        <v>76</v>
      </c>
      <c r="CF8" s="20" t="s">
        <v>76</v>
      </c>
      <c r="CG8" s="20" t="s">
        <v>76</v>
      </c>
      <c r="CH8" s="20" t="s">
        <v>76</v>
      </c>
      <c r="CI8" s="20" t="s">
        <v>76</v>
      </c>
      <c r="CJ8" s="20" t="s">
        <v>76</v>
      </c>
      <c r="CK8" s="20" t="s">
        <v>76</v>
      </c>
      <c r="CL8" s="20" t="s">
        <v>76</v>
      </c>
      <c r="CM8" s="26" t="s">
        <v>76</v>
      </c>
      <c r="CN8" s="37"/>
    </row>
    <row r="9" spans="1:92">
      <c r="A9" s="9" t="s">
        <v>264</v>
      </c>
      <c r="B9" s="35">
        <v>0.93591155050893504</v>
      </c>
      <c r="C9" s="32">
        <v>0.71464423287554102</v>
      </c>
      <c r="D9" s="32">
        <v>0.78325444852840198</v>
      </c>
      <c r="E9" s="32">
        <v>1.00610507838232</v>
      </c>
      <c r="F9" s="20" t="s">
        <v>76</v>
      </c>
      <c r="G9" s="20" t="s">
        <v>76</v>
      </c>
      <c r="H9" s="20" t="s">
        <v>76</v>
      </c>
      <c r="I9" s="20" t="s">
        <v>76</v>
      </c>
      <c r="J9" s="20" t="s">
        <v>76</v>
      </c>
      <c r="K9" s="20" t="s">
        <v>76</v>
      </c>
      <c r="L9" s="20" t="s">
        <v>76</v>
      </c>
      <c r="M9" s="20" t="s">
        <v>76</v>
      </c>
      <c r="N9" s="20" t="s">
        <v>76</v>
      </c>
      <c r="O9" s="20" t="s">
        <v>76</v>
      </c>
      <c r="P9" s="20" t="s">
        <v>76</v>
      </c>
      <c r="Q9" s="20" t="s">
        <v>76</v>
      </c>
      <c r="R9" s="20" t="s">
        <v>76</v>
      </c>
      <c r="S9" s="20" t="s">
        <v>76</v>
      </c>
      <c r="T9" s="20" t="s">
        <v>76</v>
      </c>
      <c r="U9" s="20" t="s">
        <v>76</v>
      </c>
      <c r="V9" s="20" t="s">
        <v>76</v>
      </c>
      <c r="W9" s="20" t="s">
        <v>76</v>
      </c>
      <c r="X9" s="20" t="s">
        <v>76</v>
      </c>
      <c r="Y9" s="20" t="s">
        <v>76</v>
      </c>
      <c r="Z9" s="20" t="s">
        <v>76</v>
      </c>
      <c r="AA9" s="20" t="s">
        <v>76</v>
      </c>
      <c r="AB9" s="20" t="s">
        <v>76</v>
      </c>
      <c r="AC9" s="20" t="s">
        <v>76</v>
      </c>
      <c r="AD9" s="20" t="s">
        <v>76</v>
      </c>
      <c r="AE9" s="20" t="s">
        <v>76</v>
      </c>
      <c r="AF9" s="20" t="s">
        <v>76</v>
      </c>
      <c r="AG9" s="20" t="s">
        <v>76</v>
      </c>
      <c r="AH9" s="15">
        <v>10.714285714285699</v>
      </c>
      <c r="AI9" s="20" t="s">
        <v>76</v>
      </c>
      <c r="AJ9" s="20" t="s">
        <v>76</v>
      </c>
      <c r="AK9" s="20" t="s">
        <v>76</v>
      </c>
      <c r="AL9" s="20" t="s">
        <v>76</v>
      </c>
      <c r="AM9" s="20" t="s">
        <v>76</v>
      </c>
      <c r="AN9" s="20" t="s">
        <v>76</v>
      </c>
      <c r="AO9" s="20" t="s">
        <v>76</v>
      </c>
      <c r="AP9" s="20" t="s">
        <v>76</v>
      </c>
      <c r="AQ9" s="20" t="s">
        <v>76</v>
      </c>
      <c r="AR9" s="20" t="s">
        <v>76</v>
      </c>
      <c r="AS9" s="20" t="s">
        <v>76</v>
      </c>
      <c r="AT9" s="20" t="s">
        <v>76</v>
      </c>
      <c r="AU9" s="20" t="s">
        <v>76</v>
      </c>
      <c r="AV9" s="20" t="s">
        <v>76</v>
      </c>
      <c r="AW9" s="20" t="s">
        <v>76</v>
      </c>
      <c r="AX9" s="20" t="s">
        <v>76</v>
      </c>
      <c r="AY9" s="20" t="s">
        <v>76</v>
      </c>
      <c r="AZ9" s="20" t="s">
        <v>76</v>
      </c>
      <c r="BA9" s="20" t="s">
        <v>76</v>
      </c>
      <c r="BB9" s="20" t="s">
        <v>76</v>
      </c>
      <c r="BC9" s="20" t="s">
        <v>76</v>
      </c>
      <c r="BD9" s="20" t="s">
        <v>76</v>
      </c>
      <c r="BE9" s="15">
        <v>8.6206896551724093</v>
      </c>
      <c r="BF9" s="20" t="s">
        <v>76</v>
      </c>
      <c r="BG9" s="20" t="s">
        <v>76</v>
      </c>
      <c r="BH9" s="20" t="s">
        <v>76</v>
      </c>
      <c r="BI9" s="20" t="s">
        <v>76</v>
      </c>
      <c r="BJ9" s="20" t="s">
        <v>76</v>
      </c>
      <c r="BK9" s="20" t="s">
        <v>76</v>
      </c>
      <c r="BL9" s="20" t="s">
        <v>76</v>
      </c>
      <c r="BM9" s="15">
        <v>13.8613861386139</v>
      </c>
      <c r="BN9" s="20" t="s">
        <v>76</v>
      </c>
      <c r="BO9" s="20" t="s">
        <v>76</v>
      </c>
      <c r="BP9" s="20" t="s">
        <v>76</v>
      </c>
      <c r="BQ9" s="20" t="s">
        <v>76</v>
      </c>
      <c r="BR9" s="20" t="s">
        <v>76</v>
      </c>
      <c r="BS9" s="20" t="s">
        <v>76</v>
      </c>
      <c r="BT9" s="20" t="s">
        <v>76</v>
      </c>
      <c r="BU9" s="20" t="s">
        <v>76</v>
      </c>
      <c r="BV9" s="20" t="s">
        <v>76</v>
      </c>
      <c r="BW9" s="20" t="s">
        <v>76</v>
      </c>
      <c r="BX9" s="20" t="s">
        <v>76</v>
      </c>
      <c r="BY9" s="20" t="s">
        <v>76</v>
      </c>
      <c r="BZ9" s="20" t="s">
        <v>76</v>
      </c>
      <c r="CA9" s="38" t="s">
        <v>76</v>
      </c>
      <c r="CB9" s="20" t="s">
        <v>76</v>
      </c>
      <c r="CC9" s="20" t="s">
        <v>76</v>
      </c>
      <c r="CD9" s="20" t="s">
        <v>76</v>
      </c>
      <c r="CE9" s="20" t="s">
        <v>76</v>
      </c>
      <c r="CF9" s="20" t="s">
        <v>76</v>
      </c>
      <c r="CG9" s="20" t="s">
        <v>76</v>
      </c>
      <c r="CH9" s="20" t="s">
        <v>76</v>
      </c>
      <c r="CI9" s="20" t="s">
        <v>76</v>
      </c>
      <c r="CJ9" s="20" t="s">
        <v>76</v>
      </c>
      <c r="CK9" s="20" t="s">
        <v>76</v>
      </c>
      <c r="CL9" s="15">
        <v>0.90909090909090895</v>
      </c>
      <c r="CM9" s="24">
        <v>1.2847965738758</v>
      </c>
      <c r="CN9" s="37"/>
    </row>
    <row r="10" spans="1:92">
      <c r="A10" s="9" t="s">
        <v>265</v>
      </c>
      <c r="B10" s="35">
        <v>1.2446848439082601</v>
      </c>
      <c r="C10" s="32">
        <v>1.04400763361938</v>
      </c>
      <c r="D10" s="32">
        <v>0.74720396645206599</v>
      </c>
      <c r="E10" s="32">
        <v>1.0239262541148899</v>
      </c>
      <c r="F10" s="20" t="s">
        <v>76</v>
      </c>
      <c r="G10" s="20" t="s">
        <v>76</v>
      </c>
      <c r="H10" s="20" t="s">
        <v>76</v>
      </c>
      <c r="I10" s="20" t="s">
        <v>76</v>
      </c>
      <c r="J10" s="20" t="s">
        <v>76</v>
      </c>
      <c r="K10" s="20" t="s">
        <v>76</v>
      </c>
      <c r="L10" s="20" t="s">
        <v>76</v>
      </c>
      <c r="M10" s="20" t="s">
        <v>76</v>
      </c>
      <c r="N10" s="20" t="s">
        <v>76</v>
      </c>
      <c r="O10" s="20" t="s">
        <v>76</v>
      </c>
      <c r="P10" s="20" t="s">
        <v>76</v>
      </c>
      <c r="Q10" s="15">
        <v>21.126760563380302</v>
      </c>
      <c r="R10" s="20" t="s">
        <v>76</v>
      </c>
      <c r="S10" s="20" t="s">
        <v>76</v>
      </c>
      <c r="T10" s="20" t="s">
        <v>76</v>
      </c>
      <c r="U10" s="20" t="s">
        <v>76</v>
      </c>
      <c r="V10" s="20" t="s">
        <v>76</v>
      </c>
      <c r="W10" s="20" t="s">
        <v>76</v>
      </c>
      <c r="X10" s="20" t="s">
        <v>76</v>
      </c>
      <c r="Y10" s="20" t="s">
        <v>76</v>
      </c>
      <c r="Z10" s="20" t="s">
        <v>76</v>
      </c>
      <c r="AA10" s="20" t="s">
        <v>76</v>
      </c>
      <c r="AB10" s="20" t="s">
        <v>76</v>
      </c>
      <c r="AC10" s="20" t="s">
        <v>76</v>
      </c>
      <c r="AD10" s="20" t="s">
        <v>76</v>
      </c>
      <c r="AE10" s="20" t="s">
        <v>76</v>
      </c>
      <c r="AF10" s="20" t="s">
        <v>76</v>
      </c>
      <c r="AG10" s="20" t="s">
        <v>76</v>
      </c>
      <c r="AH10" s="20" t="s">
        <v>76</v>
      </c>
      <c r="AI10" s="20" t="s">
        <v>76</v>
      </c>
      <c r="AJ10" s="20" t="s">
        <v>76</v>
      </c>
      <c r="AK10" s="20" t="s">
        <v>76</v>
      </c>
      <c r="AL10" s="15">
        <v>5.5555555555555598</v>
      </c>
      <c r="AM10" s="20" t="s">
        <v>76</v>
      </c>
      <c r="AN10" s="20" t="s">
        <v>76</v>
      </c>
      <c r="AO10" s="20" t="s">
        <v>76</v>
      </c>
      <c r="AP10" s="20" t="s">
        <v>76</v>
      </c>
      <c r="AQ10" s="20" t="s">
        <v>76</v>
      </c>
      <c r="AR10" s="20" t="s">
        <v>76</v>
      </c>
      <c r="AS10" s="20" t="s">
        <v>76</v>
      </c>
      <c r="AT10" s="20" t="s">
        <v>76</v>
      </c>
      <c r="AU10" s="20" t="s">
        <v>76</v>
      </c>
      <c r="AV10" s="20" t="s">
        <v>76</v>
      </c>
      <c r="AW10" s="20" t="s">
        <v>76</v>
      </c>
      <c r="AX10" s="20" t="s">
        <v>76</v>
      </c>
      <c r="AY10" s="20" t="s">
        <v>76</v>
      </c>
      <c r="AZ10" s="20" t="s">
        <v>76</v>
      </c>
      <c r="BA10" s="20" t="s">
        <v>76</v>
      </c>
      <c r="BB10" s="20" t="s">
        <v>76</v>
      </c>
      <c r="BC10" s="20" t="s">
        <v>76</v>
      </c>
      <c r="BD10" s="15">
        <v>14.1025641025641</v>
      </c>
      <c r="BE10" s="20" t="s">
        <v>76</v>
      </c>
      <c r="BF10" s="20" t="s">
        <v>76</v>
      </c>
      <c r="BG10" s="20" t="s">
        <v>76</v>
      </c>
      <c r="BH10" s="20" t="s">
        <v>76</v>
      </c>
      <c r="BI10" s="20" t="s">
        <v>76</v>
      </c>
      <c r="BJ10" s="20" t="s">
        <v>76</v>
      </c>
      <c r="BK10" s="20" t="s">
        <v>76</v>
      </c>
      <c r="BL10" s="20" t="s">
        <v>76</v>
      </c>
      <c r="BM10" s="20" t="s">
        <v>76</v>
      </c>
      <c r="BN10" s="20" t="s">
        <v>76</v>
      </c>
      <c r="BO10" s="20" t="s">
        <v>76</v>
      </c>
      <c r="BP10" s="20" t="s">
        <v>76</v>
      </c>
      <c r="BQ10" s="20" t="s">
        <v>76</v>
      </c>
      <c r="BR10" s="20" t="s">
        <v>76</v>
      </c>
      <c r="BS10" s="20" t="s">
        <v>76</v>
      </c>
      <c r="BT10" s="20" t="s">
        <v>76</v>
      </c>
      <c r="BU10" s="20" t="s">
        <v>76</v>
      </c>
      <c r="BV10" s="20" t="s">
        <v>76</v>
      </c>
      <c r="BW10" s="20" t="s">
        <v>76</v>
      </c>
      <c r="BX10" s="20" t="s">
        <v>76</v>
      </c>
      <c r="BY10" s="20" t="s">
        <v>76</v>
      </c>
      <c r="BZ10" s="20" t="s">
        <v>76</v>
      </c>
      <c r="CA10" s="38" t="s">
        <v>76</v>
      </c>
      <c r="CB10" s="20" t="s">
        <v>76</v>
      </c>
      <c r="CC10" s="20" t="s">
        <v>76</v>
      </c>
      <c r="CD10" s="20" t="s">
        <v>76</v>
      </c>
      <c r="CE10" s="20" t="s">
        <v>76</v>
      </c>
      <c r="CF10" s="20" t="s">
        <v>76</v>
      </c>
      <c r="CG10" s="20" t="s">
        <v>76</v>
      </c>
      <c r="CH10" s="20" t="s">
        <v>76</v>
      </c>
      <c r="CI10" s="20" t="s">
        <v>76</v>
      </c>
      <c r="CJ10" s="20" t="s">
        <v>76</v>
      </c>
      <c r="CK10" s="20" t="s">
        <v>76</v>
      </c>
      <c r="CL10" s="15">
        <v>1.36363636363636</v>
      </c>
      <c r="CM10" s="26" t="s">
        <v>76</v>
      </c>
      <c r="CN10" s="37"/>
    </row>
    <row r="11" spans="1:92">
      <c r="A11" s="9" t="s">
        <v>266</v>
      </c>
      <c r="B11" s="35">
        <v>1.5255837415087501</v>
      </c>
      <c r="C11" s="32">
        <v>1.0771688728947999</v>
      </c>
      <c r="D11" s="32">
        <v>1.0950744171481099</v>
      </c>
      <c r="E11" s="32">
        <v>1.96822157464589</v>
      </c>
      <c r="F11" s="20" t="s">
        <v>76</v>
      </c>
      <c r="G11" s="20" t="s">
        <v>76</v>
      </c>
      <c r="H11" s="20" t="s">
        <v>76</v>
      </c>
      <c r="I11" s="20" t="s">
        <v>76</v>
      </c>
      <c r="J11" s="20" t="s">
        <v>76</v>
      </c>
      <c r="K11" s="20" t="s">
        <v>76</v>
      </c>
      <c r="L11" s="15">
        <v>9.8360655737704903</v>
      </c>
      <c r="M11" s="15">
        <v>17.105263157894701</v>
      </c>
      <c r="N11" s="20" t="s">
        <v>76</v>
      </c>
      <c r="O11" s="20" t="s">
        <v>76</v>
      </c>
      <c r="P11" s="20" t="s">
        <v>76</v>
      </c>
      <c r="Q11" s="20" t="s">
        <v>76</v>
      </c>
      <c r="R11" s="20" t="s">
        <v>76</v>
      </c>
      <c r="S11" s="20" t="s">
        <v>76</v>
      </c>
      <c r="T11" s="20" t="s">
        <v>76</v>
      </c>
      <c r="U11" s="20" t="s">
        <v>76</v>
      </c>
      <c r="V11" s="20" t="s">
        <v>76</v>
      </c>
      <c r="W11" s="20" t="s">
        <v>76</v>
      </c>
      <c r="X11" s="20" t="s">
        <v>76</v>
      </c>
      <c r="Y11" s="20" t="s">
        <v>76</v>
      </c>
      <c r="Z11" s="20" t="s">
        <v>76</v>
      </c>
      <c r="AA11" s="20" t="s">
        <v>76</v>
      </c>
      <c r="AB11" s="20" t="s">
        <v>76</v>
      </c>
      <c r="AC11" s="20" t="s">
        <v>76</v>
      </c>
      <c r="AD11" s="20" t="s">
        <v>76</v>
      </c>
      <c r="AE11" s="20" t="s">
        <v>76</v>
      </c>
      <c r="AF11" s="20" t="s">
        <v>76</v>
      </c>
      <c r="AG11" s="20" t="s">
        <v>76</v>
      </c>
      <c r="AH11" s="20" t="s">
        <v>76</v>
      </c>
      <c r="AI11" s="20" t="s">
        <v>76</v>
      </c>
      <c r="AJ11" s="20" t="s">
        <v>76</v>
      </c>
      <c r="AK11" s="20" t="s">
        <v>76</v>
      </c>
      <c r="AL11" s="20" t="s">
        <v>76</v>
      </c>
      <c r="AM11" s="20" t="s">
        <v>76</v>
      </c>
      <c r="AN11" s="20" t="s">
        <v>76</v>
      </c>
      <c r="AO11" s="20" t="s">
        <v>76</v>
      </c>
      <c r="AP11" s="20" t="s">
        <v>76</v>
      </c>
      <c r="AQ11" s="20" t="s">
        <v>76</v>
      </c>
      <c r="AR11" s="20" t="s">
        <v>76</v>
      </c>
      <c r="AS11" s="20" t="s">
        <v>76</v>
      </c>
      <c r="AT11" s="20" t="s">
        <v>76</v>
      </c>
      <c r="AU11" s="20" t="s">
        <v>76</v>
      </c>
      <c r="AV11" s="20" t="s">
        <v>76</v>
      </c>
      <c r="AW11" s="20" t="s">
        <v>76</v>
      </c>
      <c r="AX11" s="20" t="s">
        <v>76</v>
      </c>
      <c r="AY11" s="20" t="s">
        <v>76</v>
      </c>
      <c r="AZ11" s="15">
        <v>24</v>
      </c>
      <c r="BA11" s="20" t="s">
        <v>76</v>
      </c>
      <c r="BB11" s="20" t="s">
        <v>76</v>
      </c>
      <c r="BC11" s="20" t="s">
        <v>76</v>
      </c>
      <c r="BD11" s="20" t="s">
        <v>76</v>
      </c>
      <c r="BE11" s="15">
        <v>31.034482758620701</v>
      </c>
      <c r="BF11" s="20" t="s">
        <v>76</v>
      </c>
      <c r="BG11" s="20" t="s">
        <v>76</v>
      </c>
      <c r="BH11" s="20" t="s">
        <v>76</v>
      </c>
      <c r="BI11" s="20" t="s">
        <v>76</v>
      </c>
      <c r="BJ11" s="20" t="s">
        <v>76</v>
      </c>
      <c r="BK11" s="15">
        <v>15</v>
      </c>
      <c r="BL11" s="20" t="s">
        <v>76</v>
      </c>
      <c r="BM11" s="20" t="s">
        <v>76</v>
      </c>
      <c r="BN11" s="20" t="s">
        <v>76</v>
      </c>
      <c r="BO11" s="20" t="s">
        <v>76</v>
      </c>
      <c r="BP11" s="20" t="s">
        <v>76</v>
      </c>
      <c r="BQ11" s="20" t="s">
        <v>76</v>
      </c>
      <c r="BR11" s="20" t="s">
        <v>76</v>
      </c>
      <c r="BS11" s="20" t="s">
        <v>76</v>
      </c>
      <c r="BT11" s="20" t="s">
        <v>76</v>
      </c>
      <c r="BU11" s="20" t="s">
        <v>76</v>
      </c>
      <c r="BV11" s="20" t="s">
        <v>76</v>
      </c>
      <c r="BW11" s="20" t="s">
        <v>76</v>
      </c>
      <c r="BX11" s="20" t="s">
        <v>76</v>
      </c>
      <c r="BY11" s="20" t="s">
        <v>76</v>
      </c>
      <c r="BZ11" s="15">
        <v>3.40136054421769</v>
      </c>
      <c r="CA11" s="38" t="s">
        <v>76</v>
      </c>
      <c r="CB11" s="20" t="s">
        <v>76</v>
      </c>
      <c r="CC11" s="20" t="s">
        <v>76</v>
      </c>
      <c r="CD11" s="20" t="s">
        <v>76</v>
      </c>
      <c r="CE11" s="20" t="s">
        <v>76</v>
      </c>
      <c r="CF11" s="20" t="s">
        <v>76</v>
      </c>
      <c r="CG11" s="20" t="s">
        <v>76</v>
      </c>
      <c r="CH11" s="20" t="s">
        <v>76</v>
      </c>
      <c r="CI11" s="20" t="s">
        <v>76</v>
      </c>
      <c r="CJ11" s="20" t="s">
        <v>76</v>
      </c>
      <c r="CK11" s="20" t="s">
        <v>76</v>
      </c>
      <c r="CL11" s="20" t="s">
        <v>76</v>
      </c>
      <c r="CM11" s="26" t="s">
        <v>76</v>
      </c>
      <c r="CN11" s="37"/>
    </row>
    <row r="12" spans="1:92">
      <c r="A12" s="9" t="s">
        <v>267</v>
      </c>
      <c r="B12" s="35">
        <v>0.79365793232437898</v>
      </c>
      <c r="C12" s="32">
        <v>0.50960545448690098</v>
      </c>
      <c r="D12" s="32">
        <v>0.45272447243311598</v>
      </c>
      <c r="E12" s="32">
        <v>0.69478824706895803</v>
      </c>
      <c r="F12" s="20" t="s">
        <v>76</v>
      </c>
      <c r="G12" s="20" t="s">
        <v>76</v>
      </c>
      <c r="H12" s="20" t="s">
        <v>76</v>
      </c>
      <c r="I12" s="20" t="s">
        <v>76</v>
      </c>
      <c r="J12" s="20" t="s">
        <v>76</v>
      </c>
      <c r="K12" s="20" t="s">
        <v>76</v>
      </c>
      <c r="L12" s="20" t="s">
        <v>76</v>
      </c>
      <c r="M12" s="20" t="s">
        <v>76</v>
      </c>
      <c r="N12" s="20" t="s">
        <v>76</v>
      </c>
      <c r="O12" s="20" t="s">
        <v>76</v>
      </c>
      <c r="P12" s="20" t="s">
        <v>76</v>
      </c>
      <c r="Q12" s="20" t="s">
        <v>76</v>
      </c>
      <c r="R12" s="20" t="s">
        <v>76</v>
      </c>
      <c r="S12" s="20" t="s">
        <v>76</v>
      </c>
      <c r="T12" s="20" t="s">
        <v>76</v>
      </c>
      <c r="U12" s="20" t="s">
        <v>76</v>
      </c>
      <c r="V12" s="20" t="s">
        <v>76</v>
      </c>
      <c r="W12" s="20" t="s">
        <v>76</v>
      </c>
      <c r="X12" s="20" t="s">
        <v>76</v>
      </c>
      <c r="Y12" s="20" t="s">
        <v>76</v>
      </c>
      <c r="Z12" s="20" t="s">
        <v>76</v>
      </c>
      <c r="AA12" s="20" t="s">
        <v>76</v>
      </c>
      <c r="AB12" s="20" t="s">
        <v>76</v>
      </c>
      <c r="AC12" s="20" t="s">
        <v>76</v>
      </c>
      <c r="AD12" s="20" t="s">
        <v>76</v>
      </c>
      <c r="AE12" s="20" t="s">
        <v>76</v>
      </c>
      <c r="AF12" s="20" t="s">
        <v>76</v>
      </c>
      <c r="AG12" s="20" t="s">
        <v>76</v>
      </c>
      <c r="AH12" s="20" t="s">
        <v>76</v>
      </c>
      <c r="AI12" s="20" t="s">
        <v>76</v>
      </c>
      <c r="AJ12" s="20" t="s">
        <v>76</v>
      </c>
      <c r="AK12" s="20" t="s">
        <v>76</v>
      </c>
      <c r="AL12" s="20" t="s">
        <v>76</v>
      </c>
      <c r="AM12" s="20" t="s">
        <v>76</v>
      </c>
      <c r="AN12" s="20" t="s">
        <v>76</v>
      </c>
      <c r="AO12" s="20" t="s">
        <v>76</v>
      </c>
      <c r="AP12" s="20" t="s">
        <v>76</v>
      </c>
      <c r="AQ12" s="20" t="s">
        <v>76</v>
      </c>
      <c r="AR12" s="20" t="s">
        <v>76</v>
      </c>
      <c r="AS12" s="20" t="s">
        <v>76</v>
      </c>
      <c r="AT12" s="20" t="s">
        <v>76</v>
      </c>
      <c r="AU12" s="20" t="s">
        <v>76</v>
      </c>
      <c r="AV12" s="20" t="s">
        <v>76</v>
      </c>
      <c r="AW12" s="20" t="s">
        <v>76</v>
      </c>
      <c r="AX12" s="20" t="s">
        <v>76</v>
      </c>
      <c r="AY12" s="20" t="s">
        <v>76</v>
      </c>
      <c r="AZ12" s="20" t="s">
        <v>76</v>
      </c>
      <c r="BA12" s="20" t="s">
        <v>76</v>
      </c>
      <c r="BB12" s="20" t="s">
        <v>76</v>
      </c>
      <c r="BC12" s="20" t="s">
        <v>76</v>
      </c>
      <c r="BD12" s="20" t="s">
        <v>76</v>
      </c>
      <c r="BE12" s="20" t="s">
        <v>76</v>
      </c>
      <c r="BF12" s="20" t="s">
        <v>76</v>
      </c>
      <c r="BG12" s="20" t="s">
        <v>76</v>
      </c>
      <c r="BH12" s="20" t="s">
        <v>76</v>
      </c>
      <c r="BI12" s="20" t="s">
        <v>76</v>
      </c>
      <c r="BJ12" s="20" t="s">
        <v>76</v>
      </c>
      <c r="BK12" s="20" t="s">
        <v>76</v>
      </c>
      <c r="BL12" s="20" t="s">
        <v>76</v>
      </c>
      <c r="BM12" s="20" t="s">
        <v>76</v>
      </c>
      <c r="BN12" s="20" t="s">
        <v>76</v>
      </c>
      <c r="BO12" s="20" t="s">
        <v>76</v>
      </c>
      <c r="BP12" s="20" t="s">
        <v>76</v>
      </c>
      <c r="BQ12" s="20" t="s">
        <v>76</v>
      </c>
      <c r="BR12" s="20" t="s">
        <v>76</v>
      </c>
      <c r="BS12" s="20" t="s">
        <v>76</v>
      </c>
      <c r="BT12" s="20" t="s">
        <v>76</v>
      </c>
      <c r="BU12" s="20" t="s">
        <v>76</v>
      </c>
      <c r="BV12" s="20" t="s">
        <v>76</v>
      </c>
      <c r="BW12" s="20" t="s">
        <v>76</v>
      </c>
      <c r="BX12" s="20" t="s">
        <v>76</v>
      </c>
      <c r="BY12" s="20" t="s">
        <v>76</v>
      </c>
      <c r="BZ12" s="20" t="s">
        <v>76</v>
      </c>
      <c r="CA12" s="38" t="s">
        <v>76</v>
      </c>
      <c r="CB12" s="20" t="s">
        <v>76</v>
      </c>
      <c r="CC12" s="20" t="s">
        <v>76</v>
      </c>
      <c r="CD12" s="20" t="s">
        <v>76</v>
      </c>
      <c r="CE12" s="20" t="s">
        <v>76</v>
      </c>
      <c r="CF12" s="20" t="s">
        <v>76</v>
      </c>
      <c r="CG12" s="20" t="s">
        <v>76</v>
      </c>
      <c r="CH12" s="20" t="s">
        <v>76</v>
      </c>
      <c r="CI12" s="20" t="s">
        <v>76</v>
      </c>
      <c r="CJ12" s="20" t="s">
        <v>76</v>
      </c>
      <c r="CK12" s="20" t="s">
        <v>76</v>
      </c>
      <c r="CL12" s="20" t="s">
        <v>76</v>
      </c>
      <c r="CM12" s="26" t="s">
        <v>76</v>
      </c>
      <c r="CN12" s="37"/>
    </row>
    <row r="13" spans="1:92">
      <c r="A13" s="9" t="s">
        <v>268</v>
      </c>
      <c r="B13" s="35">
        <v>0.82747420445404496</v>
      </c>
      <c r="C13" s="32">
        <v>0.66449403247837402</v>
      </c>
      <c r="D13" s="32">
        <v>0.41926953331594102</v>
      </c>
      <c r="E13" s="32">
        <v>0.73563484042883998</v>
      </c>
      <c r="F13" s="20" t="s">
        <v>76</v>
      </c>
      <c r="G13" s="20" t="s">
        <v>76</v>
      </c>
      <c r="H13" s="20" t="s">
        <v>76</v>
      </c>
      <c r="I13" s="20" t="s">
        <v>76</v>
      </c>
      <c r="J13" s="20" t="s">
        <v>76</v>
      </c>
      <c r="K13" s="20" t="s">
        <v>76</v>
      </c>
      <c r="L13" s="20" t="s">
        <v>76</v>
      </c>
      <c r="M13" s="20" t="s">
        <v>76</v>
      </c>
      <c r="N13" s="20" t="s">
        <v>76</v>
      </c>
      <c r="O13" s="20" t="s">
        <v>76</v>
      </c>
      <c r="P13" s="20" t="s">
        <v>76</v>
      </c>
      <c r="Q13" s="20" t="s">
        <v>76</v>
      </c>
      <c r="R13" s="20" t="s">
        <v>76</v>
      </c>
      <c r="S13" s="20" t="s">
        <v>76</v>
      </c>
      <c r="T13" s="20" t="s">
        <v>76</v>
      </c>
      <c r="U13" s="20" t="s">
        <v>76</v>
      </c>
      <c r="V13" s="20" t="s">
        <v>76</v>
      </c>
      <c r="W13" s="20" t="s">
        <v>76</v>
      </c>
      <c r="X13" s="20" t="s">
        <v>76</v>
      </c>
      <c r="Y13" s="20" t="s">
        <v>76</v>
      </c>
      <c r="Z13" s="20" t="s">
        <v>76</v>
      </c>
      <c r="AA13" s="20" t="s">
        <v>76</v>
      </c>
      <c r="AB13" s="20" t="s">
        <v>76</v>
      </c>
      <c r="AC13" s="20" t="s">
        <v>76</v>
      </c>
      <c r="AD13" s="20" t="s">
        <v>76</v>
      </c>
      <c r="AE13" s="20" t="s">
        <v>76</v>
      </c>
      <c r="AF13" s="20" t="s">
        <v>76</v>
      </c>
      <c r="AG13" s="20" t="s">
        <v>76</v>
      </c>
      <c r="AH13" s="20" t="s">
        <v>76</v>
      </c>
      <c r="AI13" s="20" t="s">
        <v>76</v>
      </c>
      <c r="AJ13" s="20" t="s">
        <v>76</v>
      </c>
      <c r="AK13" s="20" t="s">
        <v>76</v>
      </c>
      <c r="AL13" s="20" t="s">
        <v>76</v>
      </c>
      <c r="AM13" s="20" t="s">
        <v>76</v>
      </c>
      <c r="AN13" s="20" t="s">
        <v>76</v>
      </c>
      <c r="AO13" s="20" t="s">
        <v>76</v>
      </c>
      <c r="AP13" s="20" t="s">
        <v>76</v>
      </c>
      <c r="AQ13" s="20" t="s">
        <v>76</v>
      </c>
      <c r="AR13" s="20" t="s">
        <v>76</v>
      </c>
      <c r="AS13" s="20" t="s">
        <v>76</v>
      </c>
      <c r="AT13" s="20" t="s">
        <v>76</v>
      </c>
      <c r="AU13" s="20" t="s">
        <v>76</v>
      </c>
      <c r="AV13" s="20" t="s">
        <v>76</v>
      </c>
      <c r="AW13" s="20" t="s">
        <v>76</v>
      </c>
      <c r="AX13" s="20" t="s">
        <v>76</v>
      </c>
      <c r="AY13" s="20" t="s">
        <v>76</v>
      </c>
      <c r="AZ13" s="20" t="s">
        <v>76</v>
      </c>
      <c r="BA13" s="20" t="s">
        <v>76</v>
      </c>
      <c r="BB13" s="20" t="s">
        <v>76</v>
      </c>
      <c r="BC13" s="20" t="s">
        <v>76</v>
      </c>
      <c r="BD13" s="20" t="s">
        <v>76</v>
      </c>
      <c r="BE13" s="20" t="s">
        <v>76</v>
      </c>
      <c r="BF13" s="20" t="s">
        <v>76</v>
      </c>
      <c r="BG13" s="20" t="s">
        <v>76</v>
      </c>
      <c r="BH13" s="20" t="s">
        <v>76</v>
      </c>
      <c r="BI13" s="20" t="s">
        <v>76</v>
      </c>
      <c r="BJ13" s="20" t="s">
        <v>76</v>
      </c>
      <c r="BK13" s="20" t="s">
        <v>76</v>
      </c>
      <c r="BL13" s="20" t="s">
        <v>76</v>
      </c>
      <c r="BM13" s="20" t="s">
        <v>76</v>
      </c>
      <c r="BN13" s="20" t="s">
        <v>76</v>
      </c>
      <c r="BO13" s="20" t="s">
        <v>76</v>
      </c>
      <c r="BP13" s="20" t="s">
        <v>76</v>
      </c>
      <c r="BQ13" s="20" t="s">
        <v>76</v>
      </c>
      <c r="BR13" s="20" t="s">
        <v>76</v>
      </c>
      <c r="BS13" s="20" t="s">
        <v>76</v>
      </c>
      <c r="BT13" s="20" t="s">
        <v>76</v>
      </c>
      <c r="BU13" s="20" t="s">
        <v>76</v>
      </c>
      <c r="BV13" s="20" t="s">
        <v>76</v>
      </c>
      <c r="BW13" s="20" t="s">
        <v>76</v>
      </c>
      <c r="BX13" s="20" t="s">
        <v>76</v>
      </c>
      <c r="BY13" s="20" t="s">
        <v>76</v>
      </c>
      <c r="BZ13" s="20" t="s">
        <v>76</v>
      </c>
      <c r="CA13" s="38" t="s">
        <v>76</v>
      </c>
      <c r="CB13" s="20" t="s">
        <v>76</v>
      </c>
      <c r="CC13" s="20" t="s">
        <v>76</v>
      </c>
      <c r="CD13" s="20" t="s">
        <v>76</v>
      </c>
      <c r="CE13" s="20" t="s">
        <v>76</v>
      </c>
      <c r="CF13" s="20" t="s">
        <v>76</v>
      </c>
      <c r="CG13" s="20" t="s">
        <v>76</v>
      </c>
      <c r="CH13" s="20" t="s">
        <v>76</v>
      </c>
      <c r="CI13" s="20" t="s">
        <v>76</v>
      </c>
      <c r="CJ13" s="20" t="s">
        <v>76</v>
      </c>
      <c r="CK13" s="20" t="s">
        <v>76</v>
      </c>
      <c r="CL13" s="20" t="s">
        <v>76</v>
      </c>
      <c r="CM13" s="26" t="s">
        <v>76</v>
      </c>
      <c r="CN13" s="37"/>
    </row>
    <row r="14" spans="1:92">
      <c r="A14" s="9" t="s">
        <v>269</v>
      </c>
      <c r="B14" s="35">
        <v>2.0447968472935401</v>
      </c>
      <c r="C14" s="32">
        <v>2.0283379860994599</v>
      </c>
      <c r="D14" s="32">
        <v>1.94172151998249</v>
      </c>
      <c r="E14" s="32">
        <v>2.7434600917150802</v>
      </c>
      <c r="F14" s="20" t="s">
        <v>76</v>
      </c>
      <c r="G14" s="20" t="s">
        <v>76</v>
      </c>
      <c r="H14" s="20" t="s">
        <v>76</v>
      </c>
      <c r="I14" s="20" t="s">
        <v>76</v>
      </c>
      <c r="J14" s="15">
        <v>11.1111111111111</v>
      </c>
      <c r="K14" s="20" t="s">
        <v>76</v>
      </c>
      <c r="L14" s="15">
        <v>14.7540983606557</v>
      </c>
      <c r="M14" s="15">
        <v>9.2105263157894708</v>
      </c>
      <c r="N14" s="15">
        <v>7.0588235294117601</v>
      </c>
      <c r="O14" s="20" t="s">
        <v>76</v>
      </c>
      <c r="P14" s="20" t="s">
        <v>76</v>
      </c>
      <c r="Q14" s="20" t="s">
        <v>76</v>
      </c>
      <c r="R14" s="20" t="s">
        <v>76</v>
      </c>
      <c r="S14" s="20" t="s">
        <v>76</v>
      </c>
      <c r="T14" s="20" t="s">
        <v>76</v>
      </c>
      <c r="U14" s="20" t="s">
        <v>76</v>
      </c>
      <c r="V14" s="20" t="s">
        <v>76</v>
      </c>
      <c r="W14" s="20" t="s">
        <v>76</v>
      </c>
      <c r="X14" s="20" t="s">
        <v>76</v>
      </c>
      <c r="Y14" s="20" t="s">
        <v>76</v>
      </c>
      <c r="Z14" s="20" t="s">
        <v>76</v>
      </c>
      <c r="AA14" s="20" t="s">
        <v>76</v>
      </c>
      <c r="AB14" s="20" t="s">
        <v>76</v>
      </c>
      <c r="AC14" s="20" t="s">
        <v>76</v>
      </c>
      <c r="AD14" s="20" t="s">
        <v>76</v>
      </c>
      <c r="AE14" s="20" t="s">
        <v>76</v>
      </c>
      <c r="AF14" s="20" t="s">
        <v>76</v>
      </c>
      <c r="AG14" s="20" t="s">
        <v>76</v>
      </c>
      <c r="AH14" s="20" t="s">
        <v>76</v>
      </c>
      <c r="AI14" s="20" t="s">
        <v>76</v>
      </c>
      <c r="AJ14" s="20" t="s">
        <v>76</v>
      </c>
      <c r="AK14" s="20" t="s">
        <v>76</v>
      </c>
      <c r="AL14" s="20" t="s">
        <v>76</v>
      </c>
      <c r="AM14" s="20" t="s">
        <v>76</v>
      </c>
      <c r="AN14" s="20" t="s">
        <v>76</v>
      </c>
      <c r="AO14" s="20" t="s">
        <v>76</v>
      </c>
      <c r="AP14" s="20" t="s">
        <v>76</v>
      </c>
      <c r="AQ14" s="20" t="s">
        <v>76</v>
      </c>
      <c r="AR14" s="20" t="s">
        <v>76</v>
      </c>
      <c r="AS14" s="20" t="s">
        <v>76</v>
      </c>
      <c r="AT14" s="20" t="s">
        <v>76</v>
      </c>
      <c r="AU14" s="20" t="s">
        <v>76</v>
      </c>
      <c r="AV14" s="20" t="s">
        <v>76</v>
      </c>
      <c r="AW14" s="20" t="s">
        <v>76</v>
      </c>
      <c r="AX14" s="20" t="s">
        <v>76</v>
      </c>
      <c r="AY14" s="20" t="s">
        <v>76</v>
      </c>
      <c r="AZ14" s="20" t="s">
        <v>76</v>
      </c>
      <c r="BA14" s="20" t="s">
        <v>76</v>
      </c>
      <c r="BB14" s="20" t="s">
        <v>76</v>
      </c>
      <c r="BC14" s="20" t="s">
        <v>76</v>
      </c>
      <c r="BD14" s="20" t="s">
        <v>76</v>
      </c>
      <c r="BE14" s="15">
        <v>31.034482758620701</v>
      </c>
      <c r="BF14" s="20" t="s">
        <v>76</v>
      </c>
      <c r="BG14" s="20" t="s">
        <v>76</v>
      </c>
      <c r="BH14" s="20" t="s">
        <v>76</v>
      </c>
      <c r="BI14" s="20" t="s">
        <v>76</v>
      </c>
      <c r="BJ14" s="15">
        <v>5.3571428571428603</v>
      </c>
      <c r="BK14" s="20" t="s">
        <v>76</v>
      </c>
      <c r="BL14" s="20" t="s">
        <v>76</v>
      </c>
      <c r="BM14" s="20" t="s">
        <v>76</v>
      </c>
      <c r="BN14" s="20" t="s">
        <v>76</v>
      </c>
      <c r="BO14" s="20" t="s">
        <v>76</v>
      </c>
      <c r="BP14" s="20" t="s">
        <v>76</v>
      </c>
      <c r="BQ14" s="20" t="s">
        <v>76</v>
      </c>
      <c r="BR14" s="20" t="s">
        <v>76</v>
      </c>
      <c r="BS14" s="20" t="s">
        <v>76</v>
      </c>
      <c r="BT14" s="20" t="s">
        <v>76</v>
      </c>
      <c r="BU14" s="20" t="s">
        <v>76</v>
      </c>
      <c r="BV14" s="15">
        <v>5.0505050505050502</v>
      </c>
      <c r="BW14" s="20" t="s">
        <v>76</v>
      </c>
      <c r="BX14" s="20" t="s">
        <v>76</v>
      </c>
      <c r="BY14" s="20" t="s">
        <v>76</v>
      </c>
      <c r="BZ14" s="15">
        <v>4.0816326530612201</v>
      </c>
      <c r="CA14" s="32">
        <v>1.2942609675386301</v>
      </c>
      <c r="CB14" s="15">
        <v>1.59744408945687</v>
      </c>
      <c r="CC14" s="20" t="s">
        <v>76</v>
      </c>
      <c r="CD14" s="15">
        <v>5.1612903225806503</v>
      </c>
      <c r="CE14" s="20" t="s">
        <v>76</v>
      </c>
      <c r="CF14" s="20" t="s">
        <v>76</v>
      </c>
      <c r="CG14" s="20" t="s">
        <v>76</v>
      </c>
      <c r="CH14" s="20" t="s">
        <v>76</v>
      </c>
      <c r="CI14" s="20" t="s">
        <v>76</v>
      </c>
      <c r="CJ14" s="20" t="s">
        <v>76</v>
      </c>
      <c r="CK14" s="20" t="s">
        <v>76</v>
      </c>
      <c r="CL14" s="15">
        <v>2.1212121212121202</v>
      </c>
      <c r="CM14" s="26" t="s">
        <v>76</v>
      </c>
      <c r="CN14" s="37"/>
    </row>
    <row r="15" spans="1:92">
      <c r="A15" s="9" t="s">
        <v>270</v>
      </c>
      <c r="B15" s="35">
        <v>9.9123946879888294</v>
      </c>
      <c r="C15" s="32">
        <v>11.314123937646899</v>
      </c>
      <c r="D15" s="32">
        <v>10.2048195840236</v>
      </c>
      <c r="E15" s="32">
        <v>10.255560542568199</v>
      </c>
      <c r="F15" s="20" t="s">
        <v>76</v>
      </c>
      <c r="G15" s="20" t="s">
        <v>76</v>
      </c>
      <c r="H15" s="15">
        <v>26.086956521739101</v>
      </c>
      <c r="I15" s="20" t="s">
        <v>76</v>
      </c>
      <c r="J15" s="15">
        <v>6.25</v>
      </c>
      <c r="K15" s="20" t="s">
        <v>76</v>
      </c>
      <c r="L15" s="15">
        <v>21.311475409836099</v>
      </c>
      <c r="M15" s="20" t="s">
        <v>76</v>
      </c>
      <c r="N15" s="15">
        <v>22.352941176470601</v>
      </c>
      <c r="O15" s="20" t="s">
        <v>76</v>
      </c>
      <c r="P15" s="15">
        <v>8.4507042253521103</v>
      </c>
      <c r="Q15" s="15">
        <v>11.2676056338028</v>
      </c>
      <c r="R15" s="20" t="s">
        <v>76</v>
      </c>
      <c r="S15" s="20" t="s">
        <v>76</v>
      </c>
      <c r="T15" s="15">
        <v>10.4166666666667</v>
      </c>
      <c r="U15" s="15">
        <v>23.8095238095238</v>
      </c>
      <c r="V15" s="20" t="s">
        <v>76</v>
      </c>
      <c r="W15" s="15">
        <v>15.254237288135601</v>
      </c>
      <c r="X15" s="20" t="s">
        <v>76</v>
      </c>
      <c r="Y15" s="20" t="s">
        <v>76</v>
      </c>
      <c r="Z15" s="15">
        <v>6.4102564102564097</v>
      </c>
      <c r="AA15" s="15">
        <v>9.1743119266054993</v>
      </c>
      <c r="AB15" s="15">
        <v>11.764705882352899</v>
      </c>
      <c r="AC15" s="20" t="s">
        <v>76</v>
      </c>
      <c r="AD15" s="15">
        <v>50</v>
      </c>
      <c r="AE15" s="20" t="s">
        <v>76</v>
      </c>
      <c r="AF15" s="20" t="s">
        <v>76</v>
      </c>
      <c r="AG15" s="20" t="s">
        <v>76</v>
      </c>
      <c r="AH15" s="15">
        <v>33.928571428571402</v>
      </c>
      <c r="AI15" s="20" t="s">
        <v>76</v>
      </c>
      <c r="AJ15" s="15">
        <v>6.3063063063063103</v>
      </c>
      <c r="AK15" s="15">
        <v>36.6666666666667</v>
      </c>
      <c r="AL15" s="15">
        <v>16.6666666666667</v>
      </c>
      <c r="AM15" s="15">
        <v>12.5</v>
      </c>
      <c r="AN15" s="20" t="s">
        <v>76</v>
      </c>
      <c r="AO15" s="20" t="s">
        <v>76</v>
      </c>
      <c r="AP15" s="15">
        <v>11.6883116883117</v>
      </c>
      <c r="AQ15" s="20" t="s">
        <v>76</v>
      </c>
      <c r="AR15" s="20" t="s">
        <v>76</v>
      </c>
      <c r="AS15" s="15">
        <v>54.545454545454497</v>
      </c>
      <c r="AT15" s="20" t="s">
        <v>76</v>
      </c>
      <c r="AU15" s="20" t="s">
        <v>76</v>
      </c>
      <c r="AV15" s="20" t="s">
        <v>76</v>
      </c>
      <c r="AW15" s="15">
        <v>13.7931034482759</v>
      </c>
      <c r="AX15" s="20" t="s">
        <v>76</v>
      </c>
      <c r="AY15" s="15">
        <v>25.714285714285701</v>
      </c>
      <c r="AZ15" s="15">
        <v>22</v>
      </c>
      <c r="BA15" s="20" t="s">
        <v>76</v>
      </c>
      <c r="BB15" s="15">
        <v>19.402985074626901</v>
      </c>
      <c r="BC15" s="15">
        <v>8.1081081081081106</v>
      </c>
      <c r="BD15" s="15">
        <v>8.9743589743589691</v>
      </c>
      <c r="BE15" s="15">
        <v>15.517241379310301</v>
      </c>
      <c r="BF15" s="20" t="s">
        <v>76</v>
      </c>
      <c r="BG15" s="20" t="s">
        <v>76</v>
      </c>
      <c r="BH15" s="15">
        <v>33.3333333333333</v>
      </c>
      <c r="BI15" s="20" t="s">
        <v>76</v>
      </c>
      <c r="BJ15" s="15">
        <v>12.5</v>
      </c>
      <c r="BK15" s="15">
        <v>22.5</v>
      </c>
      <c r="BL15" s="15">
        <v>6.25</v>
      </c>
      <c r="BM15" s="15">
        <v>31.683168316831701</v>
      </c>
      <c r="BN15" s="15">
        <v>5.0420168067226898</v>
      </c>
      <c r="BO15" s="20" t="s">
        <v>76</v>
      </c>
      <c r="BP15" s="20" t="s">
        <v>76</v>
      </c>
      <c r="BQ15" s="20" t="s">
        <v>76</v>
      </c>
      <c r="BR15" s="20" t="s">
        <v>76</v>
      </c>
      <c r="BS15" s="20" t="s">
        <v>76</v>
      </c>
      <c r="BT15" s="15">
        <v>6.0975609756097597</v>
      </c>
      <c r="BU15" s="15">
        <v>7.4766355140186898</v>
      </c>
      <c r="BV15" s="15">
        <v>22.2222222222222</v>
      </c>
      <c r="BW15" s="20" t="s">
        <v>76</v>
      </c>
      <c r="BX15" s="15">
        <v>88.8888888888889</v>
      </c>
      <c r="BY15" s="15">
        <v>19.047619047619001</v>
      </c>
      <c r="BZ15" s="15">
        <v>9.5238095238095202</v>
      </c>
      <c r="CA15" s="32">
        <v>10.1638426743312</v>
      </c>
      <c r="CB15" s="15">
        <v>11.5015974440895</v>
      </c>
      <c r="CC15" s="15">
        <v>7.5471698113207504</v>
      </c>
      <c r="CD15" s="15">
        <v>9.0322580645161299</v>
      </c>
      <c r="CE15" s="20" t="s">
        <v>76</v>
      </c>
      <c r="CF15" s="15">
        <v>11.0778443113772</v>
      </c>
      <c r="CG15" s="15">
        <v>12.849162011173201</v>
      </c>
      <c r="CH15" s="15">
        <v>9.5588235294117592</v>
      </c>
      <c r="CI15" s="15">
        <v>16.2217659137577</v>
      </c>
      <c r="CJ15" s="15">
        <v>2.3529411764705901</v>
      </c>
      <c r="CK15" s="15">
        <v>13.004484304932699</v>
      </c>
      <c r="CL15" s="15">
        <v>11.5151515151515</v>
      </c>
      <c r="CM15" s="24">
        <v>9.2077087794432604</v>
      </c>
      <c r="CN15" s="37"/>
    </row>
    <row r="16" spans="1:92">
      <c r="A16" s="9" t="s">
        <v>271</v>
      </c>
      <c r="B16" s="35">
        <v>0.37203131627804897</v>
      </c>
      <c r="C16" s="32">
        <v>0.65337019641155103</v>
      </c>
      <c r="D16" s="38" t="s">
        <v>76</v>
      </c>
      <c r="E16" s="38" t="s">
        <v>76</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20" t="s">
        <v>76</v>
      </c>
      <c r="AD16" s="20" t="s">
        <v>76</v>
      </c>
      <c r="AE16" s="20" t="s">
        <v>76</v>
      </c>
      <c r="AF16" s="20" t="s">
        <v>76</v>
      </c>
      <c r="AG16" s="20" t="s">
        <v>76</v>
      </c>
      <c r="AH16" s="20" t="s">
        <v>76</v>
      </c>
      <c r="AI16" s="20" t="s">
        <v>76</v>
      </c>
      <c r="AJ16" s="20" t="s">
        <v>76</v>
      </c>
      <c r="AK16" s="20" t="s">
        <v>76</v>
      </c>
      <c r="AL16" s="20" t="s">
        <v>76</v>
      </c>
      <c r="AM16" s="20" t="s">
        <v>76</v>
      </c>
      <c r="AN16" s="20" t="s">
        <v>76</v>
      </c>
      <c r="AO16" s="20" t="s">
        <v>76</v>
      </c>
      <c r="AP16" s="20" t="s">
        <v>76</v>
      </c>
      <c r="AQ16" s="20" t="s">
        <v>76</v>
      </c>
      <c r="AR16" s="20" t="s">
        <v>76</v>
      </c>
      <c r="AS16" s="20" t="s">
        <v>76</v>
      </c>
      <c r="AT16" s="20" t="s">
        <v>76</v>
      </c>
      <c r="AU16" s="20" t="s">
        <v>76</v>
      </c>
      <c r="AV16" s="20" t="s">
        <v>76</v>
      </c>
      <c r="AW16" s="20" t="s">
        <v>76</v>
      </c>
      <c r="AX16" s="20" t="s">
        <v>76</v>
      </c>
      <c r="AY16" s="20" t="s">
        <v>76</v>
      </c>
      <c r="AZ16" s="20" t="s">
        <v>76</v>
      </c>
      <c r="BA16" s="20" t="s">
        <v>76</v>
      </c>
      <c r="BB16" s="20" t="s">
        <v>76</v>
      </c>
      <c r="BC16" s="20" t="s">
        <v>76</v>
      </c>
      <c r="BD16" s="20" t="s">
        <v>76</v>
      </c>
      <c r="BE16" s="20" t="s">
        <v>76</v>
      </c>
      <c r="BF16" s="20" t="s">
        <v>76</v>
      </c>
      <c r="BG16" s="20" t="s">
        <v>76</v>
      </c>
      <c r="BH16" s="20" t="s">
        <v>76</v>
      </c>
      <c r="BI16" s="20" t="s">
        <v>76</v>
      </c>
      <c r="BJ16" s="20" t="s">
        <v>76</v>
      </c>
      <c r="BK16" s="20" t="s">
        <v>76</v>
      </c>
      <c r="BL16" s="20" t="s">
        <v>76</v>
      </c>
      <c r="BM16" s="20" t="s">
        <v>76</v>
      </c>
      <c r="BN16" s="20" t="s">
        <v>76</v>
      </c>
      <c r="BO16" s="20" t="s">
        <v>76</v>
      </c>
      <c r="BP16" s="20" t="s">
        <v>76</v>
      </c>
      <c r="BQ16" s="20" t="s">
        <v>76</v>
      </c>
      <c r="BR16" s="20" t="s">
        <v>76</v>
      </c>
      <c r="BS16" s="20" t="s">
        <v>76</v>
      </c>
      <c r="BT16" s="20" t="s">
        <v>76</v>
      </c>
      <c r="BU16" s="20" t="s">
        <v>76</v>
      </c>
      <c r="BV16" s="20" t="s">
        <v>76</v>
      </c>
      <c r="BW16" s="20" t="s">
        <v>76</v>
      </c>
      <c r="BX16" s="20" t="s">
        <v>76</v>
      </c>
      <c r="BY16" s="20" t="s">
        <v>76</v>
      </c>
      <c r="BZ16" s="20" t="s">
        <v>76</v>
      </c>
      <c r="CA16" s="38" t="s">
        <v>76</v>
      </c>
      <c r="CB16" s="20" t="s">
        <v>76</v>
      </c>
      <c r="CC16" s="20" t="s">
        <v>76</v>
      </c>
      <c r="CD16" s="20" t="s">
        <v>76</v>
      </c>
      <c r="CE16" s="20" t="s">
        <v>76</v>
      </c>
      <c r="CF16" s="20" t="s">
        <v>76</v>
      </c>
      <c r="CG16" s="20" t="s">
        <v>76</v>
      </c>
      <c r="CH16" s="20" t="s">
        <v>76</v>
      </c>
      <c r="CI16" s="20" t="s">
        <v>76</v>
      </c>
      <c r="CJ16" s="20" t="s">
        <v>76</v>
      </c>
      <c r="CK16" s="20" t="s">
        <v>76</v>
      </c>
      <c r="CL16" s="20" t="s">
        <v>76</v>
      </c>
      <c r="CM16" s="26" t="s">
        <v>76</v>
      </c>
      <c r="CN16" s="37"/>
    </row>
    <row r="17" spans="1:92">
      <c r="A17" s="9" t="s">
        <v>272</v>
      </c>
      <c r="B17" s="35">
        <v>2.41239215565317</v>
      </c>
      <c r="C17" s="32">
        <v>2.5078551425840598</v>
      </c>
      <c r="D17" s="32">
        <v>3.1743643918516802</v>
      </c>
      <c r="E17" s="32">
        <v>3.9709772041804099</v>
      </c>
      <c r="F17" s="20" t="s">
        <v>76</v>
      </c>
      <c r="G17" s="20" t="s">
        <v>76</v>
      </c>
      <c r="H17" s="20" t="s">
        <v>76</v>
      </c>
      <c r="I17" s="20" t="s">
        <v>76</v>
      </c>
      <c r="J17" s="20" t="s">
        <v>76</v>
      </c>
      <c r="K17" s="20" t="s">
        <v>76</v>
      </c>
      <c r="L17" s="20" t="s">
        <v>76</v>
      </c>
      <c r="M17" s="15">
        <v>30.2631578947368</v>
      </c>
      <c r="N17" s="20" t="s">
        <v>76</v>
      </c>
      <c r="O17" s="20" t="s">
        <v>76</v>
      </c>
      <c r="P17" s="20" t="s">
        <v>76</v>
      </c>
      <c r="Q17" s="20" t="s">
        <v>76</v>
      </c>
      <c r="R17" s="20" t="s">
        <v>76</v>
      </c>
      <c r="S17" s="20" t="s">
        <v>76</v>
      </c>
      <c r="T17" s="20" t="s">
        <v>76</v>
      </c>
      <c r="U17" s="20" t="s">
        <v>76</v>
      </c>
      <c r="V17" s="20" t="s">
        <v>76</v>
      </c>
      <c r="W17" s="20" t="s">
        <v>76</v>
      </c>
      <c r="X17" s="20" t="s">
        <v>76</v>
      </c>
      <c r="Y17" s="20" t="s">
        <v>76</v>
      </c>
      <c r="Z17" s="20" t="s">
        <v>76</v>
      </c>
      <c r="AA17" s="15">
        <v>9.1743119266054993</v>
      </c>
      <c r="AB17" s="20" t="s">
        <v>76</v>
      </c>
      <c r="AC17" s="20" t="s">
        <v>76</v>
      </c>
      <c r="AD17" s="15">
        <v>18.75</v>
      </c>
      <c r="AE17" s="20" t="s">
        <v>76</v>
      </c>
      <c r="AF17" s="20" t="s">
        <v>76</v>
      </c>
      <c r="AG17" s="20" t="s">
        <v>76</v>
      </c>
      <c r="AH17" s="15">
        <v>8.9285714285714306</v>
      </c>
      <c r="AI17" s="20" t="s">
        <v>76</v>
      </c>
      <c r="AJ17" s="15">
        <v>7.20720720720721</v>
      </c>
      <c r="AK17" s="20" t="s">
        <v>76</v>
      </c>
      <c r="AL17" s="20" t="s">
        <v>76</v>
      </c>
      <c r="AM17" s="20" t="s">
        <v>76</v>
      </c>
      <c r="AN17" s="20" t="s">
        <v>76</v>
      </c>
      <c r="AO17" s="20" t="s">
        <v>76</v>
      </c>
      <c r="AP17" s="15">
        <v>6.4935064935064899</v>
      </c>
      <c r="AQ17" s="20" t="s">
        <v>76</v>
      </c>
      <c r="AR17" s="20" t="s">
        <v>76</v>
      </c>
      <c r="AS17" s="20" t="s">
        <v>76</v>
      </c>
      <c r="AT17" s="20" t="s">
        <v>76</v>
      </c>
      <c r="AU17" s="20" t="s">
        <v>76</v>
      </c>
      <c r="AV17" s="20" t="s">
        <v>76</v>
      </c>
      <c r="AW17" s="15">
        <v>6.0344827586206904</v>
      </c>
      <c r="AX17" s="20" t="s">
        <v>76</v>
      </c>
      <c r="AY17" s="20" t="s">
        <v>76</v>
      </c>
      <c r="AZ17" s="15">
        <v>20</v>
      </c>
      <c r="BA17" s="20" t="s">
        <v>76</v>
      </c>
      <c r="BB17" s="20" t="s">
        <v>76</v>
      </c>
      <c r="BC17" s="20" t="s">
        <v>76</v>
      </c>
      <c r="BD17" s="20" t="s">
        <v>76</v>
      </c>
      <c r="BE17" s="20" t="s">
        <v>76</v>
      </c>
      <c r="BF17" s="20" t="s">
        <v>76</v>
      </c>
      <c r="BG17" s="20" t="s">
        <v>76</v>
      </c>
      <c r="BH17" s="20" t="s">
        <v>76</v>
      </c>
      <c r="BI17" s="20" t="s">
        <v>76</v>
      </c>
      <c r="BJ17" s="20" t="s">
        <v>76</v>
      </c>
      <c r="BK17" s="20" t="s">
        <v>76</v>
      </c>
      <c r="BL17" s="20" t="s">
        <v>76</v>
      </c>
      <c r="BM17" s="20" t="s">
        <v>76</v>
      </c>
      <c r="BN17" s="20" t="s">
        <v>76</v>
      </c>
      <c r="BO17" s="20" t="s">
        <v>76</v>
      </c>
      <c r="BP17" s="20" t="s">
        <v>76</v>
      </c>
      <c r="BQ17" s="20" t="s">
        <v>76</v>
      </c>
      <c r="BR17" s="15">
        <v>8.3333333333333304</v>
      </c>
      <c r="BS17" s="20" t="s">
        <v>76</v>
      </c>
      <c r="BT17" s="20" t="s">
        <v>76</v>
      </c>
      <c r="BU17" s="20" t="s">
        <v>76</v>
      </c>
      <c r="BV17" s="20" t="s">
        <v>76</v>
      </c>
      <c r="BW17" s="15">
        <v>18.840579710144901</v>
      </c>
      <c r="BX17" s="20" t="s">
        <v>76</v>
      </c>
      <c r="BY17" s="20" t="s">
        <v>76</v>
      </c>
      <c r="BZ17" s="20" t="s">
        <v>76</v>
      </c>
      <c r="CA17" s="32">
        <v>2.5310432523440598</v>
      </c>
      <c r="CB17" s="15">
        <v>2.2364217252396199</v>
      </c>
      <c r="CC17" s="15">
        <v>4.4025157232704402</v>
      </c>
      <c r="CD17" s="15">
        <v>3.2258064516128999</v>
      </c>
      <c r="CE17" s="20" t="s">
        <v>76</v>
      </c>
      <c r="CF17" s="15">
        <v>5.6886227544910204</v>
      </c>
      <c r="CG17" s="20" t="s">
        <v>76</v>
      </c>
      <c r="CH17" s="15">
        <v>2.0220588235294099</v>
      </c>
      <c r="CI17" s="15">
        <v>3.2854209445585201</v>
      </c>
      <c r="CJ17" s="20" t="s">
        <v>76</v>
      </c>
      <c r="CK17" s="15">
        <v>4.4843049327354301</v>
      </c>
      <c r="CL17" s="15">
        <v>1.36363636363636</v>
      </c>
      <c r="CM17" s="24">
        <v>1.2847965738758</v>
      </c>
      <c r="CN17" s="37"/>
    </row>
    <row r="18" spans="1:92">
      <c r="A18" s="9" t="s">
        <v>273</v>
      </c>
      <c r="B18" s="35">
        <v>7.6260250310764901</v>
      </c>
      <c r="C18" s="32">
        <v>6.49683537459065</v>
      </c>
      <c r="D18" s="32">
        <v>6.7172924419628499</v>
      </c>
      <c r="E18" s="32">
        <v>10.6365707596695</v>
      </c>
      <c r="F18" s="20" t="s">
        <v>76</v>
      </c>
      <c r="G18" s="20" t="s">
        <v>76</v>
      </c>
      <c r="H18" s="15">
        <v>47.826086956521699</v>
      </c>
      <c r="I18" s="20" t="s">
        <v>76</v>
      </c>
      <c r="J18" s="15">
        <v>6.25</v>
      </c>
      <c r="K18" s="20" t="s">
        <v>76</v>
      </c>
      <c r="L18" s="15">
        <v>39.344262295081997</v>
      </c>
      <c r="M18" s="15">
        <v>36.842105263157897</v>
      </c>
      <c r="N18" s="15">
        <v>8.2352941176470598</v>
      </c>
      <c r="O18" s="15">
        <v>11.6279069767442</v>
      </c>
      <c r="P18" s="15">
        <v>11.2676056338028</v>
      </c>
      <c r="Q18" s="15">
        <v>14.084507042253501</v>
      </c>
      <c r="R18" s="20" t="s">
        <v>76</v>
      </c>
      <c r="S18" s="20" t="s">
        <v>76</v>
      </c>
      <c r="T18" s="20" t="s">
        <v>76</v>
      </c>
      <c r="U18" s="20" t="s">
        <v>76</v>
      </c>
      <c r="V18" s="20" t="s">
        <v>76</v>
      </c>
      <c r="W18" s="15">
        <v>8.4745762711864394</v>
      </c>
      <c r="X18" s="20" t="s">
        <v>76</v>
      </c>
      <c r="Y18" s="20" t="s">
        <v>76</v>
      </c>
      <c r="Z18" s="15">
        <v>11.538461538461499</v>
      </c>
      <c r="AA18" s="20" t="s">
        <v>76</v>
      </c>
      <c r="AB18" s="15">
        <v>10.294117647058799</v>
      </c>
      <c r="AC18" s="15">
        <v>4.5454545454545396</v>
      </c>
      <c r="AD18" s="15">
        <v>28.125</v>
      </c>
      <c r="AE18" s="20" t="s">
        <v>76</v>
      </c>
      <c r="AF18" s="20" t="s">
        <v>76</v>
      </c>
      <c r="AG18" s="15">
        <v>6.6666666666666696</v>
      </c>
      <c r="AH18" s="15">
        <v>19.6428571428571</v>
      </c>
      <c r="AI18" s="20" t="s">
        <v>76</v>
      </c>
      <c r="AJ18" s="15">
        <v>8.1081081081081106</v>
      </c>
      <c r="AK18" s="20" t="s">
        <v>76</v>
      </c>
      <c r="AL18" s="15">
        <v>7.7777777777777803</v>
      </c>
      <c r="AM18" s="15">
        <v>18.75</v>
      </c>
      <c r="AN18" s="20" t="s">
        <v>76</v>
      </c>
      <c r="AO18" s="20" t="s">
        <v>76</v>
      </c>
      <c r="AP18" s="15">
        <v>7.7922077922077904</v>
      </c>
      <c r="AQ18" s="20" t="s">
        <v>76</v>
      </c>
      <c r="AR18" s="20" t="s">
        <v>76</v>
      </c>
      <c r="AS18" s="20" t="s">
        <v>76</v>
      </c>
      <c r="AT18" s="20" t="s">
        <v>76</v>
      </c>
      <c r="AU18" s="20" t="s">
        <v>76</v>
      </c>
      <c r="AV18" s="15">
        <v>6.8493150684931496</v>
      </c>
      <c r="AW18" s="15">
        <v>6.8965517241379297</v>
      </c>
      <c r="AX18" s="20" t="s">
        <v>76</v>
      </c>
      <c r="AY18" s="15">
        <v>25.714285714285701</v>
      </c>
      <c r="AZ18" s="15">
        <v>14</v>
      </c>
      <c r="BA18" s="15">
        <v>15.094339622641501</v>
      </c>
      <c r="BB18" s="20" t="s">
        <v>76</v>
      </c>
      <c r="BC18" s="20" t="s">
        <v>76</v>
      </c>
      <c r="BD18" s="15">
        <v>10.2564102564103</v>
      </c>
      <c r="BE18" s="15">
        <v>46.551724137930997</v>
      </c>
      <c r="BF18" s="20" t="s">
        <v>76</v>
      </c>
      <c r="BG18" s="15">
        <v>13.4328358208955</v>
      </c>
      <c r="BH18" s="15">
        <v>20.8333333333333</v>
      </c>
      <c r="BI18" s="20" t="s">
        <v>76</v>
      </c>
      <c r="BJ18" s="15">
        <v>6.25</v>
      </c>
      <c r="BK18" s="15">
        <v>12.5</v>
      </c>
      <c r="BL18" s="15">
        <v>9.375</v>
      </c>
      <c r="BM18" s="15">
        <v>16.8316831683168</v>
      </c>
      <c r="BN18" s="15">
        <v>4.2016806722689104</v>
      </c>
      <c r="BO18" s="20" t="s">
        <v>76</v>
      </c>
      <c r="BP18" s="20" t="s">
        <v>76</v>
      </c>
      <c r="BQ18" s="20" t="s">
        <v>76</v>
      </c>
      <c r="BR18" s="15">
        <v>18.3333333333333</v>
      </c>
      <c r="BS18" s="20" t="s">
        <v>76</v>
      </c>
      <c r="BT18" s="15">
        <v>20.731707317073202</v>
      </c>
      <c r="BU18" s="15">
        <v>5.6074766355140202</v>
      </c>
      <c r="BV18" s="15">
        <v>23.2323232323232</v>
      </c>
      <c r="BW18" s="15">
        <v>7.2463768115942004</v>
      </c>
      <c r="BX18" s="20" t="s">
        <v>76</v>
      </c>
      <c r="BY18" s="15">
        <v>19.047619047619001</v>
      </c>
      <c r="BZ18" s="15">
        <v>10.2040816326531</v>
      </c>
      <c r="CA18" s="32">
        <v>3.5521982401461898</v>
      </c>
      <c r="CB18" s="20" t="s">
        <v>76</v>
      </c>
      <c r="CC18" s="15">
        <v>2.2012578616352201</v>
      </c>
      <c r="CD18" s="15">
        <v>6.4516129032258096</v>
      </c>
      <c r="CE18" s="20" t="s">
        <v>76</v>
      </c>
      <c r="CF18" s="15">
        <v>4.19161676646707</v>
      </c>
      <c r="CG18" s="15">
        <v>4.4692737430167604</v>
      </c>
      <c r="CH18" s="15">
        <v>1.8382352941176501</v>
      </c>
      <c r="CI18" s="15">
        <v>3.0800821355236101</v>
      </c>
      <c r="CJ18" s="15">
        <v>4.31372549019608</v>
      </c>
      <c r="CK18" s="15">
        <v>4.9327354260089704</v>
      </c>
      <c r="CL18" s="15">
        <v>6.8181818181818201</v>
      </c>
      <c r="CM18" s="24">
        <v>1.4989293361884399</v>
      </c>
      <c r="CN18" s="37"/>
    </row>
    <row r="19" spans="1:92">
      <c r="A19" s="9" t="s">
        <v>274</v>
      </c>
      <c r="B19" s="35">
        <v>13.444610326324</v>
      </c>
      <c r="C19" s="32">
        <v>13.6645804119059</v>
      </c>
      <c r="D19" s="32">
        <v>12.8324285453733</v>
      </c>
      <c r="E19" s="32">
        <v>14.327340893392799</v>
      </c>
      <c r="F19" s="20" t="s">
        <v>76</v>
      </c>
      <c r="G19" s="20" t="s">
        <v>76</v>
      </c>
      <c r="H19" s="15">
        <v>73.913043478260903</v>
      </c>
      <c r="I19" s="20" t="s">
        <v>76</v>
      </c>
      <c r="J19" s="15">
        <v>12.5</v>
      </c>
      <c r="K19" s="20" t="s">
        <v>76</v>
      </c>
      <c r="L19" s="15">
        <v>32.786885245901601</v>
      </c>
      <c r="M19" s="15">
        <v>13.157894736842101</v>
      </c>
      <c r="N19" s="15">
        <v>28.235294117647101</v>
      </c>
      <c r="O19" s="20" t="s">
        <v>76</v>
      </c>
      <c r="P19" s="15">
        <v>9.8591549295774694</v>
      </c>
      <c r="Q19" s="15">
        <v>35.2112676056338</v>
      </c>
      <c r="R19" s="20" t="s">
        <v>76</v>
      </c>
      <c r="S19" s="20" t="s">
        <v>76</v>
      </c>
      <c r="T19" s="15">
        <v>12.5</v>
      </c>
      <c r="U19" s="20" t="s">
        <v>76</v>
      </c>
      <c r="V19" s="20" t="s">
        <v>76</v>
      </c>
      <c r="W19" s="15">
        <v>20.338983050847499</v>
      </c>
      <c r="X19" s="20" t="s">
        <v>76</v>
      </c>
      <c r="Y19" s="20" t="s">
        <v>76</v>
      </c>
      <c r="Z19" s="15">
        <v>8.9743589743589691</v>
      </c>
      <c r="AA19" s="15">
        <v>30.275229357798199</v>
      </c>
      <c r="AB19" s="15">
        <v>8.8235294117646994</v>
      </c>
      <c r="AC19" s="20" t="s">
        <v>76</v>
      </c>
      <c r="AD19" s="15">
        <v>56.25</v>
      </c>
      <c r="AE19" s="20" t="s">
        <v>76</v>
      </c>
      <c r="AF19" s="20" t="s">
        <v>76</v>
      </c>
      <c r="AG19" s="15">
        <v>10.476190476190499</v>
      </c>
      <c r="AH19" s="20" t="s">
        <v>76</v>
      </c>
      <c r="AI19" s="20" t="s">
        <v>76</v>
      </c>
      <c r="AJ19" s="20" t="s">
        <v>76</v>
      </c>
      <c r="AK19" s="15">
        <v>20</v>
      </c>
      <c r="AL19" s="15">
        <v>8.8888888888888893</v>
      </c>
      <c r="AM19" s="20" t="s">
        <v>76</v>
      </c>
      <c r="AN19" s="20" t="s">
        <v>76</v>
      </c>
      <c r="AO19" s="20" t="s">
        <v>76</v>
      </c>
      <c r="AP19" s="20" t="s">
        <v>76</v>
      </c>
      <c r="AQ19" s="20" t="s">
        <v>76</v>
      </c>
      <c r="AR19" s="20" t="s">
        <v>76</v>
      </c>
      <c r="AS19" s="20" t="s">
        <v>76</v>
      </c>
      <c r="AT19" s="20" t="s">
        <v>76</v>
      </c>
      <c r="AU19" s="20" t="s">
        <v>76</v>
      </c>
      <c r="AV19" s="20" t="s">
        <v>76</v>
      </c>
      <c r="AW19" s="15">
        <v>12.0689655172414</v>
      </c>
      <c r="AX19" s="15">
        <v>37.5</v>
      </c>
      <c r="AY19" s="15">
        <v>40</v>
      </c>
      <c r="AZ19" s="15">
        <v>36</v>
      </c>
      <c r="BA19" s="15">
        <v>13.207547169811299</v>
      </c>
      <c r="BB19" s="15">
        <v>40.298507462686601</v>
      </c>
      <c r="BC19" s="15">
        <v>12.1621621621622</v>
      </c>
      <c r="BD19" s="20" t="s">
        <v>76</v>
      </c>
      <c r="BE19" s="15">
        <v>44.827586206896598</v>
      </c>
      <c r="BF19" s="20" t="s">
        <v>76</v>
      </c>
      <c r="BG19" s="15">
        <v>11.9402985074627</v>
      </c>
      <c r="BH19" s="15">
        <v>41.6666666666667</v>
      </c>
      <c r="BI19" s="15">
        <v>47.368421052631597</v>
      </c>
      <c r="BJ19" s="15">
        <v>16.964285714285701</v>
      </c>
      <c r="BK19" s="15">
        <v>42.5</v>
      </c>
      <c r="BL19" s="15">
        <v>3.90625</v>
      </c>
      <c r="BM19" s="15">
        <v>35.643564356435597</v>
      </c>
      <c r="BN19" s="15">
        <v>6.7226890756302504</v>
      </c>
      <c r="BO19" s="15">
        <v>5.5555555555555598</v>
      </c>
      <c r="BP19" s="20" t="s">
        <v>76</v>
      </c>
      <c r="BQ19" s="15">
        <v>6.8493150684931496</v>
      </c>
      <c r="BR19" s="15">
        <v>21.6666666666667</v>
      </c>
      <c r="BS19" s="15">
        <v>8.4337349397590398</v>
      </c>
      <c r="BT19" s="15">
        <v>25.609756097561</v>
      </c>
      <c r="BU19" s="15">
        <v>14.953271028037401</v>
      </c>
      <c r="BV19" s="15">
        <v>13.1313131313131</v>
      </c>
      <c r="BW19" s="15">
        <v>13.0434782608696</v>
      </c>
      <c r="BX19" s="20" t="s">
        <v>76</v>
      </c>
      <c r="BY19" s="15">
        <v>14.285714285714301</v>
      </c>
      <c r="BZ19" s="15">
        <v>14.965986394557801</v>
      </c>
      <c r="CA19" s="32">
        <v>11.625181184663001</v>
      </c>
      <c r="CB19" s="15">
        <v>7.0287539936102199</v>
      </c>
      <c r="CC19" s="15">
        <v>17.295597484276701</v>
      </c>
      <c r="CD19" s="15">
        <v>16.7741935483871</v>
      </c>
      <c r="CE19" s="20" t="s">
        <v>76</v>
      </c>
      <c r="CF19" s="15">
        <v>14.6706586826347</v>
      </c>
      <c r="CG19" s="15">
        <v>8.3798882681564208</v>
      </c>
      <c r="CH19" s="15">
        <v>8.4558823529411793</v>
      </c>
      <c r="CI19" s="15">
        <v>16.427104722792599</v>
      </c>
      <c r="CJ19" s="15">
        <v>5.8823529411764701</v>
      </c>
      <c r="CK19" s="15">
        <v>10.762331838565</v>
      </c>
      <c r="CL19" s="15">
        <v>15.454545454545499</v>
      </c>
      <c r="CM19" s="24">
        <v>6.42398286937902</v>
      </c>
      <c r="CN19" s="37"/>
    </row>
    <row r="20" spans="1:92">
      <c r="A20" s="9" t="s">
        <v>275</v>
      </c>
      <c r="B20" s="35">
        <v>0.46537175562595501</v>
      </c>
      <c r="C20" s="32">
        <v>0.39205599649332301</v>
      </c>
      <c r="D20" s="32">
        <v>0.40959667040951903</v>
      </c>
      <c r="E20" s="32">
        <v>0.70269477068645103</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20" t="s">
        <v>76</v>
      </c>
      <c r="T20" s="20" t="s">
        <v>76</v>
      </c>
      <c r="U20" s="20" t="s">
        <v>76</v>
      </c>
      <c r="V20" s="20" t="s">
        <v>76</v>
      </c>
      <c r="W20" s="20" t="s">
        <v>76</v>
      </c>
      <c r="X20" s="20" t="s">
        <v>76</v>
      </c>
      <c r="Y20" s="20" t="s">
        <v>76</v>
      </c>
      <c r="Z20" s="20" t="s">
        <v>76</v>
      </c>
      <c r="AA20" s="15">
        <v>6.4220183486238502</v>
      </c>
      <c r="AB20" s="20" t="s">
        <v>76</v>
      </c>
      <c r="AC20" s="20" t="s">
        <v>76</v>
      </c>
      <c r="AD20" s="20" t="s">
        <v>76</v>
      </c>
      <c r="AE20" s="20" t="s">
        <v>76</v>
      </c>
      <c r="AF20" s="20" t="s">
        <v>76</v>
      </c>
      <c r="AG20" s="20" t="s">
        <v>76</v>
      </c>
      <c r="AH20" s="20" t="s">
        <v>76</v>
      </c>
      <c r="AI20" s="20" t="s">
        <v>76</v>
      </c>
      <c r="AJ20" s="20" t="s">
        <v>76</v>
      </c>
      <c r="AK20" s="20" t="s">
        <v>76</v>
      </c>
      <c r="AL20" s="20" t="s">
        <v>76</v>
      </c>
      <c r="AM20" s="20" t="s">
        <v>76</v>
      </c>
      <c r="AN20" s="20" t="s">
        <v>76</v>
      </c>
      <c r="AO20" s="20" t="s">
        <v>76</v>
      </c>
      <c r="AP20" s="20" t="s">
        <v>76</v>
      </c>
      <c r="AQ20" s="20" t="s">
        <v>76</v>
      </c>
      <c r="AR20" s="20" t="s">
        <v>76</v>
      </c>
      <c r="AS20" s="20" t="s">
        <v>76</v>
      </c>
      <c r="AT20" s="20" t="s">
        <v>76</v>
      </c>
      <c r="AU20" s="20" t="s">
        <v>76</v>
      </c>
      <c r="AV20" s="20" t="s">
        <v>76</v>
      </c>
      <c r="AW20" s="20" t="s">
        <v>76</v>
      </c>
      <c r="AX20" s="20" t="s">
        <v>76</v>
      </c>
      <c r="AY20" s="20" t="s">
        <v>76</v>
      </c>
      <c r="AZ20" s="15">
        <v>18</v>
      </c>
      <c r="BA20" s="20" t="s">
        <v>76</v>
      </c>
      <c r="BB20" s="20" t="s">
        <v>76</v>
      </c>
      <c r="BC20" s="20" t="s">
        <v>76</v>
      </c>
      <c r="BD20" s="20" t="s">
        <v>76</v>
      </c>
      <c r="BE20" s="20" t="s">
        <v>76</v>
      </c>
      <c r="BF20" s="20" t="s">
        <v>76</v>
      </c>
      <c r="BG20" s="20" t="s">
        <v>76</v>
      </c>
      <c r="BH20" s="20" t="s">
        <v>76</v>
      </c>
      <c r="BI20" s="20" t="s">
        <v>76</v>
      </c>
      <c r="BJ20" s="20" t="s">
        <v>76</v>
      </c>
      <c r="BK20" s="15">
        <v>15</v>
      </c>
      <c r="BL20" s="20" t="s">
        <v>76</v>
      </c>
      <c r="BM20" s="20" t="s">
        <v>76</v>
      </c>
      <c r="BN20" s="20" t="s">
        <v>76</v>
      </c>
      <c r="BO20" s="20" t="s">
        <v>76</v>
      </c>
      <c r="BP20" s="20" t="s">
        <v>76</v>
      </c>
      <c r="BQ20" s="20" t="s">
        <v>76</v>
      </c>
      <c r="BR20" s="20" t="s">
        <v>76</v>
      </c>
      <c r="BS20" s="20" t="s">
        <v>76</v>
      </c>
      <c r="BT20" s="20" t="s">
        <v>76</v>
      </c>
      <c r="BU20" s="20" t="s">
        <v>76</v>
      </c>
      <c r="BV20" s="20" t="s">
        <v>76</v>
      </c>
      <c r="BW20" s="20" t="s">
        <v>76</v>
      </c>
      <c r="BX20" s="20" t="s">
        <v>76</v>
      </c>
      <c r="BY20" s="20" t="s">
        <v>76</v>
      </c>
      <c r="BZ20" s="20" t="s">
        <v>76</v>
      </c>
      <c r="CA20" s="38" t="s">
        <v>76</v>
      </c>
      <c r="CB20" s="20" t="s">
        <v>76</v>
      </c>
      <c r="CC20" s="20" t="s">
        <v>76</v>
      </c>
      <c r="CD20" s="20" t="s">
        <v>76</v>
      </c>
      <c r="CE20" s="20" t="s">
        <v>76</v>
      </c>
      <c r="CF20" s="20" t="s">
        <v>76</v>
      </c>
      <c r="CG20" s="20" t="s">
        <v>76</v>
      </c>
      <c r="CH20" s="20" t="s">
        <v>76</v>
      </c>
      <c r="CI20" s="20" t="s">
        <v>76</v>
      </c>
      <c r="CJ20" s="20" t="s">
        <v>76</v>
      </c>
      <c r="CK20" s="20" t="s">
        <v>76</v>
      </c>
      <c r="CL20" s="15">
        <v>0.75757575757575801</v>
      </c>
      <c r="CM20" s="26" t="s">
        <v>76</v>
      </c>
      <c r="CN20" s="37"/>
    </row>
    <row r="21" spans="1:92">
      <c r="A21" s="9" t="s">
        <v>276</v>
      </c>
      <c r="B21" s="35">
        <v>5.0151953745656197</v>
      </c>
      <c r="C21" s="32">
        <v>5.0388810987608803</v>
      </c>
      <c r="D21" s="32">
        <v>6.6366376347099196</v>
      </c>
      <c r="E21" s="32">
        <v>5.0307522318344198</v>
      </c>
      <c r="F21" s="20" t="s">
        <v>76</v>
      </c>
      <c r="G21" s="20" t="s">
        <v>76</v>
      </c>
      <c r="H21" s="20" t="s">
        <v>76</v>
      </c>
      <c r="I21" s="20" t="s">
        <v>76</v>
      </c>
      <c r="J21" s="20" t="s">
        <v>76</v>
      </c>
      <c r="K21" s="20" t="s">
        <v>76</v>
      </c>
      <c r="L21" s="15">
        <v>21.311475409836099</v>
      </c>
      <c r="M21" s="15">
        <v>22.3684210526316</v>
      </c>
      <c r="N21" s="15">
        <v>15.294117647058799</v>
      </c>
      <c r="O21" s="20" t="s">
        <v>76</v>
      </c>
      <c r="P21" s="20" t="s">
        <v>76</v>
      </c>
      <c r="Q21" s="15">
        <v>8.4507042253521103</v>
      </c>
      <c r="R21" s="20" t="s">
        <v>76</v>
      </c>
      <c r="S21" s="20" t="s">
        <v>76</v>
      </c>
      <c r="T21" s="20" t="s">
        <v>76</v>
      </c>
      <c r="U21" s="20" t="s">
        <v>76</v>
      </c>
      <c r="V21" s="20" t="s">
        <v>76</v>
      </c>
      <c r="W21" s="20" t="s">
        <v>76</v>
      </c>
      <c r="X21" s="20" t="s">
        <v>76</v>
      </c>
      <c r="Y21" s="20" t="s">
        <v>76</v>
      </c>
      <c r="Z21" s="20" t="s">
        <v>76</v>
      </c>
      <c r="AA21" s="20" t="s">
        <v>76</v>
      </c>
      <c r="AB21" s="20" t="s">
        <v>76</v>
      </c>
      <c r="AC21" s="20" t="s">
        <v>76</v>
      </c>
      <c r="AD21" s="15">
        <v>25</v>
      </c>
      <c r="AE21" s="20" t="s">
        <v>76</v>
      </c>
      <c r="AF21" s="20" t="s">
        <v>76</v>
      </c>
      <c r="AG21" s="15">
        <v>6.6666666666666696</v>
      </c>
      <c r="AH21" s="15">
        <v>10.714285714285699</v>
      </c>
      <c r="AI21" s="20" t="s">
        <v>76</v>
      </c>
      <c r="AJ21" s="20" t="s">
        <v>76</v>
      </c>
      <c r="AK21" s="15">
        <v>36.6666666666667</v>
      </c>
      <c r="AL21" s="15">
        <v>12.2222222222222</v>
      </c>
      <c r="AM21" s="20" t="s">
        <v>76</v>
      </c>
      <c r="AN21" s="20" t="s">
        <v>76</v>
      </c>
      <c r="AO21" s="20" t="s">
        <v>76</v>
      </c>
      <c r="AP21" s="20" t="s">
        <v>76</v>
      </c>
      <c r="AQ21" s="20" t="s">
        <v>76</v>
      </c>
      <c r="AR21" s="20" t="s">
        <v>76</v>
      </c>
      <c r="AS21" s="20" t="s">
        <v>76</v>
      </c>
      <c r="AT21" s="20" t="s">
        <v>76</v>
      </c>
      <c r="AU21" s="20" t="s">
        <v>76</v>
      </c>
      <c r="AV21" s="20" t="s">
        <v>76</v>
      </c>
      <c r="AW21" s="20" t="s">
        <v>76</v>
      </c>
      <c r="AX21" s="20" t="s">
        <v>76</v>
      </c>
      <c r="AY21" s="20" t="s">
        <v>76</v>
      </c>
      <c r="AZ21" s="20" t="s">
        <v>76</v>
      </c>
      <c r="BA21" s="20" t="s">
        <v>76</v>
      </c>
      <c r="BB21" s="20" t="s">
        <v>76</v>
      </c>
      <c r="BC21" s="20" t="s">
        <v>76</v>
      </c>
      <c r="BD21" s="15">
        <v>6.4102564102564097</v>
      </c>
      <c r="BE21" s="20" t="s">
        <v>76</v>
      </c>
      <c r="BF21" s="15">
        <v>9.6385542168674707</v>
      </c>
      <c r="BG21" s="20" t="s">
        <v>76</v>
      </c>
      <c r="BH21" s="20" t="s">
        <v>76</v>
      </c>
      <c r="BI21" s="20" t="s">
        <v>76</v>
      </c>
      <c r="BJ21" s="15">
        <v>5.3571428571428603</v>
      </c>
      <c r="BK21" s="20" t="s">
        <v>76</v>
      </c>
      <c r="BL21" s="15">
        <v>5.46875</v>
      </c>
      <c r="BM21" s="20" t="s">
        <v>76</v>
      </c>
      <c r="BN21" s="20" t="s">
        <v>76</v>
      </c>
      <c r="BO21" s="20" t="s">
        <v>76</v>
      </c>
      <c r="BP21" s="20" t="s">
        <v>76</v>
      </c>
      <c r="BQ21" s="20" t="s">
        <v>76</v>
      </c>
      <c r="BR21" s="20" t="s">
        <v>76</v>
      </c>
      <c r="BS21" s="20" t="s">
        <v>76</v>
      </c>
      <c r="BT21" s="20" t="s">
        <v>76</v>
      </c>
      <c r="BU21" s="15">
        <v>4.6728971962616797</v>
      </c>
      <c r="BV21" s="20" t="s">
        <v>76</v>
      </c>
      <c r="BW21" s="20" t="s">
        <v>76</v>
      </c>
      <c r="BX21" s="15">
        <v>66.6666666666667</v>
      </c>
      <c r="BY21" s="15">
        <v>14.285714285714301</v>
      </c>
      <c r="BZ21" s="20" t="s">
        <v>76</v>
      </c>
      <c r="CA21" s="32">
        <v>7.9335035792538697</v>
      </c>
      <c r="CB21" s="15">
        <v>6.38977635782748</v>
      </c>
      <c r="CC21" s="15">
        <v>3.1446540880503102</v>
      </c>
      <c r="CD21" s="15">
        <v>9.0322580645161299</v>
      </c>
      <c r="CE21" s="20" t="s">
        <v>76</v>
      </c>
      <c r="CF21" s="15">
        <v>12.5748502994012</v>
      </c>
      <c r="CG21" s="15">
        <v>13.407821229050301</v>
      </c>
      <c r="CH21" s="15">
        <v>10.110294117647101</v>
      </c>
      <c r="CI21" s="15">
        <v>12.5256673511294</v>
      </c>
      <c r="CJ21" s="15">
        <v>9.0196078431372495</v>
      </c>
      <c r="CK21" s="15">
        <v>6.7264573991031398</v>
      </c>
      <c r="CL21" s="15">
        <v>7.5757575757575797</v>
      </c>
      <c r="CM21" s="24">
        <v>4.7109207708779399</v>
      </c>
      <c r="CN21" s="37"/>
    </row>
    <row r="22" spans="1:92">
      <c r="A22" s="9" t="s">
        <v>277</v>
      </c>
      <c r="B22" s="35">
        <v>0.34575010849183002</v>
      </c>
      <c r="C22" s="32">
        <v>0.29777393610707098</v>
      </c>
      <c r="D22" s="38" t="s">
        <v>76</v>
      </c>
      <c r="E22" s="38" t="s">
        <v>76</v>
      </c>
      <c r="F22" s="20" t="s">
        <v>76</v>
      </c>
      <c r="G22" s="20" t="s">
        <v>76</v>
      </c>
      <c r="H22" s="20" t="s">
        <v>76</v>
      </c>
      <c r="I22" s="20" t="s">
        <v>76</v>
      </c>
      <c r="J22" s="20" t="s">
        <v>76</v>
      </c>
      <c r="K22" s="20" t="s">
        <v>76</v>
      </c>
      <c r="L22" s="20" t="s">
        <v>76</v>
      </c>
      <c r="M22" s="20" t="s">
        <v>76</v>
      </c>
      <c r="N22" s="20" t="s">
        <v>76</v>
      </c>
      <c r="O22" s="20" t="s">
        <v>76</v>
      </c>
      <c r="P22" s="20" t="s">
        <v>76</v>
      </c>
      <c r="Q22" s="20" t="s">
        <v>76</v>
      </c>
      <c r="R22" s="20" t="s">
        <v>76</v>
      </c>
      <c r="S22" s="20" t="s">
        <v>76</v>
      </c>
      <c r="T22" s="20" t="s">
        <v>76</v>
      </c>
      <c r="U22" s="20" t="s">
        <v>76</v>
      </c>
      <c r="V22" s="20" t="s">
        <v>76</v>
      </c>
      <c r="W22" s="20" t="s">
        <v>76</v>
      </c>
      <c r="X22" s="20" t="s">
        <v>76</v>
      </c>
      <c r="Y22" s="20" t="s">
        <v>76</v>
      </c>
      <c r="Z22" s="20" t="s">
        <v>76</v>
      </c>
      <c r="AA22" s="20" t="s">
        <v>76</v>
      </c>
      <c r="AB22" s="20" t="s">
        <v>76</v>
      </c>
      <c r="AC22" s="20" t="s">
        <v>76</v>
      </c>
      <c r="AD22" s="20" t="s">
        <v>76</v>
      </c>
      <c r="AE22" s="20" t="s">
        <v>76</v>
      </c>
      <c r="AF22" s="20" t="s">
        <v>76</v>
      </c>
      <c r="AG22" s="20" t="s">
        <v>76</v>
      </c>
      <c r="AH22" s="20" t="s">
        <v>76</v>
      </c>
      <c r="AI22" s="20" t="s">
        <v>76</v>
      </c>
      <c r="AJ22" s="20" t="s">
        <v>76</v>
      </c>
      <c r="AK22" s="20" t="s">
        <v>76</v>
      </c>
      <c r="AL22" s="20" t="s">
        <v>76</v>
      </c>
      <c r="AM22" s="20" t="s">
        <v>76</v>
      </c>
      <c r="AN22" s="20" t="s">
        <v>76</v>
      </c>
      <c r="AO22" s="20" t="s">
        <v>76</v>
      </c>
      <c r="AP22" s="20" t="s">
        <v>76</v>
      </c>
      <c r="AQ22" s="20" t="s">
        <v>76</v>
      </c>
      <c r="AR22" s="20" t="s">
        <v>76</v>
      </c>
      <c r="AS22" s="20" t="s">
        <v>76</v>
      </c>
      <c r="AT22" s="20" t="s">
        <v>76</v>
      </c>
      <c r="AU22" s="20" t="s">
        <v>76</v>
      </c>
      <c r="AV22" s="20" t="s">
        <v>76</v>
      </c>
      <c r="AW22" s="20" t="s">
        <v>76</v>
      </c>
      <c r="AX22" s="20" t="s">
        <v>76</v>
      </c>
      <c r="AY22" s="20" t="s">
        <v>76</v>
      </c>
      <c r="AZ22" s="20" t="s">
        <v>76</v>
      </c>
      <c r="BA22" s="20" t="s">
        <v>76</v>
      </c>
      <c r="BB22" s="20" t="s">
        <v>76</v>
      </c>
      <c r="BC22" s="20" t="s">
        <v>76</v>
      </c>
      <c r="BD22" s="20" t="s">
        <v>76</v>
      </c>
      <c r="BE22" s="20" t="s">
        <v>76</v>
      </c>
      <c r="BF22" s="20" t="s">
        <v>76</v>
      </c>
      <c r="BG22" s="20" t="s">
        <v>76</v>
      </c>
      <c r="BH22" s="20" t="s">
        <v>76</v>
      </c>
      <c r="BI22" s="20" t="s">
        <v>76</v>
      </c>
      <c r="BJ22" s="20" t="s">
        <v>76</v>
      </c>
      <c r="BK22" s="20" t="s">
        <v>76</v>
      </c>
      <c r="BL22" s="20" t="s">
        <v>76</v>
      </c>
      <c r="BM22" s="20" t="s">
        <v>76</v>
      </c>
      <c r="BN22" s="20" t="s">
        <v>76</v>
      </c>
      <c r="BO22" s="20" t="s">
        <v>76</v>
      </c>
      <c r="BP22" s="20" t="s">
        <v>76</v>
      </c>
      <c r="BQ22" s="20" t="s">
        <v>76</v>
      </c>
      <c r="BR22" s="20" t="s">
        <v>76</v>
      </c>
      <c r="BS22" s="20" t="s">
        <v>76</v>
      </c>
      <c r="BT22" s="20" t="s">
        <v>76</v>
      </c>
      <c r="BU22" s="20" t="s">
        <v>76</v>
      </c>
      <c r="BV22" s="20" t="s">
        <v>76</v>
      </c>
      <c r="BW22" s="20" t="s">
        <v>76</v>
      </c>
      <c r="BX22" s="20" t="s">
        <v>76</v>
      </c>
      <c r="BY22" s="20" t="s">
        <v>76</v>
      </c>
      <c r="BZ22" s="20" t="s">
        <v>76</v>
      </c>
      <c r="CA22" s="38" t="s">
        <v>76</v>
      </c>
      <c r="CB22" s="20" t="s">
        <v>76</v>
      </c>
      <c r="CC22" s="20" t="s">
        <v>76</v>
      </c>
      <c r="CD22" s="20" t="s">
        <v>76</v>
      </c>
      <c r="CE22" s="20" t="s">
        <v>76</v>
      </c>
      <c r="CF22" s="20" t="s">
        <v>76</v>
      </c>
      <c r="CG22" s="20" t="s">
        <v>76</v>
      </c>
      <c r="CH22" s="20" t="s">
        <v>76</v>
      </c>
      <c r="CI22" s="20" t="s">
        <v>76</v>
      </c>
      <c r="CJ22" s="20" t="s">
        <v>76</v>
      </c>
      <c r="CK22" s="20" t="s">
        <v>76</v>
      </c>
      <c r="CL22" s="20" t="s">
        <v>76</v>
      </c>
      <c r="CM22" s="26" t="s">
        <v>76</v>
      </c>
      <c r="CN22" s="37"/>
    </row>
    <row r="23" spans="1:92">
      <c r="A23" s="9" t="s">
        <v>278</v>
      </c>
      <c r="B23" s="35">
        <v>5.9219482303521298</v>
      </c>
      <c r="C23" s="32">
        <v>5.8248496999331598</v>
      </c>
      <c r="D23" s="32">
        <v>6.5571303783247696</v>
      </c>
      <c r="E23" s="32">
        <v>8.9496818021449904</v>
      </c>
      <c r="F23" s="20" t="s">
        <v>76</v>
      </c>
      <c r="G23" s="20" t="s">
        <v>76</v>
      </c>
      <c r="H23" s="20" t="s">
        <v>76</v>
      </c>
      <c r="I23" s="20" t="s">
        <v>76</v>
      </c>
      <c r="J23" s="20" t="s">
        <v>76</v>
      </c>
      <c r="K23" s="20" t="s">
        <v>76</v>
      </c>
      <c r="L23" s="15">
        <v>42.622950819672099</v>
      </c>
      <c r="M23" s="15">
        <v>35.526315789473699</v>
      </c>
      <c r="N23" s="15">
        <v>25.882352941176499</v>
      </c>
      <c r="O23" s="15">
        <v>23.255813953488399</v>
      </c>
      <c r="P23" s="15">
        <v>8.4507042253521103</v>
      </c>
      <c r="Q23" s="15">
        <v>28.169014084507001</v>
      </c>
      <c r="R23" s="20" t="s">
        <v>76</v>
      </c>
      <c r="S23" s="20" t="s">
        <v>76</v>
      </c>
      <c r="T23" s="20" t="s">
        <v>76</v>
      </c>
      <c r="U23" s="20" t="s">
        <v>76</v>
      </c>
      <c r="V23" s="20" t="s">
        <v>76</v>
      </c>
      <c r="W23" s="15">
        <v>15.254237288135601</v>
      </c>
      <c r="X23" s="20" t="s">
        <v>76</v>
      </c>
      <c r="Y23" s="20" t="s">
        <v>76</v>
      </c>
      <c r="Z23" s="20" t="s">
        <v>76</v>
      </c>
      <c r="AA23" s="15">
        <v>11.0091743119266</v>
      </c>
      <c r="AB23" s="15">
        <v>13.235294117647101</v>
      </c>
      <c r="AC23" s="15">
        <v>4.5454545454545396</v>
      </c>
      <c r="AD23" s="15">
        <v>31.25</v>
      </c>
      <c r="AE23" s="20" t="s">
        <v>76</v>
      </c>
      <c r="AF23" s="20" t="s">
        <v>76</v>
      </c>
      <c r="AG23" s="15">
        <v>8.5714285714285694</v>
      </c>
      <c r="AH23" s="15">
        <v>10.714285714285699</v>
      </c>
      <c r="AI23" s="20" t="s">
        <v>76</v>
      </c>
      <c r="AJ23" s="15">
        <v>6.3063063063063103</v>
      </c>
      <c r="AK23" s="20" t="s">
        <v>76</v>
      </c>
      <c r="AL23" s="20" t="s">
        <v>76</v>
      </c>
      <c r="AM23" s="15">
        <v>12.5</v>
      </c>
      <c r="AN23" s="20" t="s">
        <v>76</v>
      </c>
      <c r="AO23" s="20" t="s">
        <v>76</v>
      </c>
      <c r="AP23" s="15">
        <v>6.4935064935064899</v>
      </c>
      <c r="AQ23" s="20" t="s">
        <v>76</v>
      </c>
      <c r="AR23" s="20" t="s">
        <v>76</v>
      </c>
      <c r="AS23" s="20" t="s">
        <v>76</v>
      </c>
      <c r="AT23" s="20" t="s">
        <v>76</v>
      </c>
      <c r="AU23" s="20" t="s">
        <v>76</v>
      </c>
      <c r="AV23" s="20" t="s">
        <v>76</v>
      </c>
      <c r="AW23" s="20" t="s">
        <v>76</v>
      </c>
      <c r="AX23" s="20" t="s">
        <v>76</v>
      </c>
      <c r="AY23" s="20" t="s">
        <v>76</v>
      </c>
      <c r="AZ23" s="20" t="s">
        <v>76</v>
      </c>
      <c r="BA23" s="20" t="s">
        <v>76</v>
      </c>
      <c r="BB23" s="15">
        <v>8.9552238805970106</v>
      </c>
      <c r="BC23" s="20" t="s">
        <v>76</v>
      </c>
      <c r="BD23" s="15">
        <v>7.6923076923076898</v>
      </c>
      <c r="BE23" s="15">
        <v>10.3448275862069</v>
      </c>
      <c r="BF23" s="20" t="s">
        <v>76</v>
      </c>
      <c r="BG23" s="15">
        <v>10.4477611940298</v>
      </c>
      <c r="BH23" s="20" t="s">
        <v>76</v>
      </c>
      <c r="BI23" s="20" t="s">
        <v>76</v>
      </c>
      <c r="BJ23" s="15">
        <v>10.714285714285699</v>
      </c>
      <c r="BK23" s="20" t="s">
        <v>76</v>
      </c>
      <c r="BL23" s="15">
        <v>3.90625</v>
      </c>
      <c r="BM23" s="15">
        <v>22.7722772277228</v>
      </c>
      <c r="BN23" s="20" t="s">
        <v>76</v>
      </c>
      <c r="BO23" s="15">
        <v>6.6666666666666696</v>
      </c>
      <c r="BP23" s="20" t="s">
        <v>76</v>
      </c>
      <c r="BQ23" s="20" t="s">
        <v>76</v>
      </c>
      <c r="BR23" s="20" t="s">
        <v>76</v>
      </c>
      <c r="BS23" s="20" t="s">
        <v>76</v>
      </c>
      <c r="BT23" s="20" t="s">
        <v>76</v>
      </c>
      <c r="BU23" s="20" t="s">
        <v>76</v>
      </c>
      <c r="BV23" s="15">
        <v>14.141414141414099</v>
      </c>
      <c r="BW23" s="15">
        <v>7.2463768115942004</v>
      </c>
      <c r="BX23" s="20" t="s">
        <v>76</v>
      </c>
      <c r="BY23" s="15">
        <v>19.047619047619001</v>
      </c>
      <c r="BZ23" s="15">
        <v>17.006802721088398</v>
      </c>
      <c r="CA23" s="32">
        <v>4.6249760312171402</v>
      </c>
      <c r="CB23" s="15">
        <v>2.8753993610223598</v>
      </c>
      <c r="CC23" s="15">
        <v>3.45911949685535</v>
      </c>
      <c r="CD23" s="15">
        <v>8.3870967741935498</v>
      </c>
      <c r="CE23" s="20" t="s">
        <v>76</v>
      </c>
      <c r="CF23" s="15">
        <v>5.6886227544910204</v>
      </c>
      <c r="CG23" s="15">
        <v>6.7039106145251397</v>
      </c>
      <c r="CH23" s="15">
        <v>2.9411764705882399</v>
      </c>
      <c r="CI23" s="15">
        <v>6.3655030800821404</v>
      </c>
      <c r="CJ23" s="15">
        <v>3.1372549019607798</v>
      </c>
      <c r="CK23" s="20" t="s">
        <v>76</v>
      </c>
      <c r="CL23" s="15">
        <v>5.3030303030303001</v>
      </c>
      <c r="CM23" s="24">
        <v>3.21199143468951</v>
      </c>
      <c r="CN23" s="37"/>
    </row>
    <row r="24" spans="1:92">
      <c r="A24" s="9" t="s">
        <v>279</v>
      </c>
      <c r="B24" s="35">
        <v>20.415948364302501</v>
      </c>
      <c r="C24" s="32">
        <v>19.982362195565301</v>
      </c>
      <c r="D24" s="32">
        <v>18.436553386053401</v>
      </c>
      <c r="E24" s="32">
        <v>20.157732987983799</v>
      </c>
      <c r="F24" s="20" t="s">
        <v>76</v>
      </c>
      <c r="G24" s="20" t="s">
        <v>76</v>
      </c>
      <c r="H24" s="15">
        <v>60.869565217391298</v>
      </c>
      <c r="I24" s="20" t="s">
        <v>76</v>
      </c>
      <c r="J24" s="15">
        <v>13.8888888888889</v>
      </c>
      <c r="K24" s="15">
        <v>12.8205128205128</v>
      </c>
      <c r="L24" s="15">
        <v>47.540983606557397</v>
      </c>
      <c r="M24" s="15">
        <v>38.157894736842103</v>
      </c>
      <c r="N24" s="15">
        <v>25.882352941176499</v>
      </c>
      <c r="O24" s="15">
        <v>20.930232558139501</v>
      </c>
      <c r="P24" s="15">
        <v>23.943661971830998</v>
      </c>
      <c r="Q24" s="15">
        <v>30.985915492957702</v>
      </c>
      <c r="R24" s="20" t="s">
        <v>76</v>
      </c>
      <c r="S24" s="20" t="s">
        <v>76</v>
      </c>
      <c r="T24" s="15">
        <v>12.5</v>
      </c>
      <c r="U24" s="15">
        <v>23.8095238095238</v>
      </c>
      <c r="V24" s="15">
        <v>17.647058823529399</v>
      </c>
      <c r="W24" s="15">
        <v>22.033898305084701</v>
      </c>
      <c r="X24" s="20" t="s">
        <v>76</v>
      </c>
      <c r="Y24" s="20" t="s">
        <v>76</v>
      </c>
      <c r="Z24" s="15">
        <v>8.9743589743589691</v>
      </c>
      <c r="AA24" s="15">
        <v>20.183486238532101</v>
      </c>
      <c r="AB24" s="15">
        <v>8.8235294117646994</v>
      </c>
      <c r="AC24" s="15">
        <v>9.0909090909090899</v>
      </c>
      <c r="AD24" s="15">
        <v>53.125</v>
      </c>
      <c r="AE24" s="20" t="s">
        <v>76</v>
      </c>
      <c r="AF24" s="20" t="s">
        <v>76</v>
      </c>
      <c r="AG24" s="15">
        <v>10.476190476190499</v>
      </c>
      <c r="AH24" s="15">
        <v>42.857142857142897</v>
      </c>
      <c r="AI24" s="20" t="s">
        <v>76</v>
      </c>
      <c r="AJ24" s="15">
        <v>10.8108108108108</v>
      </c>
      <c r="AK24" s="15">
        <v>40</v>
      </c>
      <c r="AL24" s="15">
        <v>12.2222222222222</v>
      </c>
      <c r="AM24" s="15">
        <v>17.1875</v>
      </c>
      <c r="AN24" s="20" t="s">
        <v>76</v>
      </c>
      <c r="AO24" s="15">
        <v>15</v>
      </c>
      <c r="AP24" s="15">
        <v>16.883116883116902</v>
      </c>
      <c r="AQ24" s="20" t="s">
        <v>76</v>
      </c>
      <c r="AR24" s="20" t="s">
        <v>76</v>
      </c>
      <c r="AS24" s="15">
        <v>54.545454545454497</v>
      </c>
      <c r="AT24" s="15">
        <v>12.307692307692299</v>
      </c>
      <c r="AU24" s="15">
        <v>10.2040816326531</v>
      </c>
      <c r="AV24" s="15">
        <v>8.2191780821917799</v>
      </c>
      <c r="AW24" s="15">
        <v>15.517241379310301</v>
      </c>
      <c r="AX24" s="20" t="s">
        <v>76</v>
      </c>
      <c r="AY24" s="15">
        <v>54.285714285714299</v>
      </c>
      <c r="AZ24" s="15">
        <v>50</v>
      </c>
      <c r="BA24" s="15">
        <v>13.207547169811299</v>
      </c>
      <c r="BB24" s="15">
        <v>29.8507462686567</v>
      </c>
      <c r="BC24" s="15">
        <v>17.5675675675676</v>
      </c>
      <c r="BD24" s="15">
        <v>23.076923076923102</v>
      </c>
      <c r="BE24" s="15">
        <v>48.275862068965502</v>
      </c>
      <c r="BF24" s="15">
        <v>6.0240963855421699</v>
      </c>
      <c r="BG24" s="15">
        <v>22.388059701492502</v>
      </c>
      <c r="BH24" s="15">
        <v>33.3333333333333</v>
      </c>
      <c r="BI24" s="15">
        <v>36.842105263157897</v>
      </c>
      <c r="BJ24" s="15">
        <v>14.285714285714301</v>
      </c>
      <c r="BK24" s="15">
        <v>37.5</v>
      </c>
      <c r="BL24" s="15">
        <v>11.71875</v>
      </c>
      <c r="BM24" s="15">
        <v>29.702970297029701</v>
      </c>
      <c r="BN24" s="15">
        <v>5.8823529411764701</v>
      </c>
      <c r="BO24" s="15">
        <v>8.8888888888888893</v>
      </c>
      <c r="BP24" s="20" t="s">
        <v>76</v>
      </c>
      <c r="BQ24" s="15">
        <v>15.068493150684899</v>
      </c>
      <c r="BR24" s="15">
        <v>25</v>
      </c>
      <c r="BS24" s="15">
        <v>10.8433734939759</v>
      </c>
      <c r="BT24" s="15">
        <v>19.512195121951201</v>
      </c>
      <c r="BU24" s="15">
        <v>13.0841121495327</v>
      </c>
      <c r="BV24" s="15">
        <v>33.3333333333333</v>
      </c>
      <c r="BW24" s="15">
        <v>26.086956521739101</v>
      </c>
      <c r="BX24" s="15">
        <v>55.5555555555556</v>
      </c>
      <c r="BY24" s="15">
        <v>20.634920634920601</v>
      </c>
      <c r="BZ24" s="15">
        <v>25.170068027210899</v>
      </c>
      <c r="CA24" s="32">
        <v>17.0465792283767</v>
      </c>
      <c r="CB24" s="15">
        <v>11.182108626198101</v>
      </c>
      <c r="CC24" s="15">
        <v>21.698113207547198</v>
      </c>
      <c r="CD24" s="15">
        <v>13.548387096774199</v>
      </c>
      <c r="CE24" s="20" t="s">
        <v>76</v>
      </c>
      <c r="CF24" s="15">
        <v>21.257485029940099</v>
      </c>
      <c r="CG24" s="15">
        <v>16.201117318435799</v>
      </c>
      <c r="CH24" s="15">
        <v>16.727941176470601</v>
      </c>
      <c r="CI24" s="15">
        <v>23.203285420944599</v>
      </c>
      <c r="CJ24" s="15">
        <v>10.980392156862701</v>
      </c>
      <c r="CK24" s="15">
        <v>20.627802690583</v>
      </c>
      <c r="CL24" s="15">
        <v>16.818181818181799</v>
      </c>
      <c r="CM24" s="24">
        <v>15.4175588865096</v>
      </c>
      <c r="CN24" s="37"/>
    </row>
    <row r="25" spans="1:92">
      <c r="A25" s="9" t="s">
        <v>280</v>
      </c>
      <c r="B25" s="35">
        <v>0.42899329318620799</v>
      </c>
      <c r="C25" s="32">
        <v>0.38902869221368802</v>
      </c>
      <c r="D25" s="38" t="s">
        <v>76</v>
      </c>
      <c r="E25" s="38" t="s">
        <v>76</v>
      </c>
      <c r="F25" s="20" t="s">
        <v>76</v>
      </c>
      <c r="G25" s="20" t="s">
        <v>76</v>
      </c>
      <c r="H25" s="20" t="s">
        <v>76</v>
      </c>
      <c r="I25" s="20" t="s">
        <v>76</v>
      </c>
      <c r="J25" s="20" t="s">
        <v>76</v>
      </c>
      <c r="K25" s="20" t="s">
        <v>76</v>
      </c>
      <c r="L25" s="20" t="s">
        <v>76</v>
      </c>
      <c r="M25" s="20" t="s">
        <v>76</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20" t="s">
        <v>76</v>
      </c>
      <c r="AH25" s="20" t="s">
        <v>76</v>
      </c>
      <c r="AI25" s="20" t="s">
        <v>76</v>
      </c>
      <c r="AJ25" s="20" t="s">
        <v>76</v>
      </c>
      <c r="AK25" s="20" t="s">
        <v>76</v>
      </c>
      <c r="AL25" s="20" t="s">
        <v>76</v>
      </c>
      <c r="AM25" s="20" t="s">
        <v>76</v>
      </c>
      <c r="AN25" s="20" t="s">
        <v>76</v>
      </c>
      <c r="AO25" s="20" t="s">
        <v>76</v>
      </c>
      <c r="AP25" s="20" t="s">
        <v>76</v>
      </c>
      <c r="AQ25" s="20" t="s">
        <v>76</v>
      </c>
      <c r="AR25" s="20" t="s">
        <v>76</v>
      </c>
      <c r="AS25" s="20" t="s">
        <v>76</v>
      </c>
      <c r="AT25" s="20" t="s">
        <v>76</v>
      </c>
      <c r="AU25" s="20" t="s">
        <v>76</v>
      </c>
      <c r="AV25" s="20" t="s">
        <v>76</v>
      </c>
      <c r="AW25" s="20" t="s">
        <v>76</v>
      </c>
      <c r="AX25" s="20" t="s">
        <v>76</v>
      </c>
      <c r="AY25" s="20" t="s">
        <v>76</v>
      </c>
      <c r="AZ25" s="20" t="s">
        <v>76</v>
      </c>
      <c r="BA25" s="20" t="s">
        <v>76</v>
      </c>
      <c r="BB25" s="20" t="s">
        <v>76</v>
      </c>
      <c r="BC25" s="20" t="s">
        <v>76</v>
      </c>
      <c r="BD25" s="20" t="s">
        <v>76</v>
      </c>
      <c r="BE25" s="20" t="s">
        <v>76</v>
      </c>
      <c r="BF25" s="20" t="s">
        <v>76</v>
      </c>
      <c r="BG25" s="20" t="s">
        <v>76</v>
      </c>
      <c r="BH25" s="20" t="s">
        <v>76</v>
      </c>
      <c r="BI25" s="20" t="s">
        <v>76</v>
      </c>
      <c r="BJ25" s="20" t="s">
        <v>76</v>
      </c>
      <c r="BK25" s="20" t="s">
        <v>76</v>
      </c>
      <c r="BL25" s="20" t="s">
        <v>76</v>
      </c>
      <c r="BM25" s="20" t="s">
        <v>76</v>
      </c>
      <c r="BN25" s="20" t="s">
        <v>76</v>
      </c>
      <c r="BO25" s="20" t="s">
        <v>76</v>
      </c>
      <c r="BP25" s="20" t="s">
        <v>76</v>
      </c>
      <c r="BQ25" s="20" t="s">
        <v>76</v>
      </c>
      <c r="BR25" s="20" t="s">
        <v>76</v>
      </c>
      <c r="BS25" s="20" t="s">
        <v>76</v>
      </c>
      <c r="BT25" s="20" t="s">
        <v>76</v>
      </c>
      <c r="BU25" s="20" t="s">
        <v>76</v>
      </c>
      <c r="BV25" s="20" t="s">
        <v>76</v>
      </c>
      <c r="BW25" s="20" t="s">
        <v>76</v>
      </c>
      <c r="BX25" s="20" t="s">
        <v>76</v>
      </c>
      <c r="BY25" s="20" t="s">
        <v>76</v>
      </c>
      <c r="BZ25" s="20" t="s">
        <v>76</v>
      </c>
      <c r="CA25" s="38" t="s">
        <v>76</v>
      </c>
      <c r="CB25" s="20" t="s">
        <v>76</v>
      </c>
      <c r="CC25" s="20" t="s">
        <v>76</v>
      </c>
      <c r="CD25" s="20" t="s">
        <v>76</v>
      </c>
      <c r="CE25" s="20" t="s">
        <v>76</v>
      </c>
      <c r="CF25" s="20" t="s">
        <v>76</v>
      </c>
      <c r="CG25" s="20" t="s">
        <v>76</v>
      </c>
      <c r="CH25" s="20" t="s">
        <v>76</v>
      </c>
      <c r="CI25" s="20" t="s">
        <v>76</v>
      </c>
      <c r="CJ25" s="20" t="s">
        <v>76</v>
      </c>
      <c r="CK25" s="20" t="s">
        <v>76</v>
      </c>
      <c r="CL25" s="20" t="s">
        <v>76</v>
      </c>
      <c r="CM25" s="26" t="s">
        <v>76</v>
      </c>
      <c r="CN25" s="37"/>
    </row>
    <row r="26" spans="1:92">
      <c r="A26" s="9" t="s">
        <v>281</v>
      </c>
      <c r="B26" s="35">
        <v>0.93990188308522504</v>
      </c>
      <c r="C26" s="32">
        <v>0.69711002399192701</v>
      </c>
      <c r="D26" s="32">
        <v>0.56766677744423799</v>
      </c>
      <c r="E26" s="32">
        <v>1.0206542839225099</v>
      </c>
      <c r="F26" s="20" t="s">
        <v>76</v>
      </c>
      <c r="G26" s="20" t="s">
        <v>76</v>
      </c>
      <c r="H26" s="20" t="s">
        <v>76</v>
      </c>
      <c r="I26" s="20" t="s">
        <v>76</v>
      </c>
      <c r="J26" s="20" t="s">
        <v>76</v>
      </c>
      <c r="K26" s="20" t="s">
        <v>76</v>
      </c>
      <c r="L26" s="15">
        <v>21.311475409836099</v>
      </c>
      <c r="M26" s="20" t="s">
        <v>76</v>
      </c>
      <c r="N26" s="20" t="s">
        <v>76</v>
      </c>
      <c r="O26" s="20" t="s">
        <v>76</v>
      </c>
      <c r="P26" s="20" t="s">
        <v>76</v>
      </c>
      <c r="Q26" s="20" t="s">
        <v>76</v>
      </c>
      <c r="R26" s="20" t="s">
        <v>76</v>
      </c>
      <c r="S26" s="20" t="s">
        <v>76</v>
      </c>
      <c r="T26" s="20" t="s">
        <v>76</v>
      </c>
      <c r="U26" s="20" t="s">
        <v>76</v>
      </c>
      <c r="V26" s="20" t="s">
        <v>76</v>
      </c>
      <c r="W26" s="20" t="s">
        <v>76</v>
      </c>
      <c r="X26" s="20" t="s">
        <v>76</v>
      </c>
      <c r="Y26" s="20" t="s">
        <v>76</v>
      </c>
      <c r="Z26" s="20" t="s">
        <v>76</v>
      </c>
      <c r="AA26" s="20" t="s">
        <v>76</v>
      </c>
      <c r="AB26" s="20" t="s">
        <v>76</v>
      </c>
      <c r="AC26" s="20" t="s">
        <v>76</v>
      </c>
      <c r="AD26" s="20" t="s">
        <v>76</v>
      </c>
      <c r="AE26" s="20" t="s">
        <v>76</v>
      </c>
      <c r="AF26" s="20" t="s">
        <v>76</v>
      </c>
      <c r="AG26" s="20" t="s">
        <v>76</v>
      </c>
      <c r="AH26" s="20" t="s">
        <v>76</v>
      </c>
      <c r="AI26" s="20" t="s">
        <v>76</v>
      </c>
      <c r="AJ26" s="20" t="s">
        <v>76</v>
      </c>
      <c r="AK26" s="20" t="s">
        <v>76</v>
      </c>
      <c r="AL26" s="20" t="s">
        <v>76</v>
      </c>
      <c r="AM26" s="20" t="s">
        <v>76</v>
      </c>
      <c r="AN26" s="20" t="s">
        <v>76</v>
      </c>
      <c r="AO26" s="20" t="s">
        <v>76</v>
      </c>
      <c r="AP26" s="20" t="s">
        <v>76</v>
      </c>
      <c r="AQ26" s="20" t="s">
        <v>76</v>
      </c>
      <c r="AR26" s="20" t="s">
        <v>76</v>
      </c>
      <c r="AS26" s="20" t="s">
        <v>76</v>
      </c>
      <c r="AT26" s="20" t="s">
        <v>76</v>
      </c>
      <c r="AU26" s="20" t="s">
        <v>76</v>
      </c>
      <c r="AV26" s="20" t="s">
        <v>76</v>
      </c>
      <c r="AW26" s="20" t="s">
        <v>76</v>
      </c>
      <c r="AX26" s="20" t="s">
        <v>76</v>
      </c>
      <c r="AY26" s="20" t="s">
        <v>76</v>
      </c>
      <c r="AZ26" s="20" t="s">
        <v>76</v>
      </c>
      <c r="BA26" s="20" t="s">
        <v>76</v>
      </c>
      <c r="BB26" s="20" t="s">
        <v>76</v>
      </c>
      <c r="BC26" s="20" t="s">
        <v>76</v>
      </c>
      <c r="BD26" s="15">
        <v>10.2564102564103</v>
      </c>
      <c r="BE26" s="20" t="s">
        <v>76</v>
      </c>
      <c r="BF26" s="20" t="s">
        <v>76</v>
      </c>
      <c r="BG26" s="20" t="s">
        <v>76</v>
      </c>
      <c r="BH26" s="20" t="s">
        <v>76</v>
      </c>
      <c r="BI26" s="20" t="s">
        <v>76</v>
      </c>
      <c r="BJ26" s="20" t="s">
        <v>76</v>
      </c>
      <c r="BK26" s="20" t="s">
        <v>76</v>
      </c>
      <c r="BL26" s="20" t="s">
        <v>76</v>
      </c>
      <c r="BM26" s="20" t="s">
        <v>76</v>
      </c>
      <c r="BN26" s="20" t="s">
        <v>76</v>
      </c>
      <c r="BO26" s="20" t="s">
        <v>76</v>
      </c>
      <c r="BP26" s="20" t="s">
        <v>76</v>
      </c>
      <c r="BQ26" s="20" t="s">
        <v>76</v>
      </c>
      <c r="BR26" s="20" t="s">
        <v>76</v>
      </c>
      <c r="BS26" s="20" t="s">
        <v>76</v>
      </c>
      <c r="BT26" s="20" t="s">
        <v>76</v>
      </c>
      <c r="BU26" s="20" t="s">
        <v>76</v>
      </c>
      <c r="BV26" s="20" t="s">
        <v>76</v>
      </c>
      <c r="BW26" s="20" t="s">
        <v>76</v>
      </c>
      <c r="BX26" s="20" t="s">
        <v>76</v>
      </c>
      <c r="BY26" s="20" t="s">
        <v>76</v>
      </c>
      <c r="BZ26" s="20" t="s">
        <v>76</v>
      </c>
      <c r="CA26" s="38" t="s">
        <v>76</v>
      </c>
      <c r="CB26" s="20" t="s">
        <v>76</v>
      </c>
      <c r="CC26" s="20" t="s">
        <v>76</v>
      </c>
      <c r="CD26" s="20" t="s">
        <v>76</v>
      </c>
      <c r="CE26" s="20" t="s">
        <v>76</v>
      </c>
      <c r="CF26" s="20" t="s">
        <v>76</v>
      </c>
      <c r="CG26" s="20" t="s">
        <v>76</v>
      </c>
      <c r="CH26" s="20" t="s">
        <v>76</v>
      </c>
      <c r="CI26" s="20" t="s">
        <v>76</v>
      </c>
      <c r="CJ26" s="20" t="s">
        <v>76</v>
      </c>
      <c r="CK26" s="20" t="s">
        <v>76</v>
      </c>
      <c r="CL26" s="20" t="s">
        <v>76</v>
      </c>
      <c r="CM26" s="26" t="s">
        <v>76</v>
      </c>
      <c r="CN26" s="37"/>
    </row>
    <row r="27" spans="1:92">
      <c r="A27" s="9" t="s">
        <v>282</v>
      </c>
      <c r="B27" s="35">
        <v>3.62386696597919</v>
      </c>
      <c r="C27" s="32">
        <v>3.21663066456698</v>
      </c>
      <c r="D27" s="32">
        <v>3.3604229192434198</v>
      </c>
      <c r="E27" s="32">
        <v>3.7060392928101402</v>
      </c>
      <c r="F27" s="20" t="s">
        <v>76</v>
      </c>
      <c r="G27" s="20" t="s">
        <v>76</v>
      </c>
      <c r="H27" s="20" t="s">
        <v>76</v>
      </c>
      <c r="I27" s="20" t="s">
        <v>76</v>
      </c>
      <c r="J27" s="20" t="s">
        <v>76</v>
      </c>
      <c r="K27" s="20" t="s">
        <v>76</v>
      </c>
      <c r="L27" s="15">
        <v>21.311475409836099</v>
      </c>
      <c r="M27" s="15">
        <v>23.684210526315798</v>
      </c>
      <c r="N27" s="15">
        <v>14.117647058823501</v>
      </c>
      <c r="O27" s="20" t="s">
        <v>76</v>
      </c>
      <c r="P27" s="20" t="s">
        <v>76</v>
      </c>
      <c r="Q27" s="15">
        <v>18.309859154929601</v>
      </c>
      <c r="R27" s="20" t="s">
        <v>76</v>
      </c>
      <c r="S27" s="20" t="s">
        <v>76</v>
      </c>
      <c r="T27" s="20" t="s">
        <v>76</v>
      </c>
      <c r="U27" s="20" t="s">
        <v>76</v>
      </c>
      <c r="V27" s="20" t="s">
        <v>76</v>
      </c>
      <c r="W27" s="20" t="s">
        <v>76</v>
      </c>
      <c r="X27" s="20" t="s">
        <v>76</v>
      </c>
      <c r="Y27" s="20" t="s">
        <v>76</v>
      </c>
      <c r="Z27" s="20" t="s">
        <v>76</v>
      </c>
      <c r="AA27" s="20" t="s">
        <v>76</v>
      </c>
      <c r="AB27" s="20" t="s">
        <v>76</v>
      </c>
      <c r="AC27" s="20" t="s">
        <v>76</v>
      </c>
      <c r="AD27" s="20" t="s">
        <v>76</v>
      </c>
      <c r="AE27" s="20" t="s">
        <v>76</v>
      </c>
      <c r="AF27" s="20" t="s">
        <v>76</v>
      </c>
      <c r="AG27" s="20" t="s">
        <v>76</v>
      </c>
      <c r="AH27" s="20" t="s">
        <v>76</v>
      </c>
      <c r="AI27" s="20" t="s">
        <v>76</v>
      </c>
      <c r="AJ27" s="20" t="s">
        <v>76</v>
      </c>
      <c r="AK27" s="20" t="s">
        <v>76</v>
      </c>
      <c r="AL27" s="20" t="s">
        <v>76</v>
      </c>
      <c r="AM27" s="20" t="s">
        <v>76</v>
      </c>
      <c r="AN27" s="20" t="s">
        <v>76</v>
      </c>
      <c r="AO27" s="20" t="s">
        <v>76</v>
      </c>
      <c r="AP27" s="15">
        <v>7.7922077922077904</v>
      </c>
      <c r="AQ27" s="20" t="s">
        <v>76</v>
      </c>
      <c r="AR27" s="20" t="s">
        <v>76</v>
      </c>
      <c r="AS27" s="20" t="s">
        <v>76</v>
      </c>
      <c r="AT27" s="20" t="s">
        <v>76</v>
      </c>
      <c r="AU27" s="20" t="s">
        <v>76</v>
      </c>
      <c r="AV27" s="20" t="s">
        <v>76</v>
      </c>
      <c r="AW27" s="20" t="s">
        <v>76</v>
      </c>
      <c r="AX27" s="20" t="s">
        <v>76</v>
      </c>
      <c r="AY27" s="20" t="s">
        <v>76</v>
      </c>
      <c r="AZ27" s="20" t="s">
        <v>76</v>
      </c>
      <c r="BA27" s="20" t="s">
        <v>76</v>
      </c>
      <c r="BB27" s="20" t="s">
        <v>76</v>
      </c>
      <c r="BC27" s="20" t="s">
        <v>76</v>
      </c>
      <c r="BD27" s="20" t="s">
        <v>76</v>
      </c>
      <c r="BE27" s="15">
        <v>12.0689655172414</v>
      </c>
      <c r="BF27" s="20" t="s">
        <v>76</v>
      </c>
      <c r="BG27" s="20" t="s">
        <v>76</v>
      </c>
      <c r="BH27" s="20" t="s">
        <v>76</v>
      </c>
      <c r="BI27" s="20" t="s">
        <v>76</v>
      </c>
      <c r="BJ27" s="20" t="s">
        <v>76</v>
      </c>
      <c r="BK27" s="20" t="s">
        <v>76</v>
      </c>
      <c r="BL27" s="15">
        <v>3.90625</v>
      </c>
      <c r="BM27" s="20" t="s">
        <v>76</v>
      </c>
      <c r="BN27" s="20" t="s">
        <v>76</v>
      </c>
      <c r="BO27" s="20" t="s">
        <v>76</v>
      </c>
      <c r="BP27" s="20" t="s">
        <v>76</v>
      </c>
      <c r="BQ27" s="20" t="s">
        <v>76</v>
      </c>
      <c r="BR27" s="20" t="s">
        <v>76</v>
      </c>
      <c r="BS27" s="20" t="s">
        <v>76</v>
      </c>
      <c r="BT27" s="15">
        <v>17.0731707317073</v>
      </c>
      <c r="BU27" s="20" t="s">
        <v>76</v>
      </c>
      <c r="BV27" s="20" t="s">
        <v>76</v>
      </c>
      <c r="BW27" s="15">
        <v>7.2463768115942004</v>
      </c>
      <c r="BX27" s="20" t="s">
        <v>76</v>
      </c>
      <c r="BY27" s="20" t="s">
        <v>76</v>
      </c>
      <c r="BZ27" s="15">
        <v>19.727891156462601</v>
      </c>
      <c r="CA27" s="32">
        <v>3.0813132742134002</v>
      </c>
      <c r="CB27" s="15">
        <v>2.8753993610223598</v>
      </c>
      <c r="CC27" s="20" t="s">
        <v>76</v>
      </c>
      <c r="CD27" s="15">
        <v>3.2258064516128999</v>
      </c>
      <c r="CE27" s="20" t="s">
        <v>76</v>
      </c>
      <c r="CF27" s="15">
        <v>4.7904191616766498</v>
      </c>
      <c r="CG27" s="15">
        <v>6.7039106145251397</v>
      </c>
      <c r="CH27" s="15">
        <v>1.8382352941176501</v>
      </c>
      <c r="CI27" s="15">
        <v>6.5708418891170401</v>
      </c>
      <c r="CJ27" s="20" t="s">
        <v>76</v>
      </c>
      <c r="CK27" s="15">
        <v>3.1390134529148002</v>
      </c>
      <c r="CL27" s="15">
        <v>3.48484848484848</v>
      </c>
      <c r="CM27" s="26" t="s">
        <v>76</v>
      </c>
      <c r="CN27" s="37"/>
    </row>
    <row r="28" spans="1:92">
      <c r="A28" s="9" t="s">
        <v>283</v>
      </c>
      <c r="B28" s="35">
        <v>0.494849613593491</v>
      </c>
      <c r="C28" s="32">
        <v>0.37790524932387898</v>
      </c>
      <c r="D28" s="32">
        <v>0.41864598540630799</v>
      </c>
      <c r="E28" s="38" t="s">
        <v>76</v>
      </c>
      <c r="F28" s="20" t="s">
        <v>76</v>
      </c>
      <c r="G28" s="20" t="s">
        <v>76</v>
      </c>
      <c r="H28" s="20" t="s">
        <v>76</v>
      </c>
      <c r="I28" s="20" t="s">
        <v>76</v>
      </c>
      <c r="J28" s="20" t="s">
        <v>76</v>
      </c>
      <c r="K28" s="20" t="s">
        <v>76</v>
      </c>
      <c r="L28" s="20" t="s">
        <v>76</v>
      </c>
      <c r="M28" s="20" t="s">
        <v>76</v>
      </c>
      <c r="N28" s="20" t="s">
        <v>76</v>
      </c>
      <c r="O28" s="20" t="s">
        <v>76</v>
      </c>
      <c r="P28" s="20" t="s">
        <v>76</v>
      </c>
      <c r="Q28" s="20" t="s">
        <v>76</v>
      </c>
      <c r="R28" s="20" t="s">
        <v>76</v>
      </c>
      <c r="S28" s="20" t="s">
        <v>76</v>
      </c>
      <c r="T28" s="20" t="s">
        <v>76</v>
      </c>
      <c r="U28" s="20" t="s">
        <v>76</v>
      </c>
      <c r="V28" s="20" t="s">
        <v>76</v>
      </c>
      <c r="W28" s="20" t="s">
        <v>76</v>
      </c>
      <c r="X28" s="20" t="s">
        <v>76</v>
      </c>
      <c r="Y28" s="20" t="s">
        <v>76</v>
      </c>
      <c r="Z28" s="20" t="s">
        <v>76</v>
      </c>
      <c r="AA28" s="20" t="s">
        <v>76</v>
      </c>
      <c r="AB28" s="20" t="s">
        <v>76</v>
      </c>
      <c r="AC28" s="20" t="s">
        <v>76</v>
      </c>
      <c r="AD28" s="20" t="s">
        <v>76</v>
      </c>
      <c r="AE28" s="20" t="s">
        <v>76</v>
      </c>
      <c r="AF28" s="20" t="s">
        <v>76</v>
      </c>
      <c r="AG28" s="20" t="s">
        <v>76</v>
      </c>
      <c r="AH28" s="20" t="s">
        <v>76</v>
      </c>
      <c r="AI28" s="20" t="s">
        <v>76</v>
      </c>
      <c r="AJ28" s="20" t="s">
        <v>76</v>
      </c>
      <c r="AK28" s="20" t="s">
        <v>76</v>
      </c>
      <c r="AL28" s="20" t="s">
        <v>76</v>
      </c>
      <c r="AM28" s="20" t="s">
        <v>76</v>
      </c>
      <c r="AN28" s="20" t="s">
        <v>76</v>
      </c>
      <c r="AO28" s="20" t="s">
        <v>76</v>
      </c>
      <c r="AP28" s="20" t="s">
        <v>76</v>
      </c>
      <c r="AQ28" s="20" t="s">
        <v>76</v>
      </c>
      <c r="AR28" s="20" t="s">
        <v>76</v>
      </c>
      <c r="AS28" s="20" t="s">
        <v>76</v>
      </c>
      <c r="AT28" s="20" t="s">
        <v>76</v>
      </c>
      <c r="AU28" s="20" t="s">
        <v>76</v>
      </c>
      <c r="AV28" s="20" t="s">
        <v>76</v>
      </c>
      <c r="AW28" s="20" t="s">
        <v>76</v>
      </c>
      <c r="AX28" s="20" t="s">
        <v>76</v>
      </c>
      <c r="AY28" s="20" t="s">
        <v>76</v>
      </c>
      <c r="AZ28" s="20" t="s">
        <v>76</v>
      </c>
      <c r="BA28" s="20" t="s">
        <v>76</v>
      </c>
      <c r="BB28" s="20" t="s">
        <v>76</v>
      </c>
      <c r="BC28" s="20" t="s">
        <v>76</v>
      </c>
      <c r="BD28" s="20" t="s">
        <v>76</v>
      </c>
      <c r="BE28" s="20" t="s">
        <v>76</v>
      </c>
      <c r="BF28" s="20" t="s">
        <v>76</v>
      </c>
      <c r="BG28" s="20" t="s">
        <v>76</v>
      </c>
      <c r="BH28" s="20" t="s">
        <v>76</v>
      </c>
      <c r="BI28" s="20" t="s">
        <v>76</v>
      </c>
      <c r="BJ28" s="20" t="s">
        <v>76</v>
      </c>
      <c r="BK28" s="20" t="s">
        <v>76</v>
      </c>
      <c r="BL28" s="20" t="s">
        <v>76</v>
      </c>
      <c r="BM28" s="20" t="s">
        <v>76</v>
      </c>
      <c r="BN28" s="20" t="s">
        <v>76</v>
      </c>
      <c r="BO28" s="20" t="s">
        <v>76</v>
      </c>
      <c r="BP28" s="20" t="s">
        <v>76</v>
      </c>
      <c r="BQ28" s="20" t="s">
        <v>76</v>
      </c>
      <c r="BR28" s="20" t="s">
        <v>76</v>
      </c>
      <c r="BS28" s="20" t="s">
        <v>76</v>
      </c>
      <c r="BT28" s="20" t="s">
        <v>76</v>
      </c>
      <c r="BU28" s="20" t="s">
        <v>76</v>
      </c>
      <c r="BV28" s="20" t="s">
        <v>76</v>
      </c>
      <c r="BW28" s="20" t="s">
        <v>76</v>
      </c>
      <c r="BX28" s="20" t="s">
        <v>76</v>
      </c>
      <c r="BY28" s="20" t="s">
        <v>76</v>
      </c>
      <c r="BZ28" s="20" t="s">
        <v>76</v>
      </c>
      <c r="CA28" s="38" t="s">
        <v>76</v>
      </c>
      <c r="CB28" s="20" t="s">
        <v>76</v>
      </c>
      <c r="CC28" s="20" t="s">
        <v>76</v>
      </c>
      <c r="CD28" s="20" t="s">
        <v>76</v>
      </c>
      <c r="CE28" s="20" t="s">
        <v>76</v>
      </c>
      <c r="CF28" s="20" t="s">
        <v>76</v>
      </c>
      <c r="CG28" s="20" t="s">
        <v>76</v>
      </c>
      <c r="CH28" s="15">
        <v>1.1029411764705901</v>
      </c>
      <c r="CI28" s="20" t="s">
        <v>76</v>
      </c>
      <c r="CJ28" s="20" t="s">
        <v>76</v>
      </c>
      <c r="CK28" s="20" t="s">
        <v>76</v>
      </c>
      <c r="CL28" s="20" t="s">
        <v>76</v>
      </c>
      <c r="CM28" s="26" t="s">
        <v>76</v>
      </c>
      <c r="CN28" s="37"/>
    </row>
    <row r="29" spans="1:92">
      <c r="A29" s="9" t="s">
        <v>284</v>
      </c>
      <c r="B29" s="35">
        <v>0.30587880687441998</v>
      </c>
      <c r="C29" s="32">
        <v>0.269654709711659</v>
      </c>
      <c r="D29" s="38" t="s">
        <v>76</v>
      </c>
      <c r="E29" s="38" t="s">
        <v>76</v>
      </c>
      <c r="F29" s="20" t="s">
        <v>76</v>
      </c>
      <c r="G29" s="20" t="s">
        <v>76</v>
      </c>
      <c r="H29" s="20" t="s">
        <v>76</v>
      </c>
      <c r="I29" s="20" t="s">
        <v>76</v>
      </c>
      <c r="J29" s="20" t="s">
        <v>76</v>
      </c>
      <c r="K29" s="20" t="s">
        <v>76</v>
      </c>
      <c r="L29" s="20" t="s">
        <v>76</v>
      </c>
      <c r="M29" s="20" t="s">
        <v>76</v>
      </c>
      <c r="N29" s="20" t="s">
        <v>76</v>
      </c>
      <c r="O29" s="20" t="s">
        <v>76</v>
      </c>
      <c r="P29" s="20" t="s">
        <v>76</v>
      </c>
      <c r="Q29" s="20" t="s">
        <v>76</v>
      </c>
      <c r="R29" s="20" t="s">
        <v>76</v>
      </c>
      <c r="S29" s="20" t="s">
        <v>76</v>
      </c>
      <c r="T29" s="20" t="s">
        <v>76</v>
      </c>
      <c r="U29" s="20" t="s">
        <v>76</v>
      </c>
      <c r="V29" s="20" t="s">
        <v>76</v>
      </c>
      <c r="W29" s="20" t="s">
        <v>76</v>
      </c>
      <c r="X29" s="20" t="s">
        <v>76</v>
      </c>
      <c r="Y29" s="20" t="s">
        <v>76</v>
      </c>
      <c r="Z29" s="20" t="s">
        <v>76</v>
      </c>
      <c r="AA29" s="20" t="s">
        <v>76</v>
      </c>
      <c r="AB29" s="20" t="s">
        <v>76</v>
      </c>
      <c r="AC29" s="20" t="s">
        <v>76</v>
      </c>
      <c r="AD29" s="20" t="s">
        <v>76</v>
      </c>
      <c r="AE29" s="20" t="s">
        <v>76</v>
      </c>
      <c r="AF29" s="20" t="s">
        <v>76</v>
      </c>
      <c r="AG29" s="20" t="s">
        <v>76</v>
      </c>
      <c r="AH29" s="20" t="s">
        <v>76</v>
      </c>
      <c r="AI29" s="20" t="s">
        <v>76</v>
      </c>
      <c r="AJ29" s="20" t="s">
        <v>76</v>
      </c>
      <c r="AK29" s="20" t="s">
        <v>76</v>
      </c>
      <c r="AL29" s="20" t="s">
        <v>76</v>
      </c>
      <c r="AM29" s="20" t="s">
        <v>76</v>
      </c>
      <c r="AN29" s="20" t="s">
        <v>76</v>
      </c>
      <c r="AO29" s="20" t="s">
        <v>76</v>
      </c>
      <c r="AP29" s="20" t="s">
        <v>76</v>
      </c>
      <c r="AQ29" s="20" t="s">
        <v>76</v>
      </c>
      <c r="AR29" s="20" t="s">
        <v>76</v>
      </c>
      <c r="AS29" s="20" t="s">
        <v>76</v>
      </c>
      <c r="AT29" s="20" t="s">
        <v>76</v>
      </c>
      <c r="AU29" s="20" t="s">
        <v>76</v>
      </c>
      <c r="AV29" s="20" t="s">
        <v>76</v>
      </c>
      <c r="AW29" s="20" t="s">
        <v>76</v>
      </c>
      <c r="AX29" s="20" t="s">
        <v>76</v>
      </c>
      <c r="AY29" s="20" t="s">
        <v>76</v>
      </c>
      <c r="AZ29" s="20" t="s">
        <v>76</v>
      </c>
      <c r="BA29" s="20" t="s">
        <v>76</v>
      </c>
      <c r="BB29" s="20" t="s">
        <v>76</v>
      </c>
      <c r="BC29" s="20" t="s">
        <v>76</v>
      </c>
      <c r="BD29" s="20" t="s">
        <v>76</v>
      </c>
      <c r="BE29" s="20" t="s">
        <v>76</v>
      </c>
      <c r="BF29" s="20" t="s">
        <v>76</v>
      </c>
      <c r="BG29" s="20" t="s">
        <v>76</v>
      </c>
      <c r="BH29" s="20" t="s">
        <v>76</v>
      </c>
      <c r="BI29" s="20" t="s">
        <v>76</v>
      </c>
      <c r="BJ29" s="20" t="s">
        <v>76</v>
      </c>
      <c r="BK29" s="20" t="s">
        <v>76</v>
      </c>
      <c r="BL29" s="20" t="s">
        <v>76</v>
      </c>
      <c r="BM29" s="20" t="s">
        <v>76</v>
      </c>
      <c r="BN29" s="20" t="s">
        <v>76</v>
      </c>
      <c r="BO29" s="20" t="s">
        <v>76</v>
      </c>
      <c r="BP29" s="20" t="s">
        <v>76</v>
      </c>
      <c r="BQ29" s="20" t="s">
        <v>76</v>
      </c>
      <c r="BR29" s="20" t="s">
        <v>76</v>
      </c>
      <c r="BS29" s="20" t="s">
        <v>76</v>
      </c>
      <c r="BT29" s="20" t="s">
        <v>76</v>
      </c>
      <c r="BU29" s="20" t="s">
        <v>76</v>
      </c>
      <c r="BV29" s="20" t="s">
        <v>76</v>
      </c>
      <c r="BW29" s="20" t="s">
        <v>76</v>
      </c>
      <c r="BX29" s="20" t="s">
        <v>76</v>
      </c>
      <c r="BY29" s="20" t="s">
        <v>76</v>
      </c>
      <c r="BZ29" s="20" t="s">
        <v>76</v>
      </c>
      <c r="CA29" s="38" t="s">
        <v>76</v>
      </c>
      <c r="CB29" s="20" t="s">
        <v>76</v>
      </c>
      <c r="CC29" s="20" t="s">
        <v>76</v>
      </c>
      <c r="CD29" s="20" t="s">
        <v>76</v>
      </c>
      <c r="CE29" s="20" t="s">
        <v>76</v>
      </c>
      <c r="CF29" s="20" t="s">
        <v>76</v>
      </c>
      <c r="CG29" s="20" t="s">
        <v>76</v>
      </c>
      <c r="CH29" s="20" t="s">
        <v>76</v>
      </c>
      <c r="CI29" s="20" t="s">
        <v>76</v>
      </c>
      <c r="CJ29" s="20" t="s">
        <v>76</v>
      </c>
      <c r="CK29" s="20" t="s">
        <v>76</v>
      </c>
      <c r="CL29" s="15">
        <v>0.90909090909090895</v>
      </c>
      <c r="CM29" s="26" t="s">
        <v>76</v>
      </c>
      <c r="CN29" s="37"/>
    </row>
    <row r="30" spans="1:92">
      <c r="A30" s="9" t="s">
        <v>285</v>
      </c>
      <c r="B30" s="35">
        <v>0.69080509664419099</v>
      </c>
      <c r="C30" s="32">
        <v>0.71034136002096904</v>
      </c>
      <c r="D30" s="38" t="s">
        <v>76</v>
      </c>
      <c r="E30" s="38" t="s">
        <v>76</v>
      </c>
      <c r="F30" s="20" t="s">
        <v>76</v>
      </c>
      <c r="G30" s="20" t="s">
        <v>76</v>
      </c>
      <c r="H30" s="20" t="s">
        <v>76</v>
      </c>
      <c r="I30" s="20" t="s">
        <v>76</v>
      </c>
      <c r="J30" s="20" t="s">
        <v>76</v>
      </c>
      <c r="K30" s="20" t="s">
        <v>76</v>
      </c>
      <c r="L30" s="15">
        <v>9.8360655737704903</v>
      </c>
      <c r="M30" s="20" t="s">
        <v>76</v>
      </c>
      <c r="N30" s="20" t="s">
        <v>76</v>
      </c>
      <c r="O30" s="20" t="s">
        <v>76</v>
      </c>
      <c r="P30" s="20" t="s">
        <v>76</v>
      </c>
      <c r="Q30" s="20" t="s">
        <v>76</v>
      </c>
      <c r="R30" s="20" t="s">
        <v>76</v>
      </c>
      <c r="S30" s="20" t="s">
        <v>76</v>
      </c>
      <c r="T30" s="20" t="s">
        <v>76</v>
      </c>
      <c r="U30" s="20" t="s">
        <v>76</v>
      </c>
      <c r="V30" s="20" t="s">
        <v>76</v>
      </c>
      <c r="W30" s="20" t="s">
        <v>76</v>
      </c>
      <c r="X30" s="20" t="s">
        <v>76</v>
      </c>
      <c r="Y30" s="20" t="s">
        <v>76</v>
      </c>
      <c r="Z30" s="20" t="s">
        <v>76</v>
      </c>
      <c r="AA30" s="20" t="s">
        <v>76</v>
      </c>
      <c r="AB30" s="20" t="s">
        <v>76</v>
      </c>
      <c r="AC30" s="20" t="s">
        <v>76</v>
      </c>
      <c r="AD30" s="20" t="s">
        <v>76</v>
      </c>
      <c r="AE30" s="20" t="s">
        <v>76</v>
      </c>
      <c r="AF30" s="20" t="s">
        <v>76</v>
      </c>
      <c r="AG30" s="20" t="s">
        <v>76</v>
      </c>
      <c r="AH30" s="20" t="s">
        <v>76</v>
      </c>
      <c r="AI30" s="20" t="s">
        <v>76</v>
      </c>
      <c r="AJ30" s="20" t="s">
        <v>76</v>
      </c>
      <c r="AK30" s="20" t="s">
        <v>76</v>
      </c>
      <c r="AL30" s="20" t="s">
        <v>76</v>
      </c>
      <c r="AM30" s="20" t="s">
        <v>76</v>
      </c>
      <c r="AN30" s="20" t="s">
        <v>76</v>
      </c>
      <c r="AO30" s="20" t="s">
        <v>76</v>
      </c>
      <c r="AP30" s="20" t="s">
        <v>76</v>
      </c>
      <c r="AQ30" s="20" t="s">
        <v>76</v>
      </c>
      <c r="AR30" s="20" t="s">
        <v>76</v>
      </c>
      <c r="AS30" s="20" t="s">
        <v>76</v>
      </c>
      <c r="AT30" s="20" t="s">
        <v>76</v>
      </c>
      <c r="AU30" s="20" t="s">
        <v>76</v>
      </c>
      <c r="AV30" s="20" t="s">
        <v>76</v>
      </c>
      <c r="AW30" s="20" t="s">
        <v>76</v>
      </c>
      <c r="AX30" s="20" t="s">
        <v>76</v>
      </c>
      <c r="AY30" s="20" t="s">
        <v>76</v>
      </c>
      <c r="AZ30" s="20" t="s">
        <v>76</v>
      </c>
      <c r="BA30" s="20" t="s">
        <v>76</v>
      </c>
      <c r="BB30" s="20" t="s">
        <v>76</v>
      </c>
      <c r="BC30" s="20" t="s">
        <v>76</v>
      </c>
      <c r="BD30" s="20" t="s">
        <v>76</v>
      </c>
      <c r="BE30" s="20" t="s">
        <v>76</v>
      </c>
      <c r="BF30" s="20" t="s">
        <v>76</v>
      </c>
      <c r="BG30" s="20" t="s">
        <v>76</v>
      </c>
      <c r="BH30" s="20" t="s">
        <v>76</v>
      </c>
      <c r="BI30" s="20" t="s">
        <v>76</v>
      </c>
      <c r="BJ30" s="20" t="s">
        <v>76</v>
      </c>
      <c r="BK30" s="20" t="s">
        <v>76</v>
      </c>
      <c r="BL30" s="20" t="s">
        <v>76</v>
      </c>
      <c r="BM30" s="20" t="s">
        <v>76</v>
      </c>
      <c r="BN30" s="20" t="s">
        <v>76</v>
      </c>
      <c r="BO30" s="15">
        <v>5.5555555555555598</v>
      </c>
      <c r="BP30" s="20" t="s">
        <v>76</v>
      </c>
      <c r="BQ30" s="20" t="s">
        <v>76</v>
      </c>
      <c r="BR30" s="20" t="s">
        <v>76</v>
      </c>
      <c r="BS30" s="20" t="s">
        <v>76</v>
      </c>
      <c r="BT30" s="20" t="s">
        <v>76</v>
      </c>
      <c r="BU30" s="20" t="s">
        <v>76</v>
      </c>
      <c r="BV30" s="20" t="s">
        <v>76</v>
      </c>
      <c r="BW30" s="20" t="s">
        <v>76</v>
      </c>
      <c r="BX30" s="20" t="s">
        <v>76</v>
      </c>
      <c r="BY30" s="20" t="s">
        <v>76</v>
      </c>
      <c r="BZ30" s="20" t="s">
        <v>76</v>
      </c>
      <c r="CA30" s="38" t="s">
        <v>76</v>
      </c>
      <c r="CB30" s="20" t="s">
        <v>76</v>
      </c>
      <c r="CC30" s="20" t="s">
        <v>76</v>
      </c>
      <c r="CD30" s="20" t="s">
        <v>76</v>
      </c>
      <c r="CE30" s="20" t="s">
        <v>76</v>
      </c>
      <c r="CF30" s="20" t="s">
        <v>76</v>
      </c>
      <c r="CG30" s="20" t="s">
        <v>76</v>
      </c>
      <c r="CH30" s="20" t="s">
        <v>76</v>
      </c>
      <c r="CI30" s="20" t="s">
        <v>76</v>
      </c>
      <c r="CJ30" s="20" t="s">
        <v>76</v>
      </c>
      <c r="CK30" s="20" t="s">
        <v>76</v>
      </c>
      <c r="CL30" s="15">
        <v>0.75757575757575801</v>
      </c>
      <c r="CM30" s="26" t="s">
        <v>76</v>
      </c>
      <c r="CN30" s="37"/>
    </row>
    <row r="31" spans="1:92">
      <c r="A31" s="9" t="s">
        <v>286</v>
      </c>
      <c r="B31" s="35">
        <v>0.916821973887196</v>
      </c>
      <c r="C31" s="32">
        <v>0.45624124517822601</v>
      </c>
      <c r="D31" s="32">
        <v>0.37807669397186</v>
      </c>
      <c r="E31" s="38" t="s">
        <v>76</v>
      </c>
      <c r="F31" s="20" t="s">
        <v>76</v>
      </c>
      <c r="G31" s="20" t="s">
        <v>76</v>
      </c>
      <c r="H31" s="20" t="s">
        <v>76</v>
      </c>
      <c r="I31" s="20" t="s">
        <v>76</v>
      </c>
      <c r="J31" s="20" t="s">
        <v>76</v>
      </c>
      <c r="K31" s="20" t="s">
        <v>76</v>
      </c>
      <c r="L31" s="20" t="s">
        <v>76</v>
      </c>
      <c r="M31" s="20" t="s">
        <v>76</v>
      </c>
      <c r="N31" s="20" t="s">
        <v>76</v>
      </c>
      <c r="O31" s="20" t="s">
        <v>76</v>
      </c>
      <c r="P31" s="20" t="s">
        <v>76</v>
      </c>
      <c r="Q31" s="20" t="s">
        <v>76</v>
      </c>
      <c r="R31" s="20" t="s">
        <v>76</v>
      </c>
      <c r="S31" s="20" t="s">
        <v>76</v>
      </c>
      <c r="T31" s="20" t="s">
        <v>76</v>
      </c>
      <c r="U31" s="20" t="s">
        <v>76</v>
      </c>
      <c r="V31" s="20" t="s">
        <v>76</v>
      </c>
      <c r="W31" s="20" t="s">
        <v>76</v>
      </c>
      <c r="X31" s="20" t="s">
        <v>76</v>
      </c>
      <c r="Y31" s="20" t="s">
        <v>76</v>
      </c>
      <c r="Z31" s="20" t="s">
        <v>76</v>
      </c>
      <c r="AA31" s="20" t="s">
        <v>76</v>
      </c>
      <c r="AB31" s="20" t="s">
        <v>76</v>
      </c>
      <c r="AC31" s="20" t="s">
        <v>76</v>
      </c>
      <c r="AD31" s="20" t="s">
        <v>76</v>
      </c>
      <c r="AE31" s="20" t="s">
        <v>76</v>
      </c>
      <c r="AF31" s="20" t="s">
        <v>76</v>
      </c>
      <c r="AG31" s="20" t="s">
        <v>76</v>
      </c>
      <c r="AH31" s="20" t="s">
        <v>76</v>
      </c>
      <c r="AI31" s="20" t="s">
        <v>76</v>
      </c>
      <c r="AJ31" s="20" t="s">
        <v>76</v>
      </c>
      <c r="AK31" s="20" t="s">
        <v>76</v>
      </c>
      <c r="AL31" s="20" t="s">
        <v>76</v>
      </c>
      <c r="AM31" s="20" t="s">
        <v>76</v>
      </c>
      <c r="AN31" s="20" t="s">
        <v>76</v>
      </c>
      <c r="AO31" s="20" t="s">
        <v>76</v>
      </c>
      <c r="AP31" s="20" t="s">
        <v>76</v>
      </c>
      <c r="AQ31" s="20" t="s">
        <v>76</v>
      </c>
      <c r="AR31" s="20" t="s">
        <v>76</v>
      </c>
      <c r="AS31" s="20" t="s">
        <v>76</v>
      </c>
      <c r="AT31" s="20" t="s">
        <v>76</v>
      </c>
      <c r="AU31" s="20" t="s">
        <v>76</v>
      </c>
      <c r="AV31" s="20" t="s">
        <v>76</v>
      </c>
      <c r="AW31" s="20" t="s">
        <v>76</v>
      </c>
      <c r="AX31" s="20" t="s">
        <v>76</v>
      </c>
      <c r="AY31" s="20" t="s">
        <v>76</v>
      </c>
      <c r="AZ31" s="20" t="s">
        <v>76</v>
      </c>
      <c r="BA31" s="20" t="s">
        <v>76</v>
      </c>
      <c r="BB31" s="20" t="s">
        <v>76</v>
      </c>
      <c r="BC31" s="20" t="s">
        <v>76</v>
      </c>
      <c r="BD31" s="20" t="s">
        <v>76</v>
      </c>
      <c r="BE31" s="20" t="s">
        <v>76</v>
      </c>
      <c r="BF31" s="20" t="s">
        <v>76</v>
      </c>
      <c r="BG31" s="20" t="s">
        <v>76</v>
      </c>
      <c r="BH31" s="20" t="s">
        <v>76</v>
      </c>
      <c r="BI31" s="20" t="s">
        <v>76</v>
      </c>
      <c r="BJ31" s="20" t="s">
        <v>76</v>
      </c>
      <c r="BK31" s="20" t="s">
        <v>76</v>
      </c>
      <c r="BL31" s="20" t="s">
        <v>76</v>
      </c>
      <c r="BM31" s="20" t="s">
        <v>76</v>
      </c>
      <c r="BN31" s="20" t="s">
        <v>76</v>
      </c>
      <c r="BO31" s="15">
        <v>5.5555555555555598</v>
      </c>
      <c r="BP31" s="20" t="s">
        <v>76</v>
      </c>
      <c r="BQ31" s="20" t="s">
        <v>76</v>
      </c>
      <c r="BR31" s="20" t="s">
        <v>76</v>
      </c>
      <c r="BS31" s="20" t="s">
        <v>76</v>
      </c>
      <c r="BT31" s="20" t="s">
        <v>76</v>
      </c>
      <c r="BU31" s="20" t="s">
        <v>76</v>
      </c>
      <c r="BV31" s="20" t="s">
        <v>76</v>
      </c>
      <c r="BW31" s="20" t="s">
        <v>76</v>
      </c>
      <c r="BX31" s="20" t="s">
        <v>76</v>
      </c>
      <c r="BY31" s="20" t="s">
        <v>76</v>
      </c>
      <c r="BZ31" s="20" t="s">
        <v>76</v>
      </c>
      <c r="CA31" s="38" t="s">
        <v>76</v>
      </c>
      <c r="CB31" s="20" t="s">
        <v>76</v>
      </c>
      <c r="CC31" s="20" t="s">
        <v>76</v>
      </c>
      <c r="CD31" s="20" t="s">
        <v>76</v>
      </c>
      <c r="CE31" s="20" t="s">
        <v>76</v>
      </c>
      <c r="CF31" s="20" t="s">
        <v>76</v>
      </c>
      <c r="CG31" s="20" t="s">
        <v>76</v>
      </c>
      <c r="CH31" s="20" t="s">
        <v>76</v>
      </c>
      <c r="CI31" s="20" t="s">
        <v>76</v>
      </c>
      <c r="CJ31" s="20" t="s">
        <v>76</v>
      </c>
      <c r="CK31" s="20" t="s">
        <v>76</v>
      </c>
      <c r="CL31" s="20" t="s">
        <v>76</v>
      </c>
      <c r="CM31" s="26" t="s">
        <v>76</v>
      </c>
      <c r="CN31" s="37"/>
    </row>
    <row r="32" spans="1:92">
      <c r="A32" s="9" t="s">
        <v>287</v>
      </c>
      <c r="B32" s="35">
        <v>0.32407974744160001</v>
      </c>
      <c r="C32" s="32">
        <v>0.26086868982774503</v>
      </c>
      <c r="D32" s="38" t="s">
        <v>76</v>
      </c>
      <c r="E32" s="38" t="s">
        <v>76</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20" t="s">
        <v>76</v>
      </c>
      <c r="AH32" s="20" t="s">
        <v>76</v>
      </c>
      <c r="AI32" s="20" t="s">
        <v>76</v>
      </c>
      <c r="AJ32" s="20" t="s">
        <v>76</v>
      </c>
      <c r="AK32" s="20" t="s">
        <v>76</v>
      </c>
      <c r="AL32" s="20" t="s">
        <v>76</v>
      </c>
      <c r="AM32" s="20" t="s">
        <v>76</v>
      </c>
      <c r="AN32" s="20" t="s">
        <v>76</v>
      </c>
      <c r="AO32" s="20" t="s">
        <v>76</v>
      </c>
      <c r="AP32" s="20" t="s">
        <v>76</v>
      </c>
      <c r="AQ32" s="20" t="s">
        <v>76</v>
      </c>
      <c r="AR32" s="20" t="s">
        <v>76</v>
      </c>
      <c r="AS32" s="20" t="s">
        <v>76</v>
      </c>
      <c r="AT32" s="20" t="s">
        <v>76</v>
      </c>
      <c r="AU32" s="20" t="s">
        <v>76</v>
      </c>
      <c r="AV32" s="20" t="s">
        <v>76</v>
      </c>
      <c r="AW32" s="20" t="s">
        <v>76</v>
      </c>
      <c r="AX32" s="20" t="s">
        <v>76</v>
      </c>
      <c r="AY32" s="20" t="s">
        <v>76</v>
      </c>
      <c r="AZ32" s="20" t="s">
        <v>76</v>
      </c>
      <c r="BA32" s="20" t="s">
        <v>76</v>
      </c>
      <c r="BB32" s="20" t="s">
        <v>76</v>
      </c>
      <c r="BC32" s="20" t="s">
        <v>76</v>
      </c>
      <c r="BD32" s="20" t="s">
        <v>76</v>
      </c>
      <c r="BE32" s="20" t="s">
        <v>76</v>
      </c>
      <c r="BF32" s="20" t="s">
        <v>76</v>
      </c>
      <c r="BG32" s="20" t="s">
        <v>76</v>
      </c>
      <c r="BH32" s="20" t="s">
        <v>76</v>
      </c>
      <c r="BI32" s="20" t="s">
        <v>76</v>
      </c>
      <c r="BJ32" s="20" t="s">
        <v>76</v>
      </c>
      <c r="BK32" s="20" t="s">
        <v>76</v>
      </c>
      <c r="BL32" s="20" t="s">
        <v>76</v>
      </c>
      <c r="BM32" s="20" t="s">
        <v>76</v>
      </c>
      <c r="BN32" s="20" t="s">
        <v>76</v>
      </c>
      <c r="BO32" s="20" t="s">
        <v>76</v>
      </c>
      <c r="BP32" s="20" t="s">
        <v>76</v>
      </c>
      <c r="BQ32" s="20" t="s">
        <v>76</v>
      </c>
      <c r="BR32" s="20" t="s">
        <v>76</v>
      </c>
      <c r="BS32" s="20" t="s">
        <v>76</v>
      </c>
      <c r="BT32" s="20" t="s">
        <v>76</v>
      </c>
      <c r="BU32" s="20" t="s">
        <v>76</v>
      </c>
      <c r="BV32" s="20" t="s">
        <v>76</v>
      </c>
      <c r="BW32" s="20" t="s">
        <v>76</v>
      </c>
      <c r="BX32" s="20" t="s">
        <v>76</v>
      </c>
      <c r="BY32" s="20" t="s">
        <v>76</v>
      </c>
      <c r="BZ32" s="20" t="s">
        <v>76</v>
      </c>
      <c r="CA32" s="38" t="s">
        <v>76</v>
      </c>
      <c r="CB32" s="20" t="s">
        <v>76</v>
      </c>
      <c r="CC32" s="20" t="s">
        <v>76</v>
      </c>
      <c r="CD32" s="20" t="s">
        <v>76</v>
      </c>
      <c r="CE32" s="20" t="s">
        <v>76</v>
      </c>
      <c r="CF32" s="20" t="s">
        <v>76</v>
      </c>
      <c r="CG32" s="20" t="s">
        <v>76</v>
      </c>
      <c r="CH32" s="20" t="s">
        <v>76</v>
      </c>
      <c r="CI32" s="20" t="s">
        <v>76</v>
      </c>
      <c r="CJ32" s="20" t="s">
        <v>76</v>
      </c>
      <c r="CK32" s="20" t="s">
        <v>76</v>
      </c>
      <c r="CL32" s="20" t="s">
        <v>76</v>
      </c>
      <c r="CM32" s="26" t="s">
        <v>76</v>
      </c>
      <c r="CN32" s="37"/>
    </row>
    <row r="33" spans="1:92">
      <c r="A33" s="9" t="s">
        <v>288</v>
      </c>
      <c r="B33" s="35">
        <v>1.68156695795093</v>
      </c>
      <c r="C33" s="32">
        <v>1.5029644714986801</v>
      </c>
      <c r="D33" s="32">
        <v>0.92486307933496503</v>
      </c>
      <c r="E33" s="32">
        <v>1.6399621955616901</v>
      </c>
      <c r="F33" s="20" t="s">
        <v>76</v>
      </c>
      <c r="G33" s="20" t="s">
        <v>76</v>
      </c>
      <c r="H33" s="20" t="s">
        <v>76</v>
      </c>
      <c r="I33" s="20" t="s">
        <v>76</v>
      </c>
      <c r="J33" s="20" t="s">
        <v>76</v>
      </c>
      <c r="K33" s="20" t="s">
        <v>76</v>
      </c>
      <c r="L33" s="15">
        <v>8.1967213114754092</v>
      </c>
      <c r="M33" s="20" t="s">
        <v>76</v>
      </c>
      <c r="N33" s="20" t="s">
        <v>76</v>
      </c>
      <c r="O33" s="20" t="s">
        <v>76</v>
      </c>
      <c r="P33" s="20" t="s">
        <v>76</v>
      </c>
      <c r="Q33" s="20" t="s">
        <v>76</v>
      </c>
      <c r="R33" s="20" t="s">
        <v>76</v>
      </c>
      <c r="S33" s="20" t="s">
        <v>76</v>
      </c>
      <c r="T33" s="20" t="s">
        <v>76</v>
      </c>
      <c r="U33" s="20" t="s">
        <v>76</v>
      </c>
      <c r="V33" s="20" t="s">
        <v>76</v>
      </c>
      <c r="W33" s="20" t="s">
        <v>76</v>
      </c>
      <c r="X33" s="20" t="s">
        <v>76</v>
      </c>
      <c r="Y33" s="20" t="s">
        <v>76</v>
      </c>
      <c r="Z33" s="20" t="s">
        <v>76</v>
      </c>
      <c r="AA33" s="20" t="s">
        <v>76</v>
      </c>
      <c r="AB33" s="20" t="s">
        <v>76</v>
      </c>
      <c r="AC33" s="20" t="s">
        <v>76</v>
      </c>
      <c r="AD33" s="20" t="s">
        <v>76</v>
      </c>
      <c r="AE33" s="20" t="s">
        <v>76</v>
      </c>
      <c r="AF33" s="20" t="s">
        <v>76</v>
      </c>
      <c r="AG33" s="20" t="s">
        <v>76</v>
      </c>
      <c r="AH33" s="20" t="s">
        <v>76</v>
      </c>
      <c r="AI33" s="20" t="s">
        <v>76</v>
      </c>
      <c r="AJ33" s="20" t="s">
        <v>76</v>
      </c>
      <c r="AK33" s="20" t="s">
        <v>76</v>
      </c>
      <c r="AL33" s="20" t="s">
        <v>76</v>
      </c>
      <c r="AM33" s="20" t="s">
        <v>76</v>
      </c>
      <c r="AN33" s="20" t="s">
        <v>76</v>
      </c>
      <c r="AO33" s="20" t="s">
        <v>76</v>
      </c>
      <c r="AP33" s="20" t="s">
        <v>76</v>
      </c>
      <c r="AQ33" s="20" t="s">
        <v>76</v>
      </c>
      <c r="AR33" s="20" t="s">
        <v>76</v>
      </c>
      <c r="AS33" s="20" t="s">
        <v>76</v>
      </c>
      <c r="AT33" s="20" t="s">
        <v>76</v>
      </c>
      <c r="AU33" s="20" t="s">
        <v>76</v>
      </c>
      <c r="AV33" s="20" t="s">
        <v>76</v>
      </c>
      <c r="AW33" s="15">
        <v>8.6206896551724093</v>
      </c>
      <c r="AX33" s="20" t="s">
        <v>76</v>
      </c>
      <c r="AY33" s="20" t="s">
        <v>76</v>
      </c>
      <c r="AZ33" s="20" t="s">
        <v>76</v>
      </c>
      <c r="BA33" s="20" t="s">
        <v>76</v>
      </c>
      <c r="BB33" s="20" t="s">
        <v>76</v>
      </c>
      <c r="BC33" s="20" t="s">
        <v>76</v>
      </c>
      <c r="BD33" s="20" t="s">
        <v>76</v>
      </c>
      <c r="BE33" s="20" t="s">
        <v>76</v>
      </c>
      <c r="BF33" s="20" t="s">
        <v>76</v>
      </c>
      <c r="BG33" s="20" t="s">
        <v>76</v>
      </c>
      <c r="BH33" s="20" t="s">
        <v>76</v>
      </c>
      <c r="BI33" s="20" t="s">
        <v>76</v>
      </c>
      <c r="BJ33" s="20" t="s">
        <v>76</v>
      </c>
      <c r="BK33" s="20" t="s">
        <v>76</v>
      </c>
      <c r="BL33" s="20" t="s">
        <v>76</v>
      </c>
      <c r="BM33" s="20" t="s">
        <v>76</v>
      </c>
      <c r="BN33" s="20" t="s">
        <v>76</v>
      </c>
      <c r="BO33" s="20" t="s">
        <v>76</v>
      </c>
      <c r="BP33" s="20" t="s">
        <v>76</v>
      </c>
      <c r="BQ33" s="20" t="s">
        <v>76</v>
      </c>
      <c r="BR33" s="20" t="s">
        <v>76</v>
      </c>
      <c r="BS33" s="20" t="s">
        <v>76</v>
      </c>
      <c r="BT33" s="20" t="s">
        <v>76</v>
      </c>
      <c r="BU33" s="20" t="s">
        <v>76</v>
      </c>
      <c r="BV33" s="20" t="s">
        <v>76</v>
      </c>
      <c r="BW33" s="20" t="s">
        <v>76</v>
      </c>
      <c r="BX33" s="20" t="s">
        <v>76</v>
      </c>
      <c r="BY33" s="15">
        <v>23.8095238095238</v>
      </c>
      <c r="BZ33" s="20" t="s">
        <v>76</v>
      </c>
      <c r="CA33" s="38" t="s">
        <v>76</v>
      </c>
      <c r="CB33" s="20" t="s">
        <v>76</v>
      </c>
      <c r="CC33" s="20" t="s">
        <v>76</v>
      </c>
      <c r="CD33" s="20" t="s">
        <v>76</v>
      </c>
      <c r="CE33" s="20" t="s">
        <v>76</v>
      </c>
      <c r="CF33" s="20" t="s">
        <v>76</v>
      </c>
      <c r="CG33" s="20" t="s">
        <v>76</v>
      </c>
      <c r="CH33" s="20" t="s">
        <v>76</v>
      </c>
      <c r="CI33" s="20" t="s">
        <v>76</v>
      </c>
      <c r="CJ33" s="20" t="s">
        <v>76</v>
      </c>
      <c r="CK33" s="20" t="s">
        <v>76</v>
      </c>
      <c r="CL33" s="20" t="s">
        <v>76</v>
      </c>
      <c r="CM33" s="26" t="s">
        <v>76</v>
      </c>
      <c r="CN33" s="37"/>
    </row>
    <row r="34" spans="1:92">
      <c r="A34" s="9" t="s">
        <v>289</v>
      </c>
      <c r="B34" s="35">
        <v>0.59516711160022395</v>
      </c>
      <c r="C34" s="32">
        <v>0.70330094741365701</v>
      </c>
      <c r="D34" s="32">
        <v>0.61345624427670997</v>
      </c>
      <c r="E34" s="32">
        <v>0.69281777320093196</v>
      </c>
      <c r="F34" s="20" t="s">
        <v>76</v>
      </c>
      <c r="G34" s="20" t="s">
        <v>76</v>
      </c>
      <c r="H34" s="20" t="s">
        <v>76</v>
      </c>
      <c r="I34" s="20" t="s">
        <v>76</v>
      </c>
      <c r="J34" s="20" t="s">
        <v>76</v>
      </c>
      <c r="K34" s="20" t="s">
        <v>76</v>
      </c>
      <c r="L34" s="20" t="s">
        <v>76</v>
      </c>
      <c r="M34" s="20" t="s">
        <v>76</v>
      </c>
      <c r="N34" s="20" t="s">
        <v>76</v>
      </c>
      <c r="O34" s="20" t="s">
        <v>76</v>
      </c>
      <c r="P34" s="20" t="s">
        <v>76</v>
      </c>
      <c r="Q34" s="20" t="s">
        <v>76</v>
      </c>
      <c r="R34" s="20" t="s">
        <v>76</v>
      </c>
      <c r="S34" s="20" t="s">
        <v>76</v>
      </c>
      <c r="T34" s="20" t="s">
        <v>76</v>
      </c>
      <c r="U34" s="20" t="s">
        <v>76</v>
      </c>
      <c r="V34" s="20" t="s">
        <v>76</v>
      </c>
      <c r="W34" s="20" t="s">
        <v>76</v>
      </c>
      <c r="X34" s="20" t="s">
        <v>76</v>
      </c>
      <c r="Y34" s="20" t="s">
        <v>76</v>
      </c>
      <c r="Z34" s="20" t="s">
        <v>76</v>
      </c>
      <c r="AA34" s="20" t="s">
        <v>76</v>
      </c>
      <c r="AB34" s="20" t="s">
        <v>76</v>
      </c>
      <c r="AC34" s="20" t="s">
        <v>76</v>
      </c>
      <c r="AD34" s="20" t="s">
        <v>76</v>
      </c>
      <c r="AE34" s="20" t="s">
        <v>76</v>
      </c>
      <c r="AF34" s="20" t="s">
        <v>76</v>
      </c>
      <c r="AG34" s="20" t="s">
        <v>76</v>
      </c>
      <c r="AH34" s="20" t="s">
        <v>76</v>
      </c>
      <c r="AI34" s="20" t="s">
        <v>76</v>
      </c>
      <c r="AJ34" s="20" t="s">
        <v>76</v>
      </c>
      <c r="AK34" s="20" t="s">
        <v>76</v>
      </c>
      <c r="AL34" s="20" t="s">
        <v>76</v>
      </c>
      <c r="AM34" s="20" t="s">
        <v>76</v>
      </c>
      <c r="AN34" s="20" t="s">
        <v>76</v>
      </c>
      <c r="AO34" s="20" t="s">
        <v>76</v>
      </c>
      <c r="AP34" s="20" t="s">
        <v>76</v>
      </c>
      <c r="AQ34" s="20" t="s">
        <v>76</v>
      </c>
      <c r="AR34" s="20" t="s">
        <v>76</v>
      </c>
      <c r="AS34" s="20" t="s">
        <v>76</v>
      </c>
      <c r="AT34" s="20" t="s">
        <v>76</v>
      </c>
      <c r="AU34" s="20" t="s">
        <v>76</v>
      </c>
      <c r="AV34" s="20" t="s">
        <v>76</v>
      </c>
      <c r="AW34" s="20" t="s">
        <v>76</v>
      </c>
      <c r="AX34" s="20" t="s">
        <v>76</v>
      </c>
      <c r="AY34" s="20" t="s">
        <v>76</v>
      </c>
      <c r="AZ34" s="20" t="s">
        <v>76</v>
      </c>
      <c r="BA34" s="20" t="s">
        <v>76</v>
      </c>
      <c r="BB34" s="20" t="s">
        <v>76</v>
      </c>
      <c r="BC34" s="20" t="s">
        <v>76</v>
      </c>
      <c r="BD34" s="20" t="s">
        <v>76</v>
      </c>
      <c r="BE34" s="20" t="s">
        <v>76</v>
      </c>
      <c r="BF34" s="20" t="s">
        <v>76</v>
      </c>
      <c r="BG34" s="20" t="s">
        <v>76</v>
      </c>
      <c r="BH34" s="20" t="s">
        <v>76</v>
      </c>
      <c r="BI34" s="20" t="s">
        <v>76</v>
      </c>
      <c r="BJ34" s="20" t="s">
        <v>76</v>
      </c>
      <c r="BK34" s="20" t="s">
        <v>76</v>
      </c>
      <c r="BL34" s="20" t="s">
        <v>76</v>
      </c>
      <c r="BM34" s="20" t="s">
        <v>76</v>
      </c>
      <c r="BN34" s="20" t="s">
        <v>76</v>
      </c>
      <c r="BO34" s="20" t="s">
        <v>76</v>
      </c>
      <c r="BP34" s="20" t="s">
        <v>76</v>
      </c>
      <c r="BQ34" s="20" t="s">
        <v>76</v>
      </c>
      <c r="BR34" s="20" t="s">
        <v>76</v>
      </c>
      <c r="BS34" s="20" t="s">
        <v>76</v>
      </c>
      <c r="BT34" s="20" t="s">
        <v>76</v>
      </c>
      <c r="BU34" s="20" t="s">
        <v>76</v>
      </c>
      <c r="BV34" s="20" t="s">
        <v>76</v>
      </c>
      <c r="BW34" s="20" t="s">
        <v>76</v>
      </c>
      <c r="BX34" s="20" t="s">
        <v>76</v>
      </c>
      <c r="BY34" s="20" t="s">
        <v>76</v>
      </c>
      <c r="BZ34" s="20" t="s">
        <v>76</v>
      </c>
      <c r="CA34" s="38" t="s">
        <v>76</v>
      </c>
      <c r="CB34" s="20" t="s">
        <v>76</v>
      </c>
      <c r="CC34" s="20" t="s">
        <v>76</v>
      </c>
      <c r="CD34" s="20" t="s">
        <v>76</v>
      </c>
      <c r="CE34" s="20" t="s">
        <v>76</v>
      </c>
      <c r="CF34" s="20" t="s">
        <v>76</v>
      </c>
      <c r="CG34" s="20" t="s">
        <v>76</v>
      </c>
      <c r="CH34" s="15">
        <v>0.91911764705882304</v>
      </c>
      <c r="CI34" s="20" t="s">
        <v>76</v>
      </c>
      <c r="CJ34" s="20" t="s">
        <v>76</v>
      </c>
      <c r="CK34" s="20" t="s">
        <v>76</v>
      </c>
      <c r="CL34" s="15">
        <v>0.75757575757575801</v>
      </c>
      <c r="CM34" s="26" t="s">
        <v>76</v>
      </c>
      <c r="CN34" s="37"/>
    </row>
    <row r="35" spans="1:92">
      <c r="A35" s="9" t="s">
        <v>290</v>
      </c>
      <c r="B35" s="35">
        <v>0.62674619780405905</v>
      </c>
      <c r="C35" s="32">
        <v>0.56389114594362799</v>
      </c>
      <c r="D35" s="32">
        <v>0.86671144759895002</v>
      </c>
      <c r="E35" s="32">
        <v>0.863397517002224</v>
      </c>
      <c r="F35" s="20" t="s">
        <v>76</v>
      </c>
      <c r="G35" s="20" t="s">
        <v>76</v>
      </c>
      <c r="H35" s="20" t="s">
        <v>76</v>
      </c>
      <c r="I35" s="20" t="s">
        <v>76</v>
      </c>
      <c r="J35" s="20" t="s">
        <v>76</v>
      </c>
      <c r="K35" s="20" t="s">
        <v>76</v>
      </c>
      <c r="L35" s="20" t="s">
        <v>76</v>
      </c>
      <c r="M35" s="20" t="s">
        <v>76</v>
      </c>
      <c r="N35" s="20" t="s">
        <v>76</v>
      </c>
      <c r="O35" s="20" t="s">
        <v>76</v>
      </c>
      <c r="P35" s="20" t="s">
        <v>76</v>
      </c>
      <c r="Q35" s="20" t="s">
        <v>76</v>
      </c>
      <c r="R35" s="20" t="s">
        <v>76</v>
      </c>
      <c r="S35" s="20" t="s">
        <v>76</v>
      </c>
      <c r="T35" s="20" t="s">
        <v>76</v>
      </c>
      <c r="U35" s="20" t="s">
        <v>76</v>
      </c>
      <c r="V35" s="20" t="s">
        <v>76</v>
      </c>
      <c r="W35" s="20" t="s">
        <v>76</v>
      </c>
      <c r="X35" s="20" t="s">
        <v>76</v>
      </c>
      <c r="Y35" s="20" t="s">
        <v>76</v>
      </c>
      <c r="Z35" s="20" t="s">
        <v>76</v>
      </c>
      <c r="AA35" s="20" t="s">
        <v>76</v>
      </c>
      <c r="AB35" s="20" t="s">
        <v>76</v>
      </c>
      <c r="AC35" s="20" t="s">
        <v>76</v>
      </c>
      <c r="AD35" s="20" t="s">
        <v>76</v>
      </c>
      <c r="AE35" s="20" t="s">
        <v>76</v>
      </c>
      <c r="AF35" s="20" t="s">
        <v>76</v>
      </c>
      <c r="AG35" s="20" t="s">
        <v>76</v>
      </c>
      <c r="AH35" s="20" t="s">
        <v>76</v>
      </c>
      <c r="AI35" s="20" t="s">
        <v>76</v>
      </c>
      <c r="AJ35" s="20" t="s">
        <v>76</v>
      </c>
      <c r="AK35" s="20" t="s">
        <v>76</v>
      </c>
      <c r="AL35" s="20" t="s">
        <v>76</v>
      </c>
      <c r="AM35" s="20" t="s">
        <v>76</v>
      </c>
      <c r="AN35" s="20" t="s">
        <v>76</v>
      </c>
      <c r="AO35" s="20" t="s">
        <v>76</v>
      </c>
      <c r="AP35" s="20" t="s">
        <v>76</v>
      </c>
      <c r="AQ35" s="20" t="s">
        <v>76</v>
      </c>
      <c r="AR35" s="20" t="s">
        <v>76</v>
      </c>
      <c r="AS35" s="20" t="s">
        <v>76</v>
      </c>
      <c r="AT35" s="20" t="s">
        <v>76</v>
      </c>
      <c r="AU35" s="20" t="s">
        <v>76</v>
      </c>
      <c r="AV35" s="20" t="s">
        <v>76</v>
      </c>
      <c r="AW35" s="20" t="s">
        <v>76</v>
      </c>
      <c r="AX35" s="20" t="s">
        <v>76</v>
      </c>
      <c r="AY35" s="20" t="s">
        <v>76</v>
      </c>
      <c r="AZ35" s="20" t="s">
        <v>76</v>
      </c>
      <c r="BA35" s="20" t="s">
        <v>76</v>
      </c>
      <c r="BB35" s="20" t="s">
        <v>76</v>
      </c>
      <c r="BC35" s="20" t="s">
        <v>76</v>
      </c>
      <c r="BD35" s="20" t="s">
        <v>76</v>
      </c>
      <c r="BE35" s="20" t="s">
        <v>76</v>
      </c>
      <c r="BF35" s="20" t="s">
        <v>76</v>
      </c>
      <c r="BG35" s="20" t="s">
        <v>76</v>
      </c>
      <c r="BH35" s="20" t="s">
        <v>76</v>
      </c>
      <c r="BI35" s="20" t="s">
        <v>76</v>
      </c>
      <c r="BJ35" s="20" t="s">
        <v>76</v>
      </c>
      <c r="BK35" s="20" t="s">
        <v>76</v>
      </c>
      <c r="BL35" s="20" t="s">
        <v>76</v>
      </c>
      <c r="BM35" s="20" t="s">
        <v>76</v>
      </c>
      <c r="BN35" s="20" t="s">
        <v>76</v>
      </c>
      <c r="BO35" s="20" t="s">
        <v>76</v>
      </c>
      <c r="BP35" s="20" t="s">
        <v>76</v>
      </c>
      <c r="BQ35" s="20" t="s">
        <v>76</v>
      </c>
      <c r="BR35" s="20" t="s">
        <v>76</v>
      </c>
      <c r="BS35" s="20" t="s">
        <v>76</v>
      </c>
      <c r="BT35" s="20" t="s">
        <v>76</v>
      </c>
      <c r="BU35" s="20" t="s">
        <v>76</v>
      </c>
      <c r="BV35" s="20" t="s">
        <v>76</v>
      </c>
      <c r="BW35" s="20" t="s">
        <v>76</v>
      </c>
      <c r="BX35" s="20" t="s">
        <v>76</v>
      </c>
      <c r="BY35" s="20" t="s">
        <v>76</v>
      </c>
      <c r="BZ35" s="20" t="s">
        <v>76</v>
      </c>
      <c r="CA35" s="32">
        <v>0.86938768073848804</v>
      </c>
      <c r="CB35" s="15">
        <v>1.59744408945687</v>
      </c>
      <c r="CC35" s="20" t="s">
        <v>76</v>
      </c>
      <c r="CD35" s="20" t="s">
        <v>76</v>
      </c>
      <c r="CE35" s="20" t="s">
        <v>76</v>
      </c>
      <c r="CF35" s="15">
        <v>2.0958083832335301</v>
      </c>
      <c r="CG35" s="20" t="s">
        <v>76</v>
      </c>
      <c r="CH35" s="20" t="s">
        <v>76</v>
      </c>
      <c r="CI35" s="15">
        <v>1.64271047227926</v>
      </c>
      <c r="CJ35" s="20" t="s">
        <v>76</v>
      </c>
      <c r="CK35" s="20" t="s">
        <v>76</v>
      </c>
      <c r="CL35" s="20" t="s">
        <v>76</v>
      </c>
      <c r="CM35" s="26" t="s">
        <v>76</v>
      </c>
      <c r="CN35" s="37"/>
    </row>
    <row r="36" spans="1:92">
      <c r="A36" s="9" t="s">
        <v>291</v>
      </c>
      <c r="B36" s="35">
        <v>12.7687126291897</v>
      </c>
      <c r="C36" s="32">
        <v>14.1561889906886</v>
      </c>
      <c r="D36" s="32">
        <v>11.7609182313515</v>
      </c>
      <c r="E36" s="32">
        <v>9.4147047292630006</v>
      </c>
      <c r="F36" s="20" t="s">
        <v>76</v>
      </c>
      <c r="G36" s="20" t="s">
        <v>76</v>
      </c>
      <c r="H36" s="20" t="s">
        <v>76</v>
      </c>
      <c r="I36" s="20" t="s">
        <v>76</v>
      </c>
      <c r="J36" s="20" t="s">
        <v>76</v>
      </c>
      <c r="K36" s="20" t="s">
        <v>76</v>
      </c>
      <c r="L36" s="15">
        <v>19.672131147540998</v>
      </c>
      <c r="M36" s="15">
        <v>23.684210526315798</v>
      </c>
      <c r="N36" s="15">
        <v>18.823529411764699</v>
      </c>
      <c r="O36" s="20" t="s">
        <v>76</v>
      </c>
      <c r="P36" s="15">
        <v>14.084507042253501</v>
      </c>
      <c r="Q36" s="15">
        <v>11.2676056338028</v>
      </c>
      <c r="R36" s="20" t="s">
        <v>76</v>
      </c>
      <c r="S36" s="15">
        <v>17.0731707317073</v>
      </c>
      <c r="T36" s="20" t="s">
        <v>76</v>
      </c>
      <c r="U36" s="15">
        <v>23.8095238095238</v>
      </c>
      <c r="V36" s="20" t="s">
        <v>76</v>
      </c>
      <c r="W36" s="20" t="s">
        <v>76</v>
      </c>
      <c r="X36" s="20" t="s">
        <v>76</v>
      </c>
      <c r="Y36" s="20" t="s">
        <v>76</v>
      </c>
      <c r="Z36" s="20" t="s">
        <v>76</v>
      </c>
      <c r="AA36" s="15">
        <v>9.1743119266054993</v>
      </c>
      <c r="AB36" s="20" t="s">
        <v>76</v>
      </c>
      <c r="AC36" s="15">
        <v>6.0606060606060597</v>
      </c>
      <c r="AD36" s="15">
        <v>34.375</v>
      </c>
      <c r="AE36" s="20" t="s">
        <v>76</v>
      </c>
      <c r="AF36" s="20" t="s">
        <v>76</v>
      </c>
      <c r="AG36" s="20" t="s">
        <v>76</v>
      </c>
      <c r="AH36" s="15">
        <v>14.285714285714301</v>
      </c>
      <c r="AI36" s="20" t="s">
        <v>76</v>
      </c>
      <c r="AJ36" s="20" t="s">
        <v>76</v>
      </c>
      <c r="AK36" s="15">
        <v>50</v>
      </c>
      <c r="AL36" s="15">
        <v>5.5555555555555598</v>
      </c>
      <c r="AM36" s="15">
        <v>17.1875</v>
      </c>
      <c r="AN36" s="20" t="s">
        <v>76</v>
      </c>
      <c r="AO36" s="20" t="s">
        <v>76</v>
      </c>
      <c r="AP36" s="15">
        <v>6.4935064935064899</v>
      </c>
      <c r="AQ36" s="15">
        <v>12.8205128205128</v>
      </c>
      <c r="AR36" s="20" t="s">
        <v>76</v>
      </c>
      <c r="AS36" s="20" t="s">
        <v>76</v>
      </c>
      <c r="AT36" s="15">
        <v>9.2307692307692299</v>
      </c>
      <c r="AU36" s="15">
        <v>12.244897959183699</v>
      </c>
      <c r="AV36" s="20" t="s">
        <v>76</v>
      </c>
      <c r="AW36" s="15">
        <v>11.2068965517241</v>
      </c>
      <c r="AX36" s="20" t="s">
        <v>76</v>
      </c>
      <c r="AY36" s="20" t="s">
        <v>76</v>
      </c>
      <c r="AZ36" s="15">
        <v>30</v>
      </c>
      <c r="BA36" s="20" t="s">
        <v>76</v>
      </c>
      <c r="BB36" s="15">
        <v>14.9253731343284</v>
      </c>
      <c r="BC36" s="20" t="s">
        <v>76</v>
      </c>
      <c r="BD36" s="15">
        <v>16.6666666666667</v>
      </c>
      <c r="BE36" s="15">
        <v>43.1034482758621</v>
      </c>
      <c r="BF36" s="15">
        <v>7.2289156626505999</v>
      </c>
      <c r="BG36" s="15">
        <v>35.820895522388099</v>
      </c>
      <c r="BH36" s="20" t="s">
        <v>76</v>
      </c>
      <c r="BI36" s="20" t="s">
        <v>76</v>
      </c>
      <c r="BJ36" s="15">
        <v>7.1428571428571397</v>
      </c>
      <c r="BK36" s="15">
        <v>22.5</v>
      </c>
      <c r="BL36" s="15">
        <v>10.9375</v>
      </c>
      <c r="BM36" s="15">
        <v>8.9108910891089099</v>
      </c>
      <c r="BN36" s="20" t="s">
        <v>76</v>
      </c>
      <c r="BO36" s="20" t="s">
        <v>76</v>
      </c>
      <c r="BP36" s="20" t="s">
        <v>76</v>
      </c>
      <c r="BQ36" s="20" t="s">
        <v>76</v>
      </c>
      <c r="BR36" s="15">
        <v>10</v>
      </c>
      <c r="BS36" s="15">
        <v>14.4578313253012</v>
      </c>
      <c r="BT36" s="20" t="s">
        <v>76</v>
      </c>
      <c r="BU36" s="20" t="s">
        <v>76</v>
      </c>
      <c r="BV36" s="15">
        <v>11.1111111111111</v>
      </c>
      <c r="BW36" s="20" t="s">
        <v>76</v>
      </c>
      <c r="BX36" s="15">
        <v>55.5555555555556</v>
      </c>
      <c r="BY36" s="20" t="s">
        <v>76</v>
      </c>
      <c r="BZ36" s="15">
        <v>10.8843537414966</v>
      </c>
      <c r="CA36" s="32">
        <v>13.6556514321388</v>
      </c>
      <c r="CB36" s="15">
        <v>7.9872204472843498</v>
      </c>
      <c r="CC36" s="15">
        <v>13.207547169811299</v>
      </c>
      <c r="CD36" s="15">
        <v>12.258064516129</v>
      </c>
      <c r="CE36" s="20" t="s">
        <v>76</v>
      </c>
      <c r="CF36" s="15">
        <v>18.562874251497</v>
      </c>
      <c r="CG36" s="15">
        <v>19.553072625698299</v>
      </c>
      <c r="CH36" s="15">
        <v>11.397058823529401</v>
      </c>
      <c r="CI36" s="15">
        <v>13.552361396303899</v>
      </c>
      <c r="CJ36" s="15">
        <v>18.039215686274499</v>
      </c>
      <c r="CK36" s="15">
        <v>15.695067264574</v>
      </c>
      <c r="CL36" s="15">
        <v>13.181818181818199</v>
      </c>
      <c r="CM36" s="24">
        <v>16.702355460385402</v>
      </c>
      <c r="CN36" s="37"/>
    </row>
    <row r="37" spans="1:92">
      <c r="A37" s="9" t="s">
        <v>292</v>
      </c>
      <c r="B37" s="35">
        <v>0.72679955632918603</v>
      </c>
      <c r="C37" s="32">
        <v>0.74113913263012199</v>
      </c>
      <c r="D37" s="32">
        <v>0.664728167374529</v>
      </c>
      <c r="E37" s="32">
        <v>1.2018707219167399</v>
      </c>
      <c r="F37" s="20" t="s">
        <v>76</v>
      </c>
      <c r="G37" s="20" t="s">
        <v>76</v>
      </c>
      <c r="H37" s="20" t="s">
        <v>76</v>
      </c>
      <c r="I37" s="20" t="s">
        <v>76</v>
      </c>
      <c r="J37" s="20" t="s">
        <v>76</v>
      </c>
      <c r="K37" s="20" t="s">
        <v>76</v>
      </c>
      <c r="L37" s="15">
        <v>8.1967213114754092</v>
      </c>
      <c r="M37" s="15">
        <v>7.8947368421052602</v>
      </c>
      <c r="N37" s="20" t="s">
        <v>76</v>
      </c>
      <c r="O37" s="20" t="s">
        <v>76</v>
      </c>
      <c r="P37" s="20" t="s">
        <v>76</v>
      </c>
      <c r="Q37" s="20" t="s">
        <v>76</v>
      </c>
      <c r="R37" s="20" t="s">
        <v>76</v>
      </c>
      <c r="S37" s="20" t="s">
        <v>76</v>
      </c>
      <c r="T37" s="20" t="s">
        <v>76</v>
      </c>
      <c r="U37" s="20" t="s">
        <v>76</v>
      </c>
      <c r="V37" s="20" t="s">
        <v>76</v>
      </c>
      <c r="W37" s="20" t="s">
        <v>76</v>
      </c>
      <c r="X37" s="20" t="s">
        <v>76</v>
      </c>
      <c r="Y37" s="20" t="s">
        <v>76</v>
      </c>
      <c r="Z37" s="20" t="s">
        <v>76</v>
      </c>
      <c r="AA37" s="20" t="s">
        <v>76</v>
      </c>
      <c r="AB37" s="20" t="s">
        <v>76</v>
      </c>
      <c r="AC37" s="20" t="s">
        <v>76</v>
      </c>
      <c r="AD37" s="20" t="s">
        <v>76</v>
      </c>
      <c r="AE37" s="20" t="s">
        <v>76</v>
      </c>
      <c r="AF37" s="20" t="s">
        <v>76</v>
      </c>
      <c r="AG37" s="20" t="s">
        <v>76</v>
      </c>
      <c r="AH37" s="20" t="s">
        <v>76</v>
      </c>
      <c r="AI37" s="20" t="s">
        <v>76</v>
      </c>
      <c r="AJ37" s="20" t="s">
        <v>76</v>
      </c>
      <c r="AK37" s="20" t="s">
        <v>76</v>
      </c>
      <c r="AL37" s="20" t="s">
        <v>76</v>
      </c>
      <c r="AM37" s="20" t="s">
        <v>76</v>
      </c>
      <c r="AN37" s="20" t="s">
        <v>76</v>
      </c>
      <c r="AO37" s="20" t="s">
        <v>76</v>
      </c>
      <c r="AP37" s="20" t="s">
        <v>76</v>
      </c>
      <c r="AQ37" s="20" t="s">
        <v>76</v>
      </c>
      <c r="AR37" s="20" t="s">
        <v>76</v>
      </c>
      <c r="AS37" s="20" t="s">
        <v>76</v>
      </c>
      <c r="AT37" s="20" t="s">
        <v>76</v>
      </c>
      <c r="AU37" s="20" t="s">
        <v>76</v>
      </c>
      <c r="AV37" s="20" t="s">
        <v>76</v>
      </c>
      <c r="AW37" s="20" t="s">
        <v>76</v>
      </c>
      <c r="AX37" s="20" t="s">
        <v>76</v>
      </c>
      <c r="AY37" s="20" t="s">
        <v>76</v>
      </c>
      <c r="AZ37" s="15">
        <v>12</v>
      </c>
      <c r="BA37" s="20" t="s">
        <v>76</v>
      </c>
      <c r="BB37" s="20" t="s">
        <v>76</v>
      </c>
      <c r="BC37" s="20" t="s">
        <v>76</v>
      </c>
      <c r="BD37" s="20" t="s">
        <v>76</v>
      </c>
      <c r="BE37" s="20" t="s">
        <v>76</v>
      </c>
      <c r="BF37" s="20" t="s">
        <v>76</v>
      </c>
      <c r="BG37" s="20" t="s">
        <v>76</v>
      </c>
      <c r="BH37" s="20" t="s">
        <v>76</v>
      </c>
      <c r="BI37" s="20" t="s">
        <v>76</v>
      </c>
      <c r="BJ37" s="20" t="s">
        <v>76</v>
      </c>
      <c r="BK37" s="20" t="s">
        <v>76</v>
      </c>
      <c r="BL37" s="20" t="s">
        <v>76</v>
      </c>
      <c r="BM37" s="20" t="s">
        <v>76</v>
      </c>
      <c r="BN37" s="20" t="s">
        <v>76</v>
      </c>
      <c r="BO37" s="20" t="s">
        <v>76</v>
      </c>
      <c r="BP37" s="20" t="s">
        <v>76</v>
      </c>
      <c r="BQ37" s="20" t="s">
        <v>76</v>
      </c>
      <c r="BR37" s="20" t="s">
        <v>76</v>
      </c>
      <c r="BS37" s="20" t="s">
        <v>76</v>
      </c>
      <c r="BT37" s="20" t="s">
        <v>76</v>
      </c>
      <c r="BU37" s="20" t="s">
        <v>76</v>
      </c>
      <c r="BV37" s="20" t="s">
        <v>76</v>
      </c>
      <c r="BW37" s="20" t="s">
        <v>76</v>
      </c>
      <c r="BX37" s="20" t="s">
        <v>76</v>
      </c>
      <c r="BY37" s="20" t="s">
        <v>76</v>
      </c>
      <c r="BZ37" s="15">
        <v>3.40136054421769</v>
      </c>
      <c r="CA37" s="38" t="s">
        <v>76</v>
      </c>
      <c r="CB37" s="20" t="s">
        <v>76</v>
      </c>
      <c r="CC37" s="20" t="s">
        <v>76</v>
      </c>
      <c r="CD37" s="20" t="s">
        <v>76</v>
      </c>
      <c r="CE37" s="20" t="s">
        <v>76</v>
      </c>
      <c r="CF37" s="20" t="s">
        <v>76</v>
      </c>
      <c r="CG37" s="20" t="s">
        <v>76</v>
      </c>
      <c r="CH37" s="20" t="s">
        <v>76</v>
      </c>
      <c r="CI37" s="20" t="s">
        <v>76</v>
      </c>
      <c r="CJ37" s="20" t="s">
        <v>76</v>
      </c>
      <c r="CK37" s="20" t="s">
        <v>76</v>
      </c>
      <c r="CL37" s="20" t="s">
        <v>76</v>
      </c>
      <c r="CM37" s="26" t="s">
        <v>76</v>
      </c>
      <c r="CN37" s="37"/>
    </row>
    <row r="38" spans="1:92">
      <c r="A38" s="9" t="s">
        <v>293</v>
      </c>
      <c r="B38" s="35">
        <v>1.8858825553587999</v>
      </c>
      <c r="C38" s="32">
        <v>1.82907531723313</v>
      </c>
      <c r="D38" s="32">
        <v>1.4260241722601401</v>
      </c>
      <c r="E38" s="32">
        <v>2.48864817090353</v>
      </c>
      <c r="F38" s="20" t="s">
        <v>76</v>
      </c>
      <c r="G38" s="20" t="s">
        <v>76</v>
      </c>
      <c r="H38" s="20" t="s">
        <v>76</v>
      </c>
      <c r="I38" s="20" t="s">
        <v>76</v>
      </c>
      <c r="J38" s="15">
        <v>4.8611111111111098</v>
      </c>
      <c r="K38" s="20" t="s">
        <v>76</v>
      </c>
      <c r="L38" s="20" t="s">
        <v>76</v>
      </c>
      <c r="M38" s="15">
        <v>17.105263157894701</v>
      </c>
      <c r="N38" s="20" t="s">
        <v>76</v>
      </c>
      <c r="O38" s="20" t="s">
        <v>76</v>
      </c>
      <c r="P38" s="20" t="s">
        <v>76</v>
      </c>
      <c r="Q38" s="20" t="s">
        <v>76</v>
      </c>
      <c r="R38" s="20" t="s">
        <v>76</v>
      </c>
      <c r="S38" s="20" t="s">
        <v>76</v>
      </c>
      <c r="T38" s="20" t="s">
        <v>76</v>
      </c>
      <c r="U38" s="20" t="s">
        <v>76</v>
      </c>
      <c r="V38" s="20" t="s">
        <v>76</v>
      </c>
      <c r="W38" s="20" t="s">
        <v>76</v>
      </c>
      <c r="X38" s="20" t="s">
        <v>76</v>
      </c>
      <c r="Y38" s="20" t="s">
        <v>76</v>
      </c>
      <c r="Z38" s="20" t="s">
        <v>76</v>
      </c>
      <c r="AA38" s="15">
        <v>8.2568807339449499</v>
      </c>
      <c r="AB38" s="20" t="s">
        <v>76</v>
      </c>
      <c r="AC38" s="20" t="s">
        <v>76</v>
      </c>
      <c r="AD38" s="20" t="s">
        <v>76</v>
      </c>
      <c r="AE38" s="20" t="s">
        <v>76</v>
      </c>
      <c r="AF38" s="20" t="s">
        <v>76</v>
      </c>
      <c r="AG38" s="20" t="s">
        <v>76</v>
      </c>
      <c r="AH38" s="20" t="s">
        <v>76</v>
      </c>
      <c r="AI38" s="20" t="s">
        <v>76</v>
      </c>
      <c r="AJ38" s="15">
        <v>5.4054054054054097</v>
      </c>
      <c r="AK38" s="20" t="s">
        <v>76</v>
      </c>
      <c r="AL38" s="15">
        <v>7.7777777777777803</v>
      </c>
      <c r="AM38" s="20" t="s">
        <v>76</v>
      </c>
      <c r="AN38" s="20" t="s">
        <v>76</v>
      </c>
      <c r="AO38" s="20" t="s">
        <v>76</v>
      </c>
      <c r="AP38" s="20" t="s">
        <v>76</v>
      </c>
      <c r="AQ38" s="20" t="s">
        <v>76</v>
      </c>
      <c r="AR38" s="20" t="s">
        <v>76</v>
      </c>
      <c r="AS38" s="20" t="s">
        <v>76</v>
      </c>
      <c r="AT38" s="20" t="s">
        <v>76</v>
      </c>
      <c r="AU38" s="20" t="s">
        <v>76</v>
      </c>
      <c r="AV38" s="20" t="s">
        <v>76</v>
      </c>
      <c r="AW38" s="20" t="s">
        <v>76</v>
      </c>
      <c r="AX38" s="20" t="s">
        <v>76</v>
      </c>
      <c r="AY38" s="20" t="s">
        <v>76</v>
      </c>
      <c r="AZ38" s="20" t="s">
        <v>76</v>
      </c>
      <c r="BA38" s="20" t="s">
        <v>76</v>
      </c>
      <c r="BB38" s="20" t="s">
        <v>76</v>
      </c>
      <c r="BC38" s="20" t="s">
        <v>76</v>
      </c>
      <c r="BD38" s="20" t="s">
        <v>76</v>
      </c>
      <c r="BE38" s="20" t="s">
        <v>76</v>
      </c>
      <c r="BF38" s="20" t="s">
        <v>76</v>
      </c>
      <c r="BG38" s="20" t="s">
        <v>76</v>
      </c>
      <c r="BH38" s="20" t="s">
        <v>76</v>
      </c>
      <c r="BI38" s="20" t="s">
        <v>76</v>
      </c>
      <c r="BJ38" s="20" t="s">
        <v>76</v>
      </c>
      <c r="BK38" s="20" t="s">
        <v>76</v>
      </c>
      <c r="BL38" s="20" t="s">
        <v>76</v>
      </c>
      <c r="BM38" s="20" t="s">
        <v>76</v>
      </c>
      <c r="BN38" s="20" t="s">
        <v>76</v>
      </c>
      <c r="BO38" s="20" t="s">
        <v>76</v>
      </c>
      <c r="BP38" s="20" t="s">
        <v>76</v>
      </c>
      <c r="BQ38" s="20" t="s">
        <v>76</v>
      </c>
      <c r="BR38" s="20" t="s">
        <v>76</v>
      </c>
      <c r="BS38" s="20" t="s">
        <v>76</v>
      </c>
      <c r="BT38" s="20" t="s">
        <v>76</v>
      </c>
      <c r="BU38" s="20" t="s">
        <v>76</v>
      </c>
      <c r="BV38" s="20" t="s">
        <v>76</v>
      </c>
      <c r="BW38" s="20" t="s">
        <v>76</v>
      </c>
      <c r="BX38" s="20" t="s">
        <v>76</v>
      </c>
      <c r="BY38" s="20" t="s">
        <v>76</v>
      </c>
      <c r="BZ38" s="20" t="s">
        <v>76</v>
      </c>
      <c r="CA38" s="38" t="s">
        <v>76</v>
      </c>
      <c r="CB38" s="20" t="s">
        <v>76</v>
      </c>
      <c r="CC38" s="20" t="s">
        <v>76</v>
      </c>
      <c r="CD38" s="20" t="s">
        <v>76</v>
      </c>
      <c r="CE38" s="20" t="s">
        <v>76</v>
      </c>
      <c r="CF38" s="20" t="s">
        <v>76</v>
      </c>
      <c r="CG38" s="20" t="s">
        <v>76</v>
      </c>
      <c r="CH38" s="20" t="s">
        <v>76</v>
      </c>
      <c r="CI38" s="15">
        <v>1.2320328542094501</v>
      </c>
      <c r="CJ38" s="20" t="s">
        <v>76</v>
      </c>
      <c r="CK38" s="20" t="s">
        <v>76</v>
      </c>
      <c r="CL38" s="15">
        <v>1.36363636363636</v>
      </c>
      <c r="CM38" s="26" t="s">
        <v>76</v>
      </c>
      <c r="CN38" s="37"/>
    </row>
    <row r="39" spans="1:92">
      <c r="A39" s="9" t="s">
        <v>294</v>
      </c>
      <c r="B39" s="35">
        <v>0.79957676271398204</v>
      </c>
      <c r="C39" s="32">
        <v>0.77947687926356601</v>
      </c>
      <c r="D39" s="32">
        <v>0.47742308002094502</v>
      </c>
      <c r="E39" s="32">
        <v>0.73049645103264804</v>
      </c>
      <c r="F39" s="20" t="s">
        <v>76</v>
      </c>
      <c r="G39" s="20" t="s">
        <v>76</v>
      </c>
      <c r="H39" s="20" t="s">
        <v>76</v>
      </c>
      <c r="I39" s="20" t="s">
        <v>76</v>
      </c>
      <c r="J39" s="20" t="s">
        <v>76</v>
      </c>
      <c r="K39" s="20" t="s">
        <v>76</v>
      </c>
      <c r="L39" s="20" t="s">
        <v>76</v>
      </c>
      <c r="M39" s="20" t="s">
        <v>76</v>
      </c>
      <c r="N39" s="20" t="s">
        <v>76</v>
      </c>
      <c r="O39" s="20" t="s">
        <v>76</v>
      </c>
      <c r="P39" s="20" t="s">
        <v>76</v>
      </c>
      <c r="Q39" s="20" t="s">
        <v>76</v>
      </c>
      <c r="R39" s="20" t="s">
        <v>76</v>
      </c>
      <c r="S39" s="20" t="s">
        <v>76</v>
      </c>
      <c r="T39" s="20" t="s">
        <v>76</v>
      </c>
      <c r="U39" s="20" t="s">
        <v>76</v>
      </c>
      <c r="V39" s="20" t="s">
        <v>76</v>
      </c>
      <c r="W39" s="20" t="s">
        <v>76</v>
      </c>
      <c r="X39" s="20" t="s">
        <v>76</v>
      </c>
      <c r="Y39" s="20" t="s">
        <v>76</v>
      </c>
      <c r="Z39" s="20" t="s">
        <v>76</v>
      </c>
      <c r="AA39" s="20" t="s">
        <v>76</v>
      </c>
      <c r="AB39" s="20" t="s">
        <v>76</v>
      </c>
      <c r="AC39" s="20" t="s">
        <v>76</v>
      </c>
      <c r="AD39" s="20" t="s">
        <v>76</v>
      </c>
      <c r="AE39" s="20" t="s">
        <v>76</v>
      </c>
      <c r="AF39" s="20" t="s">
        <v>76</v>
      </c>
      <c r="AG39" s="20" t="s">
        <v>76</v>
      </c>
      <c r="AH39" s="20" t="s">
        <v>76</v>
      </c>
      <c r="AI39" s="20" t="s">
        <v>76</v>
      </c>
      <c r="AJ39" s="20" t="s">
        <v>76</v>
      </c>
      <c r="AK39" s="20" t="s">
        <v>76</v>
      </c>
      <c r="AL39" s="20" t="s">
        <v>76</v>
      </c>
      <c r="AM39" s="20" t="s">
        <v>76</v>
      </c>
      <c r="AN39" s="20" t="s">
        <v>76</v>
      </c>
      <c r="AO39" s="20" t="s">
        <v>76</v>
      </c>
      <c r="AP39" s="20" t="s">
        <v>76</v>
      </c>
      <c r="AQ39" s="20" t="s">
        <v>76</v>
      </c>
      <c r="AR39" s="20" t="s">
        <v>76</v>
      </c>
      <c r="AS39" s="20" t="s">
        <v>76</v>
      </c>
      <c r="AT39" s="20" t="s">
        <v>76</v>
      </c>
      <c r="AU39" s="20" t="s">
        <v>76</v>
      </c>
      <c r="AV39" s="20" t="s">
        <v>76</v>
      </c>
      <c r="AW39" s="20" t="s">
        <v>76</v>
      </c>
      <c r="AX39" s="20" t="s">
        <v>76</v>
      </c>
      <c r="AY39" s="20" t="s">
        <v>76</v>
      </c>
      <c r="AZ39" s="15">
        <v>10</v>
      </c>
      <c r="BA39" s="20" t="s">
        <v>76</v>
      </c>
      <c r="BB39" s="20" t="s">
        <v>76</v>
      </c>
      <c r="BC39" s="20" t="s">
        <v>76</v>
      </c>
      <c r="BD39" s="20" t="s">
        <v>76</v>
      </c>
      <c r="BE39" s="20" t="s">
        <v>76</v>
      </c>
      <c r="BF39" s="20" t="s">
        <v>76</v>
      </c>
      <c r="BG39" s="20" t="s">
        <v>76</v>
      </c>
      <c r="BH39" s="20" t="s">
        <v>76</v>
      </c>
      <c r="BI39" s="20" t="s">
        <v>76</v>
      </c>
      <c r="BJ39" s="20" t="s">
        <v>76</v>
      </c>
      <c r="BK39" s="20" t="s">
        <v>76</v>
      </c>
      <c r="BL39" s="20" t="s">
        <v>76</v>
      </c>
      <c r="BM39" s="20" t="s">
        <v>76</v>
      </c>
      <c r="BN39" s="20" t="s">
        <v>76</v>
      </c>
      <c r="BO39" s="20" t="s">
        <v>76</v>
      </c>
      <c r="BP39" s="20" t="s">
        <v>76</v>
      </c>
      <c r="BQ39" s="20" t="s">
        <v>76</v>
      </c>
      <c r="BR39" s="20" t="s">
        <v>76</v>
      </c>
      <c r="BS39" s="20" t="s">
        <v>76</v>
      </c>
      <c r="BT39" s="20" t="s">
        <v>76</v>
      </c>
      <c r="BU39" s="20" t="s">
        <v>76</v>
      </c>
      <c r="BV39" s="20" t="s">
        <v>76</v>
      </c>
      <c r="BW39" s="20" t="s">
        <v>76</v>
      </c>
      <c r="BX39" s="20" t="s">
        <v>76</v>
      </c>
      <c r="BY39" s="20" t="s">
        <v>76</v>
      </c>
      <c r="BZ39" s="20" t="s">
        <v>76</v>
      </c>
      <c r="CA39" s="38" t="s">
        <v>76</v>
      </c>
      <c r="CB39" s="20" t="s">
        <v>76</v>
      </c>
      <c r="CC39" s="20" t="s">
        <v>76</v>
      </c>
      <c r="CD39" s="20" t="s">
        <v>76</v>
      </c>
      <c r="CE39" s="20" t="s">
        <v>76</v>
      </c>
      <c r="CF39" s="20" t="s">
        <v>76</v>
      </c>
      <c r="CG39" s="20" t="s">
        <v>76</v>
      </c>
      <c r="CH39" s="20" t="s">
        <v>76</v>
      </c>
      <c r="CI39" s="20" t="s">
        <v>76</v>
      </c>
      <c r="CJ39" s="20" t="s">
        <v>76</v>
      </c>
      <c r="CK39" s="20" t="s">
        <v>76</v>
      </c>
      <c r="CL39" s="20" t="s">
        <v>76</v>
      </c>
      <c r="CM39" s="26" t="s">
        <v>76</v>
      </c>
      <c r="CN39" s="37"/>
    </row>
    <row r="40" spans="1:92">
      <c r="A40" s="9" t="s">
        <v>295</v>
      </c>
      <c r="B40" s="35">
        <v>0.42723125219975799</v>
      </c>
      <c r="C40" s="32">
        <v>0.38327397423277698</v>
      </c>
      <c r="D40" s="38" t="s">
        <v>76</v>
      </c>
      <c r="E40" s="38" t="s">
        <v>76</v>
      </c>
      <c r="F40" s="20" t="s">
        <v>76</v>
      </c>
      <c r="G40" s="20" t="s">
        <v>76</v>
      </c>
      <c r="H40" s="20" t="s">
        <v>76</v>
      </c>
      <c r="I40" s="20" t="s">
        <v>76</v>
      </c>
      <c r="J40" s="20" t="s">
        <v>76</v>
      </c>
      <c r="K40" s="20" t="s">
        <v>76</v>
      </c>
      <c r="L40" s="20" t="s">
        <v>76</v>
      </c>
      <c r="M40" s="20" t="s">
        <v>76</v>
      </c>
      <c r="N40" s="20" t="s">
        <v>76</v>
      </c>
      <c r="O40" s="20" t="s">
        <v>76</v>
      </c>
      <c r="P40" s="20" t="s">
        <v>76</v>
      </c>
      <c r="Q40" s="20" t="s">
        <v>76</v>
      </c>
      <c r="R40" s="20" t="s">
        <v>76</v>
      </c>
      <c r="S40" s="20" t="s">
        <v>76</v>
      </c>
      <c r="T40" s="20" t="s">
        <v>76</v>
      </c>
      <c r="U40" s="20" t="s">
        <v>76</v>
      </c>
      <c r="V40" s="20" t="s">
        <v>76</v>
      </c>
      <c r="W40" s="20" t="s">
        <v>76</v>
      </c>
      <c r="X40" s="20" t="s">
        <v>76</v>
      </c>
      <c r="Y40" s="20" t="s">
        <v>76</v>
      </c>
      <c r="Z40" s="20" t="s">
        <v>76</v>
      </c>
      <c r="AA40" s="20" t="s">
        <v>76</v>
      </c>
      <c r="AB40" s="20" t="s">
        <v>76</v>
      </c>
      <c r="AC40" s="20" t="s">
        <v>76</v>
      </c>
      <c r="AD40" s="20" t="s">
        <v>76</v>
      </c>
      <c r="AE40" s="20" t="s">
        <v>76</v>
      </c>
      <c r="AF40" s="20" t="s">
        <v>76</v>
      </c>
      <c r="AG40" s="20" t="s">
        <v>76</v>
      </c>
      <c r="AH40" s="20" t="s">
        <v>76</v>
      </c>
      <c r="AI40" s="20" t="s">
        <v>76</v>
      </c>
      <c r="AJ40" s="20" t="s">
        <v>76</v>
      </c>
      <c r="AK40" s="20" t="s">
        <v>76</v>
      </c>
      <c r="AL40" s="20" t="s">
        <v>76</v>
      </c>
      <c r="AM40" s="20" t="s">
        <v>76</v>
      </c>
      <c r="AN40" s="20" t="s">
        <v>76</v>
      </c>
      <c r="AO40" s="20" t="s">
        <v>76</v>
      </c>
      <c r="AP40" s="20" t="s">
        <v>76</v>
      </c>
      <c r="AQ40" s="20" t="s">
        <v>76</v>
      </c>
      <c r="AR40" s="20" t="s">
        <v>76</v>
      </c>
      <c r="AS40" s="20" t="s">
        <v>76</v>
      </c>
      <c r="AT40" s="20" t="s">
        <v>76</v>
      </c>
      <c r="AU40" s="20" t="s">
        <v>76</v>
      </c>
      <c r="AV40" s="20" t="s">
        <v>76</v>
      </c>
      <c r="AW40" s="20" t="s">
        <v>76</v>
      </c>
      <c r="AX40" s="20" t="s">
        <v>76</v>
      </c>
      <c r="AY40" s="20" t="s">
        <v>76</v>
      </c>
      <c r="AZ40" s="20" t="s">
        <v>76</v>
      </c>
      <c r="BA40" s="20" t="s">
        <v>76</v>
      </c>
      <c r="BB40" s="20" t="s">
        <v>76</v>
      </c>
      <c r="BC40" s="20" t="s">
        <v>76</v>
      </c>
      <c r="BD40" s="20" t="s">
        <v>76</v>
      </c>
      <c r="BE40" s="20" t="s">
        <v>76</v>
      </c>
      <c r="BF40" s="20" t="s">
        <v>76</v>
      </c>
      <c r="BG40" s="20" t="s">
        <v>76</v>
      </c>
      <c r="BH40" s="20" t="s">
        <v>76</v>
      </c>
      <c r="BI40" s="20" t="s">
        <v>76</v>
      </c>
      <c r="BJ40" s="20" t="s">
        <v>76</v>
      </c>
      <c r="BK40" s="20" t="s">
        <v>76</v>
      </c>
      <c r="BL40" s="20" t="s">
        <v>76</v>
      </c>
      <c r="BM40" s="20" t="s">
        <v>76</v>
      </c>
      <c r="BN40" s="20" t="s">
        <v>76</v>
      </c>
      <c r="BO40" s="20" t="s">
        <v>76</v>
      </c>
      <c r="BP40" s="20" t="s">
        <v>76</v>
      </c>
      <c r="BQ40" s="20" t="s">
        <v>76</v>
      </c>
      <c r="BR40" s="20" t="s">
        <v>76</v>
      </c>
      <c r="BS40" s="20" t="s">
        <v>76</v>
      </c>
      <c r="BT40" s="20" t="s">
        <v>76</v>
      </c>
      <c r="BU40" s="20" t="s">
        <v>76</v>
      </c>
      <c r="BV40" s="20" t="s">
        <v>76</v>
      </c>
      <c r="BW40" s="20" t="s">
        <v>76</v>
      </c>
      <c r="BX40" s="20" t="s">
        <v>76</v>
      </c>
      <c r="BY40" s="20" t="s">
        <v>76</v>
      </c>
      <c r="BZ40" s="20" t="s">
        <v>76</v>
      </c>
      <c r="CA40" s="38" t="s">
        <v>76</v>
      </c>
      <c r="CB40" s="20" t="s">
        <v>76</v>
      </c>
      <c r="CC40" s="20" t="s">
        <v>76</v>
      </c>
      <c r="CD40" s="20" t="s">
        <v>76</v>
      </c>
      <c r="CE40" s="20" t="s">
        <v>76</v>
      </c>
      <c r="CF40" s="20" t="s">
        <v>76</v>
      </c>
      <c r="CG40" s="20" t="s">
        <v>76</v>
      </c>
      <c r="CH40" s="20" t="s">
        <v>76</v>
      </c>
      <c r="CI40" s="20" t="s">
        <v>76</v>
      </c>
      <c r="CJ40" s="20" t="s">
        <v>76</v>
      </c>
      <c r="CK40" s="20" t="s">
        <v>76</v>
      </c>
      <c r="CL40" s="20" t="s">
        <v>76</v>
      </c>
      <c r="CM40" s="26" t="s">
        <v>76</v>
      </c>
      <c r="CN40" s="37"/>
    </row>
    <row r="41" spans="1:92">
      <c r="A41" s="9" t="s">
        <v>296</v>
      </c>
      <c r="B41" s="35">
        <v>12.063029894509199</v>
      </c>
      <c r="C41" s="32">
        <v>13.893112483977999</v>
      </c>
      <c r="D41" s="32">
        <v>14.826689053808099</v>
      </c>
      <c r="E41" s="32">
        <v>15.5167924541418</v>
      </c>
      <c r="F41" s="20" t="s">
        <v>76</v>
      </c>
      <c r="G41" s="20" t="s">
        <v>76</v>
      </c>
      <c r="H41" s="15">
        <v>47.826086956521699</v>
      </c>
      <c r="I41" s="20" t="s">
        <v>76</v>
      </c>
      <c r="J41" s="15">
        <v>9.0277777777777803</v>
      </c>
      <c r="K41" s="15">
        <v>15.384615384615399</v>
      </c>
      <c r="L41" s="15">
        <v>39.344262295081997</v>
      </c>
      <c r="M41" s="15">
        <v>18.421052631578899</v>
      </c>
      <c r="N41" s="15">
        <v>43.529411764705898</v>
      </c>
      <c r="O41" s="20" t="s">
        <v>76</v>
      </c>
      <c r="P41" s="15">
        <v>18.309859154929601</v>
      </c>
      <c r="Q41" s="15">
        <v>33.802816901408498</v>
      </c>
      <c r="R41" s="20" t="s">
        <v>76</v>
      </c>
      <c r="S41" s="20" t="s">
        <v>76</v>
      </c>
      <c r="T41" s="20" t="s">
        <v>76</v>
      </c>
      <c r="U41" s="15">
        <v>28.571428571428601</v>
      </c>
      <c r="V41" s="20" t="s">
        <v>76</v>
      </c>
      <c r="W41" s="15">
        <v>10.1694915254237</v>
      </c>
      <c r="X41" s="20" t="s">
        <v>76</v>
      </c>
      <c r="Y41" s="20" t="s">
        <v>76</v>
      </c>
      <c r="Z41" s="15">
        <v>14.1025641025641</v>
      </c>
      <c r="AA41" s="15">
        <v>8.2568807339449499</v>
      </c>
      <c r="AB41" s="20" t="s">
        <v>76</v>
      </c>
      <c r="AC41" s="15">
        <v>4.5454545454545396</v>
      </c>
      <c r="AD41" s="15">
        <v>59.375</v>
      </c>
      <c r="AE41" s="20" t="s">
        <v>76</v>
      </c>
      <c r="AF41" s="20" t="s">
        <v>76</v>
      </c>
      <c r="AG41" s="15">
        <v>13.3333333333333</v>
      </c>
      <c r="AH41" s="15">
        <v>41.071428571428598</v>
      </c>
      <c r="AI41" s="20" t="s">
        <v>76</v>
      </c>
      <c r="AJ41" s="15">
        <v>6.3063063063063103</v>
      </c>
      <c r="AK41" s="15">
        <v>63.3333333333333</v>
      </c>
      <c r="AL41" s="15">
        <v>22.2222222222222</v>
      </c>
      <c r="AM41" s="15">
        <v>17.1875</v>
      </c>
      <c r="AN41" s="20" t="s">
        <v>76</v>
      </c>
      <c r="AO41" s="20" t="s">
        <v>76</v>
      </c>
      <c r="AP41" s="15">
        <v>12.987012987012999</v>
      </c>
      <c r="AQ41" s="20" t="s">
        <v>76</v>
      </c>
      <c r="AR41" s="20" t="s">
        <v>76</v>
      </c>
      <c r="AS41" s="15">
        <v>54.545454545454497</v>
      </c>
      <c r="AT41" s="15">
        <v>16.923076923076898</v>
      </c>
      <c r="AU41" s="20" t="s">
        <v>76</v>
      </c>
      <c r="AV41" s="20" t="s">
        <v>76</v>
      </c>
      <c r="AW41" s="15">
        <v>15.517241379310301</v>
      </c>
      <c r="AX41" s="20" t="s">
        <v>76</v>
      </c>
      <c r="AY41" s="15">
        <v>54.285714285714299</v>
      </c>
      <c r="AZ41" s="15">
        <v>42</v>
      </c>
      <c r="BA41" s="15">
        <v>9.4339622641509404</v>
      </c>
      <c r="BB41" s="20" t="s">
        <v>76</v>
      </c>
      <c r="BC41" s="15">
        <v>9.4594594594594597</v>
      </c>
      <c r="BD41" s="15">
        <v>20.5128205128205</v>
      </c>
      <c r="BE41" s="15">
        <v>39.655172413793103</v>
      </c>
      <c r="BF41" s="20" t="s">
        <v>76</v>
      </c>
      <c r="BG41" s="15">
        <v>44.776119402985103</v>
      </c>
      <c r="BH41" s="15">
        <v>25</v>
      </c>
      <c r="BI41" s="15">
        <v>31.578947368421101</v>
      </c>
      <c r="BJ41" s="15">
        <v>13.3928571428571</v>
      </c>
      <c r="BK41" s="15">
        <v>25</v>
      </c>
      <c r="BL41" s="15">
        <v>10.9375</v>
      </c>
      <c r="BM41" s="15">
        <v>20.7920792079208</v>
      </c>
      <c r="BN41" s="15">
        <v>10.084033613445399</v>
      </c>
      <c r="BO41" s="20" t="s">
        <v>76</v>
      </c>
      <c r="BP41" s="20" t="s">
        <v>76</v>
      </c>
      <c r="BQ41" s="15">
        <v>30.136986301369902</v>
      </c>
      <c r="BR41" s="20" t="s">
        <v>76</v>
      </c>
      <c r="BS41" s="20" t="s">
        <v>76</v>
      </c>
      <c r="BT41" s="15">
        <v>24.390243902439</v>
      </c>
      <c r="BU41" s="15">
        <v>5.6074766355140202</v>
      </c>
      <c r="BV41" s="15">
        <v>23.2323232323232</v>
      </c>
      <c r="BW41" s="15">
        <v>10.144927536231901</v>
      </c>
      <c r="BX41" s="20" t="s">
        <v>76</v>
      </c>
      <c r="BY41" s="15">
        <v>17.460317460317501</v>
      </c>
      <c r="BZ41" s="15">
        <v>3.40136054421769</v>
      </c>
      <c r="CA41" s="32">
        <v>14.269381791095499</v>
      </c>
      <c r="CB41" s="15">
        <v>7.3482428115016001</v>
      </c>
      <c r="CC41" s="15">
        <v>15.4088050314465</v>
      </c>
      <c r="CD41" s="15">
        <v>16.129032258064498</v>
      </c>
      <c r="CE41" s="20" t="s">
        <v>76</v>
      </c>
      <c r="CF41" s="15">
        <v>20.958083832335301</v>
      </c>
      <c r="CG41" s="15">
        <v>15.083798882681601</v>
      </c>
      <c r="CH41" s="15">
        <v>11.397058823529401</v>
      </c>
      <c r="CI41" s="15">
        <v>19.712525667351098</v>
      </c>
      <c r="CJ41" s="15">
        <v>6.6666666666666696</v>
      </c>
      <c r="CK41" s="15">
        <v>13.901345291479799</v>
      </c>
      <c r="CL41" s="15">
        <v>12.2727272727273</v>
      </c>
      <c r="CM41" s="24">
        <v>18.415417558886499</v>
      </c>
      <c r="CN41" s="37"/>
    </row>
    <row r="42" spans="1:92">
      <c r="A42" s="9" t="s">
        <v>297</v>
      </c>
      <c r="B42" s="35">
        <v>0.69402425769814902</v>
      </c>
      <c r="C42" s="32">
        <v>0.48044679715527799</v>
      </c>
      <c r="D42" s="32">
        <v>0.46856150583633799</v>
      </c>
      <c r="E42" s="32">
        <v>0.81908516446380597</v>
      </c>
      <c r="F42" s="20" t="s">
        <v>76</v>
      </c>
      <c r="G42" s="20" t="s">
        <v>76</v>
      </c>
      <c r="H42" s="20" t="s">
        <v>76</v>
      </c>
      <c r="I42" s="20" t="s">
        <v>76</v>
      </c>
      <c r="J42" s="20" t="s">
        <v>76</v>
      </c>
      <c r="K42" s="20" t="s">
        <v>76</v>
      </c>
      <c r="L42" s="20" t="s">
        <v>76</v>
      </c>
      <c r="M42" s="20" t="s">
        <v>76</v>
      </c>
      <c r="N42" s="20" t="s">
        <v>76</v>
      </c>
      <c r="O42" s="20" t="s">
        <v>76</v>
      </c>
      <c r="P42" s="20" t="s">
        <v>76</v>
      </c>
      <c r="Q42" s="20" t="s">
        <v>76</v>
      </c>
      <c r="R42" s="20" t="s">
        <v>76</v>
      </c>
      <c r="S42" s="20" t="s">
        <v>76</v>
      </c>
      <c r="T42" s="20" t="s">
        <v>76</v>
      </c>
      <c r="U42" s="20" t="s">
        <v>76</v>
      </c>
      <c r="V42" s="20" t="s">
        <v>76</v>
      </c>
      <c r="W42" s="20" t="s">
        <v>76</v>
      </c>
      <c r="X42" s="20" t="s">
        <v>76</v>
      </c>
      <c r="Y42" s="20" t="s">
        <v>76</v>
      </c>
      <c r="Z42" s="20" t="s">
        <v>76</v>
      </c>
      <c r="AA42" s="20" t="s">
        <v>76</v>
      </c>
      <c r="AB42" s="20" t="s">
        <v>76</v>
      </c>
      <c r="AC42" s="20" t="s">
        <v>76</v>
      </c>
      <c r="AD42" s="20" t="s">
        <v>76</v>
      </c>
      <c r="AE42" s="20" t="s">
        <v>76</v>
      </c>
      <c r="AF42" s="20" t="s">
        <v>76</v>
      </c>
      <c r="AG42" s="20" t="s">
        <v>76</v>
      </c>
      <c r="AH42" s="20" t="s">
        <v>76</v>
      </c>
      <c r="AI42" s="20" t="s">
        <v>76</v>
      </c>
      <c r="AJ42" s="20" t="s">
        <v>76</v>
      </c>
      <c r="AK42" s="20" t="s">
        <v>76</v>
      </c>
      <c r="AL42" s="20" t="s">
        <v>76</v>
      </c>
      <c r="AM42" s="20" t="s">
        <v>76</v>
      </c>
      <c r="AN42" s="20" t="s">
        <v>76</v>
      </c>
      <c r="AO42" s="20" t="s">
        <v>76</v>
      </c>
      <c r="AP42" s="20" t="s">
        <v>76</v>
      </c>
      <c r="AQ42" s="20" t="s">
        <v>76</v>
      </c>
      <c r="AR42" s="20" t="s">
        <v>76</v>
      </c>
      <c r="AS42" s="20" t="s">
        <v>76</v>
      </c>
      <c r="AT42" s="20" t="s">
        <v>76</v>
      </c>
      <c r="AU42" s="20" t="s">
        <v>76</v>
      </c>
      <c r="AV42" s="20" t="s">
        <v>76</v>
      </c>
      <c r="AW42" s="20" t="s">
        <v>76</v>
      </c>
      <c r="AX42" s="20" t="s">
        <v>76</v>
      </c>
      <c r="AY42" s="20" t="s">
        <v>76</v>
      </c>
      <c r="AZ42" s="20" t="s">
        <v>76</v>
      </c>
      <c r="BA42" s="20" t="s">
        <v>76</v>
      </c>
      <c r="BB42" s="20" t="s">
        <v>76</v>
      </c>
      <c r="BC42" s="20" t="s">
        <v>76</v>
      </c>
      <c r="BD42" s="20" t="s">
        <v>76</v>
      </c>
      <c r="BE42" s="15">
        <v>12.0689655172414</v>
      </c>
      <c r="BF42" s="20" t="s">
        <v>76</v>
      </c>
      <c r="BG42" s="20" t="s">
        <v>76</v>
      </c>
      <c r="BH42" s="20" t="s">
        <v>76</v>
      </c>
      <c r="BI42" s="20" t="s">
        <v>76</v>
      </c>
      <c r="BJ42" s="20" t="s">
        <v>76</v>
      </c>
      <c r="BK42" s="15">
        <v>12.5</v>
      </c>
      <c r="BL42" s="20" t="s">
        <v>76</v>
      </c>
      <c r="BM42" s="20" t="s">
        <v>76</v>
      </c>
      <c r="BN42" s="20" t="s">
        <v>76</v>
      </c>
      <c r="BO42" s="20" t="s">
        <v>76</v>
      </c>
      <c r="BP42" s="20" t="s">
        <v>76</v>
      </c>
      <c r="BQ42" s="20" t="s">
        <v>76</v>
      </c>
      <c r="BR42" s="20" t="s">
        <v>76</v>
      </c>
      <c r="BS42" s="20" t="s">
        <v>76</v>
      </c>
      <c r="BT42" s="20" t="s">
        <v>76</v>
      </c>
      <c r="BU42" s="20" t="s">
        <v>76</v>
      </c>
      <c r="BV42" s="20" t="s">
        <v>76</v>
      </c>
      <c r="BW42" s="20" t="s">
        <v>76</v>
      </c>
      <c r="BX42" s="20" t="s">
        <v>76</v>
      </c>
      <c r="BY42" s="20" t="s">
        <v>76</v>
      </c>
      <c r="BZ42" s="20" t="s">
        <v>76</v>
      </c>
      <c r="CA42" s="38" t="s">
        <v>76</v>
      </c>
      <c r="CB42" s="20" t="s">
        <v>76</v>
      </c>
      <c r="CC42" s="20" t="s">
        <v>76</v>
      </c>
      <c r="CD42" s="20" t="s">
        <v>76</v>
      </c>
      <c r="CE42" s="20" t="s">
        <v>76</v>
      </c>
      <c r="CF42" s="20" t="s">
        <v>76</v>
      </c>
      <c r="CG42" s="20" t="s">
        <v>76</v>
      </c>
      <c r="CH42" s="20" t="s">
        <v>76</v>
      </c>
      <c r="CI42" s="20" t="s">
        <v>76</v>
      </c>
      <c r="CJ42" s="20" t="s">
        <v>76</v>
      </c>
      <c r="CK42" s="20" t="s">
        <v>76</v>
      </c>
      <c r="CL42" s="20" t="s">
        <v>76</v>
      </c>
      <c r="CM42" s="26" t="s">
        <v>76</v>
      </c>
      <c r="CN42" s="37"/>
    </row>
    <row r="43" spans="1:92">
      <c r="A43" s="9" t="s">
        <v>298</v>
      </c>
      <c r="B43" s="35">
        <v>12.5305207430773</v>
      </c>
      <c r="C43" s="32">
        <v>13.7307317240233</v>
      </c>
      <c r="D43" s="32">
        <v>15.286872864740699</v>
      </c>
      <c r="E43" s="32">
        <v>14.0001600105749</v>
      </c>
      <c r="F43" s="20" t="s">
        <v>76</v>
      </c>
      <c r="G43" s="20" t="s">
        <v>76</v>
      </c>
      <c r="H43" s="15">
        <v>34.7826086956522</v>
      </c>
      <c r="I43" s="20" t="s">
        <v>76</v>
      </c>
      <c r="J43" s="15">
        <v>5.5555555555555598</v>
      </c>
      <c r="K43" s="20" t="s">
        <v>76</v>
      </c>
      <c r="L43" s="15">
        <v>24.590163934426201</v>
      </c>
      <c r="M43" s="15">
        <v>25</v>
      </c>
      <c r="N43" s="15">
        <v>22.352941176470601</v>
      </c>
      <c r="O43" s="15">
        <v>11.6279069767442</v>
      </c>
      <c r="P43" s="15">
        <v>18.309859154929601</v>
      </c>
      <c r="Q43" s="15">
        <v>19.7183098591549</v>
      </c>
      <c r="R43" s="20" t="s">
        <v>76</v>
      </c>
      <c r="S43" s="15">
        <v>12.1951219512195</v>
      </c>
      <c r="T43" s="20" t="s">
        <v>76</v>
      </c>
      <c r="U43" s="20" t="s">
        <v>76</v>
      </c>
      <c r="V43" s="20" t="s">
        <v>76</v>
      </c>
      <c r="W43" s="15">
        <v>11.864406779661</v>
      </c>
      <c r="X43" s="20" t="s">
        <v>76</v>
      </c>
      <c r="Y43" s="20" t="s">
        <v>76</v>
      </c>
      <c r="Z43" s="15">
        <v>7.6923076923076898</v>
      </c>
      <c r="AA43" s="15">
        <v>22.935779816513801</v>
      </c>
      <c r="AB43" s="20" t="s">
        <v>76</v>
      </c>
      <c r="AC43" s="15">
        <v>10.6060606060606</v>
      </c>
      <c r="AD43" s="15">
        <v>53.125</v>
      </c>
      <c r="AE43" s="20" t="s">
        <v>76</v>
      </c>
      <c r="AF43" s="20" t="s">
        <v>76</v>
      </c>
      <c r="AG43" s="15">
        <v>8.5714285714285694</v>
      </c>
      <c r="AH43" s="15">
        <v>19.6428571428571</v>
      </c>
      <c r="AI43" s="20" t="s">
        <v>76</v>
      </c>
      <c r="AJ43" s="15">
        <v>4.5045045045045002</v>
      </c>
      <c r="AK43" s="15">
        <v>30</v>
      </c>
      <c r="AL43" s="15">
        <v>8.8888888888888893</v>
      </c>
      <c r="AM43" s="15">
        <v>14.0625</v>
      </c>
      <c r="AN43" s="20" t="s">
        <v>76</v>
      </c>
      <c r="AO43" s="20" t="s">
        <v>76</v>
      </c>
      <c r="AP43" s="15">
        <v>11.6883116883117</v>
      </c>
      <c r="AQ43" s="20" t="s">
        <v>76</v>
      </c>
      <c r="AR43" s="20" t="s">
        <v>76</v>
      </c>
      <c r="AS43" s="15">
        <v>45.454545454545503</v>
      </c>
      <c r="AT43" s="15">
        <v>12.307692307692299</v>
      </c>
      <c r="AU43" s="20" t="s">
        <v>76</v>
      </c>
      <c r="AV43" s="20" t="s">
        <v>76</v>
      </c>
      <c r="AW43" s="15">
        <v>14.6551724137931</v>
      </c>
      <c r="AX43" s="20" t="s">
        <v>76</v>
      </c>
      <c r="AY43" s="15">
        <v>37.142857142857103</v>
      </c>
      <c r="AZ43" s="15">
        <v>30</v>
      </c>
      <c r="BA43" s="20" t="s">
        <v>76</v>
      </c>
      <c r="BB43" s="15">
        <v>31.343283582089601</v>
      </c>
      <c r="BC43" s="15">
        <v>9.4594594594594597</v>
      </c>
      <c r="BD43" s="15">
        <v>12.8205128205128</v>
      </c>
      <c r="BE43" s="15">
        <v>36.2068965517241</v>
      </c>
      <c r="BF43" s="15">
        <v>8.4337349397590398</v>
      </c>
      <c r="BG43" s="15">
        <v>23.880597014925399</v>
      </c>
      <c r="BH43" s="20" t="s">
        <v>76</v>
      </c>
      <c r="BI43" s="20" t="s">
        <v>76</v>
      </c>
      <c r="BJ43" s="15">
        <v>9.8214285714285694</v>
      </c>
      <c r="BK43" s="15">
        <v>27.5</v>
      </c>
      <c r="BL43" s="15">
        <v>12.5</v>
      </c>
      <c r="BM43" s="15">
        <v>15.841584158415801</v>
      </c>
      <c r="BN43" s="15">
        <v>5.8823529411764701</v>
      </c>
      <c r="BO43" s="20" t="s">
        <v>76</v>
      </c>
      <c r="BP43" s="20" t="s">
        <v>76</v>
      </c>
      <c r="BQ43" s="20" t="s">
        <v>76</v>
      </c>
      <c r="BR43" s="15">
        <v>23.3333333333333</v>
      </c>
      <c r="BS43" s="15">
        <v>8.4337349397590398</v>
      </c>
      <c r="BT43" s="15">
        <v>15.853658536585399</v>
      </c>
      <c r="BU43" s="15">
        <v>14.018691588785</v>
      </c>
      <c r="BV43" s="15">
        <v>34.343434343434303</v>
      </c>
      <c r="BW43" s="15">
        <v>13.0434782608696</v>
      </c>
      <c r="BX43" s="15">
        <v>66.6666666666667</v>
      </c>
      <c r="BY43" s="15">
        <v>9.5238095238095202</v>
      </c>
      <c r="BZ43" s="15">
        <v>8.84353741496599</v>
      </c>
      <c r="CA43" s="32">
        <v>16.325984421509698</v>
      </c>
      <c r="CB43" s="15">
        <v>12.4600638977636</v>
      </c>
      <c r="CC43" s="15">
        <v>13.207547169811299</v>
      </c>
      <c r="CD43" s="15">
        <v>15.4838709677419</v>
      </c>
      <c r="CE43" s="20" t="s">
        <v>76</v>
      </c>
      <c r="CF43" s="15">
        <v>10.179640718562901</v>
      </c>
      <c r="CG43" s="15">
        <v>9.4972067039106101</v>
      </c>
      <c r="CH43" s="15">
        <v>15.8088235294118</v>
      </c>
      <c r="CI43" s="15">
        <v>25.462012320328501</v>
      </c>
      <c r="CJ43" s="15">
        <v>16.078431372549002</v>
      </c>
      <c r="CK43" s="15">
        <v>19.730941704035899</v>
      </c>
      <c r="CL43" s="15">
        <v>16.363636363636399</v>
      </c>
      <c r="CM43" s="24">
        <v>20.9850107066381</v>
      </c>
      <c r="CN43" s="37"/>
    </row>
    <row r="44" spans="1:92">
      <c r="A44" s="9" t="s">
        <v>299</v>
      </c>
      <c r="B44" s="35">
        <v>11.7237307083766</v>
      </c>
      <c r="C44" s="32">
        <v>11.9237830413844</v>
      </c>
      <c r="D44" s="32">
        <v>13.1165884325805</v>
      </c>
      <c r="E44" s="32">
        <v>15.647742455223</v>
      </c>
      <c r="F44" s="20" t="s">
        <v>76</v>
      </c>
      <c r="G44" s="20" t="s">
        <v>76</v>
      </c>
      <c r="H44" s="15">
        <v>30.434782608695699</v>
      </c>
      <c r="I44" s="20" t="s">
        <v>76</v>
      </c>
      <c r="J44" s="15">
        <v>10.4166666666667</v>
      </c>
      <c r="K44" s="20" t="s">
        <v>76</v>
      </c>
      <c r="L44" s="15">
        <v>32.786885245901601</v>
      </c>
      <c r="M44" s="15">
        <v>28.947368421052602</v>
      </c>
      <c r="N44" s="15">
        <v>45.882352941176499</v>
      </c>
      <c r="O44" s="15">
        <v>18.604651162790699</v>
      </c>
      <c r="P44" s="15">
        <v>11.2676056338028</v>
      </c>
      <c r="Q44" s="15">
        <v>19.7183098591549</v>
      </c>
      <c r="R44" s="20" t="s">
        <v>76</v>
      </c>
      <c r="S44" s="20" t="s">
        <v>76</v>
      </c>
      <c r="T44" s="20" t="s">
        <v>76</v>
      </c>
      <c r="U44" s="15">
        <v>23.8095238095238</v>
      </c>
      <c r="V44" s="20" t="s">
        <v>76</v>
      </c>
      <c r="W44" s="15">
        <v>18.644067796610202</v>
      </c>
      <c r="X44" s="20" t="s">
        <v>76</v>
      </c>
      <c r="Y44" s="20" t="s">
        <v>76</v>
      </c>
      <c r="Z44" s="15">
        <v>12.8205128205128</v>
      </c>
      <c r="AA44" s="15">
        <v>11.926605504587201</v>
      </c>
      <c r="AB44" s="15">
        <v>19.117647058823501</v>
      </c>
      <c r="AC44" s="15">
        <v>4.5454545454545396</v>
      </c>
      <c r="AD44" s="15">
        <v>43.75</v>
      </c>
      <c r="AE44" s="20" t="s">
        <v>76</v>
      </c>
      <c r="AF44" s="20" t="s">
        <v>76</v>
      </c>
      <c r="AG44" s="15">
        <v>5.71428571428571</v>
      </c>
      <c r="AH44" s="15">
        <v>12.5</v>
      </c>
      <c r="AI44" s="20" t="s">
        <v>76</v>
      </c>
      <c r="AJ44" s="15">
        <v>9.9099099099099099</v>
      </c>
      <c r="AK44" s="15">
        <v>26.6666666666667</v>
      </c>
      <c r="AL44" s="15">
        <v>7.7777777777777803</v>
      </c>
      <c r="AM44" s="15">
        <v>18.75</v>
      </c>
      <c r="AN44" s="20" t="s">
        <v>76</v>
      </c>
      <c r="AO44" s="20" t="s">
        <v>76</v>
      </c>
      <c r="AP44" s="15">
        <v>15.5844155844156</v>
      </c>
      <c r="AQ44" s="20" t="s">
        <v>76</v>
      </c>
      <c r="AR44" s="20" t="s">
        <v>76</v>
      </c>
      <c r="AS44" s="20" t="s">
        <v>76</v>
      </c>
      <c r="AT44" s="15">
        <v>13.846153846153801</v>
      </c>
      <c r="AU44" s="20" t="s">
        <v>76</v>
      </c>
      <c r="AV44" s="15">
        <v>8.2191780821917799</v>
      </c>
      <c r="AW44" s="15">
        <v>9.4827586206896601</v>
      </c>
      <c r="AX44" s="20" t="s">
        <v>76</v>
      </c>
      <c r="AY44" s="15">
        <v>34.285714285714299</v>
      </c>
      <c r="AZ44" s="15">
        <v>16</v>
      </c>
      <c r="BA44" s="15">
        <v>9.4339622641509404</v>
      </c>
      <c r="BB44" s="15">
        <v>13.4328358208955</v>
      </c>
      <c r="BC44" s="15">
        <v>10.8108108108108</v>
      </c>
      <c r="BD44" s="15">
        <v>21.794871794871799</v>
      </c>
      <c r="BE44" s="15">
        <v>44.827586206896598</v>
      </c>
      <c r="BF44" s="20" t="s">
        <v>76</v>
      </c>
      <c r="BG44" s="15">
        <v>25.373134328358201</v>
      </c>
      <c r="BH44" s="20" t="s">
        <v>76</v>
      </c>
      <c r="BI44" s="15">
        <v>36.842105263157897</v>
      </c>
      <c r="BJ44" s="15">
        <v>15.1785714285714</v>
      </c>
      <c r="BK44" s="15">
        <v>15</v>
      </c>
      <c r="BL44" s="15">
        <v>13.28125</v>
      </c>
      <c r="BM44" s="15">
        <v>35.643564356435597</v>
      </c>
      <c r="BN44" s="20" t="s">
        <v>76</v>
      </c>
      <c r="BO44" s="15">
        <v>7.7777777777777803</v>
      </c>
      <c r="BP44" s="20" t="s">
        <v>76</v>
      </c>
      <c r="BQ44" s="15">
        <v>20.5479452054795</v>
      </c>
      <c r="BR44" s="15">
        <v>15</v>
      </c>
      <c r="BS44" s="15">
        <v>6.0240963855421699</v>
      </c>
      <c r="BT44" s="15">
        <v>21.951219512195099</v>
      </c>
      <c r="BU44" s="15">
        <v>9.3457943925233593</v>
      </c>
      <c r="BV44" s="15">
        <v>23.2323232323232</v>
      </c>
      <c r="BW44" s="15">
        <v>13.0434782608696</v>
      </c>
      <c r="BX44" s="15">
        <v>77.7777777777778</v>
      </c>
      <c r="BY44" s="15">
        <v>19.047619047619001</v>
      </c>
      <c r="BZ44" s="15">
        <v>21.7687074829932</v>
      </c>
      <c r="CA44" s="32">
        <v>11.0725026924133</v>
      </c>
      <c r="CB44" s="15">
        <v>5.4313099041533501</v>
      </c>
      <c r="CC44" s="15">
        <v>12.264150943396199</v>
      </c>
      <c r="CD44" s="15">
        <v>13.548387096774199</v>
      </c>
      <c r="CE44" s="20" t="s">
        <v>76</v>
      </c>
      <c r="CF44" s="15">
        <v>17.365269461077801</v>
      </c>
      <c r="CG44" s="15">
        <v>12.849162011173201</v>
      </c>
      <c r="CH44" s="15">
        <v>8.8235294117646994</v>
      </c>
      <c r="CI44" s="15">
        <v>14.1683778234086</v>
      </c>
      <c r="CJ44" s="15">
        <v>10.980392156862701</v>
      </c>
      <c r="CK44" s="15">
        <v>7.1748878923766801</v>
      </c>
      <c r="CL44" s="15">
        <v>14.8484848484848</v>
      </c>
      <c r="CM44" s="24">
        <v>8.9935760171306196</v>
      </c>
      <c r="CN44" s="37"/>
    </row>
    <row r="45" spans="1:92">
      <c r="A45" s="9" t="s">
        <v>300</v>
      </c>
      <c r="B45" s="35">
        <v>0.37691265127750501</v>
      </c>
      <c r="C45" s="32">
        <v>0.49477266497232097</v>
      </c>
      <c r="D45" s="38" t="s">
        <v>76</v>
      </c>
      <c r="E45" s="38" t="s">
        <v>76</v>
      </c>
      <c r="F45" s="20" t="s">
        <v>76</v>
      </c>
      <c r="G45" s="20" t="s">
        <v>76</v>
      </c>
      <c r="H45" s="20" t="s">
        <v>76</v>
      </c>
      <c r="I45" s="20" t="s">
        <v>76</v>
      </c>
      <c r="J45" s="20" t="s">
        <v>76</v>
      </c>
      <c r="K45" s="20" t="s">
        <v>76</v>
      </c>
      <c r="L45" s="20" t="s">
        <v>76</v>
      </c>
      <c r="M45" s="20" t="s">
        <v>76</v>
      </c>
      <c r="N45" s="20" t="s">
        <v>76</v>
      </c>
      <c r="O45" s="20" t="s">
        <v>76</v>
      </c>
      <c r="P45" s="20" t="s">
        <v>76</v>
      </c>
      <c r="Q45" s="20" t="s">
        <v>76</v>
      </c>
      <c r="R45" s="20" t="s">
        <v>76</v>
      </c>
      <c r="S45" s="20" t="s">
        <v>76</v>
      </c>
      <c r="T45" s="20" t="s">
        <v>76</v>
      </c>
      <c r="U45" s="20" t="s">
        <v>76</v>
      </c>
      <c r="V45" s="20" t="s">
        <v>76</v>
      </c>
      <c r="W45" s="20" t="s">
        <v>76</v>
      </c>
      <c r="X45" s="20" t="s">
        <v>76</v>
      </c>
      <c r="Y45" s="20" t="s">
        <v>76</v>
      </c>
      <c r="Z45" s="20" t="s">
        <v>76</v>
      </c>
      <c r="AA45" s="20" t="s">
        <v>76</v>
      </c>
      <c r="AB45" s="20" t="s">
        <v>76</v>
      </c>
      <c r="AC45" s="20" t="s">
        <v>76</v>
      </c>
      <c r="AD45" s="20" t="s">
        <v>76</v>
      </c>
      <c r="AE45" s="20" t="s">
        <v>76</v>
      </c>
      <c r="AF45" s="20" t="s">
        <v>76</v>
      </c>
      <c r="AG45" s="20" t="s">
        <v>76</v>
      </c>
      <c r="AH45" s="20" t="s">
        <v>76</v>
      </c>
      <c r="AI45" s="20" t="s">
        <v>76</v>
      </c>
      <c r="AJ45" s="20" t="s">
        <v>76</v>
      </c>
      <c r="AK45" s="20" t="s">
        <v>76</v>
      </c>
      <c r="AL45" s="20" t="s">
        <v>76</v>
      </c>
      <c r="AM45" s="20" t="s">
        <v>76</v>
      </c>
      <c r="AN45" s="20" t="s">
        <v>76</v>
      </c>
      <c r="AO45" s="20" t="s">
        <v>76</v>
      </c>
      <c r="AP45" s="20" t="s">
        <v>76</v>
      </c>
      <c r="AQ45" s="20" t="s">
        <v>76</v>
      </c>
      <c r="AR45" s="20" t="s">
        <v>76</v>
      </c>
      <c r="AS45" s="20" t="s">
        <v>76</v>
      </c>
      <c r="AT45" s="20" t="s">
        <v>76</v>
      </c>
      <c r="AU45" s="20" t="s">
        <v>76</v>
      </c>
      <c r="AV45" s="20" t="s">
        <v>76</v>
      </c>
      <c r="AW45" s="20" t="s">
        <v>76</v>
      </c>
      <c r="AX45" s="20" t="s">
        <v>76</v>
      </c>
      <c r="AY45" s="20" t="s">
        <v>76</v>
      </c>
      <c r="AZ45" s="20" t="s">
        <v>76</v>
      </c>
      <c r="BA45" s="20" t="s">
        <v>76</v>
      </c>
      <c r="BB45" s="20" t="s">
        <v>76</v>
      </c>
      <c r="BC45" s="20" t="s">
        <v>76</v>
      </c>
      <c r="BD45" s="20" t="s">
        <v>76</v>
      </c>
      <c r="BE45" s="20" t="s">
        <v>76</v>
      </c>
      <c r="BF45" s="20" t="s">
        <v>76</v>
      </c>
      <c r="BG45" s="20" t="s">
        <v>76</v>
      </c>
      <c r="BH45" s="20" t="s">
        <v>76</v>
      </c>
      <c r="BI45" s="20" t="s">
        <v>76</v>
      </c>
      <c r="BJ45" s="20" t="s">
        <v>76</v>
      </c>
      <c r="BK45" s="20" t="s">
        <v>76</v>
      </c>
      <c r="BL45" s="20" t="s">
        <v>76</v>
      </c>
      <c r="BM45" s="20" t="s">
        <v>76</v>
      </c>
      <c r="BN45" s="20" t="s">
        <v>76</v>
      </c>
      <c r="BO45" s="20" t="s">
        <v>76</v>
      </c>
      <c r="BP45" s="20" t="s">
        <v>76</v>
      </c>
      <c r="BQ45" s="20" t="s">
        <v>76</v>
      </c>
      <c r="BR45" s="20" t="s">
        <v>76</v>
      </c>
      <c r="BS45" s="20" t="s">
        <v>76</v>
      </c>
      <c r="BT45" s="20" t="s">
        <v>76</v>
      </c>
      <c r="BU45" s="20" t="s">
        <v>76</v>
      </c>
      <c r="BV45" s="20" t="s">
        <v>76</v>
      </c>
      <c r="BW45" s="20" t="s">
        <v>76</v>
      </c>
      <c r="BX45" s="20" t="s">
        <v>76</v>
      </c>
      <c r="BY45" s="20" t="s">
        <v>76</v>
      </c>
      <c r="BZ45" s="20" t="s">
        <v>76</v>
      </c>
      <c r="CA45" s="38" t="s">
        <v>76</v>
      </c>
      <c r="CB45" s="20" t="s">
        <v>76</v>
      </c>
      <c r="CC45" s="20" t="s">
        <v>76</v>
      </c>
      <c r="CD45" s="20" t="s">
        <v>76</v>
      </c>
      <c r="CE45" s="20" t="s">
        <v>76</v>
      </c>
      <c r="CF45" s="20" t="s">
        <v>76</v>
      </c>
      <c r="CG45" s="20" t="s">
        <v>76</v>
      </c>
      <c r="CH45" s="20" t="s">
        <v>76</v>
      </c>
      <c r="CI45" s="20" t="s">
        <v>76</v>
      </c>
      <c r="CJ45" s="20" t="s">
        <v>76</v>
      </c>
      <c r="CK45" s="20" t="s">
        <v>76</v>
      </c>
      <c r="CL45" s="20" t="s">
        <v>76</v>
      </c>
      <c r="CM45" s="26" t="s">
        <v>76</v>
      </c>
      <c r="CN45" s="37"/>
    </row>
    <row r="46" spans="1:92">
      <c r="A46" s="9" t="s">
        <v>301</v>
      </c>
      <c r="B46" s="35">
        <v>0.73801607286605297</v>
      </c>
      <c r="C46" s="32">
        <v>0.51101504396511599</v>
      </c>
      <c r="D46" s="38" t="s">
        <v>76</v>
      </c>
      <c r="E46" s="38" t="s">
        <v>76</v>
      </c>
      <c r="F46" s="20" t="s">
        <v>76</v>
      </c>
      <c r="G46" s="20" t="s">
        <v>76</v>
      </c>
      <c r="H46" s="20" t="s">
        <v>76</v>
      </c>
      <c r="I46" s="20" t="s">
        <v>76</v>
      </c>
      <c r="J46" s="20" t="s">
        <v>76</v>
      </c>
      <c r="K46" s="20" t="s">
        <v>76</v>
      </c>
      <c r="L46" s="20" t="s">
        <v>76</v>
      </c>
      <c r="M46" s="20" t="s">
        <v>76</v>
      </c>
      <c r="N46" s="20" t="s">
        <v>76</v>
      </c>
      <c r="O46" s="20" t="s">
        <v>76</v>
      </c>
      <c r="P46" s="20" t="s">
        <v>76</v>
      </c>
      <c r="Q46" s="20" t="s">
        <v>76</v>
      </c>
      <c r="R46" s="20" t="s">
        <v>76</v>
      </c>
      <c r="S46" s="20" t="s">
        <v>76</v>
      </c>
      <c r="T46" s="20" t="s">
        <v>76</v>
      </c>
      <c r="U46" s="20" t="s">
        <v>76</v>
      </c>
      <c r="V46" s="20" t="s">
        <v>76</v>
      </c>
      <c r="W46" s="20" t="s">
        <v>76</v>
      </c>
      <c r="X46" s="20" t="s">
        <v>76</v>
      </c>
      <c r="Y46" s="20" t="s">
        <v>76</v>
      </c>
      <c r="Z46" s="20" t="s">
        <v>76</v>
      </c>
      <c r="AA46" s="20" t="s">
        <v>76</v>
      </c>
      <c r="AB46" s="20" t="s">
        <v>76</v>
      </c>
      <c r="AC46" s="20" t="s">
        <v>76</v>
      </c>
      <c r="AD46" s="20" t="s">
        <v>76</v>
      </c>
      <c r="AE46" s="20" t="s">
        <v>76</v>
      </c>
      <c r="AF46" s="20" t="s">
        <v>76</v>
      </c>
      <c r="AG46" s="20" t="s">
        <v>76</v>
      </c>
      <c r="AH46" s="20" t="s">
        <v>76</v>
      </c>
      <c r="AI46" s="20" t="s">
        <v>76</v>
      </c>
      <c r="AJ46" s="20" t="s">
        <v>76</v>
      </c>
      <c r="AK46" s="20" t="s">
        <v>76</v>
      </c>
      <c r="AL46" s="20" t="s">
        <v>76</v>
      </c>
      <c r="AM46" s="20" t="s">
        <v>76</v>
      </c>
      <c r="AN46" s="20" t="s">
        <v>76</v>
      </c>
      <c r="AO46" s="20" t="s">
        <v>76</v>
      </c>
      <c r="AP46" s="20" t="s">
        <v>76</v>
      </c>
      <c r="AQ46" s="20" t="s">
        <v>76</v>
      </c>
      <c r="AR46" s="20" t="s">
        <v>76</v>
      </c>
      <c r="AS46" s="20" t="s">
        <v>76</v>
      </c>
      <c r="AT46" s="20" t="s">
        <v>76</v>
      </c>
      <c r="AU46" s="20" t="s">
        <v>76</v>
      </c>
      <c r="AV46" s="20" t="s">
        <v>76</v>
      </c>
      <c r="AW46" s="20" t="s">
        <v>76</v>
      </c>
      <c r="AX46" s="20" t="s">
        <v>76</v>
      </c>
      <c r="AY46" s="20" t="s">
        <v>76</v>
      </c>
      <c r="AZ46" s="20" t="s">
        <v>76</v>
      </c>
      <c r="BA46" s="20" t="s">
        <v>76</v>
      </c>
      <c r="BB46" s="20" t="s">
        <v>76</v>
      </c>
      <c r="BC46" s="20" t="s">
        <v>76</v>
      </c>
      <c r="BD46" s="20" t="s">
        <v>76</v>
      </c>
      <c r="BE46" s="20" t="s">
        <v>76</v>
      </c>
      <c r="BF46" s="20" t="s">
        <v>76</v>
      </c>
      <c r="BG46" s="20" t="s">
        <v>76</v>
      </c>
      <c r="BH46" s="20" t="s">
        <v>76</v>
      </c>
      <c r="BI46" s="20" t="s">
        <v>76</v>
      </c>
      <c r="BJ46" s="20" t="s">
        <v>76</v>
      </c>
      <c r="BK46" s="20" t="s">
        <v>76</v>
      </c>
      <c r="BL46" s="20" t="s">
        <v>76</v>
      </c>
      <c r="BM46" s="20" t="s">
        <v>76</v>
      </c>
      <c r="BN46" s="20" t="s">
        <v>76</v>
      </c>
      <c r="BO46" s="20" t="s">
        <v>76</v>
      </c>
      <c r="BP46" s="20" t="s">
        <v>76</v>
      </c>
      <c r="BQ46" s="20" t="s">
        <v>76</v>
      </c>
      <c r="BR46" s="20" t="s">
        <v>76</v>
      </c>
      <c r="BS46" s="20" t="s">
        <v>76</v>
      </c>
      <c r="BT46" s="20" t="s">
        <v>76</v>
      </c>
      <c r="BU46" s="20" t="s">
        <v>76</v>
      </c>
      <c r="BV46" s="20" t="s">
        <v>76</v>
      </c>
      <c r="BW46" s="20" t="s">
        <v>76</v>
      </c>
      <c r="BX46" s="20" t="s">
        <v>76</v>
      </c>
      <c r="BY46" s="20" t="s">
        <v>76</v>
      </c>
      <c r="BZ46" s="20" t="s">
        <v>76</v>
      </c>
      <c r="CA46" s="38" t="s">
        <v>76</v>
      </c>
      <c r="CB46" s="20" t="s">
        <v>76</v>
      </c>
      <c r="CC46" s="20" t="s">
        <v>76</v>
      </c>
      <c r="CD46" s="20" t="s">
        <v>76</v>
      </c>
      <c r="CE46" s="20" t="s">
        <v>76</v>
      </c>
      <c r="CF46" s="20" t="s">
        <v>76</v>
      </c>
      <c r="CG46" s="20" t="s">
        <v>76</v>
      </c>
      <c r="CH46" s="20" t="s">
        <v>76</v>
      </c>
      <c r="CI46" s="20" t="s">
        <v>76</v>
      </c>
      <c r="CJ46" s="20" t="s">
        <v>76</v>
      </c>
      <c r="CK46" s="20" t="s">
        <v>76</v>
      </c>
      <c r="CL46" s="20" t="s">
        <v>76</v>
      </c>
      <c r="CM46" s="26" t="s">
        <v>76</v>
      </c>
      <c r="CN46" s="37"/>
    </row>
    <row r="47" spans="1:92">
      <c r="A47" s="9" t="s">
        <v>302</v>
      </c>
      <c r="B47" s="35">
        <v>0.45239305101969701</v>
      </c>
      <c r="C47" s="32">
        <v>0.60288953180358196</v>
      </c>
      <c r="D47" s="32">
        <v>1.0231176655059999</v>
      </c>
      <c r="E47" s="32">
        <v>1.0321805234921799</v>
      </c>
      <c r="F47" s="20" t="s">
        <v>76</v>
      </c>
      <c r="G47" s="20" t="s">
        <v>76</v>
      </c>
      <c r="H47" s="20" t="s">
        <v>76</v>
      </c>
      <c r="I47" s="20" t="s">
        <v>76</v>
      </c>
      <c r="J47" s="20" t="s">
        <v>76</v>
      </c>
      <c r="K47" s="20" t="s">
        <v>76</v>
      </c>
      <c r="L47" s="15">
        <v>9.8360655737704903</v>
      </c>
      <c r="M47" s="20" t="s">
        <v>76</v>
      </c>
      <c r="N47" s="20" t="s">
        <v>76</v>
      </c>
      <c r="O47" s="20" t="s">
        <v>76</v>
      </c>
      <c r="P47" s="20" t="s">
        <v>76</v>
      </c>
      <c r="Q47" s="20" t="s">
        <v>76</v>
      </c>
      <c r="R47" s="20" t="s">
        <v>76</v>
      </c>
      <c r="S47" s="20" t="s">
        <v>76</v>
      </c>
      <c r="T47" s="20" t="s">
        <v>76</v>
      </c>
      <c r="U47" s="20" t="s">
        <v>76</v>
      </c>
      <c r="V47" s="20" t="s">
        <v>76</v>
      </c>
      <c r="W47" s="20" t="s">
        <v>76</v>
      </c>
      <c r="X47" s="20" t="s">
        <v>76</v>
      </c>
      <c r="Y47" s="20" t="s">
        <v>76</v>
      </c>
      <c r="Z47" s="20" t="s">
        <v>76</v>
      </c>
      <c r="AA47" s="20" t="s">
        <v>76</v>
      </c>
      <c r="AB47" s="20" t="s">
        <v>76</v>
      </c>
      <c r="AC47" s="20" t="s">
        <v>76</v>
      </c>
      <c r="AD47" s="20" t="s">
        <v>76</v>
      </c>
      <c r="AE47" s="20" t="s">
        <v>76</v>
      </c>
      <c r="AF47" s="20" t="s">
        <v>76</v>
      </c>
      <c r="AG47" s="20" t="s">
        <v>76</v>
      </c>
      <c r="AH47" s="20" t="s">
        <v>76</v>
      </c>
      <c r="AI47" s="20" t="s">
        <v>76</v>
      </c>
      <c r="AJ47" s="20" t="s">
        <v>76</v>
      </c>
      <c r="AK47" s="20" t="s">
        <v>76</v>
      </c>
      <c r="AL47" s="20" t="s">
        <v>76</v>
      </c>
      <c r="AM47" s="20" t="s">
        <v>76</v>
      </c>
      <c r="AN47" s="20" t="s">
        <v>76</v>
      </c>
      <c r="AO47" s="20" t="s">
        <v>76</v>
      </c>
      <c r="AP47" s="20" t="s">
        <v>76</v>
      </c>
      <c r="AQ47" s="20" t="s">
        <v>76</v>
      </c>
      <c r="AR47" s="20" t="s">
        <v>76</v>
      </c>
      <c r="AS47" s="20" t="s">
        <v>76</v>
      </c>
      <c r="AT47" s="20" t="s">
        <v>76</v>
      </c>
      <c r="AU47" s="20" t="s">
        <v>76</v>
      </c>
      <c r="AV47" s="20" t="s">
        <v>76</v>
      </c>
      <c r="AW47" s="20" t="s">
        <v>76</v>
      </c>
      <c r="AX47" s="20" t="s">
        <v>76</v>
      </c>
      <c r="AY47" s="20" t="s">
        <v>76</v>
      </c>
      <c r="AZ47" s="20" t="s">
        <v>76</v>
      </c>
      <c r="BA47" s="20" t="s">
        <v>76</v>
      </c>
      <c r="BB47" s="15">
        <v>11.9402985074627</v>
      </c>
      <c r="BC47" s="20" t="s">
        <v>76</v>
      </c>
      <c r="BD47" s="20" t="s">
        <v>76</v>
      </c>
      <c r="BE47" s="20" t="s">
        <v>76</v>
      </c>
      <c r="BF47" s="20" t="s">
        <v>76</v>
      </c>
      <c r="BG47" s="20" t="s">
        <v>76</v>
      </c>
      <c r="BH47" s="20" t="s">
        <v>76</v>
      </c>
      <c r="BI47" s="20" t="s">
        <v>76</v>
      </c>
      <c r="BJ47" s="20" t="s">
        <v>76</v>
      </c>
      <c r="BK47" s="15">
        <v>30</v>
      </c>
      <c r="BL47" s="20" t="s">
        <v>76</v>
      </c>
      <c r="BM47" s="20" t="s">
        <v>76</v>
      </c>
      <c r="BN47" s="20" t="s">
        <v>76</v>
      </c>
      <c r="BO47" s="20" t="s">
        <v>76</v>
      </c>
      <c r="BP47" s="20" t="s">
        <v>76</v>
      </c>
      <c r="BQ47" s="20" t="s">
        <v>76</v>
      </c>
      <c r="BR47" s="20" t="s">
        <v>76</v>
      </c>
      <c r="BS47" s="20" t="s">
        <v>76</v>
      </c>
      <c r="BT47" s="20" t="s">
        <v>76</v>
      </c>
      <c r="BU47" s="20" t="s">
        <v>76</v>
      </c>
      <c r="BV47" s="20" t="s">
        <v>76</v>
      </c>
      <c r="BW47" s="20" t="s">
        <v>76</v>
      </c>
      <c r="BX47" s="20" t="s">
        <v>76</v>
      </c>
      <c r="BY47" s="20" t="s">
        <v>76</v>
      </c>
      <c r="BZ47" s="20" t="s">
        <v>76</v>
      </c>
      <c r="CA47" s="32">
        <v>1.01579876724497</v>
      </c>
      <c r="CB47" s="20" t="s">
        <v>76</v>
      </c>
      <c r="CC47" s="20" t="s">
        <v>76</v>
      </c>
      <c r="CD47" s="20" t="s">
        <v>76</v>
      </c>
      <c r="CE47" s="20" t="s">
        <v>76</v>
      </c>
      <c r="CF47" s="20" t="s">
        <v>76</v>
      </c>
      <c r="CG47" s="20" t="s">
        <v>76</v>
      </c>
      <c r="CH47" s="20" t="s">
        <v>76</v>
      </c>
      <c r="CI47" s="20" t="s">
        <v>76</v>
      </c>
      <c r="CJ47" s="15">
        <v>4.31372549019608</v>
      </c>
      <c r="CK47" s="20" t="s">
        <v>76</v>
      </c>
      <c r="CL47" s="15">
        <v>1.36363636363636</v>
      </c>
      <c r="CM47" s="26" t="s">
        <v>76</v>
      </c>
      <c r="CN47" s="37"/>
    </row>
    <row r="48" spans="1:92">
      <c r="A48" s="9" t="s">
        <v>303</v>
      </c>
      <c r="B48" s="35">
        <v>1.7089978547657101</v>
      </c>
      <c r="C48" s="32">
        <v>1.4681411861443601</v>
      </c>
      <c r="D48" s="32">
        <v>0.91667896221358303</v>
      </c>
      <c r="E48" s="32">
        <v>0.97812322899808002</v>
      </c>
      <c r="F48" s="20" t="s">
        <v>76</v>
      </c>
      <c r="G48" s="20" t="s">
        <v>76</v>
      </c>
      <c r="H48" s="20" t="s">
        <v>76</v>
      </c>
      <c r="I48" s="20" t="s">
        <v>76</v>
      </c>
      <c r="J48" s="20" t="s">
        <v>76</v>
      </c>
      <c r="K48" s="20" t="s">
        <v>76</v>
      </c>
      <c r="L48" s="20" t="s">
        <v>76</v>
      </c>
      <c r="M48" s="20" t="s">
        <v>76</v>
      </c>
      <c r="N48" s="20" t="s">
        <v>76</v>
      </c>
      <c r="O48" s="20" t="s">
        <v>76</v>
      </c>
      <c r="P48" s="20" t="s">
        <v>76</v>
      </c>
      <c r="Q48" s="20" t="s">
        <v>76</v>
      </c>
      <c r="R48" s="20" t="s">
        <v>76</v>
      </c>
      <c r="S48" s="20" t="s">
        <v>76</v>
      </c>
      <c r="T48" s="20" t="s">
        <v>76</v>
      </c>
      <c r="U48" s="20" t="s">
        <v>76</v>
      </c>
      <c r="V48" s="20" t="s">
        <v>76</v>
      </c>
      <c r="W48" s="20" t="s">
        <v>76</v>
      </c>
      <c r="X48" s="20" t="s">
        <v>76</v>
      </c>
      <c r="Y48" s="20" t="s">
        <v>76</v>
      </c>
      <c r="Z48" s="20" t="s">
        <v>76</v>
      </c>
      <c r="AA48" s="20" t="s">
        <v>76</v>
      </c>
      <c r="AB48" s="20" t="s">
        <v>76</v>
      </c>
      <c r="AC48" s="20" t="s">
        <v>76</v>
      </c>
      <c r="AD48" s="20" t="s">
        <v>76</v>
      </c>
      <c r="AE48" s="20" t="s">
        <v>76</v>
      </c>
      <c r="AF48" s="20" t="s">
        <v>76</v>
      </c>
      <c r="AG48" s="20" t="s">
        <v>76</v>
      </c>
      <c r="AH48" s="20" t="s">
        <v>76</v>
      </c>
      <c r="AI48" s="20" t="s">
        <v>76</v>
      </c>
      <c r="AJ48" s="20" t="s">
        <v>76</v>
      </c>
      <c r="AK48" s="20" t="s">
        <v>76</v>
      </c>
      <c r="AL48" s="20" t="s">
        <v>76</v>
      </c>
      <c r="AM48" s="20" t="s">
        <v>76</v>
      </c>
      <c r="AN48" s="20" t="s">
        <v>76</v>
      </c>
      <c r="AO48" s="20" t="s">
        <v>76</v>
      </c>
      <c r="AP48" s="20" t="s">
        <v>76</v>
      </c>
      <c r="AQ48" s="20" t="s">
        <v>76</v>
      </c>
      <c r="AR48" s="20" t="s">
        <v>76</v>
      </c>
      <c r="AS48" s="20" t="s">
        <v>76</v>
      </c>
      <c r="AT48" s="20" t="s">
        <v>76</v>
      </c>
      <c r="AU48" s="20" t="s">
        <v>76</v>
      </c>
      <c r="AV48" s="20" t="s">
        <v>76</v>
      </c>
      <c r="AW48" s="20" t="s">
        <v>76</v>
      </c>
      <c r="AX48" s="20" t="s">
        <v>76</v>
      </c>
      <c r="AY48" s="20" t="s">
        <v>76</v>
      </c>
      <c r="AZ48" s="20" t="s">
        <v>76</v>
      </c>
      <c r="BA48" s="20" t="s">
        <v>76</v>
      </c>
      <c r="BB48" s="20" t="s">
        <v>76</v>
      </c>
      <c r="BC48" s="20" t="s">
        <v>76</v>
      </c>
      <c r="BD48" s="20" t="s">
        <v>76</v>
      </c>
      <c r="BE48" s="20" t="s">
        <v>76</v>
      </c>
      <c r="BF48" s="20" t="s">
        <v>76</v>
      </c>
      <c r="BG48" s="20" t="s">
        <v>76</v>
      </c>
      <c r="BH48" s="20" t="s">
        <v>76</v>
      </c>
      <c r="BI48" s="20" t="s">
        <v>76</v>
      </c>
      <c r="BJ48" s="20" t="s">
        <v>76</v>
      </c>
      <c r="BK48" s="20" t="s">
        <v>76</v>
      </c>
      <c r="BL48" s="20" t="s">
        <v>76</v>
      </c>
      <c r="BM48" s="20" t="s">
        <v>76</v>
      </c>
      <c r="BN48" s="20" t="s">
        <v>76</v>
      </c>
      <c r="BO48" s="20" t="s">
        <v>76</v>
      </c>
      <c r="BP48" s="20" t="s">
        <v>76</v>
      </c>
      <c r="BQ48" s="20" t="s">
        <v>76</v>
      </c>
      <c r="BR48" s="20" t="s">
        <v>76</v>
      </c>
      <c r="BS48" s="20" t="s">
        <v>76</v>
      </c>
      <c r="BT48" s="20" t="s">
        <v>76</v>
      </c>
      <c r="BU48" s="20" t="s">
        <v>76</v>
      </c>
      <c r="BV48" s="20" t="s">
        <v>76</v>
      </c>
      <c r="BW48" s="20" t="s">
        <v>76</v>
      </c>
      <c r="BX48" s="20" t="s">
        <v>76</v>
      </c>
      <c r="BY48" s="20" t="s">
        <v>76</v>
      </c>
      <c r="BZ48" s="20" t="s">
        <v>76</v>
      </c>
      <c r="CA48" s="32">
        <v>0.86705837475597003</v>
      </c>
      <c r="CB48" s="20" t="s">
        <v>76</v>
      </c>
      <c r="CC48" s="15">
        <v>2.2012578616352201</v>
      </c>
      <c r="CD48" s="20" t="s">
        <v>76</v>
      </c>
      <c r="CE48" s="20" t="s">
        <v>76</v>
      </c>
      <c r="CF48" s="20" t="s">
        <v>76</v>
      </c>
      <c r="CG48" s="20" t="s">
        <v>76</v>
      </c>
      <c r="CH48" s="20" t="s">
        <v>76</v>
      </c>
      <c r="CI48" s="20" t="s">
        <v>76</v>
      </c>
      <c r="CJ48" s="20" t="s">
        <v>76</v>
      </c>
      <c r="CK48" s="20" t="s">
        <v>76</v>
      </c>
      <c r="CL48" s="15">
        <v>1.51515151515152</v>
      </c>
      <c r="CM48" s="26" t="s">
        <v>76</v>
      </c>
      <c r="CN48" s="37"/>
    </row>
    <row r="49" spans="1:92">
      <c r="A49" s="9" t="s">
        <v>304</v>
      </c>
      <c r="B49" s="35">
        <v>0.49837726734774102</v>
      </c>
      <c r="C49" s="32">
        <v>0.99992247553040403</v>
      </c>
      <c r="D49" s="32">
        <v>0.35992360821929098</v>
      </c>
      <c r="E49" s="38" t="s">
        <v>76</v>
      </c>
      <c r="F49" s="20" t="s">
        <v>76</v>
      </c>
      <c r="G49" s="20" t="s">
        <v>76</v>
      </c>
      <c r="H49" s="20" t="s">
        <v>76</v>
      </c>
      <c r="I49" s="20" t="s">
        <v>76</v>
      </c>
      <c r="J49" s="15">
        <v>5.5555555555555598</v>
      </c>
      <c r="K49" s="20" t="s">
        <v>76</v>
      </c>
      <c r="L49" s="20" t="s">
        <v>76</v>
      </c>
      <c r="M49" s="20" t="s">
        <v>76</v>
      </c>
      <c r="N49" s="20" t="s">
        <v>76</v>
      </c>
      <c r="O49" s="20" t="s">
        <v>76</v>
      </c>
      <c r="P49" s="20" t="s">
        <v>76</v>
      </c>
      <c r="Q49" s="20" t="s">
        <v>76</v>
      </c>
      <c r="R49" s="20" t="s">
        <v>76</v>
      </c>
      <c r="S49" s="20" t="s">
        <v>76</v>
      </c>
      <c r="T49" s="20" t="s">
        <v>76</v>
      </c>
      <c r="U49" s="20" t="s">
        <v>76</v>
      </c>
      <c r="V49" s="20" t="s">
        <v>76</v>
      </c>
      <c r="W49" s="20" t="s">
        <v>76</v>
      </c>
      <c r="X49" s="20" t="s">
        <v>76</v>
      </c>
      <c r="Y49" s="20" t="s">
        <v>76</v>
      </c>
      <c r="Z49" s="20" t="s">
        <v>76</v>
      </c>
      <c r="AA49" s="20" t="s">
        <v>76</v>
      </c>
      <c r="AB49" s="20" t="s">
        <v>76</v>
      </c>
      <c r="AC49" s="20" t="s">
        <v>76</v>
      </c>
      <c r="AD49" s="20" t="s">
        <v>76</v>
      </c>
      <c r="AE49" s="20" t="s">
        <v>76</v>
      </c>
      <c r="AF49" s="20" t="s">
        <v>76</v>
      </c>
      <c r="AG49" s="20" t="s">
        <v>76</v>
      </c>
      <c r="AH49" s="20" t="s">
        <v>76</v>
      </c>
      <c r="AI49" s="20" t="s">
        <v>76</v>
      </c>
      <c r="AJ49" s="20" t="s">
        <v>76</v>
      </c>
      <c r="AK49" s="20" t="s">
        <v>76</v>
      </c>
      <c r="AL49" s="20" t="s">
        <v>76</v>
      </c>
      <c r="AM49" s="20" t="s">
        <v>76</v>
      </c>
      <c r="AN49" s="20" t="s">
        <v>76</v>
      </c>
      <c r="AO49" s="20" t="s">
        <v>76</v>
      </c>
      <c r="AP49" s="20" t="s">
        <v>76</v>
      </c>
      <c r="AQ49" s="20" t="s">
        <v>76</v>
      </c>
      <c r="AR49" s="20" t="s">
        <v>76</v>
      </c>
      <c r="AS49" s="20" t="s">
        <v>76</v>
      </c>
      <c r="AT49" s="20" t="s">
        <v>76</v>
      </c>
      <c r="AU49" s="20" t="s">
        <v>76</v>
      </c>
      <c r="AV49" s="20" t="s">
        <v>76</v>
      </c>
      <c r="AW49" s="20" t="s">
        <v>76</v>
      </c>
      <c r="AX49" s="20" t="s">
        <v>76</v>
      </c>
      <c r="AY49" s="20" t="s">
        <v>76</v>
      </c>
      <c r="AZ49" s="20" t="s">
        <v>76</v>
      </c>
      <c r="BA49" s="20" t="s">
        <v>76</v>
      </c>
      <c r="BB49" s="20" t="s">
        <v>76</v>
      </c>
      <c r="BC49" s="20" t="s">
        <v>76</v>
      </c>
      <c r="BD49" s="20" t="s">
        <v>76</v>
      </c>
      <c r="BE49" s="20" t="s">
        <v>76</v>
      </c>
      <c r="BF49" s="20" t="s">
        <v>76</v>
      </c>
      <c r="BG49" s="20" t="s">
        <v>76</v>
      </c>
      <c r="BH49" s="20" t="s">
        <v>76</v>
      </c>
      <c r="BI49" s="20" t="s">
        <v>76</v>
      </c>
      <c r="BJ49" s="20" t="s">
        <v>76</v>
      </c>
      <c r="BK49" s="20" t="s">
        <v>76</v>
      </c>
      <c r="BL49" s="20" t="s">
        <v>76</v>
      </c>
      <c r="BM49" s="20" t="s">
        <v>76</v>
      </c>
      <c r="BN49" s="20" t="s">
        <v>76</v>
      </c>
      <c r="BO49" s="20" t="s">
        <v>76</v>
      </c>
      <c r="BP49" s="20" t="s">
        <v>76</v>
      </c>
      <c r="BQ49" s="20" t="s">
        <v>76</v>
      </c>
      <c r="BR49" s="20" t="s">
        <v>76</v>
      </c>
      <c r="BS49" s="20" t="s">
        <v>76</v>
      </c>
      <c r="BT49" s="20" t="s">
        <v>76</v>
      </c>
      <c r="BU49" s="20" t="s">
        <v>76</v>
      </c>
      <c r="BV49" s="20" t="s">
        <v>76</v>
      </c>
      <c r="BW49" s="20" t="s">
        <v>76</v>
      </c>
      <c r="BX49" s="20" t="s">
        <v>76</v>
      </c>
      <c r="BY49" s="20" t="s">
        <v>76</v>
      </c>
      <c r="BZ49" s="20" t="s">
        <v>76</v>
      </c>
      <c r="CA49" s="38" t="s">
        <v>76</v>
      </c>
      <c r="CB49" s="20" t="s">
        <v>76</v>
      </c>
      <c r="CC49" s="20" t="s">
        <v>76</v>
      </c>
      <c r="CD49" s="20" t="s">
        <v>76</v>
      </c>
      <c r="CE49" s="20" t="s">
        <v>76</v>
      </c>
      <c r="CF49" s="20" t="s">
        <v>76</v>
      </c>
      <c r="CG49" s="20" t="s">
        <v>76</v>
      </c>
      <c r="CH49" s="20" t="s">
        <v>76</v>
      </c>
      <c r="CI49" s="20" t="s">
        <v>76</v>
      </c>
      <c r="CJ49" s="20" t="s">
        <v>76</v>
      </c>
      <c r="CK49" s="20" t="s">
        <v>76</v>
      </c>
      <c r="CL49" s="20" t="s">
        <v>76</v>
      </c>
      <c r="CM49" s="26" t="s">
        <v>76</v>
      </c>
      <c r="CN49" s="37"/>
    </row>
    <row r="50" spans="1:92">
      <c r="A50" s="9" t="s">
        <v>305</v>
      </c>
      <c r="B50" s="35">
        <v>8.2732796800996802</v>
      </c>
      <c r="C50" s="32">
        <v>7.1303039171329496</v>
      </c>
      <c r="D50" s="32">
        <v>5.0059627563867197</v>
      </c>
      <c r="E50" s="32">
        <v>9.9562963930164496</v>
      </c>
      <c r="F50" s="20" t="s">
        <v>76</v>
      </c>
      <c r="G50" s="20" t="s">
        <v>76</v>
      </c>
      <c r="H50" s="20" t="s">
        <v>76</v>
      </c>
      <c r="I50" s="20" t="s">
        <v>76</v>
      </c>
      <c r="J50" s="15">
        <v>9.0277777777777803</v>
      </c>
      <c r="K50" s="15">
        <v>20.5128205128205</v>
      </c>
      <c r="L50" s="15">
        <v>19.672131147540998</v>
      </c>
      <c r="M50" s="20" t="s">
        <v>76</v>
      </c>
      <c r="N50" s="15">
        <v>5.8823529411764701</v>
      </c>
      <c r="O50" s="20" t="s">
        <v>76</v>
      </c>
      <c r="P50" s="15">
        <v>7.0422535211267601</v>
      </c>
      <c r="Q50" s="15">
        <v>9.8591549295774694</v>
      </c>
      <c r="R50" s="20" t="s">
        <v>76</v>
      </c>
      <c r="S50" s="20" t="s">
        <v>76</v>
      </c>
      <c r="T50" s="20" t="s">
        <v>76</v>
      </c>
      <c r="U50" s="15">
        <v>23.8095238095238</v>
      </c>
      <c r="V50" s="20" t="s">
        <v>76</v>
      </c>
      <c r="W50" s="20" t="s">
        <v>76</v>
      </c>
      <c r="X50" s="20" t="s">
        <v>76</v>
      </c>
      <c r="Y50" s="20" t="s">
        <v>76</v>
      </c>
      <c r="Z50" s="15">
        <v>7.6923076923076898</v>
      </c>
      <c r="AA50" s="15">
        <v>5.5045871559632999</v>
      </c>
      <c r="AB50" s="15">
        <v>14.705882352941201</v>
      </c>
      <c r="AC50" s="20" t="s">
        <v>76</v>
      </c>
      <c r="AD50" s="15">
        <v>53.125</v>
      </c>
      <c r="AE50" s="20" t="s">
        <v>76</v>
      </c>
      <c r="AF50" s="20" t="s">
        <v>76</v>
      </c>
      <c r="AG50" s="20" t="s">
        <v>76</v>
      </c>
      <c r="AH50" s="20" t="s">
        <v>76</v>
      </c>
      <c r="AI50" s="20" t="s">
        <v>76</v>
      </c>
      <c r="AJ50" s="15">
        <v>10.8108108108108</v>
      </c>
      <c r="AK50" s="20" t="s">
        <v>76</v>
      </c>
      <c r="AL50" s="15">
        <v>5.5555555555555598</v>
      </c>
      <c r="AM50" s="15">
        <v>14.0625</v>
      </c>
      <c r="AN50" s="20" t="s">
        <v>76</v>
      </c>
      <c r="AO50" s="20" t="s">
        <v>76</v>
      </c>
      <c r="AP50" s="15">
        <v>7.7922077922077904</v>
      </c>
      <c r="AQ50" s="20" t="s">
        <v>76</v>
      </c>
      <c r="AR50" s="15">
        <v>40</v>
      </c>
      <c r="AS50" s="20" t="s">
        <v>76</v>
      </c>
      <c r="AT50" s="15">
        <v>21.538461538461501</v>
      </c>
      <c r="AU50" s="20" t="s">
        <v>76</v>
      </c>
      <c r="AV50" s="20" t="s">
        <v>76</v>
      </c>
      <c r="AW50" s="15">
        <v>18.1034482758621</v>
      </c>
      <c r="AX50" s="20" t="s">
        <v>76</v>
      </c>
      <c r="AY50" s="15">
        <v>22.8571428571429</v>
      </c>
      <c r="AZ50" s="15">
        <v>20</v>
      </c>
      <c r="BA50" s="20" t="s">
        <v>76</v>
      </c>
      <c r="BB50" s="20" t="s">
        <v>76</v>
      </c>
      <c r="BC50" s="15">
        <v>9.4594594594594597</v>
      </c>
      <c r="BD50" s="20" t="s">
        <v>76</v>
      </c>
      <c r="BE50" s="15">
        <v>24.137931034482801</v>
      </c>
      <c r="BF50" s="20" t="s">
        <v>76</v>
      </c>
      <c r="BG50" s="20" t="s">
        <v>76</v>
      </c>
      <c r="BH50" s="20" t="s">
        <v>76</v>
      </c>
      <c r="BI50" s="20" t="s">
        <v>76</v>
      </c>
      <c r="BJ50" s="15">
        <v>10.714285714285699</v>
      </c>
      <c r="BK50" s="20" t="s">
        <v>76</v>
      </c>
      <c r="BL50" s="15">
        <v>10.15625</v>
      </c>
      <c r="BM50" s="15">
        <v>29.702970297029701</v>
      </c>
      <c r="BN50" s="20" t="s">
        <v>76</v>
      </c>
      <c r="BO50" s="15">
        <v>7.7777777777777803</v>
      </c>
      <c r="BP50" s="15">
        <v>33.3333333333333</v>
      </c>
      <c r="BQ50" s="20" t="s">
        <v>76</v>
      </c>
      <c r="BR50" s="20" t="s">
        <v>76</v>
      </c>
      <c r="BS50" s="20" t="s">
        <v>76</v>
      </c>
      <c r="BT50" s="15">
        <v>8.5365853658536608</v>
      </c>
      <c r="BU50" s="15">
        <v>4.6728971962616797</v>
      </c>
      <c r="BV50" s="15">
        <v>7.0707070707070701</v>
      </c>
      <c r="BW50" s="15">
        <v>31.884057971014499</v>
      </c>
      <c r="BX50" s="15">
        <v>88.8888888888889</v>
      </c>
      <c r="BY50" s="15">
        <v>22.2222222222222</v>
      </c>
      <c r="BZ50" s="15">
        <v>8.1632653061224492</v>
      </c>
      <c r="CA50" s="32">
        <v>1.0082185238406201</v>
      </c>
      <c r="CB50" s="20" t="s">
        <v>76</v>
      </c>
      <c r="CC50" s="15">
        <v>2.2012578616352201</v>
      </c>
      <c r="CD50" s="20" t="s">
        <v>76</v>
      </c>
      <c r="CE50" s="20" t="s">
        <v>76</v>
      </c>
      <c r="CF50" s="20" t="s">
        <v>76</v>
      </c>
      <c r="CG50" s="20" t="s">
        <v>76</v>
      </c>
      <c r="CH50" s="15">
        <v>0.91911764705882304</v>
      </c>
      <c r="CI50" s="15">
        <v>1.64271047227926</v>
      </c>
      <c r="CJ50" s="20" t="s">
        <v>76</v>
      </c>
      <c r="CK50" s="20" t="s">
        <v>76</v>
      </c>
      <c r="CL50" s="15">
        <v>1.8181818181818199</v>
      </c>
      <c r="CM50" s="26" t="s">
        <v>76</v>
      </c>
      <c r="CN50" s="37"/>
    </row>
    <row r="51" spans="1:92">
      <c r="A51" s="9" t="s">
        <v>306</v>
      </c>
      <c r="B51" s="35">
        <v>3.22476602895272</v>
      </c>
      <c r="C51" s="32">
        <v>3.3081219983003298</v>
      </c>
      <c r="D51" s="32">
        <v>2.5308666176431802</v>
      </c>
      <c r="E51" s="32">
        <v>1.9771630191412899</v>
      </c>
      <c r="F51" s="20" t="s">
        <v>76</v>
      </c>
      <c r="G51" s="20" t="s">
        <v>76</v>
      </c>
      <c r="H51" s="20" t="s">
        <v>76</v>
      </c>
      <c r="I51" s="20" t="s">
        <v>76</v>
      </c>
      <c r="J51" s="20" t="s">
        <v>76</v>
      </c>
      <c r="K51" s="20" t="s">
        <v>76</v>
      </c>
      <c r="L51" s="20" t="s">
        <v>76</v>
      </c>
      <c r="M51" s="15">
        <v>10.526315789473699</v>
      </c>
      <c r="N51" s="20" t="s">
        <v>76</v>
      </c>
      <c r="O51" s="20" t="s">
        <v>76</v>
      </c>
      <c r="P51" s="20" t="s">
        <v>76</v>
      </c>
      <c r="Q51" s="20" t="s">
        <v>76</v>
      </c>
      <c r="R51" s="20" t="s">
        <v>76</v>
      </c>
      <c r="S51" s="20" t="s">
        <v>76</v>
      </c>
      <c r="T51" s="20" t="s">
        <v>76</v>
      </c>
      <c r="U51" s="20" t="s">
        <v>76</v>
      </c>
      <c r="V51" s="20" t="s">
        <v>76</v>
      </c>
      <c r="W51" s="20" t="s">
        <v>76</v>
      </c>
      <c r="X51" s="20" t="s">
        <v>76</v>
      </c>
      <c r="Y51" s="20" t="s">
        <v>76</v>
      </c>
      <c r="Z51" s="20" t="s">
        <v>76</v>
      </c>
      <c r="AA51" s="20" t="s">
        <v>76</v>
      </c>
      <c r="AB51" s="20" t="s">
        <v>76</v>
      </c>
      <c r="AC51" s="20" t="s">
        <v>76</v>
      </c>
      <c r="AD51" s="20" t="s">
        <v>76</v>
      </c>
      <c r="AE51" s="20" t="s">
        <v>76</v>
      </c>
      <c r="AF51" s="20" t="s">
        <v>76</v>
      </c>
      <c r="AG51" s="20" t="s">
        <v>76</v>
      </c>
      <c r="AH51" s="20" t="s">
        <v>76</v>
      </c>
      <c r="AI51" s="20" t="s">
        <v>76</v>
      </c>
      <c r="AJ51" s="20" t="s">
        <v>76</v>
      </c>
      <c r="AK51" s="20" t="s">
        <v>76</v>
      </c>
      <c r="AL51" s="20" t="s">
        <v>76</v>
      </c>
      <c r="AM51" s="20" t="s">
        <v>76</v>
      </c>
      <c r="AN51" s="20" t="s">
        <v>76</v>
      </c>
      <c r="AO51" s="20" t="s">
        <v>76</v>
      </c>
      <c r="AP51" s="20" t="s">
        <v>76</v>
      </c>
      <c r="AQ51" s="20" t="s">
        <v>76</v>
      </c>
      <c r="AR51" s="20" t="s">
        <v>76</v>
      </c>
      <c r="AS51" s="20" t="s">
        <v>76</v>
      </c>
      <c r="AT51" s="20" t="s">
        <v>76</v>
      </c>
      <c r="AU51" s="20" t="s">
        <v>76</v>
      </c>
      <c r="AV51" s="20" t="s">
        <v>76</v>
      </c>
      <c r="AW51" s="15">
        <v>6.0344827586206904</v>
      </c>
      <c r="AX51" s="20" t="s">
        <v>76</v>
      </c>
      <c r="AY51" s="20" t="s">
        <v>76</v>
      </c>
      <c r="AZ51" s="20" t="s">
        <v>76</v>
      </c>
      <c r="BA51" s="20" t="s">
        <v>76</v>
      </c>
      <c r="BB51" s="20" t="s">
        <v>76</v>
      </c>
      <c r="BC51" s="15">
        <v>8.1081081081081106</v>
      </c>
      <c r="BD51" s="20" t="s">
        <v>76</v>
      </c>
      <c r="BE51" s="15">
        <v>20.689655172413801</v>
      </c>
      <c r="BF51" s="20" t="s">
        <v>76</v>
      </c>
      <c r="BG51" s="20" t="s">
        <v>76</v>
      </c>
      <c r="BH51" s="20" t="s">
        <v>76</v>
      </c>
      <c r="BI51" s="20" t="s">
        <v>76</v>
      </c>
      <c r="BJ51" s="20" t="s">
        <v>76</v>
      </c>
      <c r="BK51" s="20" t="s">
        <v>76</v>
      </c>
      <c r="BL51" s="20" t="s">
        <v>76</v>
      </c>
      <c r="BM51" s="20" t="s">
        <v>76</v>
      </c>
      <c r="BN51" s="20" t="s">
        <v>76</v>
      </c>
      <c r="BO51" s="20" t="s">
        <v>76</v>
      </c>
      <c r="BP51" s="20" t="s">
        <v>76</v>
      </c>
      <c r="BQ51" s="20" t="s">
        <v>76</v>
      </c>
      <c r="BR51" s="20" t="s">
        <v>76</v>
      </c>
      <c r="BS51" s="20" t="s">
        <v>76</v>
      </c>
      <c r="BT51" s="15">
        <v>7.3170731707317103</v>
      </c>
      <c r="BU51" s="20" t="s">
        <v>76</v>
      </c>
      <c r="BV51" s="20" t="s">
        <v>76</v>
      </c>
      <c r="BW51" s="20" t="s">
        <v>76</v>
      </c>
      <c r="BX51" s="15">
        <v>66.6666666666667</v>
      </c>
      <c r="BY51" s="20" t="s">
        <v>76</v>
      </c>
      <c r="BZ51" s="20" t="s">
        <v>76</v>
      </c>
      <c r="CA51" s="32">
        <v>2.9780214015292299</v>
      </c>
      <c r="CB51" s="15">
        <v>2.2364217252396199</v>
      </c>
      <c r="CC51" s="15">
        <v>3.1446540880503102</v>
      </c>
      <c r="CD51" s="20" t="s">
        <v>76</v>
      </c>
      <c r="CE51" s="20" t="s">
        <v>76</v>
      </c>
      <c r="CF51" s="15">
        <v>4.19161676646707</v>
      </c>
      <c r="CG51" s="20" t="s">
        <v>76</v>
      </c>
      <c r="CH51" s="15">
        <v>6.9852941176470598</v>
      </c>
      <c r="CI51" s="20" t="s">
        <v>76</v>
      </c>
      <c r="CJ51" s="15">
        <v>2.7450980392156898</v>
      </c>
      <c r="CK51" s="20" t="s">
        <v>76</v>
      </c>
      <c r="CL51" s="15">
        <v>4.39393939393939</v>
      </c>
      <c r="CM51" s="26" t="s">
        <v>76</v>
      </c>
      <c r="CN51" s="37"/>
    </row>
    <row r="52" spans="1:92">
      <c r="A52" s="9" t="s">
        <v>307</v>
      </c>
      <c r="B52" s="35">
        <v>0.50928712414919097</v>
      </c>
      <c r="C52" s="32">
        <v>0.51765695540675305</v>
      </c>
      <c r="D52" s="32">
        <v>0.46242306803657501</v>
      </c>
      <c r="E52" s="32">
        <v>0.79083510446043204</v>
      </c>
      <c r="F52" s="20" t="s">
        <v>76</v>
      </c>
      <c r="G52" s="20" t="s">
        <v>76</v>
      </c>
      <c r="H52" s="20" t="s">
        <v>76</v>
      </c>
      <c r="I52" s="20" t="s">
        <v>76</v>
      </c>
      <c r="J52" s="20" t="s">
        <v>76</v>
      </c>
      <c r="K52" s="20" t="s">
        <v>76</v>
      </c>
      <c r="L52" s="15">
        <v>11.4754098360656</v>
      </c>
      <c r="M52" s="20" t="s">
        <v>76</v>
      </c>
      <c r="N52" s="20" t="s">
        <v>76</v>
      </c>
      <c r="O52" s="20" t="s">
        <v>76</v>
      </c>
      <c r="P52" s="20" t="s">
        <v>76</v>
      </c>
      <c r="Q52" s="20" t="s">
        <v>76</v>
      </c>
      <c r="R52" s="20" t="s">
        <v>76</v>
      </c>
      <c r="S52" s="20" t="s">
        <v>76</v>
      </c>
      <c r="T52" s="20" t="s">
        <v>76</v>
      </c>
      <c r="U52" s="20" t="s">
        <v>76</v>
      </c>
      <c r="V52" s="20" t="s">
        <v>76</v>
      </c>
      <c r="W52" s="20" t="s">
        <v>76</v>
      </c>
      <c r="X52" s="20" t="s">
        <v>76</v>
      </c>
      <c r="Y52" s="20" t="s">
        <v>76</v>
      </c>
      <c r="Z52" s="20" t="s">
        <v>76</v>
      </c>
      <c r="AA52" s="20" t="s">
        <v>76</v>
      </c>
      <c r="AB52" s="20" t="s">
        <v>76</v>
      </c>
      <c r="AC52" s="20" t="s">
        <v>76</v>
      </c>
      <c r="AD52" s="20" t="s">
        <v>76</v>
      </c>
      <c r="AE52" s="20" t="s">
        <v>76</v>
      </c>
      <c r="AF52" s="20" t="s">
        <v>76</v>
      </c>
      <c r="AG52" s="20" t="s">
        <v>76</v>
      </c>
      <c r="AH52" s="20" t="s">
        <v>76</v>
      </c>
      <c r="AI52" s="20" t="s">
        <v>76</v>
      </c>
      <c r="AJ52" s="20" t="s">
        <v>76</v>
      </c>
      <c r="AK52" s="20" t="s">
        <v>76</v>
      </c>
      <c r="AL52" s="20" t="s">
        <v>76</v>
      </c>
      <c r="AM52" s="20" t="s">
        <v>76</v>
      </c>
      <c r="AN52" s="20" t="s">
        <v>76</v>
      </c>
      <c r="AO52" s="20" t="s">
        <v>76</v>
      </c>
      <c r="AP52" s="20" t="s">
        <v>76</v>
      </c>
      <c r="AQ52" s="20" t="s">
        <v>76</v>
      </c>
      <c r="AR52" s="20" t="s">
        <v>76</v>
      </c>
      <c r="AS52" s="20" t="s">
        <v>76</v>
      </c>
      <c r="AT52" s="20" t="s">
        <v>76</v>
      </c>
      <c r="AU52" s="20" t="s">
        <v>76</v>
      </c>
      <c r="AV52" s="20" t="s">
        <v>76</v>
      </c>
      <c r="AW52" s="20" t="s">
        <v>76</v>
      </c>
      <c r="AX52" s="20" t="s">
        <v>76</v>
      </c>
      <c r="AY52" s="20" t="s">
        <v>76</v>
      </c>
      <c r="AZ52" s="15">
        <v>20</v>
      </c>
      <c r="BA52" s="20" t="s">
        <v>76</v>
      </c>
      <c r="BB52" s="20" t="s">
        <v>76</v>
      </c>
      <c r="BC52" s="20" t="s">
        <v>76</v>
      </c>
      <c r="BD52" s="20" t="s">
        <v>76</v>
      </c>
      <c r="BE52" s="20" t="s">
        <v>76</v>
      </c>
      <c r="BF52" s="20" t="s">
        <v>76</v>
      </c>
      <c r="BG52" s="20" t="s">
        <v>76</v>
      </c>
      <c r="BH52" s="20" t="s">
        <v>76</v>
      </c>
      <c r="BI52" s="20" t="s">
        <v>76</v>
      </c>
      <c r="BJ52" s="20" t="s">
        <v>76</v>
      </c>
      <c r="BK52" s="15">
        <v>12.5</v>
      </c>
      <c r="BL52" s="20" t="s">
        <v>76</v>
      </c>
      <c r="BM52" s="20" t="s">
        <v>76</v>
      </c>
      <c r="BN52" s="20" t="s">
        <v>76</v>
      </c>
      <c r="BO52" s="20" t="s">
        <v>76</v>
      </c>
      <c r="BP52" s="20" t="s">
        <v>76</v>
      </c>
      <c r="BQ52" s="20" t="s">
        <v>76</v>
      </c>
      <c r="BR52" s="20" t="s">
        <v>76</v>
      </c>
      <c r="BS52" s="20" t="s">
        <v>76</v>
      </c>
      <c r="BT52" s="20" t="s">
        <v>76</v>
      </c>
      <c r="BU52" s="20" t="s">
        <v>76</v>
      </c>
      <c r="BV52" s="20" t="s">
        <v>76</v>
      </c>
      <c r="BW52" s="20" t="s">
        <v>76</v>
      </c>
      <c r="BX52" s="20" t="s">
        <v>76</v>
      </c>
      <c r="BY52" s="20" t="s">
        <v>76</v>
      </c>
      <c r="BZ52" s="20" t="s">
        <v>76</v>
      </c>
      <c r="CA52" s="38" t="s">
        <v>76</v>
      </c>
      <c r="CB52" s="20" t="s">
        <v>76</v>
      </c>
      <c r="CC52" s="20" t="s">
        <v>76</v>
      </c>
      <c r="CD52" s="20" t="s">
        <v>76</v>
      </c>
      <c r="CE52" s="20" t="s">
        <v>76</v>
      </c>
      <c r="CF52" s="20" t="s">
        <v>76</v>
      </c>
      <c r="CG52" s="20" t="s">
        <v>76</v>
      </c>
      <c r="CH52" s="20" t="s">
        <v>76</v>
      </c>
      <c r="CI52" s="20" t="s">
        <v>76</v>
      </c>
      <c r="CJ52" s="20" t="s">
        <v>76</v>
      </c>
      <c r="CK52" s="20" t="s">
        <v>76</v>
      </c>
      <c r="CL52" s="20" t="s">
        <v>76</v>
      </c>
      <c r="CM52" s="26" t="s">
        <v>76</v>
      </c>
      <c r="CN52" s="37"/>
    </row>
    <row r="53" spans="1:92">
      <c r="A53" s="9" t="s">
        <v>308</v>
      </c>
      <c r="B53" s="35">
        <v>6.9652156954483297</v>
      </c>
      <c r="C53" s="32">
        <v>6.0571326312190399</v>
      </c>
      <c r="D53" s="32">
        <v>6.6504785665814099</v>
      </c>
      <c r="E53" s="32">
        <v>5.7792477883298599</v>
      </c>
      <c r="F53" s="20" t="s">
        <v>76</v>
      </c>
      <c r="G53" s="20" t="s">
        <v>76</v>
      </c>
      <c r="H53" s="20" t="s">
        <v>76</v>
      </c>
      <c r="I53" s="20" t="s">
        <v>76</v>
      </c>
      <c r="J53" s="20" t="s">
        <v>76</v>
      </c>
      <c r="K53" s="20" t="s">
        <v>76</v>
      </c>
      <c r="L53" s="20" t="s">
        <v>76</v>
      </c>
      <c r="M53" s="15">
        <v>17.105263157894701</v>
      </c>
      <c r="N53" s="15">
        <v>17.647058823529399</v>
      </c>
      <c r="O53" s="20" t="s">
        <v>76</v>
      </c>
      <c r="P53" s="20" t="s">
        <v>76</v>
      </c>
      <c r="Q53" s="15">
        <v>8.4507042253521103</v>
      </c>
      <c r="R53" s="20" t="s">
        <v>76</v>
      </c>
      <c r="S53" s="20" t="s">
        <v>76</v>
      </c>
      <c r="T53" s="20" t="s">
        <v>76</v>
      </c>
      <c r="U53" s="20" t="s">
        <v>76</v>
      </c>
      <c r="V53" s="20" t="s">
        <v>76</v>
      </c>
      <c r="W53" s="15">
        <v>13.559322033898299</v>
      </c>
      <c r="X53" s="20" t="s">
        <v>76</v>
      </c>
      <c r="Y53" s="20" t="s">
        <v>76</v>
      </c>
      <c r="Z53" s="20" t="s">
        <v>76</v>
      </c>
      <c r="AA53" s="20" t="s">
        <v>76</v>
      </c>
      <c r="AB53" s="20" t="s">
        <v>76</v>
      </c>
      <c r="AC53" s="15">
        <v>3.7878787878787898</v>
      </c>
      <c r="AD53" s="15">
        <v>65.625</v>
      </c>
      <c r="AE53" s="20" t="s">
        <v>76</v>
      </c>
      <c r="AF53" s="20" t="s">
        <v>76</v>
      </c>
      <c r="AG53" s="20" t="s">
        <v>76</v>
      </c>
      <c r="AH53" s="15">
        <v>14.285714285714301</v>
      </c>
      <c r="AI53" s="20" t="s">
        <v>76</v>
      </c>
      <c r="AJ53" s="20" t="s">
        <v>76</v>
      </c>
      <c r="AK53" s="20" t="s">
        <v>76</v>
      </c>
      <c r="AL53" s="20" t="s">
        <v>76</v>
      </c>
      <c r="AM53" s="15">
        <v>7.8125</v>
      </c>
      <c r="AN53" s="20" t="s">
        <v>76</v>
      </c>
      <c r="AO53" s="20" t="s">
        <v>76</v>
      </c>
      <c r="AP53" s="20" t="s">
        <v>76</v>
      </c>
      <c r="AQ53" s="20" t="s">
        <v>76</v>
      </c>
      <c r="AR53" s="20" t="s">
        <v>76</v>
      </c>
      <c r="AS53" s="20" t="s">
        <v>76</v>
      </c>
      <c r="AT53" s="20" t="s">
        <v>76</v>
      </c>
      <c r="AU53" s="20" t="s">
        <v>76</v>
      </c>
      <c r="AV53" s="20" t="s">
        <v>76</v>
      </c>
      <c r="AW53" s="20" t="s">
        <v>76</v>
      </c>
      <c r="AX53" s="20" t="s">
        <v>76</v>
      </c>
      <c r="AY53" s="20" t="s">
        <v>76</v>
      </c>
      <c r="AZ53" s="15">
        <v>14</v>
      </c>
      <c r="BA53" s="20" t="s">
        <v>76</v>
      </c>
      <c r="BB53" s="15">
        <v>7.4626865671641802</v>
      </c>
      <c r="BC53" s="20" t="s">
        <v>76</v>
      </c>
      <c r="BD53" s="20" t="s">
        <v>76</v>
      </c>
      <c r="BE53" s="15">
        <v>10.3448275862069</v>
      </c>
      <c r="BF53" s="20" t="s">
        <v>76</v>
      </c>
      <c r="BG53" s="20" t="s">
        <v>76</v>
      </c>
      <c r="BH53" s="20" t="s">
        <v>76</v>
      </c>
      <c r="BI53" s="20" t="s">
        <v>76</v>
      </c>
      <c r="BJ53" s="20" t="s">
        <v>76</v>
      </c>
      <c r="BK53" s="15">
        <v>17.5</v>
      </c>
      <c r="BL53" s="20" t="s">
        <v>76</v>
      </c>
      <c r="BM53" s="15">
        <v>8.9108910891089099</v>
      </c>
      <c r="BN53" s="20" t="s">
        <v>76</v>
      </c>
      <c r="BO53" s="20" t="s">
        <v>76</v>
      </c>
      <c r="BP53" s="20" t="s">
        <v>76</v>
      </c>
      <c r="BQ53" s="20" t="s">
        <v>76</v>
      </c>
      <c r="BR53" s="20" t="s">
        <v>76</v>
      </c>
      <c r="BS53" s="20" t="s">
        <v>76</v>
      </c>
      <c r="BT53" s="15">
        <v>8.5365853658536608</v>
      </c>
      <c r="BU53" s="20" t="s">
        <v>76</v>
      </c>
      <c r="BV53" s="15">
        <v>6.0606060606060597</v>
      </c>
      <c r="BW53" s="15">
        <v>10.144927536231901</v>
      </c>
      <c r="BX53" s="20" t="s">
        <v>76</v>
      </c>
      <c r="BY53" s="15">
        <v>20.634920634920601</v>
      </c>
      <c r="BZ53" s="20" t="s">
        <v>76</v>
      </c>
      <c r="CA53" s="32">
        <v>7.3540589865352999</v>
      </c>
      <c r="CB53" s="15">
        <v>9.2651757188498394</v>
      </c>
      <c r="CC53" s="15">
        <v>9.1194968553459095</v>
      </c>
      <c r="CD53" s="20" t="s">
        <v>76</v>
      </c>
      <c r="CE53" s="20" t="s">
        <v>76</v>
      </c>
      <c r="CF53" s="15">
        <v>11.0778443113772</v>
      </c>
      <c r="CG53" s="15">
        <v>4.4692737430167604</v>
      </c>
      <c r="CH53" s="15">
        <v>11.0294117647059</v>
      </c>
      <c r="CI53" s="15">
        <v>10.472279260780301</v>
      </c>
      <c r="CJ53" s="15">
        <v>5.8823529411764701</v>
      </c>
      <c r="CK53" s="15">
        <v>15.2466367713004</v>
      </c>
      <c r="CL53" s="15">
        <v>1.8181818181818199</v>
      </c>
      <c r="CM53" s="24">
        <v>1.7130620985010701</v>
      </c>
      <c r="CN53" s="37"/>
    </row>
    <row r="54" spans="1:92">
      <c r="A54" s="9" t="s">
        <v>309</v>
      </c>
      <c r="B54" s="35">
        <v>1.57363495228821</v>
      </c>
      <c r="C54" s="32">
        <v>1.5106759515340999</v>
      </c>
      <c r="D54" s="32">
        <v>1.03260516516681</v>
      </c>
      <c r="E54" s="32">
        <v>0.94121895435534797</v>
      </c>
      <c r="F54" s="20" t="s">
        <v>76</v>
      </c>
      <c r="G54" s="20" t="s">
        <v>76</v>
      </c>
      <c r="H54" s="20" t="s">
        <v>76</v>
      </c>
      <c r="I54" s="20" t="s">
        <v>76</v>
      </c>
      <c r="J54" s="20" t="s">
        <v>76</v>
      </c>
      <c r="K54" s="20" t="s">
        <v>76</v>
      </c>
      <c r="L54" s="20" t="s">
        <v>76</v>
      </c>
      <c r="M54" s="20" t="s">
        <v>76</v>
      </c>
      <c r="N54" s="20" t="s">
        <v>76</v>
      </c>
      <c r="O54" s="20" t="s">
        <v>76</v>
      </c>
      <c r="P54" s="20" t="s">
        <v>76</v>
      </c>
      <c r="Q54" s="20" t="s">
        <v>76</v>
      </c>
      <c r="R54" s="20" t="s">
        <v>76</v>
      </c>
      <c r="S54" s="20" t="s">
        <v>76</v>
      </c>
      <c r="T54" s="20" t="s">
        <v>76</v>
      </c>
      <c r="U54" s="20" t="s">
        <v>76</v>
      </c>
      <c r="V54" s="20" t="s">
        <v>76</v>
      </c>
      <c r="W54" s="20" t="s">
        <v>76</v>
      </c>
      <c r="X54" s="20" t="s">
        <v>76</v>
      </c>
      <c r="Y54" s="20" t="s">
        <v>76</v>
      </c>
      <c r="Z54" s="20" t="s">
        <v>76</v>
      </c>
      <c r="AA54" s="20" t="s">
        <v>76</v>
      </c>
      <c r="AB54" s="20" t="s">
        <v>76</v>
      </c>
      <c r="AC54" s="20" t="s">
        <v>76</v>
      </c>
      <c r="AD54" s="20" t="s">
        <v>76</v>
      </c>
      <c r="AE54" s="20" t="s">
        <v>76</v>
      </c>
      <c r="AF54" s="20" t="s">
        <v>76</v>
      </c>
      <c r="AG54" s="20" t="s">
        <v>76</v>
      </c>
      <c r="AH54" s="20" t="s">
        <v>76</v>
      </c>
      <c r="AI54" s="20" t="s">
        <v>76</v>
      </c>
      <c r="AJ54" s="20" t="s">
        <v>76</v>
      </c>
      <c r="AK54" s="20" t="s">
        <v>76</v>
      </c>
      <c r="AL54" s="20" t="s">
        <v>76</v>
      </c>
      <c r="AM54" s="20" t="s">
        <v>76</v>
      </c>
      <c r="AN54" s="20" t="s">
        <v>76</v>
      </c>
      <c r="AO54" s="20" t="s">
        <v>76</v>
      </c>
      <c r="AP54" s="20" t="s">
        <v>76</v>
      </c>
      <c r="AQ54" s="20" t="s">
        <v>76</v>
      </c>
      <c r="AR54" s="20" t="s">
        <v>76</v>
      </c>
      <c r="AS54" s="20" t="s">
        <v>76</v>
      </c>
      <c r="AT54" s="20" t="s">
        <v>76</v>
      </c>
      <c r="AU54" s="20" t="s">
        <v>76</v>
      </c>
      <c r="AV54" s="20" t="s">
        <v>76</v>
      </c>
      <c r="AW54" s="20" t="s">
        <v>76</v>
      </c>
      <c r="AX54" s="20" t="s">
        <v>76</v>
      </c>
      <c r="AY54" s="20" t="s">
        <v>76</v>
      </c>
      <c r="AZ54" s="20" t="s">
        <v>76</v>
      </c>
      <c r="BA54" s="20" t="s">
        <v>76</v>
      </c>
      <c r="BB54" s="20" t="s">
        <v>76</v>
      </c>
      <c r="BC54" s="20" t="s">
        <v>76</v>
      </c>
      <c r="BD54" s="20" t="s">
        <v>76</v>
      </c>
      <c r="BE54" s="20" t="s">
        <v>76</v>
      </c>
      <c r="BF54" s="20" t="s">
        <v>76</v>
      </c>
      <c r="BG54" s="20" t="s">
        <v>76</v>
      </c>
      <c r="BH54" s="20" t="s">
        <v>76</v>
      </c>
      <c r="BI54" s="20" t="s">
        <v>76</v>
      </c>
      <c r="BJ54" s="20" t="s">
        <v>76</v>
      </c>
      <c r="BK54" s="20" t="s">
        <v>76</v>
      </c>
      <c r="BL54" s="20" t="s">
        <v>76</v>
      </c>
      <c r="BM54" s="20" t="s">
        <v>76</v>
      </c>
      <c r="BN54" s="20" t="s">
        <v>76</v>
      </c>
      <c r="BO54" s="20" t="s">
        <v>76</v>
      </c>
      <c r="BP54" s="20" t="s">
        <v>76</v>
      </c>
      <c r="BQ54" s="20" t="s">
        <v>76</v>
      </c>
      <c r="BR54" s="20" t="s">
        <v>76</v>
      </c>
      <c r="BS54" s="20" t="s">
        <v>76</v>
      </c>
      <c r="BT54" s="15">
        <v>12.1951219512195</v>
      </c>
      <c r="BU54" s="20" t="s">
        <v>76</v>
      </c>
      <c r="BV54" s="20" t="s">
        <v>76</v>
      </c>
      <c r="BW54" s="20" t="s">
        <v>76</v>
      </c>
      <c r="BX54" s="20" t="s">
        <v>76</v>
      </c>
      <c r="BY54" s="20" t="s">
        <v>76</v>
      </c>
      <c r="BZ54" s="15">
        <v>3.40136054421769</v>
      </c>
      <c r="CA54" s="32">
        <v>1.1064059883077899</v>
      </c>
      <c r="CB54" s="15">
        <v>3.19488817891374</v>
      </c>
      <c r="CC54" s="20" t="s">
        <v>76</v>
      </c>
      <c r="CD54" s="20" t="s">
        <v>76</v>
      </c>
      <c r="CE54" s="20" t="s">
        <v>76</v>
      </c>
      <c r="CF54" s="20" t="s">
        <v>76</v>
      </c>
      <c r="CG54" s="20" t="s">
        <v>76</v>
      </c>
      <c r="CH54" s="15">
        <v>1.2867647058823499</v>
      </c>
      <c r="CI54" s="15">
        <v>1.4373716632443501</v>
      </c>
      <c r="CJ54" s="20" t="s">
        <v>76</v>
      </c>
      <c r="CK54" s="20" t="s">
        <v>76</v>
      </c>
      <c r="CL54" s="15">
        <v>1.9696969696969699</v>
      </c>
      <c r="CM54" s="26" t="s">
        <v>76</v>
      </c>
      <c r="CN54" s="37"/>
    </row>
    <row r="55" spans="1:92">
      <c r="A55" s="9" t="s">
        <v>310</v>
      </c>
      <c r="B55" s="35">
        <v>0.64335254668960595</v>
      </c>
      <c r="C55" s="32">
        <v>0.95265582388966796</v>
      </c>
      <c r="D55" s="32">
        <v>0.58501528007640502</v>
      </c>
      <c r="E55" s="32">
        <v>0.845590964025976</v>
      </c>
      <c r="F55" s="20" t="s">
        <v>76</v>
      </c>
      <c r="G55" s="20" t="s">
        <v>76</v>
      </c>
      <c r="H55" s="20" t="s">
        <v>76</v>
      </c>
      <c r="I55" s="20" t="s">
        <v>76</v>
      </c>
      <c r="J55" s="20" t="s">
        <v>76</v>
      </c>
      <c r="K55" s="20" t="s">
        <v>76</v>
      </c>
      <c r="L55" s="20" t="s">
        <v>76</v>
      </c>
      <c r="M55" s="20" t="s">
        <v>76</v>
      </c>
      <c r="N55" s="20" t="s">
        <v>76</v>
      </c>
      <c r="O55" s="20" t="s">
        <v>76</v>
      </c>
      <c r="P55" s="20" t="s">
        <v>76</v>
      </c>
      <c r="Q55" s="20" t="s">
        <v>76</v>
      </c>
      <c r="R55" s="20" t="s">
        <v>76</v>
      </c>
      <c r="S55" s="20" t="s">
        <v>76</v>
      </c>
      <c r="T55" s="20" t="s">
        <v>76</v>
      </c>
      <c r="U55" s="20" t="s">
        <v>76</v>
      </c>
      <c r="V55" s="20" t="s">
        <v>76</v>
      </c>
      <c r="W55" s="20" t="s">
        <v>76</v>
      </c>
      <c r="X55" s="20" t="s">
        <v>76</v>
      </c>
      <c r="Y55" s="20" t="s">
        <v>76</v>
      </c>
      <c r="Z55" s="20" t="s">
        <v>76</v>
      </c>
      <c r="AA55" s="15">
        <v>8.2568807339449499</v>
      </c>
      <c r="AB55" s="20" t="s">
        <v>76</v>
      </c>
      <c r="AC55" s="20" t="s">
        <v>76</v>
      </c>
      <c r="AD55" s="20" t="s">
        <v>76</v>
      </c>
      <c r="AE55" s="20" t="s">
        <v>76</v>
      </c>
      <c r="AF55" s="20" t="s">
        <v>76</v>
      </c>
      <c r="AG55" s="20" t="s">
        <v>76</v>
      </c>
      <c r="AH55" s="20" t="s">
        <v>76</v>
      </c>
      <c r="AI55" s="20" t="s">
        <v>76</v>
      </c>
      <c r="AJ55" s="20" t="s">
        <v>76</v>
      </c>
      <c r="AK55" s="20" t="s">
        <v>76</v>
      </c>
      <c r="AL55" s="20" t="s">
        <v>76</v>
      </c>
      <c r="AM55" s="20" t="s">
        <v>76</v>
      </c>
      <c r="AN55" s="20" t="s">
        <v>76</v>
      </c>
      <c r="AO55" s="20" t="s">
        <v>76</v>
      </c>
      <c r="AP55" s="20" t="s">
        <v>76</v>
      </c>
      <c r="AQ55" s="20" t="s">
        <v>76</v>
      </c>
      <c r="AR55" s="20" t="s">
        <v>76</v>
      </c>
      <c r="AS55" s="20" t="s">
        <v>76</v>
      </c>
      <c r="AT55" s="20" t="s">
        <v>76</v>
      </c>
      <c r="AU55" s="20" t="s">
        <v>76</v>
      </c>
      <c r="AV55" s="20" t="s">
        <v>76</v>
      </c>
      <c r="AW55" s="20" t="s">
        <v>76</v>
      </c>
      <c r="AX55" s="20" t="s">
        <v>76</v>
      </c>
      <c r="AY55" s="20" t="s">
        <v>76</v>
      </c>
      <c r="AZ55" s="20" t="s">
        <v>76</v>
      </c>
      <c r="BA55" s="20" t="s">
        <v>76</v>
      </c>
      <c r="BB55" s="20" t="s">
        <v>76</v>
      </c>
      <c r="BC55" s="20" t="s">
        <v>76</v>
      </c>
      <c r="BD55" s="20" t="s">
        <v>76</v>
      </c>
      <c r="BE55" s="20" t="s">
        <v>76</v>
      </c>
      <c r="BF55" s="20" t="s">
        <v>76</v>
      </c>
      <c r="BG55" s="20" t="s">
        <v>76</v>
      </c>
      <c r="BH55" s="20" t="s">
        <v>76</v>
      </c>
      <c r="BI55" s="20" t="s">
        <v>76</v>
      </c>
      <c r="BJ55" s="20" t="s">
        <v>76</v>
      </c>
      <c r="BK55" s="20" t="s">
        <v>76</v>
      </c>
      <c r="BL55" s="20" t="s">
        <v>76</v>
      </c>
      <c r="BM55" s="20" t="s">
        <v>76</v>
      </c>
      <c r="BN55" s="20" t="s">
        <v>76</v>
      </c>
      <c r="BO55" s="20" t="s">
        <v>76</v>
      </c>
      <c r="BP55" s="20" t="s">
        <v>76</v>
      </c>
      <c r="BQ55" s="20" t="s">
        <v>76</v>
      </c>
      <c r="BR55" s="20" t="s">
        <v>76</v>
      </c>
      <c r="BS55" s="20" t="s">
        <v>76</v>
      </c>
      <c r="BT55" s="20" t="s">
        <v>76</v>
      </c>
      <c r="BU55" s="20" t="s">
        <v>76</v>
      </c>
      <c r="BV55" s="20" t="s">
        <v>76</v>
      </c>
      <c r="BW55" s="20" t="s">
        <v>76</v>
      </c>
      <c r="BX55" s="20" t="s">
        <v>76</v>
      </c>
      <c r="BY55" s="20" t="s">
        <v>76</v>
      </c>
      <c r="BZ55" s="20" t="s">
        <v>76</v>
      </c>
      <c r="CA55" s="38" t="s">
        <v>76</v>
      </c>
      <c r="CB55" s="20" t="s">
        <v>76</v>
      </c>
      <c r="CC55" s="20" t="s">
        <v>76</v>
      </c>
      <c r="CD55" s="20" t="s">
        <v>76</v>
      </c>
      <c r="CE55" s="20" t="s">
        <v>76</v>
      </c>
      <c r="CF55" s="20" t="s">
        <v>76</v>
      </c>
      <c r="CG55" s="20" t="s">
        <v>76</v>
      </c>
      <c r="CH55" s="20" t="s">
        <v>76</v>
      </c>
      <c r="CI55" s="20" t="s">
        <v>76</v>
      </c>
      <c r="CJ55" s="20" t="s">
        <v>76</v>
      </c>
      <c r="CK55" s="20" t="s">
        <v>76</v>
      </c>
      <c r="CL55" s="15">
        <v>0.90909090909090895</v>
      </c>
      <c r="CM55" s="26" t="s">
        <v>76</v>
      </c>
      <c r="CN55" s="37"/>
    </row>
    <row r="56" spans="1:92">
      <c r="A56" s="9" t="s">
        <v>311</v>
      </c>
      <c r="B56" s="35">
        <v>2.2180682918292698</v>
      </c>
      <c r="C56" s="32">
        <v>2.2464406104104202</v>
      </c>
      <c r="D56" s="32">
        <v>2.186464825521</v>
      </c>
      <c r="E56" s="32">
        <v>1.5959636097454999</v>
      </c>
      <c r="F56" s="20" t="s">
        <v>76</v>
      </c>
      <c r="G56" s="20" t="s">
        <v>76</v>
      </c>
      <c r="H56" s="20" t="s">
        <v>76</v>
      </c>
      <c r="I56" s="20" t="s">
        <v>76</v>
      </c>
      <c r="J56" s="20" t="s">
        <v>76</v>
      </c>
      <c r="K56" s="20" t="s">
        <v>76</v>
      </c>
      <c r="L56" s="20" t="s">
        <v>76</v>
      </c>
      <c r="M56" s="20" t="s">
        <v>76</v>
      </c>
      <c r="N56" s="20" t="s">
        <v>76</v>
      </c>
      <c r="O56" s="20" t="s">
        <v>76</v>
      </c>
      <c r="P56" s="20" t="s">
        <v>76</v>
      </c>
      <c r="Q56" s="15">
        <v>11.2676056338028</v>
      </c>
      <c r="R56" s="20" t="s">
        <v>76</v>
      </c>
      <c r="S56" s="20" t="s">
        <v>76</v>
      </c>
      <c r="T56" s="20" t="s">
        <v>76</v>
      </c>
      <c r="U56" s="20" t="s">
        <v>76</v>
      </c>
      <c r="V56" s="20" t="s">
        <v>76</v>
      </c>
      <c r="W56" s="20" t="s">
        <v>76</v>
      </c>
      <c r="X56" s="20" t="s">
        <v>76</v>
      </c>
      <c r="Y56" s="20" t="s">
        <v>76</v>
      </c>
      <c r="Z56" s="20" t="s">
        <v>76</v>
      </c>
      <c r="AA56" s="20" t="s">
        <v>76</v>
      </c>
      <c r="AB56" s="20" t="s">
        <v>76</v>
      </c>
      <c r="AC56" s="20" t="s">
        <v>76</v>
      </c>
      <c r="AD56" s="20" t="s">
        <v>76</v>
      </c>
      <c r="AE56" s="20" t="s">
        <v>76</v>
      </c>
      <c r="AF56" s="20" t="s">
        <v>76</v>
      </c>
      <c r="AG56" s="20" t="s">
        <v>76</v>
      </c>
      <c r="AH56" s="20" t="s">
        <v>76</v>
      </c>
      <c r="AI56" s="20" t="s">
        <v>76</v>
      </c>
      <c r="AJ56" s="20" t="s">
        <v>76</v>
      </c>
      <c r="AK56" s="20" t="s">
        <v>76</v>
      </c>
      <c r="AL56" s="20" t="s">
        <v>76</v>
      </c>
      <c r="AM56" s="20" t="s">
        <v>76</v>
      </c>
      <c r="AN56" s="20" t="s">
        <v>76</v>
      </c>
      <c r="AO56" s="20" t="s">
        <v>76</v>
      </c>
      <c r="AP56" s="20" t="s">
        <v>76</v>
      </c>
      <c r="AQ56" s="20" t="s">
        <v>76</v>
      </c>
      <c r="AR56" s="20" t="s">
        <v>76</v>
      </c>
      <c r="AS56" s="20" t="s">
        <v>76</v>
      </c>
      <c r="AT56" s="20" t="s">
        <v>76</v>
      </c>
      <c r="AU56" s="20" t="s">
        <v>76</v>
      </c>
      <c r="AV56" s="20" t="s">
        <v>76</v>
      </c>
      <c r="AW56" s="20" t="s">
        <v>76</v>
      </c>
      <c r="AX56" s="20" t="s">
        <v>76</v>
      </c>
      <c r="AY56" s="20" t="s">
        <v>76</v>
      </c>
      <c r="AZ56" s="15">
        <v>16</v>
      </c>
      <c r="BA56" s="20" t="s">
        <v>76</v>
      </c>
      <c r="BB56" s="20" t="s">
        <v>76</v>
      </c>
      <c r="BC56" s="20" t="s">
        <v>76</v>
      </c>
      <c r="BD56" s="20" t="s">
        <v>76</v>
      </c>
      <c r="BE56" s="20" t="s">
        <v>76</v>
      </c>
      <c r="BF56" s="20" t="s">
        <v>76</v>
      </c>
      <c r="BG56" s="20" t="s">
        <v>76</v>
      </c>
      <c r="BH56" s="20" t="s">
        <v>76</v>
      </c>
      <c r="BI56" s="20" t="s">
        <v>76</v>
      </c>
      <c r="BJ56" s="20" t="s">
        <v>76</v>
      </c>
      <c r="BK56" s="20" t="s">
        <v>76</v>
      </c>
      <c r="BL56" s="20" t="s">
        <v>76</v>
      </c>
      <c r="BM56" s="20" t="s">
        <v>76</v>
      </c>
      <c r="BN56" s="20" t="s">
        <v>76</v>
      </c>
      <c r="BO56" s="20" t="s">
        <v>76</v>
      </c>
      <c r="BP56" s="20" t="s">
        <v>76</v>
      </c>
      <c r="BQ56" s="20" t="s">
        <v>76</v>
      </c>
      <c r="BR56" s="20" t="s">
        <v>76</v>
      </c>
      <c r="BS56" s="20" t="s">
        <v>76</v>
      </c>
      <c r="BT56" s="20" t="s">
        <v>76</v>
      </c>
      <c r="BU56" s="20" t="s">
        <v>76</v>
      </c>
      <c r="BV56" s="20" t="s">
        <v>76</v>
      </c>
      <c r="BW56" s="20" t="s">
        <v>76</v>
      </c>
      <c r="BX56" s="20" t="s">
        <v>76</v>
      </c>
      <c r="BY56" s="20" t="s">
        <v>76</v>
      </c>
      <c r="BZ56" s="20" t="s">
        <v>76</v>
      </c>
      <c r="CA56" s="32">
        <v>2.6633362857010399</v>
      </c>
      <c r="CB56" s="15">
        <v>4.47284345047923</v>
      </c>
      <c r="CC56" s="15">
        <v>3.45911949685535</v>
      </c>
      <c r="CD56" s="20" t="s">
        <v>76</v>
      </c>
      <c r="CE56" s="20" t="s">
        <v>76</v>
      </c>
      <c r="CF56" s="15">
        <v>1.4970059880239499</v>
      </c>
      <c r="CG56" s="15">
        <v>2.7932960893854699</v>
      </c>
      <c r="CH56" s="15">
        <v>1.1029411764705901</v>
      </c>
      <c r="CI56" s="15">
        <v>4.5174537987679697</v>
      </c>
      <c r="CJ56" s="20" t="s">
        <v>76</v>
      </c>
      <c r="CK56" s="20" t="s">
        <v>76</v>
      </c>
      <c r="CL56" s="15">
        <v>3.1818181818181799</v>
      </c>
      <c r="CM56" s="26" t="s">
        <v>76</v>
      </c>
      <c r="CN56" s="37"/>
    </row>
    <row r="57" spans="1:92">
      <c r="A57" s="9" t="s">
        <v>312</v>
      </c>
      <c r="B57" s="35">
        <v>1.0788988744740799</v>
      </c>
      <c r="C57" s="32">
        <v>1.03368230857855</v>
      </c>
      <c r="D57" s="32">
        <v>0.42677808920246602</v>
      </c>
      <c r="E57" s="32">
        <v>0.79764921053562998</v>
      </c>
      <c r="F57" s="20" t="s">
        <v>76</v>
      </c>
      <c r="G57" s="20" t="s">
        <v>76</v>
      </c>
      <c r="H57" s="20" t="s">
        <v>76</v>
      </c>
      <c r="I57" s="20" t="s">
        <v>76</v>
      </c>
      <c r="J57" s="20" t="s">
        <v>76</v>
      </c>
      <c r="K57" s="20" t="s">
        <v>76</v>
      </c>
      <c r="L57" s="20" t="s">
        <v>76</v>
      </c>
      <c r="M57" s="20" t="s">
        <v>76</v>
      </c>
      <c r="N57" s="20" t="s">
        <v>76</v>
      </c>
      <c r="O57" s="20" t="s">
        <v>76</v>
      </c>
      <c r="P57" s="20" t="s">
        <v>76</v>
      </c>
      <c r="Q57" s="20" t="s">
        <v>76</v>
      </c>
      <c r="R57" s="20" t="s">
        <v>76</v>
      </c>
      <c r="S57" s="20" t="s">
        <v>76</v>
      </c>
      <c r="T57" s="20" t="s">
        <v>76</v>
      </c>
      <c r="U57" s="20" t="s">
        <v>76</v>
      </c>
      <c r="V57" s="20" t="s">
        <v>76</v>
      </c>
      <c r="W57" s="20" t="s">
        <v>76</v>
      </c>
      <c r="X57" s="20" t="s">
        <v>76</v>
      </c>
      <c r="Y57" s="20" t="s">
        <v>76</v>
      </c>
      <c r="Z57" s="20" t="s">
        <v>76</v>
      </c>
      <c r="AA57" s="20" t="s">
        <v>76</v>
      </c>
      <c r="AB57" s="20" t="s">
        <v>76</v>
      </c>
      <c r="AC57" s="20" t="s">
        <v>76</v>
      </c>
      <c r="AD57" s="20" t="s">
        <v>76</v>
      </c>
      <c r="AE57" s="20" t="s">
        <v>76</v>
      </c>
      <c r="AF57" s="20" t="s">
        <v>76</v>
      </c>
      <c r="AG57" s="20" t="s">
        <v>76</v>
      </c>
      <c r="AH57" s="20" t="s">
        <v>76</v>
      </c>
      <c r="AI57" s="20" t="s">
        <v>76</v>
      </c>
      <c r="AJ57" s="20" t="s">
        <v>76</v>
      </c>
      <c r="AK57" s="20" t="s">
        <v>76</v>
      </c>
      <c r="AL57" s="20" t="s">
        <v>76</v>
      </c>
      <c r="AM57" s="20" t="s">
        <v>76</v>
      </c>
      <c r="AN57" s="20" t="s">
        <v>76</v>
      </c>
      <c r="AO57" s="20" t="s">
        <v>76</v>
      </c>
      <c r="AP57" s="20" t="s">
        <v>76</v>
      </c>
      <c r="AQ57" s="20" t="s">
        <v>76</v>
      </c>
      <c r="AR57" s="20" t="s">
        <v>76</v>
      </c>
      <c r="AS57" s="20" t="s">
        <v>76</v>
      </c>
      <c r="AT57" s="20" t="s">
        <v>76</v>
      </c>
      <c r="AU57" s="20" t="s">
        <v>76</v>
      </c>
      <c r="AV57" s="20" t="s">
        <v>76</v>
      </c>
      <c r="AW57" s="20" t="s">
        <v>76</v>
      </c>
      <c r="AX57" s="20" t="s">
        <v>76</v>
      </c>
      <c r="AY57" s="20" t="s">
        <v>76</v>
      </c>
      <c r="AZ57" s="20" t="s">
        <v>76</v>
      </c>
      <c r="BA57" s="20" t="s">
        <v>76</v>
      </c>
      <c r="BB57" s="20" t="s">
        <v>76</v>
      </c>
      <c r="BC57" s="20" t="s">
        <v>76</v>
      </c>
      <c r="BD57" s="20" t="s">
        <v>76</v>
      </c>
      <c r="BE57" s="20" t="s">
        <v>76</v>
      </c>
      <c r="BF57" s="20" t="s">
        <v>76</v>
      </c>
      <c r="BG57" s="20" t="s">
        <v>76</v>
      </c>
      <c r="BH57" s="20" t="s">
        <v>76</v>
      </c>
      <c r="BI57" s="20" t="s">
        <v>76</v>
      </c>
      <c r="BJ57" s="20" t="s">
        <v>76</v>
      </c>
      <c r="BK57" s="20" t="s">
        <v>76</v>
      </c>
      <c r="BL57" s="20" t="s">
        <v>76</v>
      </c>
      <c r="BM57" s="20" t="s">
        <v>76</v>
      </c>
      <c r="BN57" s="20" t="s">
        <v>76</v>
      </c>
      <c r="BO57" s="20" t="s">
        <v>76</v>
      </c>
      <c r="BP57" s="20" t="s">
        <v>76</v>
      </c>
      <c r="BQ57" s="20" t="s">
        <v>76</v>
      </c>
      <c r="BR57" s="20" t="s">
        <v>76</v>
      </c>
      <c r="BS57" s="20" t="s">
        <v>76</v>
      </c>
      <c r="BT57" s="20" t="s">
        <v>76</v>
      </c>
      <c r="BU57" s="20" t="s">
        <v>76</v>
      </c>
      <c r="BV57" s="20" t="s">
        <v>76</v>
      </c>
      <c r="BW57" s="20" t="s">
        <v>76</v>
      </c>
      <c r="BX57" s="20" t="s">
        <v>76</v>
      </c>
      <c r="BY57" s="20" t="s">
        <v>76</v>
      </c>
      <c r="BZ57" s="20" t="s">
        <v>76</v>
      </c>
      <c r="CA57" s="38" t="s">
        <v>76</v>
      </c>
      <c r="CB57" s="20" t="s">
        <v>76</v>
      </c>
      <c r="CC57" s="20" t="s">
        <v>76</v>
      </c>
      <c r="CD57" s="20" t="s">
        <v>76</v>
      </c>
      <c r="CE57" s="20" t="s">
        <v>76</v>
      </c>
      <c r="CF57" s="20" t="s">
        <v>76</v>
      </c>
      <c r="CG57" s="20" t="s">
        <v>76</v>
      </c>
      <c r="CH57" s="20" t="s">
        <v>76</v>
      </c>
      <c r="CI57" s="20" t="s">
        <v>76</v>
      </c>
      <c r="CJ57" s="20" t="s">
        <v>76</v>
      </c>
      <c r="CK57" s="20" t="s">
        <v>76</v>
      </c>
      <c r="CL57" s="20" t="s">
        <v>76</v>
      </c>
      <c r="CM57" s="26" t="s">
        <v>76</v>
      </c>
      <c r="CN57" s="37"/>
    </row>
    <row r="58" spans="1:92">
      <c r="A58" s="9" t="s">
        <v>313</v>
      </c>
      <c r="B58" s="35">
        <v>2.1302041688114799</v>
      </c>
      <c r="C58" s="32">
        <v>2.10103984630019</v>
      </c>
      <c r="D58" s="32">
        <v>1.87336675327421</v>
      </c>
      <c r="E58" s="38" t="s">
        <v>76</v>
      </c>
      <c r="F58" s="20" t="s">
        <v>76</v>
      </c>
      <c r="G58" s="20" t="s">
        <v>76</v>
      </c>
      <c r="H58" s="20" t="s">
        <v>76</v>
      </c>
      <c r="I58" s="20" t="s">
        <v>76</v>
      </c>
      <c r="J58" s="20" t="s">
        <v>76</v>
      </c>
      <c r="K58" s="20" t="s">
        <v>76</v>
      </c>
      <c r="L58" s="20" t="s">
        <v>76</v>
      </c>
      <c r="M58" s="20" t="s">
        <v>76</v>
      </c>
      <c r="N58" s="20" t="s">
        <v>76</v>
      </c>
      <c r="O58" s="20" t="s">
        <v>76</v>
      </c>
      <c r="P58" s="20" t="s">
        <v>76</v>
      </c>
      <c r="Q58" s="20" t="s">
        <v>76</v>
      </c>
      <c r="R58" s="20" t="s">
        <v>76</v>
      </c>
      <c r="S58" s="20" t="s">
        <v>76</v>
      </c>
      <c r="T58" s="20" t="s">
        <v>76</v>
      </c>
      <c r="U58" s="20" t="s">
        <v>76</v>
      </c>
      <c r="V58" s="20" t="s">
        <v>76</v>
      </c>
      <c r="W58" s="20" t="s">
        <v>76</v>
      </c>
      <c r="X58" s="20" t="s">
        <v>76</v>
      </c>
      <c r="Y58" s="20" t="s">
        <v>76</v>
      </c>
      <c r="Z58" s="20" t="s">
        <v>76</v>
      </c>
      <c r="AA58" s="20" t="s">
        <v>76</v>
      </c>
      <c r="AB58" s="20" t="s">
        <v>76</v>
      </c>
      <c r="AC58" s="20" t="s">
        <v>76</v>
      </c>
      <c r="AD58" s="20" t="s">
        <v>76</v>
      </c>
      <c r="AE58" s="20" t="s">
        <v>76</v>
      </c>
      <c r="AF58" s="20" t="s">
        <v>76</v>
      </c>
      <c r="AG58" s="20" t="s">
        <v>76</v>
      </c>
      <c r="AH58" s="20" t="s">
        <v>76</v>
      </c>
      <c r="AI58" s="20" t="s">
        <v>76</v>
      </c>
      <c r="AJ58" s="20" t="s">
        <v>76</v>
      </c>
      <c r="AK58" s="20" t="s">
        <v>76</v>
      </c>
      <c r="AL58" s="20" t="s">
        <v>76</v>
      </c>
      <c r="AM58" s="20" t="s">
        <v>76</v>
      </c>
      <c r="AN58" s="20" t="s">
        <v>76</v>
      </c>
      <c r="AO58" s="20" t="s">
        <v>76</v>
      </c>
      <c r="AP58" s="20" t="s">
        <v>76</v>
      </c>
      <c r="AQ58" s="20" t="s">
        <v>76</v>
      </c>
      <c r="AR58" s="20" t="s">
        <v>76</v>
      </c>
      <c r="AS58" s="20" t="s">
        <v>76</v>
      </c>
      <c r="AT58" s="20" t="s">
        <v>76</v>
      </c>
      <c r="AU58" s="20" t="s">
        <v>76</v>
      </c>
      <c r="AV58" s="20" t="s">
        <v>76</v>
      </c>
      <c r="AW58" s="20" t="s">
        <v>76</v>
      </c>
      <c r="AX58" s="20" t="s">
        <v>76</v>
      </c>
      <c r="AY58" s="20" t="s">
        <v>76</v>
      </c>
      <c r="AZ58" s="20" t="s">
        <v>76</v>
      </c>
      <c r="BA58" s="20" t="s">
        <v>76</v>
      </c>
      <c r="BB58" s="20" t="s">
        <v>76</v>
      </c>
      <c r="BC58" s="20" t="s">
        <v>76</v>
      </c>
      <c r="BD58" s="20" t="s">
        <v>76</v>
      </c>
      <c r="BE58" s="20" t="s">
        <v>76</v>
      </c>
      <c r="BF58" s="20" t="s">
        <v>76</v>
      </c>
      <c r="BG58" s="20" t="s">
        <v>76</v>
      </c>
      <c r="BH58" s="20" t="s">
        <v>76</v>
      </c>
      <c r="BI58" s="20" t="s">
        <v>76</v>
      </c>
      <c r="BJ58" s="20" t="s">
        <v>76</v>
      </c>
      <c r="BK58" s="20" t="s">
        <v>76</v>
      </c>
      <c r="BL58" s="20" t="s">
        <v>76</v>
      </c>
      <c r="BM58" s="20" t="s">
        <v>76</v>
      </c>
      <c r="BN58" s="20" t="s">
        <v>76</v>
      </c>
      <c r="BO58" s="20" t="s">
        <v>76</v>
      </c>
      <c r="BP58" s="20" t="s">
        <v>76</v>
      </c>
      <c r="BQ58" s="20" t="s">
        <v>76</v>
      </c>
      <c r="BR58" s="20" t="s">
        <v>76</v>
      </c>
      <c r="BS58" s="20" t="s">
        <v>76</v>
      </c>
      <c r="BT58" s="20" t="s">
        <v>76</v>
      </c>
      <c r="BU58" s="20" t="s">
        <v>76</v>
      </c>
      <c r="BV58" s="20" t="s">
        <v>76</v>
      </c>
      <c r="BW58" s="20" t="s">
        <v>76</v>
      </c>
      <c r="BX58" s="20" t="s">
        <v>76</v>
      </c>
      <c r="BY58" s="20" t="s">
        <v>76</v>
      </c>
      <c r="BZ58" s="20" t="s">
        <v>76</v>
      </c>
      <c r="CA58" s="32">
        <v>3.1043870550364301</v>
      </c>
      <c r="CB58" s="20" t="s">
        <v>76</v>
      </c>
      <c r="CC58" s="15">
        <v>4.7169811320754702</v>
      </c>
      <c r="CD58" s="20" t="s">
        <v>76</v>
      </c>
      <c r="CE58" s="20" t="s">
        <v>76</v>
      </c>
      <c r="CF58" s="20" t="s">
        <v>76</v>
      </c>
      <c r="CG58" s="20" t="s">
        <v>76</v>
      </c>
      <c r="CH58" s="15">
        <v>3.6764705882352899</v>
      </c>
      <c r="CI58" s="15">
        <v>5.3388090349075998</v>
      </c>
      <c r="CJ58" s="20" t="s">
        <v>76</v>
      </c>
      <c r="CK58" s="20" t="s">
        <v>76</v>
      </c>
      <c r="CL58" s="15">
        <v>5.1515151515151496</v>
      </c>
      <c r="CM58" s="24">
        <v>2.78372591006424</v>
      </c>
      <c r="CN58" s="37"/>
    </row>
    <row r="59" spans="1:92">
      <c r="A59" s="9" t="s">
        <v>314</v>
      </c>
      <c r="B59" s="35">
        <v>0.43132470215101998</v>
      </c>
      <c r="C59" s="32">
        <v>0.32882322164014999</v>
      </c>
      <c r="D59" s="38" t="s">
        <v>76</v>
      </c>
      <c r="E59" s="38"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20" t="s">
        <v>76</v>
      </c>
      <c r="AH59" s="20" t="s">
        <v>76</v>
      </c>
      <c r="AI59" s="20" t="s">
        <v>76</v>
      </c>
      <c r="AJ59" s="20" t="s">
        <v>76</v>
      </c>
      <c r="AK59" s="20" t="s">
        <v>76</v>
      </c>
      <c r="AL59" s="20" t="s">
        <v>76</v>
      </c>
      <c r="AM59" s="20" t="s">
        <v>76</v>
      </c>
      <c r="AN59" s="20" t="s">
        <v>76</v>
      </c>
      <c r="AO59" s="20" t="s">
        <v>76</v>
      </c>
      <c r="AP59" s="20" t="s">
        <v>76</v>
      </c>
      <c r="AQ59" s="20" t="s">
        <v>76</v>
      </c>
      <c r="AR59" s="20" t="s">
        <v>76</v>
      </c>
      <c r="AS59" s="20" t="s">
        <v>76</v>
      </c>
      <c r="AT59" s="20" t="s">
        <v>76</v>
      </c>
      <c r="AU59" s="20" t="s">
        <v>76</v>
      </c>
      <c r="AV59" s="20" t="s">
        <v>76</v>
      </c>
      <c r="AW59" s="20" t="s">
        <v>76</v>
      </c>
      <c r="AX59" s="20" t="s">
        <v>76</v>
      </c>
      <c r="AY59" s="20" t="s">
        <v>76</v>
      </c>
      <c r="AZ59" s="20" t="s">
        <v>76</v>
      </c>
      <c r="BA59" s="20" t="s">
        <v>76</v>
      </c>
      <c r="BB59" s="20" t="s">
        <v>76</v>
      </c>
      <c r="BC59" s="20" t="s">
        <v>76</v>
      </c>
      <c r="BD59" s="20" t="s">
        <v>76</v>
      </c>
      <c r="BE59" s="20" t="s">
        <v>76</v>
      </c>
      <c r="BF59" s="20" t="s">
        <v>76</v>
      </c>
      <c r="BG59" s="20" t="s">
        <v>76</v>
      </c>
      <c r="BH59" s="20" t="s">
        <v>76</v>
      </c>
      <c r="BI59" s="20" t="s">
        <v>76</v>
      </c>
      <c r="BJ59" s="20" t="s">
        <v>76</v>
      </c>
      <c r="BK59" s="20" t="s">
        <v>76</v>
      </c>
      <c r="BL59" s="20" t="s">
        <v>76</v>
      </c>
      <c r="BM59" s="20" t="s">
        <v>76</v>
      </c>
      <c r="BN59" s="20" t="s">
        <v>76</v>
      </c>
      <c r="BO59" s="20" t="s">
        <v>76</v>
      </c>
      <c r="BP59" s="20" t="s">
        <v>76</v>
      </c>
      <c r="BQ59" s="20" t="s">
        <v>76</v>
      </c>
      <c r="BR59" s="20" t="s">
        <v>76</v>
      </c>
      <c r="BS59" s="20" t="s">
        <v>76</v>
      </c>
      <c r="BT59" s="20" t="s">
        <v>76</v>
      </c>
      <c r="BU59" s="20" t="s">
        <v>76</v>
      </c>
      <c r="BV59" s="20" t="s">
        <v>76</v>
      </c>
      <c r="BW59" s="20" t="s">
        <v>76</v>
      </c>
      <c r="BX59" s="20" t="s">
        <v>76</v>
      </c>
      <c r="BY59" s="20" t="s">
        <v>76</v>
      </c>
      <c r="BZ59" s="20" t="s">
        <v>76</v>
      </c>
      <c r="CA59" s="38" t="s">
        <v>76</v>
      </c>
      <c r="CB59" s="20" t="s">
        <v>76</v>
      </c>
      <c r="CC59" s="20" t="s">
        <v>76</v>
      </c>
      <c r="CD59" s="20" t="s">
        <v>76</v>
      </c>
      <c r="CE59" s="20" t="s">
        <v>76</v>
      </c>
      <c r="CF59" s="20" t="s">
        <v>76</v>
      </c>
      <c r="CG59" s="20" t="s">
        <v>76</v>
      </c>
      <c r="CH59" s="20" t="s">
        <v>76</v>
      </c>
      <c r="CI59" s="20" t="s">
        <v>76</v>
      </c>
      <c r="CJ59" s="20" t="s">
        <v>76</v>
      </c>
      <c r="CK59" s="20" t="s">
        <v>76</v>
      </c>
      <c r="CL59" s="20" t="s">
        <v>76</v>
      </c>
      <c r="CM59" s="26" t="s">
        <v>76</v>
      </c>
      <c r="CN59" s="37"/>
    </row>
    <row r="60" spans="1:92">
      <c r="A60" s="9" t="s">
        <v>315</v>
      </c>
      <c r="B60" s="35">
        <v>0.288581049189156</v>
      </c>
      <c r="C60" s="32">
        <v>0.23014368826083001</v>
      </c>
      <c r="D60" s="38" t="s">
        <v>76</v>
      </c>
      <c r="E60" s="38"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20" t="s">
        <v>76</v>
      </c>
      <c r="AH60" s="20" t="s">
        <v>76</v>
      </c>
      <c r="AI60" s="20" t="s">
        <v>76</v>
      </c>
      <c r="AJ60" s="20" t="s">
        <v>76</v>
      </c>
      <c r="AK60" s="20" t="s">
        <v>76</v>
      </c>
      <c r="AL60" s="20" t="s">
        <v>76</v>
      </c>
      <c r="AM60" s="20" t="s">
        <v>76</v>
      </c>
      <c r="AN60" s="20" t="s">
        <v>76</v>
      </c>
      <c r="AO60" s="20" t="s">
        <v>76</v>
      </c>
      <c r="AP60" s="20" t="s">
        <v>76</v>
      </c>
      <c r="AQ60" s="20" t="s">
        <v>76</v>
      </c>
      <c r="AR60" s="20" t="s">
        <v>76</v>
      </c>
      <c r="AS60" s="20" t="s">
        <v>76</v>
      </c>
      <c r="AT60" s="20" t="s">
        <v>76</v>
      </c>
      <c r="AU60" s="20" t="s">
        <v>76</v>
      </c>
      <c r="AV60" s="20" t="s">
        <v>76</v>
      </c>
      <c r="AW60" s="20" t="s">
        <v>76</v>
      </c>
      <c r="AX60" s="20" t="s">
        <v>76</v>
      </c>
      <c r="AY60" s="20" t="s">
        <v>76</v>
      </c>
      <c r="AZ60" s="20" t="s">
        <v>76</v>
      </c>
      <c r="BA60" s="20" t="s">
        <v>76</v>
      </c>
      <c r="BB60" s="20" t="s">
        <v>76</v>
      </c>
      <c r="BC60" s="20" t="s">
        <v>76</v>
      </c>
      <c r="BD60" s="20" t="s">
        <v>76</v>
      </c>
      <c r="BE60" s="20" t="s">
        <v>76</v>
      </c>
      <c r="BF60" s="20" t="s">
        <v>76</v>
      </c>
      <c r="BG60" s="20" t="s">
        <v>76</v>
      </c>
      <c r="BH60" s="20" t="s">
        <v>76</v>
      </c>
      <c r="BI60" s="20" t="s">
        <v>76</v>
      </c>
      <c r="BJ60" s="20" t="s">
        <v>76</v>
      </c>
      <c r="BK60" s="20" t="s">
        <v>76</v>
      </c>
      <c r="BL60" s="20" t="s">
        <v>76</v>
      </c>
      <c r="BM60" s="20" t="s">
        <v>76</v>
      </c>
      <c r="BN60" s="20" t="s">
        <v>76</v>
      </c>
      <c r="BO60" s="20" t="s">
        <v>76</v>
      </c>
      <c r="BP60" s="20" t="s">
        <v>76</v>
      </c>
      <c r="BQ60" s="20" t="s">
        <v>76</v>
      </c>
      <c r="BR60" s="20" t="s">
        <v>76</v>
      </c>
      <c r="BS60" s="20" t="s">
        <v>76</v>
      </c>
      <c r="BT60" s="20" t="s">
        <v>76</v>
      </c>
      <c r="BU60" s="20" t="s">
        <v>76</v>
      </c>
      <c r="BV60" s="20" t="s">
        <v>76</v>
      </c>
      <c r="BW60" s="20" t="s">
        <v>76</v>
      </c>
      <c r="BX60" s="20" t="s">
        <v>76</v>
      </c>
      <c r="BY60" s="20" t="s">
        <v>76</v>
      </c>
      <c r="BZ60" s="20" t="s">
        <v>76</v>
      </c>
      <c r="CA60" s="38" t="s">
        <v>76</v>
      </c>
      <c r="CB60" s="20" t="s">
        <v>76</v>
      </c>
      <c r="CC60" s="20" t="s">
        <v>76</v>
      </c>
      <c r="CD60" s="20" t="s">
        <v>76</v>
      </c>
      <c r="CE60" s="20" t="s">
        <v>76</v>
      </c>
      <c r="CF60" s="20" t="s">
        <v>76</v>
      </c>
      <c r="CG60" s="20" t="s">
        <v>76</v>
      </c>
      <c r="CH60" s="20" t="s">
        <v>76</v>
      </c>
      <c r="CI60" s="20" t="s">
        <v>76</v>
      </c>
      <c r="CJ60" s="20" t="s">
        <v>76</v>
      </c>
      <c r="CK60" s="20" t="s">
        <v>76</v>
      </c>
      <c r="CL60" s="20" t="s">
        <v>76</v>
      </c>
      <c r="CM60" s="26" t="s">
        <v>76</v>
      </c>
      <c r="CN60" s="37"/>
    </row>
    <row r="61" spans="1:92">
      <c r="A61" s="9" t="s">
        <v>316</v>
      </c>
      <c r="B61" s="35">
        <v>0.22578542086359499</v>
      </c>
      <c r="C61" s="32">
        <v>0.15701056761357099</v>
      </c>
      <c r="D61" s="38" t="s">
        <v>76</v>
      </c>
      <c r="E61" s="38"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20" t="s">
        <v>76</v>
      </c>
      <c r="AH61" s="20" t="s">
        <v>76</v>
      </c>
      <c r="AI61" s="20" t="s">
        <v>76</v>
      </c>
      <c r="AJ61" s="20" t="s">
        <v>76</v>
      </c>
      <c r="AK61" s="20" t="s">
        <v>76</v>
      </c>
      <c r="AL61" s="20" t="s">
        <v>76</v>
      </c>
      <c r="AM61" s="20" t="s">
        <v>76</v>
      </c>
      <c r="AN61" s="20" t="s">
        <v>76</v>
      </c>
      <c r="AO61" s="20" t="s">
        <v>76</v>
      </c>
      <c r="AP61" s="20" t="s">
        <v>76</v>
      </c>
      <c r="AQ61" s="20" t="s">
        <v>76</v>
      </c>
      <c r="AR61" s="20" t="s">
        <v>76</v>
      </c>
      <c r="AS61" s="20" t="s">
        <v>76</v>
      </c>
      <c r="AT61" s="20" t="s">
        <v>76</v>
      </c>
      <c r="AU61" s="20" t="s">
        <v>76</v>
      </c>
      <c r="AV61" s="20" t="s">
        <v>76</v>
      </c>
      <c r="AW61" s="20" t="s">
        <v>76</v>
      </c>
      <c r="AX61" s="20" t="s">
        <v>76</v>
      </c>
      <c r="AY61" s="20" t="s">
        <v>76</v>
      </c>
      <c r="AZ61" s="20" t="s">
        <v>76</v>
      </c>
      <c r="BA61" s="20" t="s">
        <v>76</v>
      </c>
      <c r="BB61" s="20" t="s">
        <v>76</v>
      </c>
      <c r="BC61" s="20" t="s">
        <v>76</v>
      </c>
      <c r="BD61" s="20" t="s">
        <v>76</v>
      </c>
      <c r="BE61" s="20" t="s">
        <v>76</v>
      </c>
      <c r="BF61" s="20" t="s">
        <v>76</v>
      </c>
      <c r="BG61" s="20" t="s">
        <v>76</v>
      </c>
      <c r="BH61" s="20" t="s">
        <v>76</v>
      </c>
      <c r="BI61" s="20" t="s">
        <v>76</v>
      </c>
      <c r="BJ61" s="20" t="s">
        <v>76</v>
      </c>
      <c r="BK61" s="20" t="s">
        <v>76</v>
      </c>
      <c r="BL61" s="20" t="s">
        <v>76</v>
      </c>
      <c r="BM61" s="20" t="s">
        <v>76</v>
      </c>
      <c r="BN61" s="20" t="s">
        <v>76</v>
      </c>
      <c r="BO61" s="20" t="s">
        <v>76</v>
      </c>
      <c r="BP61" s="20" t="s">
        <v>76</v>
      </c>
      <c r="BQ61" s="20" t="s">
        <v>76</v>
      </c>
      <c r="BR61" s="20" t="s">
        <v>76</v>
      </c>
      <c r="BS61" s="20" t="s">
        <v>76</v>
      </c>
      <c r="BT61" s="20" t="s">
        <v>76</v>
      </c>
      <c r="BU61" s="20" t="s">
        <v>76</v>
      </c>
      <c r="BV61" s="20" t="s">
        <v>76</v>
      </c>
      <c r="BW61" s="20" t="s">
        <v>76</v>
      </c>
      <c r="BX61" s="20" t="s">
        <v>76</v>
      </c>
      <c r="BY61" s="20" t="s">
        <v>76</v>
      </c>
      <c r="BZ61" s="20" t="s">
        <v>76</v>
      </c>
      <c r="CA61" s="38" t="s">
        <v>76</v>
      </c>
      <c r="CB61" s="20" t="s">
        <v>76</v>
      </c>
      <c r="CC61" s="20" t="s">
        <v>76</v>
      </c>
      <c r="CD61" s="20" t="s">
        <v>76</v>
      </c>
      <c r="CE61" s="20" t="s">
        <v>76</v>
      </c>
      <c r="CF61" s="20" t="s">
        <v>76</v>
      </c>
      <c r="CG61" s="20" t="s">
        <v>76</v>
      </c>
      <c r="CH61" s="20" t="s">
        <v>76</v>
      </c>
      <c r="CI61" s="20" t="s">
        <v>76</v>
      </c>
      <c r="CJ61" s="20" t="s">
        <v>76</v>
      </c>
      <c r="CK61" s="20" t="s">
        <v>76</v>
      </c>
      <c r="CL61" s="20" t="s">
        <v>76</v>
      </c>
      <c r="CM61" s="26" t="s">
        <v>76</v>
      </c>
      <c r="CN61" s="37"/>
    </row>
    <row r="62" spans="1:92">
      <c r="A62" s="9" t="s">
        <v>317</v>
      </c>
      <c r="B62" s="35">
        <v>0.20599038997869401</v>
      </c>
      <c r="C62" s="32">
        <v>0.192384542897859</v>
      </c>
      <c r="D62" s="38" t="s">
        <v>76</v>
      </c>
      <c r="E62" s="38" t="s">
        <v>76</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20" t="s">
        <v>76</v>
      </c>
      <c r="AB62" s="20" t="s">
        <v>76</v>
      </c>
      <c r="AC62" s="20" t="s">
        <v>76</v>
      </c>
      <c r="AD62" s="20" t="s">
        <v>76</v>
      </c>
      <c r="AE62" s="20" t="s">
        <v>76</v>
      </c>
      <c r="AF62" s="20" t="s">
        <v>76</v>
      </c>
      <c r="AG62" s="20" t="s">
        <v>76</v>
      </c>
      <c r="AH62" s="20" t="s">
        <v>76</v>
      </c>
      <c r="AI62" s="20" t="s">
        <v>76</v>
      </c>
      <c r="AJ62" s="20" t="s">
        <v>76</v>
      </c>
      <c r="AK62" s="20" t="s">
        <v>76</v>
      </c>
      <c r="AL62" s="20" t="s">
        <v>76</v>
      </c>
      <c r="AM62" s="20" t="s">
        <v>76</v>
      </c>
      <c r="AN62" s="20" t="s">
        <v>76</v>
      </c>
      <c r="AO62" s="20" t="s">
        <v>76</v>
      </c>
      <c r="AP62" s="20" t="s">
        <v>76</v>
      </c>
      <c r="AQ62" s="20" t="s">
        <v>76</v>
      </c>
      <c r="AR62" s="20" t="s">
        <v>76</v>
      </c>
      <c r="AS62" s="20" t="s">
        <v>76</v>
      </c>
      <c r="AT62" s="20" t="s">
        <v>76</v>
      </c>
      <c r="AU62" s="20" t="s">
        <v>76</v>
      </c>
      <c r="AV62" s="20" t="s">
        <v>76</v>
      </c>
      <c r="AW62" s="20" t="s">
        <v>76</v>
      </c>
      <c r="AX62" s="20" t="s">
        <v>76</v>
      </c>
      <c r="AY62" s="20" t="s">
        <v>76</v>
      </c>
      <c r="AZ62" s="20" t="s">
        <v>76</v>
      </c>
      <c r="BA62" s="20" t="s">
        <v>76</v>
      </c>
      <c r="BB62" s="20" t="s">
        <v>76</v>
      </c>
      <c r="BC62" s="20" t="s">
        <v>76</v>
      </c>
      <c r="BD62" s="20" t="s">
        <v>76</v>
      </c>
      <c r="BE62" s="20" t="s">
        <v>76</v>
      </c>
      <c r="BF62" s="20" t="s">
        <v>76</v>
      </c>
      <c r="BG62" s="20" t="s">
        <v>76</v>
      </c>
      <c r="BH62" s="20" t="s">
        <v>76</v>
      </c>
      <c r="BI62" s="20" t="s">
        <v>76</v>
      </c>
      <c r="BJ62" s="20" t="s">
        <v>76</v>
      </c>
      <c r="BK62" s="20" t="s">
        <v>76</v>
      </c>
      <c r="BL62" s="20" t="s">
        <v>76</v>
      </c>
      <c r="BM62" s="20" t="s">
        <v>76</v>
      </c>
      <c r="BN62" s="20" t="s">
        <v>76</v>
      </c>
      <c r="BO62" s="20" t="s">
        <v>76</v>
      </c>
      <c r="BP62" s="20" t="s">
        <v>76</v>
      </c>
      <c r="BQ62" s="20" t="s">
        <v>76</v>
      </c>
      <c r="BR62" s="20" t="s">
        <v>76</v>
      </c>
      <c r="BS62" s="20" t="s">
        <v>76</v>
      </c>
      <c r="BT62" s="20" t="s">
        <v>76</v>
      </c>
      <c r="BU62" s="20" t="s">
        <v>76</v>
      </c>
      <c r="BV62" s="20" t="s">
        <v>76</v>
      </c>
      <c r="BW62" s="20" t="s">
        <v>76</v>
      </c>
      <c r="BX62" s="20" t="s">
        <v>76</v>
      </c>
      <c r="BY62" s="20" t="s">
        <v>76</v>
      </c>
      <c r="BZ62" s="20" t="s">
        <v>76</v>
      </c>
      <c r="CA62" s="38" t="s">
        <v>76</v>
      </c>
      <c r="CB62" s="20" t="s">
        <v>76</v>
      </c>
      <c r="CC62" s="20" t="s">
        <v>76</v>
      </c>
      <c r="CD62" s="20" t="s">
        <v>76</v>
      </c>
      <c r="CE62" s="20" t="s">
        <v>76</v>
      </c>
      <c r="CF62" s="20" t="s">
        <v>76</v>
      </c>
      <c r="CG62" s="20" t="s">
        <v>76</v>
      </c>
      <c r="CH62" s="20" t="s">
        <v>76</v>
      </c>
      <c r="CI62" s="20" t="s">
        <v>76</v>
      </c>
      <c r="CJ62" s="20" t="s">
        <v>76</v>
      </c>
      <c r="CK62" s="20" t="s">
        <v>76</v>
      </c>
      <c r="CL62" s="20" t="s">
        <v>76</v>
      </c>
      <c r="CM62" s="26" t="s">
        <v>76</v>
      </c>
      <c r="CN62" s="37"/>
    </row>
    <row r="63" spans="1:92">
      <c r="A63" s="9" t="s">
        <v>318</v>
      </c>
      <c r="B63" s="35">
        <v>0.53088940805526397</v>
      </c>
      <c r="C63" s="32">
        <v>0.41277980449271501</v>
      </c>
      <c r="D63" s="32">
        <v>0.36604026874025503</v>
      </c>
      <c r="E63" s="38" t="s">
        <v>76</v>
      </c>
      <c r="F63" s="20" t="s">
        <v>76</v>
      </c>
      <c r="G63" s="20" t="s">
        <v>76</v>
      </c>
      <c r="H63" s="20" t="s">
        <v>76</v>
      </c>
      <c r="I63" s="20" t="s">
        <v>76</v>
      </c>
      <c r="J63" s="20" t="s">
        <v>76</v>
      </c>
      <c r="K63" s="20" t="s">
        <v>76</v>
      </c>
      <c r="L63" s="20" t="s">
        <v>76</v>
      </c>
      <c r="M63" s="20" t="s">
        <v>76</v>
      </c>
      <c r="N63" s="20" t="s">
        <v>76</v>
      </c>
      <c r="O63" s="20" t="s">
        <v>76</v>
      </c>
      <c r="P63" s="20" t="s">
        <v>76</v>
      </c>
      <c r="Q63" s="20" t="s">
        <v>76</v>
      </c>
      <c r="R63" s="20" t="s">
        <v>76</v>
      </c>
      <c r="S63" s="20" t="s">
        <v>76</v>
      </c>
      <c r="T63" s="20" t="s">
        <v>76</v>
      </c>
      <c r="U63" s="20" t="s">
        <v>76</v>
      </c>
      <c r="V63" s="20" t="s">
        <v>76</v>
      </c>
      <c r="W63" s="20" t="s">
        <v>76</v>
      </c>
      <c r="X63" s="20" t="s">
        <v>76</v>
      </c>
      <c r="Y63" s="20" t="s">
        <v>76</v>
      </c>
      <c r="Z63" s="20" t="s">
        <v>76</v>
      </c>
      <c r="AA63" s="20" t="s">
        <v>76</v>
      </c>
      <c r="AB63" s="20" t="s">
        <v>76</v>
      </c>
      <c r="AC63" s="20" t="s">
        <v>76</v>
      </c>
      <c r="AD63" s="20" t="s">
        <v>76</v>
      </c>
      <c r="AE63" s="20" t="s">
        <v>76</v>
      </c>
      <c r="AF63" s="20" t="s">
        <v>76</v>
      </c>
      <c r="AG63" s="20" t="s">
        <v>76</v>
      </c>
      <c r="AH63" s="20" t="s">
        <v>76</v>
      </c>
      <c r="AI63" s="20" t="s">
        <v>76</v>
      </c>
      <c r="AJ63" s="20" t="s">
        <v>76</v>
      </c>
      <c r="AK63" s="20" t="s">
        <v>76</v>
      </c>
      <c r="AL63" s="20" t="s">
        <v>76</v>
      </c>
      <c r="AM63" s="20" t="s">
        <v>76</v>
      </c>
      <c r="AN63" s="20" t="s">
        <v>76</v>
      </c>
      <c r="AO63" s="20" t="s">
        <v>76</v>
      </c>
      <c r="AP63" s="20" t="s">
        <v>76</v>
      </c>
      <c r="AQ63" s="20" t="s">
        <v>76</v>
      </c>
      <c r="AR63" s="20" t="s">
        <v>76</v>
      </c>
      <c r="AS63" s="20" t="s">
        <v>76</v>
      </c>
      <c r="AT63" s="20" t="s">
        <v>76</v>
      </c>
      <c r="AU63" s="20" t="s">
        <v>76</v>
      </c>
      <c r="AV63" s="20" t="s">
        <v>76</v>
      </c>
      <c r="AW63" s="20" t="s">
        <v>76</v>
      </c>
      <c r="AX63" s="20" t="s">
        <v>76</v>
      </c>
      <c r="AY63" s="20" t="s">
        <v>76</v>
      </c>
      <c r="AZ63" s="20" t="s">
        <v>76</v>
      </c>
      <c r="BA63" s="20" t="s">
        <v>76</v>
      </c>
      <c r="BB63" s="20" t="s">
        <v>76</v>
      </c>
      <c r="BC63" s="20" t="s">
        <v>76</v>
      </c>
      <c r="BD63" s="20" t="s">
        <v>76</v>
      </c>
      <c r="BE63" s="20" t="s">
        <v>76</v>
      </c>
      <c r="BF63" s="20" t="s">
        <v>76</v>
      </c>
      <c r="BG63" s="20" t="s">
        <v>76</v>
      </c>
      <c r="BH63" s="20" t="s">
        <v>76</v>
      </c>
      <c r="BI63" s="20" t="s">
        <v>76</v>
      </c>
      <c r="BJ63" s="20" t="s">
        <v>76</v>
      </c>
      <c r="BK63" s="20" t="s">
        <v>76</v>
      </c>
      <c r="BL63" s="20" t="s">
        <v>76</v>
      </c>
      <c r="BM63" s="20" t="s">
        <v>76</v>
      </c>
      <c r="BN63" s="20" t="s">
        <v>76</v>
      </c>
      <c r="BO63" s="20" t="s">
        <v>76</v>
      </c>
      <c r="BP63" s="20" t="s">
        <v>76</v>
      </c>
      <c r="BQ63" s="20" t="s">
        <v>76</v>
      </c>
      <c r="BR63" s="20" t="s">
        <v>76</v>
      </c>
      <c r="BS63" s="20" t="s">
        <v>76</v>
      </c>
      <c r="BT63" s="20" t="s">
        <v>76</v>
      </c>
      <c r="BU63" s="20" t="s">
        <v>76</v>
      </c>
      <c r="BV63" s="20" t="s">
        <v>76</v>
      </c>
      <c r="BW63" s="20" t="s">
        <v>76</v>
      </c>
      <c r="BX63" s="20" t="s">
        <v>76</v>
      </c>
      <c r="BY63" s="20" t="s">
        <v>76</v>
      </c>
      <c r="BZ63" s="20" t="s">
        <v>76</v>
      </c>
      <c r="CA63" s="38" t="s">
        <v>76</v>
      </c>
      <c r="CB63" s="20" t="s">
        <v>76</v>
      </c>
      <c r="CC63" s="20" t="s">
        <v>76</v>
      </c>
      <c r="CD63" s="20" t="s">
        <v>76</v>
      </c>
      <c r="CE63" s="20" t="s">
        <v>76</v>
      </c>
      <c r="CF63" s="20" t="s">
        <v>76</v>
      </c>
      <c r="CG63" s="20" t="s">
        <v>76</v>
      </c>
      <c r="CH63" s="20" t="s">
        <v>76</v>
      </c>
      <c r="CI63" s="20" t="s">
        <v>76</v>
      </c>
      <c r="CJ63" s="20" t="s">
        <v>76</v>
      </c>
      <c r="CK63" s="20" t="s">
        <v>76</v>
      </c>
      <c r="CL63" s="15">
        <v>0.75757575757575801</v>
      </c>
      <c r="CM63" s="26" t="s">
        <v>76</v>
      </c>
      <c r="CN63" s="37"/>
    </row>
    <row r="64" spans="1:92">
      <c r="A64" s="11" t="s">
        <v>319</v>
      </c>
      <c r="B64" s="36">
        <v>1.54036442212826</v>
      </c>
      <c r="C64" s="33">
        <v>1.48136293446962</v>
      </c>
      <c r="D64" s="33">
        <v>1.2822116268824999</v>
      </c>
      <c r="E64" s="33">
        <v>1.80960173215002</v>
      </c>
      <c r="F64" s="28" t="s">
        <v>76</v>
      </c>
      <c r="G64" s="28" t="s">
        <v>76</v>
      </c>
      <c r="H64" s="28" t="s">
        <v>76</v>
      </c>
      <c r="I64" s="28" t="s">
        <v>76</v>
      </c>
      <c r="J64" s="28" t="s">
        <v>76</v>
      </c>
      <c r="K64" s="28" t="s">
        <v>76</v>
      </c>
      <c r="L64" s="28" t="s">
        <v>76</v>
      </c>
      <c r="M64" s="28" t="s">
        <v>76</v>
      </c>
      <c r="N64" s="28" t="s">
        <v>76</v>
      </c>
      <c r="O64" s="28" t="s">
        <v>76</v>
      </c>
      <c r="P64" s="28" t="s">
        <v>76</v>
      </c>
      <c r="Q64" s="28" t="s">
        <v>76</v>
      </c>
      <c r="R64" s="28" t="s">
        <v>76</v>
      </c>
      <c r="S64" s="28" t="s">
        <v>76</v>
      </c>
      <c r="T64" s="28" t="s">
        <v>76</v>
      </c>
      <c r="U64" s="28" t="s">
        <v>76</v>
      </c>
      <c r="V64" s="28" t="s">
        <v>76</v>
      </c>
      <c r="W64" s="28" t="s">
        <v>76</v>
      </c>
      <c r="X64" s="28" t="s">
        <v>76</v>
      </c>
      <c r="Y64" s="28" t="s">
        <v>76</v>
      </c>
      <c r="Z64" s="28" t="s">
        <v>76</v>
      </c>
      <c r="AA64" s="28" t="s">
        <v>76</v>
      </c>
      <c r="AB64" s="28" t="s">
        <v>76</v>
      </c>
      <c r="AC64" s="28" t="s">
        <v>76</v>
      </c>
      <c r="AD64" s="28" t="s">
        <v>76</v>
      </c>
      <c r="AE64" s="28" t="s">
        <v>76</v>
      </c>
      <c r="AF64" s="28" t="s">
        <v>76</v>
      </c>
      <c r="AG64" s="28" t="s">
        <v>76</v>
      </c>
      <c r="AH64" s="28" t="s">
        <v>76</v>
      </c>
      <c r="AI64" s="28" t="s">
        <v>76</v>
      </c>
      <c r="AJ64" s="28" t="s">
        <v>76</v>
      </c>
      <c r="AK64" s="28" t="s">
        <v>76</v>
      </c>
      <c r="AL64" s="16">
        <v>6.6666666666666696</v>
      </c>
      <c r="AM64" s="28" t="s">
        <v>76</v>
      </c>
      <c r="AN64" s="28" t="s">
        <v>76</v>
      </c>
      <c r="AO64" s="28" t="s">
        <v>76</v>
      </c>
      <c r="AP64" s="28" t="s">
        <v>76</v>
      </c>
      <c r="AQ64" s="28" t="s">
        <v>76</v>
      </c>
      <c r="AR64" s="28" t="s">
        <v>76</v>
      </c>
      <c r="AS64" s="16">
        <v>54.545454545454497</v>
      </c>
      <c r="AT64" s="28" t="s">
        <v>76</v>
      </c>
      <c r="AU64" s="28" t="s">
        <v>76</v>
      </c>
      <c r="AV64" s="28" t="s">
        <v>76</v>
      </c>
      <c r="AW64" s="28" t="s">
        <v>76</v>
      </c>
      <c r="AX64" s="28" t="s">
        <v>76</v>
      </c>
      <c r="AY64" s="28" t="s">
        <v>76</v>
      </c>
      <c r="AZ64" s="28" t="s">
        <v>76</v>
      </c>
      <c r="BA64" s="28" t="s">
        <v>76</v>
      </c>
      <c r="BB64" s="28" t="s">
        <v>76</v>
      </c>
      <c r="BC64" s="28" t="s">
        <v>76</v>
      </c>
      <c r="BD64" s="28" t="s">
        <v>76</v>
      </c>
      <c r="BE64" s="28" t="s">
        <v>76</v>
      </c>
      <c r="BF64" s="28" t="s">
        <v>76</v>
      </c>
      <c r="BG64" s="28" t="s">
        <v>76</v>
      </c>
      <c r="BH64" s="28" t="s">
        <v>76</v>
      </c>
      <c r="BI64" s="28" t="s">
        <v>76</v>
      </c>
      <c r="BJ64" s="28" t="s">
        <v>76</v>
      </c>
      <c r="BK64" s="28" t="s">
        <v>76</v>
      </c>
      <c r="BL64" s="28" t="s">
        <v>76</v>
      </c>
      <c r="BM64" s="28" t="s">
        <v>76</v>
      </c>
      <c r="BN64" s="28" t="s">
        <v>76</v>
      </c>
      <c r="BO64" s="28" t="s">
        <v>76</v>
      </c>
      <c r="BP64" s="28" t="s">
        <v>76</v>
      </c>
      <c r="BQ64" s="28" t="s">
        <v>76</v>
      </c>
      <c r="BR64" s="28" t="s">
        <v>76</v>
      </c>
      <c r="BS64" s="28" t="s">
        <v>76</v>
      </c>
      <c r="BT64" s="28" t="s">
        <v>76</v>
      </c>
      <c r="BU64" s="28" t="s">
        <v>76</v>
      </c>
      <c r="BV64" s="28" t="s">
        <v>76</v>
      </c>
      <c r="BW64" s="28" t="s">
        <v>76</v>
      </c>
      <c r="BX64" s="28" t="s">
        <v>76</v>
      </c>
      <c r="BY64" s="28" t="s">
        <v>76</v>
      </c>
      <c r="BZ64" s="28" t="s">
        <v>76</v>
      </c>
      <c r="CA64" s="33">
        <v>0.85630684825620196</v>
      </c>
      <c r="CB64" s="28" t="s">
        <v>76</v>
      </c>
      <c r="CC64" s="28" t="s">
        <v>76</v>
      </c>
      <c r="CD64" s="28" t="s">
        <v>76</v>
      </c>
      <c r="CE64" s="28" t="s">
        <v>76</v>
      </c>
      <c r="CF64" s="28" t="s">
        <v>76</v>
      </c>
      <c r="CG64" s="28" t="s">
        <v>76</v>
      </c>
      <c r="CH64" s="16">
        <v>0.91911764705882304</v>
      </c>
      <c r="CI64" s="16">
        <v>1.0266940451745401</v>
      </c>
      <c r="CJ64" s="28" t="s">
        <v>76</v>
      </c>
      <c r="CK64" s="28" t="s">
        <v>76</v>
      </c>
      <c r="CL64" s="16">
        <v>0.90909090909090895</v>
      </c>
      <c r="CM64" s="25">
        <v>1.4989293361884399</v>
      </c>
      <c r="CN64" s="37"/>
    </row>
    <row r="65" spans="1:1" ht="30" customHeight="1">
      <c r="A65" t="s">
        <v>252</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99"/>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324</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64.623748563866997</v>
      </c>
      <c r="C3" s="15">
        <v>66.087350837459795</v>
      </c>
      <c r="D3" s="24">
        <v>63.414228136724702</v>
      </c>
      <c r="E3" s="15">
        <v>65.699374656881204</v>
      </c>
      <c r="F3" s="15">
        <v>66.524610305811393</v>
      </c>
      <c r="G3" s="24">
        <v>65.007136730065</v>
      </c>
      <c r="H3" s="15">
        <v>64.034058534814804</v>
      </c>
      <c r="I3" s="15">
        <v>65.735916572297398</v>
      </c>
      <c r="J3" s="24">
        <v>62.603550278115897</v>
      </c>
      <c r="K3" s="15">
        <v>59.294966144723503</v>
      </c>
      <c r="L3" s="15">
        <v>68.784234373191794</v>
      </c>
      <c r="M3" s="24">
        <v>56.902266117807301</v>
      </c>
      <c r="N3" s="15">
        <v>55.494220845182497</v>
      </c>
      <c r="O3" s="15">
        <v>62.625797049212103</v>
      </c>
      <c r="P3" s="24">
        <v>50.3364563762118</v>
      </c>
    </row>
    <row r="4" spans="1:16" ht="21.95" customHeight="1">
      <c r="A4" s="22" t="s">
        <v>69</v>
      </c>
      <c r="B4" s="15">
        <v>66.658393578047097</v>
      </c>
      <c r="C4" s="15">
        <v>67.651055329591202</v>
      </c>
      <c r="D4" s="24">
        <v>65.8442176512971</v>
      </c>
      <c r="E4" s="15">
        <v>68.044201747072606</v>
      </c>
      <c r="F4" s="15">
        <v>68.716014193359499</v>
      </c>
      <c r="G4" s="24">
        <v>67.482666248686698</v>
      </c>
      <c r="H4" s="15">
        <v>65.887290495483498</v>
      </c>
      <c r="I4" s="15">
        <v>66.772579909875304</v>
      </c>
      <c r="J4" s="24">
        <v>65.159553955464105</v>
      </c>
      <c r="K4" s="15">
        <v>57.641344521759997</v>
      </c>
      <c r="L4" s="15">
        <v>69.838031919144896</v>
      </c>
      <c r="M4" s="24">
        <v>53.887596001647601</v>
      </c>
      <c r="N4" s="15">
        <v>55.303430073398403</v>
      </c>
      <c r="O4" s="15">
        <v>60.867199496162598</v>
      </c>
      <c r="P4" s="24">
        <v>50.945605182662497</v>
      </c>
    </row>
    <row r="5" spans="1:16" ht="21.95" customHeight="1">
      <c r="A5" s="22" t="s">
        <v>70</v>
      </c>
      <c r="B5" s="15">
        <v>66.244296900377293</v>
      </c>
      <c r="C5" s="15">
        <v>66.889498770964707</v>
      </c>
      <c r="D5" s="24">
        <v>65.723250795952595</v>
      </c>
      <c r="E5" s="15">
        <v>67.642866625050004</v>
      </c>
      <c r="F5" s="15">
        <v>66.733454889190298</v>
      </c>
      <c r="G5" s="24">
        <v>68.382562517499807</v>
      </c>
      <c r="H5" s="15">
        <v>65.266794064121001</v>
      </c>
      <c r="I5" s="15">
        <v>67.316288934453496</v>
      </c>
      <c r="J5" s="24">
        <v>63.5755032523574</v>
      </c>
      <c r="K5" s="15">
        <v>58.636603052076197</v>
      </c>
      <c r="L5" s="20" t="s">
        <v>76</v>
      </c>
      <c r="M5" s="24">
        <v>56.530851312514699</v>
      </c>
      <c r="N5" s="15">
        <v>57.448247376402598</v>
      </c>
      <c r="O5" s="15">
        <v>58.695030356079499</v>
      </c>
      <c r="P5" s="24">
        <v>56.591922407968099</v>
      </c>
    </row>
    <row r="6" spans="1:16" ht="21.95" customHeight="1">
      <c r="A6" s="22" t="s">
        <v>165</v>
      </c>
      <c r="B6" s="15">
        <v>66.889498770964707</v>
      </c>
      <c r="C6" s="15">
        <v>66.889498770964707</v>
      </c>
      <c r="D6" s="26" t="s">
        <v>76</v>
      </c>
      <c r="E6" s="15">
        <v>66.733454889190298</v>
      </c>
      <c r="F6" s="15">
        <v>66.733454889190298</v>
      </c>
      <c r="G6" s="26" t="s">
        <v>76</v>
      </c>
      <c r="H6" s="15">
        <v>67.316288934453496</v>
      </c>
      <c r="I6" s="15">
        <v>67.316288934453496</v>
      </c>
      <c r="J6" s="26" t="s">
        <v>76</v>
      </c>
      <c r="K6" s="20" t="s">
        <v>76</v>
      </c>
      <c r="L6" s="20" t="s">
        <v>76</v>
      </c>
      <c r="M6" s="26" t="s">
        <v>76</v>
      </c>
      <c r="N6" s="15">
        <v>58.695030356079499</v>
      </c>
      <c r="O6" s="15">
        <v>58.695030356079499</v>
      </c>
      <c r="P6" s="26" t="s">
        <v>76</v>
      </c>
    </row>
    <row r="7" spans="1:16">
      <c r="A7" s="9" t="s">
        <v>166</v>
      </c>
      <c r="B7" s="20" t="s">
        <v>76</v>
      </c>
      <c r="C7" s="20" t="s">
        <v>76</v>
      </c>
      <c r="D7" s="26" t="s">
        <v>76</v>
      </c>
      <c r="E7" s="20" t="s">
        <v>76</v>
      </c>
      <c r="F7" s="20" t="s">
        <v>76</v>
      </c>
      <c r="G7" s="26" t="s">
        <v>76</v>
      </c>
      <c r="H7" s="20" t="s">
        <v>76</v>
      </c>
      <c r="I7" s="20" t="s">
        <v>76</v>
      </c>
      <c r="J7" s="26" t="s">
        <v>76</v>
      </c>
      <c r="K7" s="20" t="s">
        <v>76</v>
      </c>
      <c r="L7" s="20" t="s">
        <v>76</v>
      </c>
      <c r="M7" s="26" t="s">
        <v>76</v>
      </c>
      <c r="N7" s="20" t="s">
        <v>76</v>
      </c>
      <c r="O7" s="20" t="s">
        <v>76</v>
      </c>
      <c r="P7" s="26" t="s">
        <v>76</v>
      </c>
    </row>
    <row r="8" spans="1:16">
      <c r="A8" s="9" t="s">
        <v>167</v>
      </c>
      <c r="B8" s="15">
        <v>35.294117647058798</v>
      </c>
      <c r="C8" s="15">
        <v>35.294117647058798</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c r="A9" s="9" t="s">
        <v>168</v>
      </c>
      <c r="B9" s="15">
        <v>69.565217391304301</v>
      </c>
      <c r="C9" s="15">
        <v>69.565217391304301</v>
      </c>
      <c r="D9" s="26" t="s">
        <v>76</v>
      </c>
      <c r="E9" s="15">
        <v>85.714285714285694</v>
      </c>
      <c r="F9" s="15">
        <v>85.714285714285694</v>
      </c>
      <c r="G9" s="26" t="s">
        <v>76</v>
      </c>
      <c r="H9" s="20" t="s">
        <v>76</v>
      </c>
      <c r="I9" s="20" t="s">
        <v>76</v>
      </c>
      <c r="J9" s="26" t="s">
        <v>76</v>
      </c>
      <c r="K9" s="20" t="s">
        <v>76</v>
      </c>
      <c r="L9" s="20" t="s">
        <v>76</v>
      </c>
      <c r="M9" s="26" t="s">
        <v>76</v>
      </c>
      <c r="N9" s="20" t="s">
        <v>76</v>
      </c>
      <c r="O9" s="20" t="s">
        <v>76</v>
      </c>
      <c r="P9" s="26" t="s">
        <v>76</v>
      </c>
    </row>
    <row r="10" spans="1:16">
      <c r="A10" s="9" t="s">
        <v>169</v>
      </c>
      <c r="B10" s="15">
        <v>90</v>
      </c>
      <c r="C10" s="15">
        <v>90</v>
      </c>
      <c r="D10" s="26" t="s">
        <v>76</v>
      </c>
      <c r="E10" s="15">
        <v>100</v>
      </c>
      <c r="F10" s="15">
        <v>100</v>
      </c>
      <c r="G10" s="26" t="s">
        <v>76</v>
      </c>
      <c r="H10" s="20" t="s">
        <v>76</v>
      </c>
      <c r="I10" s="20" t="s">
        <v>76</v>
      </c>
      <c r="J10" s="26" t="s">
        <v>76</v>
      </c>
      <c r="K10" s="20" t="s">
        <v>76</v>
      </c>
      <c r="L10" s="20" t="s">
        <v>76</v>
      </c>
      <c r="M10" s="26" t="s">
        <v>76</v>
      </c>
      <c r="N10" s="20" t="s">
        <v>76</v>
      </c>
      <c r="O10" s="20" t="s">
        <v>76</v>
      </c>
      <c r="P10" s="26" t="s">
        <v>76</v>
      </c>
    </row>
    <row r="11" spans="1:16">
      <c r="A11" s="9" t="s">
        <v>170</v>
      </c>
      <c r="B11" s="15">
        <v>64.5833333333333</v>
      </c>
      <c r="C11" s="15">
        <v>64.5833333333333</v>
      </c>
      <c r="D11" s="26" t="s">
        <v>76</v>
      </c>
      <c r="E11" s="15">
        <v>61.728395061728399</v>
      </c>
      <c r="F11" s="15">
        <v>61.728395061728399</v>
      </c>
      <c r="G11" s="26" t="s">
        <v>76</v>
      </c>
      <c r="H11" s="15">
        <v>68.253968253968296</v>
      </c>
      <c r="I11" s="15">
        <v>68.253968253968296</v>
      </c>
      <c r="J11" s="26" t="s">
        <v>76</v>
      </c>
      <c r="K11" s="20" t="s">
        <v>76</v>
      </c>
      <c r="L11" s="20" t="s">
        <v>76</v>
      </c>
      <c r="M11" s="26" t="s">
        <v>76</v>
      </c>
      <c r="N11" s="20" t="s">
        <v>76</v>
      </c>
      <c r="O11" s="20" t="s">
        <v>76</v>
      </c>
      <c r="P11" s="26" t="s">
        <v>76</v>
      </c>
    </row>
    <row r="12" spans="1:16">
      <c r="A12" s="9" t="s">
        <v>171</v>
      </c>
      <c r="B12" s="15">
        <v>71.794871794871796</v>
      </c>
      <c r="C12" s="15">
        <v>71.794871794871796</v>
      </c>
      <c r="D12" s="26" t="s">
        <v>76</v>
      </c>
      <c r="E12" s="15">
        <v>66.6666666666667</v>
      </c>
      <c r="F12" s="15">
        <v>66.6666666666667</v>
      </c>
      <c r="G12" s="26" t="s">
        <v>76</v>
      </c>
      <c r="H12" s="15">
        <v>76.190476190476204</v>
      </c>
      <c r="I12" s="15">
        <v>76.190476190476204</v>
      </c>
      <c r="J12" s="26" t="s">
        <v>76</v>
      </c>
      <c r="K12" s="20" t="s">
        <v>76</v>
      </c>
      <c r="L12" s="20" t="s">
        <v>76</v>
      </c>
      <c r="M12" s="26" t="s">
        <v>76</v>
      </c>
      <c r="N12" s="20" t="s">
        <v>76</v>
      </c>
      <c r="O12" s="20" t="s">
        <v>76</v>
      </c>
      <c r="P12" s="26" t="s">
        <v>76</v>
      </c>
    </row>
    <row r="13" spans="1:16">
      <c r="A13" s="9" t="s">
        <v>172</v>
      </c>
      <c r="B13" s="15">
        <v>77.049180327868896</v>
      </c>
      <c r="C13" s="15">
        <v>77.049180327868896</v>
      </c>
      <c r="D13" s="26" t="s">
        <v>76</v>
      </c>
      <c r="E13" s="15">
        <v>79.310344827586206</v>
      </c>
      <c r="F13" s="15">
        <v>79.310344827586206</v>
      </c>
      <c r="G13" s="26" t="s">
        <v>76</v>
      </c>
      <c r="H13" s="15">
        <v>75</v>
      </c>
      <c r="I13" s="15">
        <v>75</v>
      </c>
      <c r="J13" s="26" t="s">
        <v>76</v>
      </c>
      <c r="K13" s="20" t="s">
        <v>76</v>
      </c>
      <c r="L13" s="20" t="s">
        <v>76</v>
      </c>
      <c r="M13" s="26" t="s">
        <v>76</v>
      </c>
      <c r="N13" s="20" t="s">
        <v>76</v>
      </c>
      <c r="O13" s="20" t="s">
        <v>76</v>
      </c>
      <c r="P13" s="26" t="s">
        <v>76</v>
      </c>
    </row>
    <row r="14" spans="1:16">
      <c r="A14" s="9" t="s">
        <v>173</v>
      </c>
      <c r="B14" s="15">
        <v>61.842105263157897</v>
      </c>
      <c r="C14" s="15">
        <v>61.842105263157897</v>
      </c>
      <c r="D14" s="26" t="s">
        <v>76</v>
      </c>
      <c r="E14" s="15">
        <v>51.351351351351397</v>
      </c>
      <c r="F14" s="15">
        <v>51.351351351351397</v>
      </c>
      <c r="G14" s="26" t="s">
        <v>76</v>
      </c>
      <c r="H14" s="15">
        <v>73.684210526315795</v>
      </c>
      <c r="I14" s="15">
        <v>73.684210526315795</v>
      </c>
      <c r="J14" s="26" t="s">
        <v>76</v>
      </c>
      <c r="K14" s="20" t="s">
        <v>76</v>
      </c>
      <c r="L14" s="20" t="s">
        <v>76</v>
      </c>
      <c r="M14" s="26" t="s">
        <v>76</v>
      </c>
      <c r="N14" s="20" t="s">
        <v>76</v>
      </c>
      <c r="O14" s="20" t="s">
        <v>76</v>
      </c>
      <c r="P14" s="26" t="s">
        <v>76</v>
      </c>
    </row>
    <row r="15" spans="1:16">
      <c r="A15" s="9" t="s">
        <v>174</v>
      </c>
      <c r="B15" s="15">
        <v>80</v>
      </c>
      <c r="C15" s="15">
        <v>80</v>
      </c>
      <c r="D15" s="26" t="s">
        <v>76</v>
      </c>
      <c r="E15" s="15">
        <v>85.365853658536594</v>
      </c>
      <c r="F15" s="15">
        <v>85.365853658536594</v>
      </c>
      <c r="G15" s="26" t="s">
        <v>76</v>
      </c>
      <c r="H15" s="15">
        <v>75</v>
      </c>
      <c r="I15" s="15">
        <v>75</v>
      </c>
      <c r="J15" s="26" t="s">
        <v>76</v>
      </c>
      <c r="K15" s="20" t="s">
        <v>76</v>
      </c>
      <c r="L15" s="20" t="s">
        <v>76</v>
      </c>
      <c r="M15" s="26" t="s">
        <v>76</v>
      </c>
      <c r="N15" s="20" t="s">
        <v>76</v>
      </c>
      <c r="O15" s="20" t="s">
        <v>76</v>
      </c>
      <c r="P15" s="26" t="s">
        <v>76</v>
      </c>
    </row>
    <row r="16" spans="1:16">
      <c r="A16" s="9" t="s">
        <v>175</v>
      </c>
      <c r="B16" s="15">
        <v>72.093023255814003</v>
      </c>
      <c r="C16" s="15">
        <v>72.093023255814003</v>
      </c>
      <c r="D16" s="26" t="s">
        <v>76</v>
      </c>
      <c r="E16" s="15">
        <v>71.428571428571402</v>
      </c>
      <c r="F16" s="15">
        <v>71.428571428571402</v>
      </c>
      <c r="G16" s="26" t="s">
        <v>76</v>
      </c>
      <c r="H16" s="15">
        <v>72.727272727272705</v>
      </c>
      <c r="I16" s="15">
        <v>72.727272727272705</v>
      </c>
      <c r="J16" s="26" t="s">
        <v>76</v>
      </c>
      <c r="K16" s="20" t="s">
        <v>76</v>
      </c>
      <c r="L16" s="20" t="s">
        <v>76</v>
      </c>
      <c r="M16" s="26" t="s">
        <v>76</v>
      </c>
      <c r="N16" s="20" t="s">
        <v>76</v>
      </c>
      <c r="O16" s="20" t="s">
        <v>76</v>
      </c>
      <c r="P16" s="26" t="s">
        <v>76</v>
      </c>
    </row>
    <row r="17" spans="1:16">
      <c r="A17" s="9" t="s">
        <v>176</v>
      </c>
      <c r="B17" s="15">
        <v>67.605633802816897</v>
      </c>
      <c r="C17" s="15">
        <v>67.605633802816897</v>
      </c>
      <c r="D17" s="26" t="s">
        <v>76</v>
      </c>
      <c r="E17" s="15">
        <v>58.974358974358999</v>
      </c>
      <c r="F17" s="15">
        <v>58.974358974358999</v>
      </c>
      <c r="G17" s="26" t="s">
        <v>76</v>
      </c>
      <c r="H17" s="15">
        <v>78.125</v>
      </c>
      <c r="I17" s="15">
        <v>78.125</v>
      </c>
      <c r="J17" s="26" t="s">
        <v>76</v>
      </c>
      <c r="K17" s="20" t="s">
        <v>76</v>
      </c>
      <c r="L17" s="20" t="s">
        <v>76</v>
      </c>
      <c r="M17" s="26" t="s">
        <v>76</v>
      </c>
      <c r="N17" s="20" t="s">
        <v>76</v>
      </c>
      <c r="O17" s="20" t="s">
        <v>76</v>
      </c>
      <c r="P17" s="26" t="s">
        <v>76</v>
      </c>
    </row>
    <row r="18" spans="1:16">
      <c r="A18" s="9" t="s">
        <v>177</v>
      </c>
      <c r="B18" s="15">
        <v>70.422535211267601</v>
      </c>
      <c r="C18" s="15">
        <v>70.422535211267601</v>
      </c>
      <c r="D18" s="26" t="s">
        <v>76</v>
      </c>
      <c r="E18" s="15">
        <v>65.517241379310306</v>
      </c>
      <c r="F18" s="15">
        <v>65.517241379310306</v>
      </c>
      <c r="G18" s="26" t="s">
        <v>76</v>
      </c>
      <c r="H18" s="15">
        <v>72.5</v>
      </c>
      <c r="I18" s="15">
        <v>72.5</v>
      </c>
      <c r="J18" s="26" t="s">
        <v>76</v>
      </c>
      <c r="K18" s="20" t="s">
        <v>76</v>
      </c>
      <c r="L18" s="20" t="s">
        <v>76</v>
      </c>
      <c r="M18" s="26" t="s">
        <v>76</v>
      </c>
      <c r="N18" s="20" t="s">
        <v>76</v>
      </c>
      <c r="O18" s="20" t="s">
        <v>76</v>
      </c>
      <c r="P18" s="26" t="s">
        <v>76</v>
      </c>
    </row>
    <row r="19" spans="1:16">
      <c r="A19" s="9" t="s">
        <v>178</v>
      </c>
      <c r="B19" s="15">
        <v>26.923076923076898</v>
      </c>
      <c r="C19" s="15">
        <v>26.923076923076898</v>
      </c>
      <c r="D19" s="26" t="s">
        <v>76</v>
      </c>
      <c r="E19" s="20" t="s">
        <v>76</v>
      </c>
      <c r="F19" s="20" t="s">
        <v>76</v>
      </c>
      <c r="G19" s="26" t="s">
        <v>76</v>
      </c>
      <c r="H19" s="20" t="s">
        <v>76</v>
      </c>
      <c r="I19" s="20" t="s">
        <v>76</v>
      </c>
      <c r="J19" s="26" t="s">
        <v>76</v>
      </c>
      <c r="K19" s="20" t="s">
        <v>76</v>
      </c>
      <c r="L19" s="20" t="s">
        <v>76</v>
      </c>
      <c r="M19" s="26" t="s">
        <v>76</v>
      </c>
      <c r="N19" s="20" t="s">
        <v>76</v>
      </c>
      <c r="O19" s="20" t="s">
        <v>76</v>
      </c>
      <c r="P19" s="26" t="s">
        <v>76</v>
      </c>
    </row>
    <row r="20" spans="1:16">
      <c r="A20" s="9" t="s">
        <v>179</v>
      </c>
      <c r="B20" s="15">
        <v>75.609756097561004</v>
      </c>
      <c r="C20" s="15">
        <v>75.609756097561004</v>
      </c>
      <c r="D20" s="26" t="s">
        <v>76</v>
      </c>
      <c r="E20" s="15">
        <v>81.818181818181799</v>
      </c>
      <c r="F20" s="15">
        <v>81.818181818181799</v>
      </c>
      <c r="G20" s="26" t="s">
        <v>76</v>
      </c>
      <c r="H20" s="15">
        <v>70.588235294117595</v>
      </c>
      <c r="I20" s="15">
        <v>70.588235294117595</v>
      </c>
      <c r="J20" s="26" t="s">
        <v>76</v>
      </c>
      <c r="K20" s="20" t="s">
        <v>76</v>
      </c>
      <c r="L20" s="20" t="s">
        <v>76</v>
      </c>
      <c r="M20" s="26" t="s">
        <v>76</v>
      </c>
      <c r="N20" s="20" t="s">
        <v>76</v>
      </c>
      <c r="O20" s="20" t="s">
        <v>76</v>
      </c>
      <c r="P20" s="26" t="s">
        <v>76</v>
      </c>
    </row>
    <row r="21" spans="1:16">
      <c r="A21" s="9" t="s">
        <v>180</v>
      </c>
      <c r="B21" s="15">
        <v>66.6666666666667</v>
      </c>
      <c r="C21" s="15">
        <v>66.6666666666667</v>
      </c>
      <c r="D21" s="26" t="s">
        <v>76</v>
      </c>
      <c r="E21" s="15">
        <v>61.904761904761898</v>
      </c>
      <c r="F21" s="15">
        <v>61.904761904761898</v>
      </c>
      <c r="G21" s="26" t="s">
        <v>76</v>
      </c>
      <c r="H21" s="15">
        <v>69.230769230769198</v>
      </c>
      <c r="I21" s="15">
        <v>69.230769230769198</v>
      </c>
      <c r="J21" s="26" t="s">
        <v>76</v>
      </c>
      <c r="K21" s="20" t="s">
        <v>76</v>
      </c>
      <c r="L21" s="20" t="s">
        <v>76</v>
      </c>
      <c r="M21" s="26" t="s">
        <v>76</v>
      </c>
      <c r="N21" s="20" t="s">
        <v>76</v>
      </c>
      <c r="O21" s="20" t="s">
        <v>76</v>
      </c>
      <c r="P21" s="26" t="s">
        <v>76</v>
      </c>
    </row>
    <row r="22" spans="1:16">
      <c r="A22" s="9" t="s">
        <v>181</v>
      </c>
      <c r="B22" s="15">
        <v>66.6666666666667</v>
      </c>
      <c r="C22" s="15">
        <v>66.6666666666667</v>
      </c>
      <c r="D22" s="26" t="s">
        <v>76</v>
      </c>
      <c r="E22" s="15">
        <v>70</v>
      </c>
      <c r="F22" s="15">
        <v>70</v>
      </c>
      <c r="G22" s="26" t="s">
        <v>76</v>
      </c>
      <c r="H22" s="15">
        <v>63.636363636363598</v>
      </c>
      <c r="I22" s="15">
        <v>63.636363636363598</v>
      </c>
      <c r="J22" s="26" t="s">
        <v>76</v>
      </c>
      <c r="K22" s="20" t="s">
        <v>76</v>
      </c>
      <c r="L22" s="20" t="s">
        <v>76</v>
      </c>
      <c r="M22" s="26" t="s">
        <v>76</v>
      </c>
      <c r="N22" s="20" t="s">
        <v>76</v>
      </c>
      <c r="O22" s="20" t="s">
        <v>76</v>
      </c>
      <c r="P22" s="26" t="s">
        <v>76</v>
      </c>
    </row>
    <row r="23" spans="1:16">
      <c r="A23" s="9" t="s">
        <v>182</v>
      </c>
      <c r="B23" s="15">
        <v>64.705882352941202</v>
      </c>
      <c r="C23" s="15">
        <v>64.705882352941202</v>
      </c>
      <c r="D23" s="26" t="s">
        <v>76</v>
      </c>
      <c r="E23" s="15">
        <v>70</v>
      </c>
      <c r="F23" s="15">
        <v>70</v>
      </c>
      <c r="G23" s="26" t="s">
        <v>76</v>
      </c>
      <c r="H23" s="15">
        <v>65.2173913043478</v>
      </c>
      <c r="I23" s="15">
        <v>65.2173913043478</v>
      </c>
      <c r="J23" s="26" t="s">
        <v>76</v>
      </c>
      <c r="K23" s="20" t="s">
        <v>76</v>
      </c>
      <c r="L23" s="20" t="s">
        <v>76</v>
      </c>
      <c r="M23" s="26" t="s">
        <v>76</v>
      </c>
      <c r="N23" s="20" t="s">
        <v>76</v>
      </c>
      <c r="O23" s="20" t="s">
        <v>76</v>
      </c>
      <c r="P23" s="26" t="s">
        <v>76</v>
      </c>
    </row>
    <row r="24" spans="1:16">
      <c r="A24" s="9" t="s">
        <v>183</v>
      </c>
      <c r="B24" s="15">
        <v>49.152542372881399</v>
      </c>
      <c r="C24" s="15">
        <v>49.152542372881399</v>
      </c>
      <c r="D24" s="26" t="s">
        <v>76</v>
      </c>
      <c r="E24" s="15">
        <v>54.838709677419402</v>
      </c>
      <c r="F24" s="15">
        <v>54.838709677419402</v>
      </c>
      <c r="G24" s="26" t="s">
        <v>76</v>
      </c>
      <c r="H24" s="15">
        <v>45.8333333333333</v>
      </c>
      <c r="I24" s="15">
        <v>45.8333333333333</v>
      </c>
      <c r="J24" s="26" t="s">
        <v>76</v>
      </c>
      <c r="K24" s="20" t="s">
        <v>76</v>
      </c>
      <c r="L24" s="20" t="s">
        <v>76</v>
      </c>
      <c r="M24" s="26" t="s">
        <v>76</v>
      </c>
      <c r="N24" s="20" t="s">
        <v>76</v>
      </c>
      <c r="O24" s="20" t="s">
        <v>76</v>
      </c>
      <c r="P24" s="26" t="s">
        <v>76</v>
      </c>
    </row>
    <row r="25" spans="1:16">
      <c r="A25" s="9" t="s">
        <v>184</v>
      </c>
      <c r="B25" s="15">
        <v>46.153846153846203</v>
      </c>
      <c r="C25" s="15">
        <v>46.153846153846203</v>
      </c>
      <c r="D25" s="26" t="s">
        <v>76</v>
      </c>
      <c r="E25" s="20" t="s">
        <v>76</v>
      </c>
      <c r="F25" s="20" t="s">
        <v>76</v>
      </c>
      <c r="G25" s="26" t="s">
        <v>76</v>
      </c>
      <c r="H25" s="20" t="s">
        <v>76</v>
      </c>
      <c r="I25" s="20" t="s">
        <v>76</v>
      </c>
      <c r="J25" s="26" t="s">
        <v>76</v>
      </c>
      <c r="K25" s="20" t="s">
        <v>76</v>
      </c>
      <c r="L25" s="20" t="s">
        <v>76</v>
      </c>
      <c r="M25" s="26" t="s">
        <v>76</v>
      </c>
      <c r="N25" s="20" t="s">
        <v>76</v>
      </c>
      <c r="O25" s="20" t="s">
        <v>76</v>
      </c>
      <c r="P25" s="26" t="s">
        <v>76</v>
      </c>
    </row>
    <row r="26" spans="1:16">
      <c r="A26" s="9" t="s">
        <v>185</v>
      </c>
      <c r="B26" s="15">
        <v>87.5</v>
      </c>
      <c r="C26" s="15">
        <v>87.5</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c r="A27" s="9" t="s">
        <v>186</v>
      </c>
      <c r="B27" s="15">
        <v>78.205128205128204</v>
      </c>
      <c r="C27" s="15">
        <v>78.205128205128204</v>
      </c>
      <c r="D27" s="26" t="s">
        <v>76</v>
      </c>
      <c r="E27" s="15">
        <v>58.3333333333333</v>
      </c>
      <c r="F27" s="15">
        <v>58.3333333333333</v>
      </c>
      <c r="G27" s="26" t="s">
        <v>76</v>
      </c>
      <c r="H27" s="15">
        <v>88.461538461538495</v>
      </c>
      <c r="I27" s="15">
        <v>88.461538461538495</v>
      </c>
      <c r="J27" s="26" t="s">
        <v>76</v>
      </c>
      <c r="K27" s="20" t="s">
        <v>76</v>
      </c>
      <c r="L27" s="20" t="s">
        <v>76</v>
      </c>
      <c r="M27" s="26" t="s">
        <v>76</v>
      </c>
      <c r="N27" s="20" t="s">
        <v>76</v>
      </c>
      <c r="O27" s="20" t="s">
        <v>76</v>
      </c>
      <c r="P27" s="26" t="s">
        <v>76</v>
      </c>
    </row>
    <row r="28" spans="1:16">
      <c r="A28" s="9" t="s">
        <v>187</v>
      </c>
      <c r="B28" s="15">
        <v>68.807339449541303</v>
      </c>
      <c r="C28" s="15">
        <v>68.807339449541303</v>
      </c>
      <c r="D28" s="26" t="s">
        <v>76</v>
      </c>
      <c r="E28" s="15">
        <v>62.962962962962997</v>
      </c>
      <c r="F28" s="15">
        <v>62.962962962962997</v>
      </c>
      <c r="G28" s="26" t="s">
        <v>76</v>
      </c>
      <c r="H28" s="15">
        <v>74.074074074074105</v>
      </c>
      <c r="I28" s="15">
        <v>74.074074074074105</v>
      </c>
      <c r="J28" s="26" t="s">
        <v>76</v>
      </c>
      <c r="K28" s="20" t="s">
        <v>76</v>
      </c>
      <c r="L28" s="20" t="s">
        <v>76</v>
      </c>
      <c r="M28" s="26" t="s">
        <v>76</v>
      </c>
      <c r="N28" s="20" t="s">
        <v>76</v>
      </c>
      <c r="O28" s="20" t="s">
        <v>76</v>
      </c>
      <c r="P28" s="26" t="s">
        <v>76</v>
      </c>
    </row>
    <row r="29" spans="1:16">
      <c r="A29" s="9" t="s">
        <v>188</v>
      </c>
      <c r="B29" s="15">
        <v>69.117647058823493</v>
      </c>
      <c r="C29" s="15">
        <v>69.117647058823493</v>
      </c>
      <c r="D29" s="26" t="s">
        <v>76</v>
      </c>
      <c r="E29" s="15">
        <v>61.290322580645203</v>
      </c>
      <c r="F29" s="15">
        <v>61.290322580645203</v>
      </c>
      <c r="G29" s="26" t="s">
        <v>76</v>
      </c>
      <c r="H29" s="15">
        <v>75.675675675675706</v>
      </c>
      <c r="I29" s="15">
        <v>75.675675675675706</v>
      </c>
      <c r="J29" s="26" t="s">
        <v>76</v>
      </c>
      <c r="K29" s="20" t="s">
        <v>76</v>
      </c>
      <c r="L29" s="20" t="s">
        <v>76</v>
      </c>
      <c r="M29" s="26" t="s">
        <v>76</v>
      </c>
      <c r="N29" s="20" t="s">
        <v>76</v>
      </c>
      <c r="O29" s="20" t="s">
        <v>76</v>
      </c>
      <c r="P29" s="26" t="s">
        <v>76</v>
      </c>
    </row>
    <row r="30" spans="1:16">
      <c r="A30" s="9" t="s">
        <v>189</v>
      </c>
      <c r="B30" s="15">
        <v>54.545454545454497</v>
      </c>
      <c r="C30" s="15">
        <v>54.545454545454497</v>
      </c>
      <c r="D30" s="26" t="s">
        <v>76</v>
      </c>
      <c r="E30" s="15">
        <v>60</v>
      </c>
      <c r="F30" s="15">
        <v>60</v>
      </c>
      <c r="G30" s="26" t="s">
        <v>76</v>
      </c>
      <c r="H30" s="15">
        <v>51.428571428571402</v>
      </c>
      <c r="I30" s="15">
        <v>51.428571428571402</v>
      </c>
      <c r="J30" s="26" t="s">
        <v>76</v>
      </c>
      <c r="K30" s="20" t="s">
        <v>76</v>
      </c>
      <c r="L30" s="20" t="s">
        <v>76</v>
      </c>
      <c r="M30" s="26" t="s">
        <v>76</v>
      </c>
      <c r="N30" s="20" t="s">
        <v>76</v>
      </c>
      <c r="O30" s="20" t="s">
        <v>76</v>
      </c>
      <c r="P30" s="26" t="s">
        <v>76</v>
      </c>
    </row>
    <row r="31" spans="1:16">
      <c r="A31" s="9" t="s">
        <v>190</v>
      </c>
      <c r="B31" s="15">
        <v>75</v>
      </c>
      <c r="C31" s="15">
        <v>75</v>
      </c>
      <c r="D31" s="26" t="s">
        <v>76</v>
      </c>
      <c r="E31" s="15">
        <v>85.714285714285694</v>
      </c>
      <c r="F31" s="15">
        <v>85.714285714285694</v>
      </c>
      <c r="G31" s="26" t="s">
        <v>76</v>
      </c>
      <c r="H31" s="15">
        <v>66.6666666666667</v>
      </c>
      <c r="I31" s="15">
        <v>66.6666666666667</v>
      </c>
      <c r="J31" s="26" t="s">
        <v>76</v>
      </c>
      <c r="K31" s="20" t="s">
        <v>76</v>
      </c>
      <c r="L31" s="20" t="s">
        <v>76</v>
      </c>
      <c r="M31" s="26" t="s">
        <v>76</v>
      </c>
      <c r="N31" s="20" t="s">
        <v>76</v>
      </c>
      <c r="O31" s="20" t="s">
        <v>76</v>
      </c>
      <c r="P31" s="26" t="s">
        <v>76</v>
      </c>
    </row>
    <row r="32" spans="1:16">
      <c r="A32" s="9" t="s">
        <v>191</v>
      </c>
      <c r="B32" s="15">
        <v>59.259259259259302</v>
      </c>
      <c r="C32" s="15">
        <v>59.259259259259302</v>
      </c>
      <c r="D32" s="26" t="s">
        <v>76</v>
      </c>
      <c r="E32" s="15">
        <v>53.3333333333333</v>
      </c>
      <c r="F32" s="15">
        <v>53.3333333333333</v>
      </c>
      <c r="G32" s="26" t="s">
        <v>76</v>
      </c>
      <c r="H32" s="15">
        <v>66.6666666666667</v>
      </c>
      <c r="I32" s="15">
        <v>66.6666666666667</v>
      </c>
      <c r="J32" s="26" t="s">
        <v>76</v>
      </c>
      <c r="K32" s="20" t="s">
        <v>76</v>
      </c>
      <c r="L32" s="20" t="s">
        <v>76</v>
      </c>
      <c r="M32" s="26" t="s">
        <v>76</v>
      </c>
      <c r="N32" s="20" t="s">
        <v>76</v>
      </c>
      <c r="O32" s="20" t="s">
        <v>76</v>
      </c>
      <c r="P32" s="26" t="s">
        <v>76</v>
      </c>
    </row>
    <row r="33" spans="1:16">
      <c r="A33" s="9" t="s">
        <v>192</v>
      </c>
      <c r="B33" s="15">
        <v>78.571428571428598</v>
      </c>
      <c r="C33" s="15">
        <v>78.571428571428598</v>
      </c>
      <c r="D33" s="26" t="s">
        <v>76</v>
      </c>
      <c r="E33" s="20" t="s">
        <v>76</v>
      </c>
      <c r="F33" s="20" t="s">
        <v>76</v>
      </c>
      <c r="G33" s="26" t="s">
        <v>76</v>
      </c>
      <c r="H33" s="15">
        <v>76.923076923076906</v>
      </c>
      <c r="I33" s="15">
        <v>76.923076923076906</v>
      </c>
      <c r="J33" s="26" t="s">
        <v>76</v>
      </c>
      <c r="K33" s="20" t="s">
        <v>76</v>
      </c>
      <c r="L33" s="20" t="s">
        <v>76</v>
      </c>
      <c r="M33" s="26" t="s">
        <v>76</v>
      </c>
      <c r="N33" s="20" t="s">
        <v>76</v>
      </c>
      <c r="O33" s="20" t="s">
        <v>76</v>
      </c>
      <c r="P33" s="26" t="s">
        <v>76</v>
      </c>
    </row>
    <row r="34" spans="1:16">
      <c r="A34" s="9" t="s">
        <v>193</v>
      </c>
      <c r="B34" s="15">
        <v>66.6666666666667</v>
      </c>
      <c r="C34" s="15">
        <v>66.6666666666667</v>
      </c>
      <c r="D34" s="26" t="s">
        <v>76</v>
      </c>
      <c r="E34" s="15">
        <v>66.6666666666667</v>
      </c>
      <c r="F34" s="15">
        <v>66.6666666666667</v>
      </c>
      <c r="G34" s="26" t="s">
        <v>76</v>
      </c>
      <c r="H34" s="15">
        <v>68</v>
      </c>
      <c r="I34" s="15">
        <v>68</v>
      </c>
      <c r="J34" s="26" t="s">
        <v>76</v>
      </c>
      <c r="K34" s="20" t="s">
        <v>76</v>
      </c>
      <c r="L34" s="20" t="s">
        <v>76</v>
      </c>
      <c r="M34" s="26" t="s">
        <v>76</v>
      </c>
      <c r="N34" s="20" t="s">
        <v>76</v>
      </c>
      <c r="O34" s="20" t="s">
        <v>76</v>
      </c>
      <c r="P34" s="26" t="s">
        <v>76</v>
      </c>
    </row>
    <row r="35" spans="1:16">
      <c r="A35" s="9" t="s">
        <v>194</v>
      </c>
      <c r="B35" s="15">
        <v>71.428571428571402</v>
      </c>
      <c r="C35" s="15">
        <v>71.428571428571402</v>
      </c>
      <c r="D35" s="26" t="s">
        <v>76</v>
      </c>
      <c r="E35" s="15">
        <v>80</v>
      </c>
      <c r="F35" s="15">
        <v>80</v>
      </c>
      <c r="G35" s="26" t="s">
        <v>76</v>
      </c>
      <c r="H35" s="15">
        <v>66.6666666666667</v>
      </c>
      <c r="I35" s="15">
        <v>66.6666666666667</v>
      </c>
      <c r="J35" s="26" t="s">
        <v>76</v>
      </c>
      <c r="K35" s="20" t="s">
        <v>76</v>
      </c>
      <c r="L35" s="20" t="s">
        <v>76</v>
      </c>
      <c r="M35" s="26" t="s">
        <v>76</v>
      </c>
      <c r="N35" s="20" t="s">
        <v>76</v>
      </c>
      <c r="O35" s="20" t="s">
        <v>76</v>
      </c>
      <c r="P35" s="26" t="s">
        <v>76</v>
      </c>
    </row>
    <row r="36" spans="1:16">
      <c r="A36" s="9" t="s">
        <v>195</v>
      </c>
      <c r="B36" s="20" t="s">
        <v>76</v>
      </c>
      <c r="C36" s="20" t="s">
        <v>76</v>
      </c>
      <c r="D36" s="26" t="s">
        <v>76</v>
      </c>
      <c r="E36" s="20" t="s">
        <v>76</v>
      </c>
      <c r="F36" s="20" t="s">
        <v>76</v>
      </c>
      <c r="G36" s="26" t="s">
        <v>76</v>
      </c>
      <c r="H36" s="20" t="s">
        <v>76</v>
      </c>
      <c r="I36" s="20" t="s">
        <v>76</v>
      </c>
      <c r="J36" s="26" t="s">
        <v>76</v>
      </c>
      <c r="K36" s="20" t="s">
        <v>76</v>
      </c>
      <c r="L36" s="20" t="s">
        <v>76</v>
      </c>
      <c r="M36" s="26" t="s">
        <v>76</v>
      </c>
      <c r="N36" s="20" t="s">
        <v>76</v>
      </c>
      <c r="O36" s="20" t="s">
        <v>76</v>
      </c>
      <c r="P36" s="26" t="s">
        <v>76</v>
      </c>
    </row>
    <row r="37" spans="1:16">
      <c r="A37" s="9" t="s">
        <v>196</v>
      </c>
      <c r="B37" s="15">
        <v>62.162162162162197</v>
      </c>
      <c r="C37" s="15">
        <v>62.162162162162197</v>
      </c>
      <c r="D37" s="26" t="s">
        <v>76</v>
      </c>
      <c r="E37" s="15">
        <v>69.642857142857096</v>
      </c>
      <c r="F37" s="15">
        <v>69.642857142857096</v>
      </c>
      <c r="G37" s="26" t="s">
        <v>76</v>
      </c>
      <c r="H37" s="15">
        <v>53.703703703703702</v>
      </c>
      <c r="I37" s="15">
        <v>53.703703703703702</v>
      </c>
      <c r="J37" s="26" t="s">
        <v>76</v>
      </c>
      <c r="K37" s="20" t="s">
        <v>76</v>
      </c>
      <c r="L37" s="20" t="s">
        <v>76</v>
      </c>
      <c r="M37" s="26" t="s">
        <v>76</v>
      </c>
      <c r="N37" s="20" t="s">
        <v>76</v>
      </c>
      <c r="O37" s="20" t="s">
        <v>76</v>
      </c>
      <c r="P37" s="26" t="s">
        <v>76</v>
      </c>
    </row>
    <row r="38" spans="1:16">
      <c r="A38" s="9" t="s">
        <v>197</v>
      </c>
      <c r="B38" s="15">
        <v>80</v>
      </c>
      <c r="C38" s="15">
        <v>80</v>
      </c>
      <c r="D38" s="26" t="s">
        <v>76</v>
      </c>
      <c r="E38" s="15">
        <v>82.352941176470594</v>
      </c>
      <c r="F38" s="15">
        <v>82.352941176470594</v>
      </c>
      <c r="G38" s="26" t="s">
        <v>76</v>
      </c>
      <c r="H38" s="15">
        <v>72.727272727272705</v>
      </c>
      <c r="I38" s="15">
        <v>72.727272727272705</v>
      </c>
      <c r="J38" s="26" t="s">
        <v>76</v>
      </c>
      <c r="K38" s="20" t="s">
        <v>76</v>
      </c>
      <c r="L38" s="20" t="s">
        <v>76</v>
      </c>
      <c r="M38" s="26" t="s">
        <v>76</v>
      </c>
      <c r="N38" s="20" t="s">
        <v>76</v>
      </c>
      <c r="O38" s="20" t="s">
        <v>76</v>
      </c>
      <c r="P38" s="26" t="s">
        <v>76</v>
      </c>
    </row>
    <row r="39" spans="1:16">
      <c r="A39" s="9" t="s">
        <v>198</v>
      </c>
      <c r="B39" s="15">
        <v>67.7777777777778</v>
      </c>
      <c r="C39" s="15">
        <v>67.7777777777778</v>
      </c>
      <c r="D39" s="26" t="s">
        <v>76</v>
      </c>
      <c r="E39" s="15">
        <v>62.162162162162197</v>
      </c>
      <c r="F39" s="15">
        <v>62.162162162162197</v>
      </c>
      <c r="G39" s="26" t="s">
        <v>76</v>
      </c>
      <c r="H39" s="15">
        <v>73.913043478260903</v>
      </c>
      <c r="I39" s="15">
        <v>73.913043478260903</v>
      </c>
      <c r="J39" s="26" t="s">
        <v>76</v>
      </c>
      <c r="K39" s="20" t="s">
        <v>76</v>
      </c>
      <c r="L39" s="20" t="s">
        <v>76</v>
      </c>
      <c r="M39" s="26" t="s">
        <v>76</v>
      </c>
      <c r="N39" s="20" t="s">
        <v>76</v>
      </c>
      <c r="O39" s="20" t="s">
        <v>76</v>
      </c>
      <c r="P39" s="26" t="s">
        <v>76</v>
      </c>
    </row>
    <row r="40" spans="1:16">
      <c r="A40" s="9" t="s">
        <v>199</v>
      </c>
      <c r="B40" s="15">
        <v>64.0625</v>
      </c>
      <c r="C40" s="15">
        <v>64.0625</v>
      </c>
      <c r="D40" s="26" t="s">
        <v>76</v>
      </c>
      <c r="E40" s="15">
        <v>69.696969696969703</v>
      </c>
      <c r="F40" s="15">
        <v>69.696969696969703</v>
      </c>
      <c r="G40" s="26" t="s">
        <v>76</v>
      </c>
      <c r="H40" s="15">
        <v>58.064516129032299</v>
      </c>
      <c r="I40" s="15">
        <v>58.064516129032299</v>
      </c>
      <c r="J40" s="26" t="s">
        <v>76</v>
      </c>
      <c r="K40" s="20" t="s">
        <v>76</v>
      </c>
      <c r="L40" s="20" t="s">
        <v>76</v>
      </c>
      <c r="M40" s="26" t="s">
        <v>76</v>
      </c>
      <c r="N40" s="20" t="s">
        <v>76</v>
      </c>
      <c r="O40" s="20" t="s">
        <v>76</v>
      </c>
      <c r="P40" s="26" t="s">
        <v>76</v>
      </c>
    </row>
    <row r="41" spans="1:16">
      <c r="A41" s="9" t="s">
        <v>200</v>
      </c>
      <c r="B41" s="20" t="s">
        <v>76</v>
      </c>
      <c r="C41" s="20" t="s">
        <v>76</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c r="A42" s="9" t="s">
        <v>201</v>
      </c>
      <c r="B42" s="15">
        <v>85</v>
      </c>
      <c r="C42" s="15">
        <v>85</v>
      </c>
      <c r="D42" s="26" t="s">
        <v>76</v>
      </c>
      <c r="E42" s="15">
        <v>73.3333333333333</v>
      </c>
      <c r="F42" s="15">
        <v>73.3333333333333</v>
      </c>
      <c r="G42" s="26" t="s">
        <v>76</v>
      </c>
      <c r="H42" s="15">
        <v>92</v>
      </c>
      <c r="I42" s="15">
        <v>92</v>
      </c>
      <c r="J42" s="26" t="s">
        <v>76</v>
      </c>
      <c r="K42" s="20" t="s">
        <v>76</v>
      </c>
      <c r="L42" s="20" t="s">
        <v>76</v>
      </c>
      <c r="M42" s="26" t="s">
        <v>76</v>
      </c>
      <c r="N42" s="20" t="s">
        <v>76</v>
      </c>
      <c r="O42" s="20" t="s">
        <v>76</v>
      </c>
      <c r="P42" s="26" t="s">
        <v>76</v>
      </c>
    </row>
    <row r="43" spans="1:16">
      <c r="A43" s="9" t="s">
        <v>202</v>
      </c>
      <c r="B43" s="15">
        <v>79.220779220779207</v>
      </c>
      <c r="C43" s="15">
        <v>79.220779220779207</v>
      </c>
      <c r="D43" s="26" t="s">
        <v>76</v>
      </c>
      <c r="E43" s="15">
        <v>74.358974358974393</v>
      </c>
      <c r="F43" s="15">
        <v>74.358974358974393</v>
      </c>
      <c r="G43" s="26" t="s">
        <v>76</v>
      </c>
      <c r="H43" s="15">
        <v>84.210526315789494</v>
      </c>
      <c r="I43" s="15">
        <v>84.210526315789494</v>
      </c>
      <c r="J43" s="26" t="s">
        <v>76</v>
      </c>
      <c r="K43" s="20" t="s">
        <v>76</v>
      </c>
      <c r="L43" s="20" t="s">
        <v>76</v>
      </c>
      <c r="M43" s="26" t="s">
        <v>76</v>
      </c>
      <c r="N43" s="20" t="s">
        <v>76</v>
      </c>
      <c r="O43" s="20" t="s">
        <v>76</v>
      </c>
      <c r="P43" s="26" t="s">
        <v>76</v>
      </c>
    </row>
    <row r="44" spans="1:16">
      <c r="A44" s="9" t="s">
        <v>203</v>
      </c>
      <c r="B44" s="15">
        <v>69.230769230769198</v>
      </c>
      <c r="C44" s="15">
        <v>69.230769230769198</v>
      </c>
      <c r="D44" s="26" t="s">
        <v>76</v>
      </c>
      <c r="E44" s="15">
        <v>77.7777777777778</v>
      </c>
      <c r="F44" s="15">
        <v>77.7777777777778</v>
      </c>
      <c r="G44" s="26" t="s">
        <v>76</v>
      </c>
      <c r="H44" s="15">
        <v>61.1111111111111</v>
      </c>
      <c r="I44" s="15">
        <v>61.1111111111111</v>
      </c>
      <c r="J44" s="26" t="s">
        <v>76</v>
      </c>
      <c r="K44" s="20" t="s">
        <v>76</v>
      </c>
      <c r="L44" s="20" t="s">
        <v>76</v>
      </c>
      <c r="M44" s="26" t="s">
        <v>76</v>
      </c>
      <c r="N44" s="20" t="s">
        <v>76</v>
      </c>
      <c r="O44" s="20" t="s">
        <v>76</v>
      </c>
      <c r="P44" s="26" t="s">
        <v>76</v>
      </c>
    </row>
    <row r="45" spans="1:16">
      <c r="A45" s="9" t="s">
        <v>204</v>
      </c>
      <c r="B45" s="15">
        <v>61.818181818181799</v>
      </c>
      <c r="C45" s="15">
        <v>61.818181818181799</v>
      </c>
      <c r="D45" s="26" t="s">
        <v>76</v>
      </c>
      <c r="E45" s="15">
        <v>74.285714285714306</v>
      </c>
      <c r="F45" s="15">
        <v>74.285714285714306</v>
      </c>
      <c r="G45" s="26" t="s">
        <v>76</v>
      </c>
      <c r="H45" s="15">
        <v>35.294117647058798</v>
      </c>
      <c r="I45" s="15">
        <v>35.294117647058798</v>
      </c>
      <c r="J45" s="26" t="s">
        <v>76</v>
      </c>
      <c r="K45" s="20" t="s">
        <v>76</v>
      </c>
      <c r="L45" s="20" t="s">
        <v>76</v>
      </c>
      <c r="M45" s="26" t="s">
        <v>76</v>
      </c>
      <c r="N45" s="20" t="s">
        <v>76</v>
      </c>
      <c r="O45" s="20" t="s">
        <v>76</v>
      </c>
      <c r="P45" s="26" t="s">
        <v>76</v>
      </c>
    </row>
    <row r="46" spans="1:16">
      <c r="A46" s="9" t="s">
        <v>205</v>
      </c>
      <c r="B46" s="15">
        <v>72.727272727272705</v>
      </c>
      <c r="C46" s="15">
        <v>72.727272727272705</v>
      </c>
      <c r="D46" s="26" t="s">
        <v>76</v>
      </c>
      <c r="E46" s="15">
        <v>62.5</v>
      </c>
      <c r="F46" s="15">
        <v>62.5</v>
      </c>
      <c r="G46" s="26" t="s">
        <v>76</v>
      </c>
      <c r="H46" s="20" t="s">
        <v>76</v>
      </c>
      <c r="I46" s="20" t="s">
        <v>76</v>
      </c>
      <c r="J46" s="26" t="s">
        <v>76</v>
      </c>
      <c r="K46" s="20" t="s">
        <v>76</v>
      </c>
      <c r="L46" s="20" t="s">
        <v>76</v>
      </c>
      <c r="M46" s="26" t="s">
        <v>76</v>
      </c>
      <c r="N46" s="20" t="s">
        <v>76</v>
      </c>
      <c r="O46" s="20" t="s">
        <v>76</v>
      </c>
      <c r="P46" s="26" t="s">
        <v>76</v>
      </c>
    </row>
    <row r="47" spans="1:16">
      <c r="A47" s="9" t="s">
        <v>206</v>
      </c>
      <c r="B47" s="15">
        <v>80</v>
      </c>
      <c r="C47" s="15">
        <v>80</v>
      </c>
      <c r="D47" s="26" t="s">
        <v>76</v>
      </c>
      <c r="E47" s="15">
        <v>79.411764705882305</v>
      </c>
      <c r="F47" s="15">
        <v>79.411764705882305</v>
      </c>
      <c r="G47" s="26" t="s">
        <v>76</v>
      </c>
      <c r="H47" s="15">
        <v>80.645161290322605</v>
      </c>
      <c r="I47" s="15">
        <v>80.645161290322605</v>
      </c>
      <c r="J47" s="26" t="s">
        <v>76</v>
      </c>
      <c r="K47" s="20" t="s">
        <v>76</v>
      </c>
      <c r="L47" s="20" t="s">
        <v>76</v>
      </c>
      <c r="M47" s="26" t="s">
        <v>76</v>
      </c>
      <c r="N47" s="20" t="s">
        <v>76</v>
      </c>
      <c r="O47" s="20" t="s">
        <v>76</v>
      </c>
      <c r="P47" s="26" t="s">
        <v>76</v>
      </c>
    </row>
    <row r="48" spans="1:16">
      <c r="A48" s="9" t="s">
        <v>207</v>
      </c>
      <c r="B48" s="15">
        <v>75.510204081632693</v>
      </c>
      <c r="C48" s="15">
        <v>75.510204081632693</v>
      </c>
      <c r="D48" s="26" t="s">
        <v>76</v>
      </c>
      <c r="E48" s="15">
        <v>72.2222222222222</v>
      </c>
      <c r="F48" s="15">
        <v>72.2222222222222</v>
      </c>
      <c r="G48" s="26" t="s">
        <v>76</v>
      </c>
      <c r="H48" s="15">
        <v>81.481481481481495</v>
      </c>
      <c r="I48" s="15">
        <v>81.481481481481495</v>
      </c>
      <c r="J48" s="26" t="s">
        <v>76</v>
      </c>
      <c r="K48" s="20" t="s">
        <v>76</v>
      </c>
      <c r="L48" s="20" t="s">
        <v>76</v>
      </c>
      <c r="M48" s="26" t="s">
        <v>76</v>
      </c>
      <c r="N48" s="20" t="s">
        <v>76</v>
      </c>
      <c r="O48" s="20" t="s">
        <v>76</v>
      </c>
      <c r="P48" s="26" t="s">
        <v>76</v>
      </c>
    </row>
    <row r="49" spans="1:16">
      <c r="A49" s="9" t="s">
        <v>208</v>
      </c>
      <c r="B49" s="15">
        <v>58.904109589041099</v>
      </c>
      <c r="C49" s="15">
        <v>58.904109589041099</v>
      </c>
      <c r="D49" s="26" t="s">
        <v>76</v>
      </c>
      <c r="E49" s="15">
        <v>51.428571428571402</v>
      </c>
      <c r="F49" s="15">
        <v>51.428571428571402</v>
      </c>
      <c r="G49" s="26" t="s">
        <v>76</v>
      </c>
      <c r="H49" s="15">
        <v>65.789473684210506</v>
      </c>
      <c r="I49" s="15">
        <v>65.789473684210506</v>
      </c>
      <c r="J49" s="26" t="s">
        <v>76</v>
      </c>
      <c r="K49" s="20" t="s">
        <v>76</v>
      </c>
      <c r="L49" s="20" t="s">
        <v>76</v>
      </c>
      <c r="M49" s="26" t="s">
        <v>76</v>
      </c>
      <c r="N49" s="20" t="s">
        <v>76</v>
      </c>
      <c r="O49" s="20" t="s">
        <v>76</v>
      </c>
      <c r="P49" s="26" t="s">
        <v>76</v>
      </c>
    </row>
    <row r="50" spans="1:16">
      <c r="A50" s="9" t="s">
        <v>209</v>
      </c>
      <c r="B50" s="15">
        <v>65.517241379310306</v>
      </c>
      <c r="C50" s="15">
        <v>65.517241379310306</v>
      </c>
      <c r="D50" s="26" t="s">
        <v>76</v>
      </c>
      <c r="E50" s="15">
        <v>72.549019607843107</v>
      </c>
      <c r="F50" s="15">
        <v>72.549019607843107</v>
      </c>
      <c r="G50" s="26" t="s">
        <v>76</v>
      </c>
      <c r="H50" s="15">
        <v>58.730158730158699</v>
      </c>
      <c r="I50" s="15">
        <v>58.730158730158699</v>
      </c>
      <c r="J50" s="26" t="s">
        <v>76</v>
      </c>
      <c r="K50" s="20" t="s">
        <v>76</v>
      </c>
      <c r="L50" s="20" t="s">
        <v>76</v>
      </c>
      <c r="M50" s="26" t="s">
        <v>76</v>
      </c>
      <c r="N50" s="20" t="s">
        <v>76</v>
      </c>
      <c r="O50" s="20" t="s">
        <v>76</v>
      </c>
      <c r="P50" s="26" t="s">
        <v>76</v>
      </c>
    </row>
    <row r="51" spans="1:16">
      <c r="A51" s="9" t="s">
        <v>210</v>
      </c>
      <c r="B51" s="15">
        <v>56.25</v>
      </c>
      <c r="C51" s="15">
        <v>56.25</v>
      </c>
      <c r="D51" s="26" t="s">
        <v>76</v>
      </c>
      <c r="E51" s="15">
        <v>60</v>
      </c>
      <c r="F51" s="15">
        <v>60</v>
      </c>
      <c r="G51" s="26" t="s">
        <v>76</v>
      </c>
      <c r="H51" s="20" t="s">
        <v>76</v>
      </c>
      <c r="I51" s="20" t="s">
        <v>76</v>
      </c>
      <c r="J51" s="26" t="s">
        <v>76</v>
      </c>
      <c r="K51" s="20" t="s">
        <v>76</v>
      </c>
      <c r="L51" s="20" t="s">
        <v>76</v>
      </c>
      <c r="M51" s="26" t="s">
        <v>76</v>
      </c>
      <c r="N51" s="20" t="s">
        <v>76</v>
      </c>
      <c r="O51" s="20" t="s">
        <v>76</v>
      </c>
      <c r="P51" s="26" t="s">
        <v>76</v>
      </c>
    </row>
    <row r="52" spans="1:16">
      <c r="A52" s="9" t="s">
        <v>211</v>
      </c>
      <c r="B52" s="15">
        <v>57.142857142857103</v>
      </c>
      <c r="C52" s="15">
        <v>57.142857142857103</v>
      </c>
      <c r="D52" s="26" t="s">
        <v>76</v>
      </c>
      <c r="E52" s="15">
        <v>42.857142857142897</v>
      </c>
      <c r="F52" s="15">
        <v>42.857142857142897</v>
      </c>
      <c r="G52" s="26" t="s">
        <v>76</v>
      </c>
      <c r="H52" s="15">
        <v>65</v>
      </c>
      <c r="I52" s="15">
        <v>65</v>
      </c>
      <c r="J52" s="26" t="s">
        <v>76</v>
      </c>
      <c r="K52" s="20" t="s">
        <v>76</v>
      </c>
      <c r="L52" s="20" t="s">
        <v>76</v>
      </c>
      <c r="M52" s="26" t="s">
        <v>76</v>
      </c>
      <c r="N52" s="20" t="s">
        <v>76</v>
      </c>
      <c r="O52" s="20" t="s">
        <v>76</v>
      </c>
      <c r="P52" s="26" t="s">
        <v>76</v>
      </c>
    </row>
    <row r="53" spans="1:16">
      <c r="A53" s="9" t="s">
        <v>212</v>
      </c>
      <c r="B53" s="15">
        <v>74</v>
      </c>
      <c r="C53" s="15">
        <v>74</v>
      </c>
      <c r="D53" s="26" t="s">
        <v>76</v>
      </c>
      <c r="E53" s="15">
        <v>76</v>
      </c>
      <c r="F53" s="15">
        <v>76</v>
      </c>
      <c r="G53" s="26" t="s">
        <v>76</v>
      </c>
      <c r="H53" s="15">
        <v>72</v>
      </c>
      <c r="I53" s="15">
        <v>72</v>
      </c>
      <c r="J53" s="26" t="s">
        <v>76</v>
      </c>
      <c r="K53" s="20" t="s">
        <v>76</v>
      </c>
      <c r="L53" s="20" t="s">
        <v>76</v>
      </c>
      <c r="M53" s="26" t="s">
        <v>76</v>
      </c>
      <c r="N53" s="20" t="s">
        <v>76</v>
      </c>
      <c r="O53" s="20" t="s">
        <v>76</v>
      </c>
      <c r="P53" s="26" t="s">
        <v>76</v>
      </c>
    </row>
    <row r="54" spans="1:16">
      <c r="A54" s="9" t="s">
        <v>213</v>
      </c>
      <c r="B54" s="15">
        <v>54.716981132075503</v>
      </c>
      <c r="C54" s="15">
        <v>54.716981132075503</v>
      </c>
      <c r="D54" s="26" t="s">
        <v>76</v>
      </c>
      <c r="E54" s="15">
        <v>66.6666666666667</v>
      </c>
      <c r="F54" s="15">
        <v>66.6666666666667</v>
      </c>
      <c r="G54" s="26" t="s">
        <v>76</v>
      </c>
      <c r="H54" s="15">
        <v>42.857142857142897</v>
      </c>
      <c r="I54" s="15">
        <v>42.857142857142897</v>
      </c>
      <c r="J54" s="26" t="s">
        <v>76</v>
      </c>
      <c r="K54" s="20" t="s">
        <v>76</v>
      </c>
      <c r="L54" s="20" t="s">
        <v>76</v>
      </c>
      <c r="M54" s="26" t="s">
        <v>76</v>
      </c>
      <c r="N54" s="20" t="s">
        <v>76</v>
      </c>
      <c r="O54" s="20" t="s">
        <v>76</v>
      </c>
      <c r="P54" s="26" t="s">
        <v>76</v>
      </c>
    </row>
    <row r="55" spans="1:16">
      <c r="A55" s="9" t="s">
        <v>214</v>
      </c>
      <c r="B55" s="15">
        <v>86.567164179104495</v>
      </c>
      <c r="C55" s="15">
        <v>86.567164179104495</v>
      </c>
      <c r="D55" s="26" t="s">
        <v>76</v>
      </c>
      <c r="E55" s="15">
        <v>81.25</v>
      </c>
      <c r="F55" s="15">
        <v>81.25</v>
      </c>
      <c r="G55" s="26" t="s">
        <v>76</v>
      </c>
      <c r="H55" s="15">
        <v>91.428571428571402</v>
      </c>
      <c r="I55" s="15">
        <v>91.428571428571402</v>
      </c>
      <c r="J55" s="26" t="s">
        <v>76</v>
      </c>
      <c r="K55" s="20" t="s">
        <v>76</v>
      </c>
      <c r="L55" s="20" t="s">
        <v>76</v>
      </c>
      <c r="M55" s="26" t="s">
        <v>76</v>
      </c>
      <c r="N55" s="20" t="s">
        <v>76</v>
      </c>
      <c r="O55" s="20" t="s">
        <v>76</v>
      </c>
      <c r="P55" s="26" t="s">
        <v>76</v>
      </c>
    </row>
    <row r="56" spans="1:16">
      <c r="A56" s="9" t="s">
        <v>215</v>
      </c>
      <c r="B56" s="15">
        <v>62.162162162162197</v>
      </c>
      <c r="C56" s="15">
        <v>62.162162162162197</v>
      </c>
      <c r="D56" s="26" t="s">
        <v>76</v>
      </c>
      <c r="E56" s="15">
        <v>54.054054054054099</v>
      </c>
      <c r="F56" s="15">
        <v>54.054054054054099</v>
      </c>
      <c r="G56" s="26" t="s">
        <v>76</v>
      </c>
      <c r="H56" s="15">
        <v>69.4444444444444</v>
      </c>
      <c r="I56" s="15">
        <v>69.4444444444444</v>
      </c>
      <c r="J56" s="26" t="s">
        <v>76</v>
      </c>
      <c r="K56" s="20" t="s">
        <v>76</v>
      </c>
      <c r="L56" s="20" t="s">
        <v>76</v>
      </c>
      <c r="M56" s="26" t="s">
        <v>76</v>
      </c>
      <c r="N56" s="20" t="s">
        <v>76</v>
      </c>
      <c r="O56" s="20" t="s">
        <v>76</v>
      </c>
      <c r="P56" s="26" t="s">
        <v>76</v>
      </c>
    </row>
    <row r="57" spans="1:16">
      <c r="A57" s="9" t="s">
        <v>216</v>
      </c>
      <c r="B57" s="15">
        <v>62.820512820512803</v>
      </c>
      <c r="C57" s="15">
        <v>62.820512820512803</v>
      </c>
      <c r="D57" s="26" t="s">
        <v>76</v>
      </c>
      <c r="E57" s="15">
        <v>65.789473684210506</v>
      </c>
      <c r="F57" s="15">
        <v>65.789473684210506</v>
      </c>
      <c r="G57" s="26" t="s">
        <v>76</v>
      </c>
      <c r="H57" s="15">
        <v>63.8888888888889</v>
      </c>
      <c r="I57" s="15">
        <v>63.8888888888889</v>
      </c>
      <c r="J57" s="26" t="s">
        <v>76</v>
      </c>
      <c r="K57" s="20" t="s">
        <v>76</v>
      </c>
      <c r="L57" s="20" t="s">
        <v>76</v>
      </c>
      <c r="M57" s="26" t="s">
        <v>76</v>
      </c>
      <c r="N57" s="20" t="s">
        <v>76</v>
      </c>
      <c r="O57" s="20" t="s">
        <v>76</v>
      </c>
      <c r="P57" s="26" t="s">
        <v>76</v>
      </c>
    </row>
    <row r="58" spans="1:16">
      <c r="A58" s="9" t="s">
        <v>217</v>
      </c>
      <c r="B58" s="15">
        <v>77.586206896551701</v>
      </c>
      <c r="C58" s="15">
        <v>77.586206896551701</v>
      </c>
      <c r="D58" s="26" t="s">
        <v>76</v>
      </c>
      <c r="E58" s="15">
        <v>75</v>
      </c>
      <c r="F58" s="15">
        <v>75</v>
      </c>
      <c r="G58" s="26" t="s">
        <v>76</v>
      </c>
      <c r="H58" s="15">
        <v>79.411764705882305</v>
      </c>
      <c r="I58" s="15">
        <v>79.411764705882305</v>
      </c>
      <c r="J58" s="26" t="s">
        <v>76</v>
      </c>
      <c r="K58" s="20" t="s">
        <v>76</v>
      </c>
      <c r="L58" s="20" t="s">
        <v>76</v>
      </c>
      <c r="M58" s="26" t="s">
        <v>76</v>
      </c>
      <c r="N58" s="20" t="s">
        <v>76</v>
      </c>
      <c r="O58" s="20" t="s">
        <v>76</v>
      </c>
      <c r="P58" s="26" t="s">
        <v>76</v>
      </c>
    </row>
    <row r="59" spans="1:16">
      <c r="A59" s="9" t="s">
        <v>218</v>
      </c>
      <c r="B59" s="15">
        <v>51.807228915662698</v>
      </c>
      <c r="C59" s="15">
        <v>51.807228915662698</v>
      </c>
      <c r="D59" s="26" t="s">
        <v>76</v>
      </c>
      <c r="E59" s="15">
        <v>55.5555555555556</v>
      </c>
      <c r="F59" s="15">
        <v>55.5555555555556</v>
      </c>
      <c r="G59" s="26" t="s">
        <v>76</v>
      </c>
      <c r="H59" s="15">
        <v>44.4444444444444</v>
      </c>
      <c r="I59" s="15">
        <v>44.4444444444444</v>
      </c>
      <c r="J59" s="26" t="s">
        <v>76</v>
      </c>
      <c r="K59" s="20" t="s">
        <v>76</v>
      </c>
      <c r="L59" s="20" t="s">
        <v>76</v>
      </c>
      <c r="M59" s="26" t="s">
        <v>76</v>
      </c>
      <c r="N59" s="20" t="s">
        <v>76</v>
      </c>
      <c r="O59" s="20" t="s">
        <v>76</v>
      </c>
      <c r="P59" s="26" t="s">
        <v>76</v>
      </c>
    </row>
    <row r="60" spans="1:16">
      <c r="A60" s="9" t="s">
        <v>219</v>
      </c>
      <c r="B60" s="15">
        <v>85.074626865671604</v>
      </c>
      <c r="C60" s="15">
        <v>85.074626865671604</v>
      </c>
      <c r="D60" s="26" t="s">
        <v>76</v>
      </c>
      <c r="E60" s="15">
        <v>87.5</v>
      </c>
      <c r="F60" s="15">
        <v>87.5</v>
      </c>
      <c r="G60" s="26" t="s">
        <v>76</v>
      </c>
      <c r="H60" s="15">
        <v>82.857142857142904</v>
      </c>
      <c r="I60" s="15">
        <v>82.857142857142904</v>
      </c>
      <c r="J60" s="26" t="s">
        <v>76</v>
      </c>
      <c r="K60" s="20" t="s">
        <v>76</v>
      </c>
      <c r="L60" s="20" t="s">
        <v>76</v>
      </c>
      <c r="M60" s="26" t="s">
        <v>76</v>
      </c>
      <c r="N60" s="20" t="s">
        <v>76</v>
      </c>
      <c r="O60" s="20" t="s">
        <v>76</v>
      </c>
      <c r="P60" s="26" t="s">
        <v>76</v>
      </c>
    </row>
    <row r="61" spans="1:16">
      <c r="A61" s="9" t="s">
        <v>220</v>
      </c>
      <c r="B61" s="15">
        <v>75</v>
      </c>
      <c r="C61" s="15">
        <v>75</v>
      </c>
      <c r="D61" s="26" t="s">
        <v>76</v>
      </c>
      <c r="E61" s="15">
        <v>83.3333333333333</v>
      </c>
      <c r="F61" s="15">
        <v>83.3333333333333</v>
      </c>
      <c r="G61" s="26" t="s">
        <v>76</v>
      </c>
      <c r="H61" s="15">
        <v>63.636363636363598</v>
      </c>
      <c r="I61" s="15">
        <v>63.636363636363598</v>
      </c>
      <c r="J61" s="26" t="s">
        <v>76</v>
      </c>
      <c r="K61" s="20" t="s">
        <v>76</v>
      </c>
      <c r="L61" s="20" t="s">
        <v>76</v>
      </c>
      <c r="M61" s="26" t="s">
        <v>76</v>
      </c>
      <c r="N61" s="20" t="s">
        <v>76</v>
      </c>
      <c r="O61" s="20" t="s">
        <v>76</v>
      </c>
      <c r="P61" s="26" t="s">
        <v>76</v>
      </c>
    </row>
    <row r="62" spans="1:16">
      <c r="A62" s="9" t="s">
        <v>221</v>
      </c>
      <c r="B62" s="15">
        <v>73.684210526315795</v>
      </c>
      <c r="C62" s="15">
        <v>73.684210526315795</v>
      </c>
      <c r="D62" s="26" t="s">
        <v>76</v>
      </c>
      <c r="E62" s="15">
        <v>85.714285714285694</v>
      </c>
      <c r="F62" s="15">
        <v>85.714285714285694</v>
      </c>
      <c r="G62" s="26" t="s">
        <v>76</v>
      </c>
      <c r="H62" s="15">
        <v>66.6666666666667</v>
      </c>
      <c r="I62" s="15">
        <v>66.6666666666667</v>
      </c>
      <c r="J62" s="26" t="s">
        <v>76</v>
      </c>
      <c r="K62" s="20" t="s">
        <v>76</v>
      </c>
      <c r="L62" s="20" t="s">
        <v>76</v>
      </c>
      <c r="M62" s="26" t="s">
        <v>76</v>
      </c>
      <c r="N62" s="20" t="s">
        <v>76</v>
      </c>
      <c r="O62" s="20" t="s">
        <v>76</v>
      </c>
      <c r="P62" s="26" t="s">
        <v>76</v>
      </c>
    </row>
    <row r="63" spans="1:16">
      <c r="A63" s="9" t="s">
        <v>222</v>
      </c>
      <c r="B63" s="15">
        <v>68.75</v>
      </c>
      <c r="C63" s="15">
        <v>68.75</v>
      </c>
      <c r="D63" s="26" t="s">
        <v>76</v>
      </c>
      <c r="E63" s="15">
        <v>62.711864406779704</v>
      </c>
      <c r="F63" s="15">
        <v>62.711864406779704</v>
      </c>
      <c r="G63" s="26" t="s">
        <v>76</v>
      </c>
      <c r="H63" s="15">
        <v>75</v>
      </c>
      <c r="I63" s="15">
        <v>75</v>
      </c>
      <c r="J63" s="26" t="s">
        <v>76</v>
      </c>
      <c r="K63" s="20" t="s">
        <v>76</v>
      </c>
      <c r="L63" s="20" t="s">
        <v>76</v>
      </c>
      <c r="M63" s="26" t="s">
        <v>76</v>
      </c>
      <c r="N63" s="20" t="s">
        <v>76</v>
      </c>
      <c r="O63" s="20" t="s">
        <v>76</v>
      </c>
      <c r="P63" s="26" t="s">
        <v>76</v>
      </c>
    </row>
    <row r="64" spans="1:16">
      <c r="A64" s="9" t="s">
        <v>223</v>
      </c>
      <c r="B64" s="15">
        <v>65</v>
      </c>
      <c r="C64" s="15">
        <v>65</v>
      </c>
      <c r="D64" s="26" t="s">
        <v>76</v>
      </c>
      <c r="E64" s="15">
        <v>68.421052631578902</v>
      </c>
      <c r="F64" s="15">
        <v>68.421052631578902</v>
      </c>
      <c r="G64" s="26" t="s">
        <v>76</v>
      </c>
      <c r="H64" s="15">
        <v>61.904761904761898</v>
      </c>
      <c r="I64" s="15">
        <v>61.904761904761898</v>
      </c>
      <c r="J64" s="26" t="s">
        <v>76</v>
      </c>
      <c r="K64" s="20" t="s">
        <v>76</v>
      </c>
      <c r="L64" s="20" t="s">
        <v>76</v>
      </c>
      <c r="M64" s="26" t="s">
        <v>76</v>
      </c>
      <c r="N64" s="20" t="s">
        <v>76</v>
      </c>
      <c r="O64" s="20" t="s">
        <v>76</v>
      </c>
      <c r="P64" s="26" t="s">
        <v>76</v>
      </c>
    </row>
    <row r="65" spans="1:16">
      <c r="A65" s="9" t="s">
        <v>224</v>
      </c>
      <c r="B65" s="15">
        <v>77.34375</v>
      </c>
      <c r="C65" s="15">
        <v>77.34375</v>
      </c>
      <c r="D65" s="26" t="s">
        <v>76</v>
      </c>
      <c r="E65" s="15">
        <v>78.688524590163894</v>
      </c>
      <c r="F65" s="15">
        <v>78.688524590163894</v>
      </c>
      <c r="G65" s="26" t="s">
        <v>76</v>
      </c>
      <c r="H65" s="15">
        <v>75.757575757575793</v>
      </c>
      <c r="I65" s="15">
        <v>75.757575757575793</v>
      </c>
      <c r="J65" s="26" t="s">
        <v>76</v>
      </c>
      <c r="K65" s="20" t="s">
        <v>76</v>
      </c>
      <c r="L65" s="20" t="s">
        <v>76</v>
      </c>
      <c r="M65" s="26" t="s">
        <v>76</v>
      </c>
      <c r="N65" s="20" t="s">
        <v>76</v>
      </c>
      <c r="O65" s="20" t="s">
        <v>76</v>
      </c>
      <c r="P65" s="26" t="s">
        <v>76</v>
      </c>
    </row>
    <row r="66" spans="1:16">
      <c r="A66" s="9" t="s">
        <v>225</v>
      </c>
      <c r="B66" s="15">
        <v>70.297029702970306</v>
      </c>
      <c r="C66" s="15">
        <v>70.297029702970306</v>
      </c>
      <c r="D66" s="26" t="s">
        <v>76</v>
      </c>
      <c r="E66" s="15">
        <v>73.584905660377402</v>
      </c>
      <c r="F66" s="15">
        <v>73.584905660377402</v>
      </c>
      <c r="G66" s="26" t="s">
        <v>76</v>
      </c>
      <c r="H66" s="15">
        <v>66.6666666666667</v>
      </c>
      <c r="I66" s="15">
        <v>66.6666666666667</v>
      </c>
      <c r="J66" s="26" t="s">
        <v>76</v>
      </c>
      <c r="K66" s="20" t="s">
        <v>76</v>
      </c>
      <c r="L66" s="20" t="s">
        <v>76</v>
      </c>
      <c r="M66" s="26" t="s">
        <v>76</v>
      </c>
      <c r="N66" s="20" t="s">
        <v>76</v>
      </c>
      <c r="O66" s="20" t="s">
        <v>76</v>
      </c>
      <c r="P66" s="26" t="s">
        <v>76</v>
      </c>
    </row>
    <row r="67" spans="1:16">
      <c r="A67" s="9" t="s">
        <v>226</v>
      </c>
      <c r="B67" s="15">
        <v>77.310924369747895</v>
      </c>
      <c r="C67" s="15">
        <v>77.310924369747895</v>
      </c>
      <c r="D67" s="26" t="s">
        <v>76</v>
      </c>
      <c r="E67" s="15">
        <v>76.5625</v>
      </c>
      <c r="F67" s="15">
        <v>76.5625</v>
      </c>
      <c r="G67" s="26" t="s">
        <v>76</v>
      </c>
      <c r="H67" s="15">
        <v>79.629629629629605</v>
      </c>
      <c r="I67" s="15">
        <v>79.629629629629605</v>
      </c>
      <c r="J67" s="26" t="s">
        <v>76</v>
      </c>
      <c r="K67" s="20" t="s">
        <v>76</v>
      </c>
      <c r="L67" s="20" t="s">
        <v>76</v>
      </c>
      <c r="M67" s="26" t="s">
        <v>76</v>
      </c>
      <c r="N67" s="20" t="s">
        <v>76</v>
      </c>
      <c r="O67" s="20" t="s">
        <v>76</v>
      </c>
      <c r="P67" s="26" t="s">
        <v>76</v>
      </c>
    </row>
    <row r="68" spans="1:16">
      <c r="A68" s="9" t="s">
        <v>227</v>
      </c>
      <c r="B68" s="15">
        <v>58.8888888888889</v>
      </c>
      <c r="C68" s="15">
        <v>58.8888888888889</v>
      </c>
      <c r="D68" s="26" t="s">
        <v>76</v>
      </c>
      <c r="E68" s="15">
        <v>60.526315789473699</v>
      </c>
      <c r="F68" s="15">
        <v>60.526315789473699</v>
      </c>
      <c r="G68" s="26" t="s">
        <v>76</v>
      </c>
      <c r="H68" s="15">
        <v>57.692307692307701</v>
      </c>
      <c r="I68" s="15">
        <v>57.692307692307701</v>
      </c>
      <c r="J68" s="26" t="s">
        <v>76</v>
      </c>
      <c r="K68" s="20" t="s">
        <v>76</v>
      </c>
      <c r="L68" s="20" t="s">
        <v>76</v>
      </c>
      <c r="M68" s="26" t="s">
        <v>76</v>
      </c>
      <c r="N68" s="20" t="s">
        <v>76</v>
      </c>
      <c r="O68" s="20" t="s">
        <v>76</v>
      </c>
      <c r="P68" s="26" t="s">
        <v>76</v>
      </c>
    </row>
    <row r="69" spans="1:16">
      <c r="A69" s="9" t="s">
        <v>228</v>
      </c>
      <c r="B69" s="15">
        <v>73.3333333333333</v>
      </c>
      <c r="C69" s="15">
        <v>73.3333333333333</v>
      </c>
      <c r="D69" s="26" t="s">
        <v>76</v>
      </c>
      <c r="E69" s="15">
        <v>85.714285714285694</v>
      </c>
      <c r="F69" s="15">
        <v>85.714285714285694</v>
      </c>
      <c r="G69" s="26" t="s">
        <v>76</v>
      </c>
      <c r="H69" s="20" t="s">
        <v>76</v>
      </c>
      <c r="I69" s="20" t="s">
        <v>76</v>
      </c>
      <c r="J69" s="26" t="s">
        <v>76</v>
      </c>
      <c r="K69" s="20" t="s">
        <v>76</v>
      </c>
      <c r="L69" s="20" t="s">
        <v>76</v>
      </c>
      <c r="M69" s="26" t="s">
        <v>76</v>
      </c>
      <c r="N69" s="20" t="s">
        <v>76</v>
      </c>
      <c r="O69" s="20" t="s">
        <v>76</v>
      </c>
      <c r="P69" s="26" t="s">
        <v>76</v>
      </c>
    </row>
    <row r="70" spans="1:16">
      <c r="A70" s="9" t="s">
        <v>229</v>
      </c>
      <c r="B70" s="15">
        <v>68.493150684931507</v>
      </c>
      <c r="C70" s="15">
        <v>68.493150684931507</v>
      </c>
      <c r="D70" s="26" t="s">
        <v>76</v>
      </c>
      <c r="E70" s="15">
        <v>62.5</v>
      </c>
      <c r="F70" s="15">
        <v>62.5</v>
      </c>
      <c r="G70" s="26" t="s">
        <v>76</v>
      </c>
      <c r="H70" s="15">
        <v>75.757575757575793</v>
      </c>
      <c r="I70" s="15">
        <v>75.757575757575793</v>
      </c>
      <c r="J70" s="26" t="s">
        <v>76</v>
      </c>
      <c r="K70" s="20" t="s">
        <v>76</v>
      </c>
      <c r="L70" s="20" t="s">
        <v>76</v>
      </c>
      <c r="M70" s="26" t="s">
        <v>76</v>
      </c>
      <c r="N70" s="20" t="s">
        <v>76</v>
      </c>
      <c r="O70" s="20" t="s">
        <v>76</v>
      </c>
      <c r="P70" s="26" t="s">
        <v>76</v>
      </c>
    </row>
    <row r="71" spans="1:16">
      <c r="A71" s="9" t="s">
        <v>230</v>
      </c>
      <c r="B71" s="15">
        <v>66.6666666666667</v>
      </c>
      <c r="C71" s="15">
        <v>66.6666666666667</v>
      </c>
      <c r="D71" s="26" t="s">
        <v>76</v>
      </c>
      <c r="E71" s="15">
        <v>66.6666666666667</v>
      </c>
      <c r="F71" s="15">
        <v>66.6666666666667</v>
      </c>
      <c r="G71" s="26" t="s">
        <v>76</v>
      </c>
      <c r="H71" s="15">
        <v>71.428571428571402</v>
      </c>
      <c r="I71" s="15">
        <v>71.428571428571402</v>
      </c>
      <c r="J71" s="26" t="s">
        <v>76</v>
      </c>
      <c r="K71" s="20" t="s">
        <v>76</v>
      </c>
      <c r="L71" s="20" t="s">
        <v>76</v>
      </c>
      <c r="M71" s="26" t="s">
        <v>76</v>
      </c>
      <c r="N71" s="20" t="s">
        <v>76</v>
      </c>
      <c r="O71" s="20" t="s">
        <v>76</v>
      </c>
      <c r="P71" s="26" t="s">
        <v>76</v>
      </c>
    </row>
    <row r="72" spans="1:16">
      <c r="A72" s="9" t="s">
        <v>231</v>
      </c>
      <c r="B72" s="15">
        <v>66.265060240963905</v>
      </c>
      <c r="C72" s="15">
        <v>66.265060240963905</v>
      </c>
      <c r="D72" s="26" t="s">
        <v>76</v>
      </c>
      <c r="E72" s="15">
        <v>73.809523809523796</v>
      </c>
      <c r="F72" s="15">
        <v>73.809523809523796</v>
      </c>
      <c r="G72" s="26" t="s">
        <v>76</v>
      </c>
      <c r="H72" s="15">
        <v>61.538461538461497</v>
      </c>
      <c r="I72" s="15">
        <v>61.538461538461497</v>
      </c>
      <c r="J72" s="26" t="s">
        <v>76</v>
      </c>
      <c r="K72" s="20" t="s">
        <v>76</v>
      </c>
      <c r="L72" s="20" t="s">
        <v>76</v>
      </c>
      <c r="M72" s="26" t="s">
        <v>76</v>
      </c>
      <c r="N72" s="20" t="s">
        <v>76</v>
      </c>
      <c r="O72" s="20" t="s">
        <v>76</v>
      </c>
      <c r="P72" s="26" t="s">
        <v>76</v>
      </c>
    </row>
    <row r="73" spans="1:16">
      <c r="A73" s="9" t="s">
        <v>232</v>
      </c>
      <c r="B73" s="15">
        <v>57.317073170731703</v>
      </c>
      <c r="C73" s="15">
        <v>57.317073170731703</v>
      </c>
      <c r="D73" s="26" t="s">
        <v>76</v>
      </c>
      <c r="E73" s="15">
        <v>44.7368421052632</v>
      </c>
      <c r="F73" s="15">
        <v>44.7368421052632</v>
      </c>
      <c r="G73" s="26" t="s">
        <v>76</v>
      </c>
      <c r="H73" s="15">
        <v>69.047619047619094</v>
      </c>
      <c r="I73" s="15">
        <v>69.047619047619094</v>
      </c>
      <c r="J73" s="26" t="s">
        <v>76</v>
      </c>
      <c r="K73" s="20" t="s">
        <v>76</v>
      </c>
      <c r="L73" s="20" t="s">
        <v>76</v>
      </c>
      <c r="M73" s="26" t="s">
        <v>76</v>
      </c>
      <c r="N73" s="20" t="s">
        <v>76</v>
      </c>
      <c r="O73" s="20" t="s">
        <v>76</v>
      </c>
      <c r="P73" s="26" t="s">
        <v>76</v>
      </c>
    </row>
    <row r="74" spans="1:16">
      <c r="A74" s="9" t="s">
        <v>233</v>
      </c>
      <c r="B74" s="15">
        <v>67.289719626168207</v>
      </c>
      <c r="C74" s="15">
        <v>67.289719626168207</v>
      </c>
      <c r="D74" s="26" t="s">
        <v>76</v>
      </c>
      <c r="E74" s="15">
        <v>66.6666666666667</v>
      </c>
      <c r="F74" s="15">
        <v>66.6666666666667</v>
      </c>
      <c r="G74" s="26" t="s">
        <v>76</v>
      </c>
      <c r="H74" s="15">
        <v>69.047619047619094</v>
      </c>
      <c r="I74" s="15">
        <v>69.047619047619094</v>
      </c>
      <c r="J74" s="26" t="s">
        <v>76</v>
      </c>
      <c r="K74" s="20" t="s">
        <v>76</v>
      </c>
      <c r="L74" s="20" t="s">
        <v>76</v>
      </c>
      <c r="M74" s="26" t="s">
        <v>76</v>
      </c>
      <c r="N74" s="20" t="s">
        <v>76</v>
      </c>
      <c r="O74" s="20" t="s">
        <v>76</v>
      </c>
      <c r="P74" s="26" t="s">
        <v>76</v>
      </c>
    </row>
    <row r="75" spans="1:16">
      <c r="A75" s="9" t="s">
        <v>234</v>
      </c>
      <c r="B75" s="15">
        <v>85.858585858585897</v>
      </c>
      <c r="C75" s="15">
        <v>85.858585858585897</v>
      </c>
      <c r="D75" s="26" t="s">
        <v>76</v>
      </c>
      <c r="E75" s="15">
        <v>84.313725490196106</v>
      </c>
      <c r="F75" s="15">
        <v>84.313725490196106</v>
      </c>
      <c r="G75" s="26" t="s">
        <v>76</v>
      </c>
      <c r="H75" s="15">
        <v>86.956521739130395</v>
      </c>
      <c r="I75" s="15">
        <v>86.956521739130395</v>
      </c>
      <c r="J75" s="26" t="s">
        <v>76</v>
      </c>
      <c r="K75" s="20" t="s">
        <v>76</v>
      </c>
      <c r="L75" s="20" t="s">
        <v>76</v>
      </c>
      <c r="M75" s="26" t="s">
        <v>76</v>
      </c>
      <c r="N75" s="20" t="s">
        <v>76</v>
      </c>
      <c r="O75" s="20" t="s">
        <v>76</v>
      </c>
      <c r="P75" s="26" t="s">
        <v>76</v>
      </c>
    </row>
    <row r="76" spans="1:16">
      <c r="A76" s="9" t="s">
        <v>235</v>
      </c>
      <c r="B76" s="15">
        <v>53.623188405797102</v>
      </c>
      <c r="C76" s="15">
        <v>53.623188405797102</v>
      </c>
      <c r="D76" s="26" t="s">
        <v>76</v>
      </c>
      <c r="E76" s="15">
        <v>51.515151515151501</v>
      </c>
      <c r="F76" s="15">
        <v>51.515151515151501</v>
      </c>
      <c r="G76" s="26" t="s">
        <v>76</v>
      </c>
      <c r="H76" s="15">
        <v>54.285714285714299</v>
      </c>
      <c r="I76" s="15">
        <v>54.285714285714299</v>
      </c>
      <c r="J76" s="26" t="s">
        <v>76</v>
      </c>
      <c r="K76" s="20" t="s">
        <v>76</v>
      </c>
      <c r="L76" s="20" t="s">
        <v>76</v>
      </c>
      <c r="M76" s="26" t="s">
        <v>76</v>
      </c>
      <c r="N76" s="20" t="s">
        <v>76</v>
      </c>
      <c r="O76" s="20" t="s">
        <v>76</v>
      </c>
      <c r="P76" s="26" t="s">
        <v>76</v>
      </c>
    </row>
    <row r="77" spans="1:16">
      <c r="A77" s="9" t="s">
        <v>236</v>
      </c>
      <c r="B77" s="15">
        <v>77.7777777777778</v>
      </c>
      <c r="C77" s="15">
        <v>77.7777777777778</v>
      </c>
      <c r="D77" s="26" t="s">
        <v>76</v>
      </c>
      <c r="E77" s="20" t="s">
        <v>76</v>
      </c>
      <c r="F77" s="20" t="s">
        <v>76</v>
      </c>
      <c r="G77" s="26" t="s">
        <v>76</v>
      </c>
      <c r="H77" s="20" t="s">
        <v>76</v>
      </c>
      <c r="I77" s="20" t="s">
        <v>76</v>
      </c>
      <c r="J77" s="26" t="s">
        <v>76</v>
      </c>
      <c r="K77" s="20" t="s">
        <v>76</v>
      </c>
      <c r="L77" s="20" t="s">
        <v>76</v>
      </c>
      <c r="M77" s="26" t="s">
        <v>76</v>
      </c>
      <c r="N77" s="20" t="s">
        <v>76</v>
      </c>
      <c r="O77" s="20" t="s">
        <v>76</v>
      </c>
      <c r="P77" s="26" t="s">
        <v>76</v>
      </c>
    </row>
    <row r="78" spans="1:16">
      <c r="A78" s="9" t="s">
        <v>237</v>
      </c>
      <c r="B78" s="15">
        <v>66.6666666666667</v>
      </c>
      <c r="C78" s="15">
        <v>66.6666666666667</v>
      </c>
      <c r="D78" s="26" t="s">
        <v>76</v>
      </c>
      <c r="E78" s="15">
        <v>65.384615384615401</v>
      </c>
      <c r="F78" s="15">
        <v>65.384615384615401</v>
      </c>
      <c r="G78" s="26" t="s">
        <v>76</v>
      </c>
      <c r="H78" s="15">
        <v>67.567567567567593</v>
      </c>
      <c r="I78" s="15">
        <v>67.567567567567593</v>
      </c>
      <c r="J78" s="26" t="s">
        <v>76</v>
      </c>
      <c r="K78" s="20" t="s">
        <v>76</v>
      </c>
      <c r="L78" s="20" t="s">
        <v>76</v>
      </c>
      <c r="M78" s="26" t="s">
        <v>76</v>
      </c>
      <c r="N78" s="20" t="s">
        <v>76</v>
      </c>
      <c r="O78" s="20" t="s">
        <v>76</v>
      </c>
      <c r="P78" s="26" t="s">
        <v>76</v>
      </c>
    </row>
    <row r="79" spans="1:16">
      <c r="A79" s="9" t="s">
        <v>238</v>
      </c>
      <c r="B79" s="15">
        <v>67.346938775510196</v>
      </c>
      <c r="C79" s="15">
        <v>67.346938775510196</v>
      </c>
      <c r="D79" s="26" t="s">
        <v>76</v>
      </c>
      <c r="E79" s="15">
        <v>64.935064935064901</v>
      </c>
      <c r="F79" s="15">
        <v>64.935064935064901</v>
      </c>
      <c r="G79" s="26" t="s">
        <v>76</v>
      </c>
      <c r="H79" s="15">
        <v>71.641791044776099</v>
      </c>
      <c r="I79" s="15">
        <v>71.641791044776099</v>
      </c>
      <c r="J79" s="26" t="s">
        <v>76</v>
      </c>
      <c r="K79" s="20" t="s">
        <v>76</v>
      </c>
      <c r="L79" s="20" t="s">
        <v>76</v>
      </c>
      <c r="M79" s="26" t="s">
        <v>76</v>
      </c>
      <c r="N79" s="20" t="s">
        <v>76</v>
      </c>
      <c r="O79" s="20" t="s">
        <v>76</v>
      </c>
      <c r="P79" s="26" t="s">
        <v>76</v>
      </c>
    </row>
    <row r="80" spans="1:16" ht="21.95" customHeight="1">
      <c r="A80" s="22" t="s">
        <v>239</v>
      </c>
      <c r="B80" s="15">
        <v>65.723250795952595</v>
      </c>
      <c r="C80" s="20" t="s">
        <v>76</v>
      </c>
      <c r="D80" s="24">
        <v>65.723250795952595</v>
      </c>
      <c r="E80" s="15">
        <v>68.382562517499807</v>
      </c>
      <c r="F80" s="20" t="s">
        <v>76</v>
      </c>
      <c r="G80" s="24">
        <v>68.382562517499807</v>
      </c>
      <c r="H80" s="15">
        <v>63.5755032523574</v>
      </c>
      <c r="I80" s="20" t="s">
        <v>76</v>
      </c>
      <c r="J80" s="24">
        <v>63.5755032523574</v>
      </c>
      <c r="K80" s="15">
        <v>56.530851312514699</v>
      </c>
      <c r="L80" s="20" t="s">
        <v>76</v>
      </c>
      <c r="M80" s="24">
        <v>56.530851312514699</v>
      </c>
      <c r="N80" s="15">
        <v>56.591922407968099</v>
      </c>
      <c r="O80" s="20" t="s">
        <v>76</v>
      </c>
      <c r="P80" s="24">
        <v>56.591922407968099</v>
      </c>
    </row>
    <row r="81" spans="1:16">
      <c r="A81" s="9" t="s">
        <v>240</v>
      </c>
      <c r="B81" s="15">
        <v>66.773162939297094</v>
      </c>
      <c r="C81" s="20" t="s">
        <v>76</v>
      </c>
      <c r="D81" s="24">
        <v>66.773162939297094</v>
      </c>
      <c r="E81" s="15">
        <v>70.414201183431999</v>
      </c>
      <c r="F81" s="20" t="s">
        <v>76</v>
      </c>
      <c r="G81" s="24">
        <v>70.414201183431999</v>
      </c>
      <c r="H81" s="15">
        <v>62.962962962962997</v>
      </c>
      <c r="I81" s="20" t="s">
        <v>76</v>
      </c>
      <c r="J81" s="24">
        <v>62.962962962962997</v>
      </c>
      <c r="K81" s="20" t="s">
        <v>76</v>
      </c>
      <c r="L81" s="20" t="s">
        <v>76</v>
      </c>
      <c r="M81" s="26" t="s">
        <v>76</v>
      </c>
      <c r="N81" s="20" t="s">
        <v>76</v>
      </c>
      <c r="O81" s="20" t="s">
        <v>76</v>
      </c>
      <c r="P81" s="26" t="s">
        <v>76</v>
      </c>
    </row>
    <row r="82" spans="1:16">
      <c r="A82" s="9" t="s">
        <v>241</v>
      </c>
      <c r="B82" s="15">
        <v>50.943396226415103</v>
      </c>
      <c r="C82" s="20" t="s">
        <v>76</v>
      </c>
      <c r="D82" s="24">
        <v>50.943396226415103</v>
      </c>
      <c r="E82" s="15">
        <v>55.414012738853501</v>
      </c>
      <c r="F82" s="20" t="s">
        <v>76</v>
      </c>
      <c r="G82" s="24">
        <v>55.414012738853501</v>
      </c>
      <c r="H82" s="15">
        <v>46.451612903225801</v>
      </c>
      <c r="I82" s="20" t="s">
        <v>76</v>
      </c>
      <c r="J82" s="24">
        <v>46.451612903225801</v>
      </c>
      <c r="K82" s="20" t="s">
        <v>76</v>
      </c>
      <c r="L82" s="20" t="s">
        <v>76</v>
      </c>
      <c r="M82" s="26" t="s">
        <v>76</v>
      </c>
      <c r="N82" s="20" t="s">
        <v>76</v>
      </c>
      <c r="O82" s="20" t="s">
        <v>76</v>
      </c>
      <c r="P82" s="26" t="s">
        <v>76</v>
      </c>
    </row>
    <row r="83" spans="1:16">
      <c r="A83" s="9" t="s">
        <v>242</v>
      </c>
      <c r="B83" s="15">
        <v>67.741935483871003</v>
      </c>
      <c r="C83" s="20" t="s">
        <v>76</v>
      </c>
      <c r="D83" s="24">
        <v>67.741935483871003</v>
      </c>
      <c r="E83" s="15">
        <v>65.934065934065899</v>
      </c>
      <c r="F83" s="20" t="s">
        <v>76</v>
      </c>
      <c r="G83" s="24">
        <v>65.934065934065899</v>
      </c>
      <c r="H83" s="15">
        <v>69.841269841269806</v>
      </c>
      <c r="I83" s="20" t="s">
        <v>76</v>
      </c>
      <c r="J83" s="24">
        <v>69.841269841269806</v>
      </c>
      <c r="K83" s="20" t="s">
        <v>76</v>
      </c>
      <c r="L83" s="20" t="s">
        <v>76</v>
      </c>
      <c r="M83" s="26" t="s">
        <v>76</v>
      </c>
      <c r="N83" s="20" t="s">
        <v>76</v>
      </c>
      <c r="O83" s="20" t="s">
        <v>76</v>
      </c>
      <c r="P83" s="26" t="s">
        <v>76</v>
      </c>
    </row>
    <row r="84" spans="1:16">
      <c r="A84" s="9" t="s">
        <v>243</v>
      </c>
      <c r="B84" s="15">
        <v>50</v>
      </c>
      <c r="C84" s="20" t="s">
        <v>76</v>
      </c>
      <c r="D84" s="24">
        <v>50</v>
      </c>
      <c r="E84" s="20" t="s">
        <v>76</v>
      </c>
      <c r="F84" s="20" t="s">
        <v>76</v>
      </c>
      <c r="G84" s="26" t="s">
        <v>76</v>
      </c>
      <c r="H84" s="20" t="s">
        <v>76</v>
      </c>
      <c r="I84" s="20" t="s">
        <v>76</v>
      </c>
      <c r="J84" s="26" t="s">
        <v>76</v>
      </c>
      <c r="K84" s="20" t="s">
        <v>76</v>
      </c>
      <c r="L84" s="20" t="s">
        <v>76</v>
      </c>
      <c r="M84" s="26" t="s">
        <v>76</v>
      </c>
      <c r="N84" s="20" t="s">
        <v>76</v>
      </c>
      <c r="O84" s="20" t="s">
        <v>76</v>
      </c>
      <c r="P84" s="26" t="s">
        <v>76</v>
      </c>
    </row>
    <row r="85" spans="1:16">
      <c r="A85" s="9" t="s">
        <v>244</v>
      </c>
      <c r="B85" s="15">
        <v>55.688622754491</v>
      </c>
      <c r="C85" s="20" t="s">
        <v>76</v>
      </c>
      <c r="D85" s="24">
        <v>55.688622754491</v>
      </c>
      <c r="E85" s="15">
        <v>61.963190184049097</v>
      </c>
      <c r="F85" s="20" t="s">
        <v>76</v>
      </c>
      <c r="G85" s="24">
        <v>61.963190184049097</v>
      </c>
      <c r="H85" s="15">
        <v>50.9677419354839</v>
      </c>
      <c r="I85" s="20" t="s">
        <v>76</v>
      </c>
      <c r="J85" s="24">
        <v>50.9677419354839</v>
      </c>
      <c r="K85" s="20" t="s">
        <v>76</v>
      </c>
      <c r="L85" s="20" t="s">
        <v>76</v>
      </c>
      <c r="M85" s="26" t="s">
        <v>76</v>
      </c>
      <c r="N85" s="20" t="s">
        <v>76</v>
      </c>
      <c r="O85" s="20" t="s">
        <v>76</v>
      </c>
      <c r="P85" s="26" t="s">
        <v>76</v>
      </c>
    </row>
    <row r="86" spans="1:16">
      <c r="A86" s="9" t="s">
        <v>245</v>
      </c>
      <c r="B86" s="15">
        <v>67.597765363128502</v>
      </c>
      <c r="C86" s="20" t="s">
        <v>76</v>
      </c>
      <c r="D86" s="24">
        <v>67.597765363128502</v>
      </c>
      <c r="E86" s="15">
        <v>71.25</v>
      </c>
      <c r="F86" s="20" t="s">
        <v>76</v>
      </c>
      <c r="G86" s="24">
        <v>71.25</v>
      </c>
      <c r="H86" s="15">
        <v>65.517241379310306</v>
      </c>
      <c r="I86" s="20" t="s">
        <v>76</v>
      </c>
      <c r="J86" s="24">
        <v>65.517241379310306</v>
      </c>
      <c r="K86" s="20" t="s">
        <v>76</v>
      </c>
      <c r="L86" s="20" t="s">
        <v>76</v>
      </c>
      <c r="M86" s="26" t="s">
        <v>76</v>
      </c>
      <c r="N86" s="20" t="s">
        <v>76</v>
      </c>
      <c r="O86" s="20" t="s">
        <v>76</v>
      </c>
      <c r="P86" s="26" t="s">
        <v>76</v>
      </c>
    </row>
    <row r="87" spans="1:16">
      <c r="A87" s="9" t="s">
        <v>246</v>
      </c>
      <c r="B87" s="15">
        <v>69.117647058823493</v>
      </c>
      <c r="C87" s="20" t="s">
        <v>76</v>
      </c>
      <c r="D87" s="24">
        <v>69.117647058823493</v>
      </c>
      <c r="E87" s="15">
        <v>67.5</v>
      </c>
      <c r="F87" s="20" t="s">
        <v>76</v>
      </c>
      <c r="G87" s="24">
        <v>67.5</v>
      </c>
      <c r="H87" s="15">
        <v>72.908366533864594</v>
      </c>
      <c r="I87" s="20" t="s">
        <v>76</v>
      </c>
      <c r="J87" s="24">
        <v>72.908366533864594</v>
      </c>
      <c r="K87" s="20" t="s">
        <v>76</v>
      </c>
      <c r="L87" s="20" t="s">
        <v>76</v>
      </c>
      <c r="M87" s="26" t="s">
        <v>76</v>
      </c>
      <c r="N87" s="20" t="s">
        <v>76</v>
      </c>
      <c r="O87" s="20" t="s">
        <v>76</v>
      </c>
      <c r="P87" s="26" t="s">
        <v>76</v>
      </c>
    </row>
    <row r="88" spans="1:16">
      <c r="A88" s="9" t="s">
        <v>247</v>
      </c>
      <c r="B88" s="15">
        <v>63.449691991786402</v>
      </c>
      <c r="C88" s="20" t="s">
        <v>76</v>
      </c>
      <c r="D88" s="24">
        <v>63.449691991786402</v>
      </c>
      <c r="E88" s="15">
        <v>66.539923954372597</v>
      </c>
      <c r="F88" s="20" t="s">
        <v>76</v>
      </c>
      <c r="G88" s="24">
        <v>66.539923954372597</v>
      </c>
      <c r="H88" s="15">
        <v>60</v>
      </c>
      <c r="I88" s="20" t="s">
        <v>76</v>
      </c>
      <c r="J88" s="24">
        <v>60</v>
      </c>
      <c r="K88" s="15">
        <v>55.5555555555556</v>
      </c>
      <c r="L88" s="20" t="s">
        <v>76</v>
      </c>
      <c r="M88" s="24">
        <v>55.5555555555556</v>
      </c>
      <c r="N88" s="15">
        <v>60</v>
      </c>
      <c r="O88" s="20" t="s">
        <v>76</v>
      </c>
      <c r="P88" s="24">
        <v>60</v>
      </c>
    </row>
    <row r="89" spans="1:16">
      <c r="A89" s="9" t="s">
        <v>248</v>
      </c>
      <c r="B89" s="15">
        <v>57.254901960784302</v>
      </c>
      <c r="C89" s="20" t="s">
        <v>76</v>
      </c>
      <c r="D89" s="24">
        <v>57.254901960784302</v>
      </c>
      <c r="E89" s="15">
        <v>57.024793388429799</v>
      </c>
      <c r="F89" s="20" t="s">
        <v>76</v>
      </c>
      <c r="G89" s="24">
        <v>57.024793388429799</v>
      </c>
      <c r="H89" s="15">
        <v>58.823529411764703</v>
      </c>
      <c r="I89" s="20" t="s">
        <v>76</v>
      </c>
      <c r="J89" s="24">
        <v>58.823529411764703</v>
      </c>
      <c r="K89" s="15">
        <v>50</v>
      </c>
      <c r="L89" s="20" t="s">
        <v>76</v>
      </c>
      <c r="M89" s="24">
        <v>50</v>
      </c>
      <c r="N89" s="20" t="s">
        <v>76</v>
      </c>
      <c r="O89" s="20" t="s">
        <v>76</v>
      </c>
      <c r="P89" s="26" t="s">
        <v>76</v>
      </c>
    </row>
    <row r="90" spans="1:16">
      <c r="A90" s="9" t="s">
        <v>249</v>
      </c>
      <c r="B90" s="15">
        <v>72.645739910313907</v>
      </c>
      <c r="C90" s="20" t="s">
        <v>76</v>
      </c>
      <c r="D90" s="24">
        <v>72.645739910313907</v>
      </c>
      <c r="E90" s="15">
        <v>78.301886792452805</v>
      </c>
      <c r="F90" s="20" t="s">
        <v>76</v>
      </c>
      <c r="G90" s="24">
        <v>78.301886792452805</v>
      </c>
      <c r="H90" s="15">
        <v>68.468468468468501</v>
      </c>
      <c r="I90" s="20" t="s">
        <v>76</v>
      </c>
      <c r="J90" s="24">
        <v>68.468468468468501</v>
      </c>
      <c r="K90" s="20" t="s">
        <v>76</v>
      </c>
      <c r="L90" s="20" t="s">
        <v>76</v>
      </c>
      <c r="M90" s="26" t="s">
        <v>76</v>
      </c>
      <c r="N90" s="20" t="s">
        <v>76</v>
      </c>
      <c r="O90" s="20" t="s">
        <v>76</v>
      </c>
      <c r="P90" s="26" t="s">
        <v>76</v>
      </c>
    </row>
    <row r="91" spans="1:16">
      <c r="A91" s="9" t="s">
        <v>250</v>
      </c>
      <c r="B91" s="15">
        <v>74.545454545454504</v>
      </c>
      <c r="C91" s="20" t="s">
        <v>76</v>
      </c>
      <c r="D91" s="24">
        <v>74.545454545454504</v>
      </c>
      <c r="E91" s="15">
        <v>75.895765472312704</v>
      </c>
      <c r="F91" s="20" t="s">
        <v>76</v>
      </c>
      <c r="G91" s="24">
        <v>75.895765472312704</v>
      </c>
      <c r="H91" s="15">
        <v>74.763406940063106</v>
      </c>
      <c r="I91" s="20" t="s">
        <v>76</v>
      </c>
      <c r="J91" s="24">
        <v>74.763406940063106</v>
      </c>
      <c r="K91" s="15">
        <v>66.6666666666667</v>
      </c>
      <c r="L91" s="20" t="s">
        <v>76</v>
      </c>
      <c r="M91" s="24">
        <v>66.6666666666667</v>
      </c>
      <c r="N91" s="15">
        <v>55.5555555555556</v>
      </c>
      <c r="O91" s="20" t="s">
        <v>76</v>
      </c>
      <c r="P91" s="24">
        <v>55.5555555555556</v>
      </c>
    </row>
    <row r="92" spans="1:16">
      <c r="A92" s="11" t="s">
        <v>251</v>
      </c>
      <c r="B92" s="16">
        <v>74.732334047109205</v>
      </c>
      <c r="C92" s="28" t="s">
        <v>76</v>
      </c>
      <c r="D92" s="25">
        <v>74.732334047109205</v>
      </c>
      <c r="E92" s="16">
        <v>75.105485232067494</v>
      </c>
      <c r="F92" s="28" t="s">
        <v>76</v>
      </c>
      <c r="G92" s="25">
        <v>75.105485232067494</v>
      </c>
      <c r="H92" s="16">
        <v>73.991031390134495</v>
      </c>
      <c r="I92" s="28" t="s">
        <v>76</v>
      </c>
      <c r="J92" s="25">
        <v>73.991031390134495</v>
      </c>
      <c r="K92" s="28" t="s">
        <v>76</v>
      </c>
      <c r="L92" s="28" t="s">
        <v>76</v>
      </c>
      <c r="M92" s="29" t="s">
        <v>76</v>
      </c>
      <c r="N92" s="28" t="s">
        <v>76</v>
      </c>
      <c r="O92" s="28" t="s">
        <v>76</v>
      </c>
      <c r="P92" s="29" t="s">
        <v>76</v>
      </c>
    </row>
    <row r="93" spans="1:16" ht="30" customHeight="1">
      <c r="A93" t="s">
        <v>252</v>
      </c>
    </row>
    <row r="94" spans="1:16">
      <c r="A94" t="s">
        <v>143</v>
      </c>
    </row>
    <row r="95" spans="1:16">
      <c r="A95" t="s">
        <v>144</v>
      </c>
    </row>
    <row r="96" spans="1:16">
      <c r="A96" t="s">
        <v>145</v>
      </c>
    </row>
    <row r="97" spans="1:1">
      <c r="A97" t="s">
        <v>146</v>
      </c>
    </row>
    <row r="98" spans="1:1">
      <c r="A98" t="s">
        <v>147</v>
      </c>
    </row>
    <row r="99" spans="1:1">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0"/>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325</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9" t="s">
        <v>258</v>
      </c>
      <c r="B3" s="15">
        <v>3.1178889958367302</v>
      </c>
      <c r="C3" s="15">
        <v>3.3567533924195398</v>
      </c>
      <c r="D3" s="24">
        <v>2.9249891159713401</v>
      </c>
      <c r="E3" s="15">
        <v>3.3082823890434101</v>
      </c>
      <c r="F3" s="15">
        <v>3.7723199346436198</v>
      </c>
      <c r="G3" s="24">
        <v>2.93084425745996</v>
      </c>
      <c r="H3" s="15">
        <v>2.7357517138485901</v>
      </c>
      <c r="I3" s="15">
        <v>3.0212071002024499</v>
      </c>
      <c r="J3" s="24">
        <v>2.5001872930260198</v>
      </c>
      <c r="K3" s="20" t="s">
        <v>76</v>
      </c>
      <c r="L3" s="20" t="s">
        <v>76</v>
      </c>
      <c r="M3" s="26" t="s">
        <v>76</v>
      </c>
      <c r="N3" s="20" t="s">
        <v>76</v>
      </c>
      <c r="O3" s="20" t="s">
        <v>76</v>
      </c>
      <c r="P3" s="26" t="s">
        <v>76</v>
      </c>
    </row>
    <row r="4" spans="1:16">
      <c r="A4" s="9" t="s">
        <v>259</v>
      </c>
      <c r="B4" s="15">
        <v>5.1428786118241998</v>
      </c>
      <c r="C4" s="15">
        <v>4.6770253099478998</v>
      </c>
      <c r="D4" s="24">
        <v>5.5190880731437497</v>
      </c>
      <c r="E4" s="15">
        <v>5.3549265186479396</v>
      </c>
      <c r="F4" s="15">
        <v>4.6384143978609904</v>
      </c>
      <c r="G4" s="24">
        <v>5.9377220245092701</v>
      </c>
      <c r="H4" s="15">
        <v>4.9820477608714997</v>
      </c>
      <c r="I4" s="15">
        <v>4.7921279581698597</v>
      </c>
      <c r="J4" s="24">
        <v>5.1387739971411799</v>
      </c>
      <c r="K4" s="20" t="s">
        <v>76</v>
      </c>
      <c r="L4" s="20" t="s">
        <v>76</v>
      </c>
      <c r="M4" s="26" t="s">
        <v>76</v>
      </c>
      <c r="N4" s="20" t="s">
        <v>76</v>
      </c>
      <c r="O4" s="20" t="s">
        <v>76</v>
      </c>
      <c r="P4" s="26" t="s">
        <v>76</v>
      </c>
    </row>
    <row r="5" spans="1:16">
      <c r="A5" s="9" t="s">
        <v>260</v>
      </c>
      <c r="B5" s="15">
        <v>1.9487970171632401</v>
      </c>
      <c r="C5" s="15">
        <v>1.9529212585093201</v>
      </c>
      <c r="D5" s="24">
        <v>1.9454664008320599</v>
      </c>
      <c r="E5" s="15">
        <v>1.9873874118247601</v>
      </c>
      <c r="F5" s="15">
        <v>2.15933490566889</v>
      </c>
      <c r="G5" s="24">
        <v>1.8475290287643</v>
      </c>
      <c r="H5" s="15">
        <v>1.9327934277782399</v>
      </c>
      <c r="I5" s="15">
        <v>1.7758130020148699</v>
      </c>
      <c r="J5" s="24">
        <v>2.0623373244542398</v>
      </c>
      <c r="K5" s="20" t="s">
        <v>76</v>
      </c>
      <c r="L5" s="20" t="s">
        <v>76</v>
      </c>
      <c r="M5" s="26" t="s">
        <v>76</v>
      </c>
      <c r="N5" s="20" t="s">
        <v>76</v>
      </c>
      <c r="O5" s="20" t="s">
        <v>76</v>
      </c>
      <c r="P5" s="26" t="s">
        <v>76</v>
      </c>
    </row>
    <row r="6" spans="1:16">
      <c r="A6" s="9" t="s">
        <v>261</v>
      </c>
      <c r="B6" s="15">
        <v>4.3181799041983702</v>
      </c>
      <c r="C6" s="15">
        <v>5.43963837872551</v>
      </c>
      <c r="D6" s="24">
        <v>3.4125229368766399</v>
      </c>
      <c r="E6" s="15">
        <v>4.9979684912011404</v>
      </c>
      <c r="F6" s="15">
        <v>5.9179703450918302</v>
      </c>
      <c r="G6" s="24">
        <v>4.2496588251445502</v>
      </c>
      <c r="H6" s="15">
        <v>3.6596023120666299</v>
      </c>
      <c r="I6" s="15">
        <v>5.0374524259083397</v>
      </c>
      <c r="J6" s="24">
        <v>2.5225683671366301</v>
      </c>
      <c r="K6" s="20" t="s">
        <v>76</v>
      </c>
      <c r="L6" s="20" t="s">
        <v>76</v>
      </c>
      <c r="M6" s="26" t="s">
        <v>76</v>
      </c>
      <c r="N6" s="20" t="s">
        <v>76</v>
      </c>
      <c r="O6" s="20" t="s">
        <v>76</v>
      </c>
      <c r="P6" s="26" t="s">
        <v>76</v>
      </c>
    </row>
    <row r="7" spans="1:16">
      <c r="A7" s="9" t="s">
        <v>262</v>
      </c>
      <c r="B7" s="15">
        <v>1.98134196262332</v>
      </c>
      <c r="C7" s="15">
        <v>2.8921500036107499</v>
      </c>
      <c r="D7" s="24">
        <v>1.2458001062378301</v>
      </c>
      <c r="E7" s="15">
        <v>2.4937762355272</v>
      </c>
      <c r="F7" s="15">
        <v>3.8456687254532902</v>
      </c>
      <c r="G7" s="26" t="s">
        <v>76</v>
      </c>
      <c r="H7" s="15">
        <v>1.3604977905100399</v>
      </c>
      <c r="I7" s="15">
        <v>1.8389915511388</v>
      </c>
      <c r="J7" s="26" t="s">
        <v>76</v>
      </c>
      <c r="K7" s="20" t="s">
        <v>76</v>
      </c>
      <c r="L7" s="20" t="s">
        <v>76</v>
      </c>
      <c r="M7" s="26" t="s">
        <v>76</v>
      </c>
      <c r="N7" s="20" t="s">
        <v>76</v>
      </c>
      <c r="O7" s="20" t="s">
        <v>76</v>
      </c>
      <c r="P7" s="26" t="s">
        <v>76</v>
      </c>
    </row>
    <row r="8" spans="1:16">
      <c r="A8" s="9" t="s">
        <v>263</v>
      </c>
      <c r="B8" s="20" t="s">
        <v>76</v>
      </c>
      <c r="C8" s="20" t="s">
        <v>76</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c r="A9" s="9" t="s">
        <v>264</v>
      </c>
      <c r="B9" s="15">
        <v>1.6101118308573299</v>
      </c>
      <c r="C9" s="15">
        <v>2.0526210439244399</v>
      </c>
      <c r="D9" s="24">
        <v>1.2527543708878399</v>
      </c>
      <c r="E9" s="15">
        <v>1.6874050779198699</v>
      </c>
      <c r="F9" s="15">
        <v>2.24472084661025</v>
      </c>
      <c r="G9" s="26" t="s">
        <v>76</v>
      </c>
      <c r="H9" s="15">
        <v>1.5565021460667801</v>
      </c>
      <c r="I9" s="15">
        <v>1.89463570005084</v>
      </c>
      <c r="J9" s="26" t="s">
        <v>76</v>
      </c>
      <c r="K9" s="20" t="s">
        <v>76</v>
      </c>
      <c r="L9" s="20" t="s">
        <v>76</v>
      </c>
      <c r="M9" s="26" t="s">
        <v>76</v>
      </c>
      <c r="N9" s="20" t="s">
        <v>76</v>
      </c>
      <c r="O9" s="20" t="s">
        <v>76</v>
      </c>
      <c r="P9" s="26" t="s">
        <v>76</v>
      </c>
    </row>
    <row r="10" spans="1:16">
      <c r="A10" s="9" t="s">
        <v>265</v>
      </c>
      <c r="B10" s="15">
        <v>6.8916553753735004</v>
      </c>
      <c r="C10" s="15">
        <v>5.6096992199840097</v>
      </c>
      <c r="D10" s="24">
        <v>7.92692556174309</v>
      </c>
      <c r="E10" s="15">
        <v>9.1636997876249904</v>
      </c>
      <c r="F10" s="15">
        <v>7.1293908407327997</v>
      </c>
      <c r="G10" s="24">
        <v>10.8183628106037</v>
      </c>
      <c r="H10" s="15">
        <v>4.62235650661232</v>
      </c>
      <c r="I10" s="15">
        <v>4.0398305399723</v>
      </c>
      <c r="J10" s="24">
        <v>5.1030704763097097</v>
      </c>
      <c r="K10" s="20" t="s">
        <v>76</v>
      </c>
      <c r="L10" s="20" t="s">
        <v>76</v>
      </c>
      <c r="M10" s="26" t="s">
        <v>76</v>
      </c>
      <c r="N10" s="20" t="s">
        <v>76</v>
      </c>
      <c r="O10" s="20" t="s">
        <v>76</v>
      </c>
      <c r="P10" s="26" t="s">
        <v>76</v>
      </c>
    </row>
    <row r="11" spans="1:16">
      <c r="A11" s="9" t="s">
        <v>266</v>
      </c>
      <c r="B11" s="15">
        <v>2.8802027643522101</v>
      </c>
      <c r="C11" s="15">
        <v>2.7436496078536901</v>
      </c>
      <c r="D11" s="24">
        <v>2.9904790879091698</v>
      </c>
      <c r="E11" s="15">
        <v>3.2367868763672099</v>
      </c>
      <c r="F11" s="15">
        <v>2.8645006790937901</v>
      </c>
      <c r="G11" s="24">
        <v>3.53959644004473</v>
      </c>
      <c r="H11" s="15">
        <v>2.4222172262231498</v>
      </c>
      <c r="I11" s="15">
        <v>2.3955646145291101</v>
      </c>
      <c r="J11" s="24">
        <v>2.4442115809884002</v>
      </c>
      <c r="K11" s="20" t="s">
        <v>76</v>
      </c>
      <c r="L11" s="20" t="s">
        <v>76</v>
      </c>
      <c r="M11" s="26" t="s">
        <v>76</v>
      </c>
      <c r="N11" s="20" t="s">
        <v>76</v>
      </c>
      <c r="O11" s="20" t="s">
        <v>76</v>
      </c>
      <c r="P11" s="26" t="s">
        <v>76</v>
      </c>
    </row>
    <row r="12" spans="1:16">
      <c r="A12" s="9" t="s">
        <v>267</v>
      </c>
      <c r="B12" s="15">
        <v>0.67172699505303501</v>
      </c>
      <c r="C12" s="15">
        <v>1.10090133655392</v>
      </c>
      <c r="D12" s="26" t="s">
        <v>76</v>
      </c>
      <c r="E12" s="15">
        <v>0.81019178239527001</v>
      </c>
      <c r="F12" s="15">
        <v>1.5056238669055499</v>
      </c>
      <c r="G12" s="26" t="s">
        <v>76</v>
      </c>
      <c r="H12" s="20" t="s">
        <v>76</v>
      </c>
      <c r="I12" s="20" t="s">
        <v>76</v>
      </c>
      <c r="J12" s="26" t="s">
        <v>76</v>
      </c>
      <c r="K12" s="20" t="s">
        <v>76</v>
      </c>
      <c r="L12" s="20" t="s">
        <v>76</v>
      </c>
      <c r="M12" s="26" t="s">
        <v>76</v>
      </c>
      <c r="N12" s="20" t="s">
        <v>76</v>
      </c>
      <c r="O12" s="20" t="s">
        <v>76</v>
      </c>
      <c r="P12" s="26" t="s">
        <v>76</v>
      </c>
    </row>
    <row r="13" spans="1:16">
      <c r="A13" s="9" t="s">
        <v>268</v>
      </c>
      <c r="B13" s="15">
        <v>1.59298296155187</v>
      </c>
      <c r="C13" s="15">
        <v>1.90547796452547</v>
      </c>
      <c r="D13" s="24">
        <v>1.3406211638351999</v>
      </c>
      <c r="E13" s="20" t="s">
        <v>76</v>
      </c>
      <c r="F13" s="20" t="s">
        <v>76</v>
      </c>
      <c r="G13" s="26" t="s">
        <v>76</v>
      </c>
      <c r="H13" s="15">
        <v>2.8529187003804699</v>
      </c>
      <c r="I13" s="15">
        <v>3.4488419763540201</v>
      </c>
      <c r="J13" s="24">
        <v>2.3611489595727599</v>
      </c>
      <c r="K13" s="20" t="s">
        <v>76</v>
      </c>
      <c r="L13" s="20" t="s">
        <v>76</v>
      </c>
      <c r="M13" s="26" t="s">
        <v>76</v>
      </c>
      <c r="N13" s="20" t="s">
        <v>76</v>
      </c>
      <c r="O13" s="20" t="s">
        <v>76</v>
      </c>
      <c r="P13" s="26" t="s">
        <v>76</v>
      </c>
    </row>
    <row r="14" spans="1:16">
      <c r="A14" s="9" t="s">
        <v>269</v>
      </c>
      <c r="B14" s="15">
        <v>4.1486233917047102</v>
      </c>
      <c r="C14" s="15">
        <v>4.3891967943448602</v>
      </c>
      <c r="D14" s="24">
        <v>3.9543433686791398</v>
      </c>
      <c r="E14" s="15">
        <v>4.0349387339669898</v>
      </c>
      <c r="F14" s="15">
        <v>4.4598323806414397</v>
      </c>
      <c r="G14" s="24">
        <v>3.6893394055440099</v>
      </c>
      <c r="H14" s="15">
        <v>4.1198221298047297</v>
      </c>
      <c r="I14" s="15">
        <v>4.3119439914540898</v>
      </c>
      <c r="J14" s="24">
        <v>3.9612787032999601</v>
      </c>
      <c r="K14" s="20" t="s">
        <v>76</v>
      </c>
      <c r="L14" s="20" t="s">
        <v>76</v>
      </c>
      <c r="M14" s="26" t="s">
        <v>76</v>
      </c>
      <c r="N14" s="20" t="s">
        <v>76</v>
      </c>
      <c r="O14" s="20" t="s">
        <v>76</v>
      </c>
      <c r="P14" s="26" t="s">
        <v>76</v>
      </c>
    </row>
    <row r="15" spans="1:16">
      <c r="A15" s="9" t="s">
        <v>270</v>
      </c>
      <c r="B15" s="15">
        <v>9.0487734197082403</v>
      </c>
      <c r="C15" s="15">
        <v>10.9101064207099</v>
      </c>
      <c r="D15" s="24">
        <v>7.54561548818182</v>
      </c>
      <c r="E15" s="15">
        <v>12.1637018267892</v>
      </c>
      <c r="F15" s="15">
        <v>14.251617508464401</v>
      </c>
      <c r="G15" s="24">
        <v>10.465436241887099</v>
      </c>
      <c r="H15" s="15">
        <v>6.0005368385520903</v>
      </c>
      <c r="I15" s="15">
        <v>7.5948337343873504</v>
      </c>
      <c r="J15" s="24">
        <v>4.6848859773659903</v>
      </c>
      <c r="K15" s="20" t="s">
        <v>76</v>
      </c>
      <c r="L15" s="20" t="s">
        <v>76</v>
      </c>
      <c r="M15" s="26" t="s">
        <v>76</v>
      </c>
      <c r="N15" s="20" t="s">
        <v>76</v>
      </c>
      <c r="O15" s="20" t="s">
        <v>76</v>
      </c>
      <c r="P15" s="26" t="s">
        <v>76</v>
      </c>
    </row>
    <row r="16" spans="1:16">
      <c r="A16" s="9" t="s">
        <v>271</v>
      </c>
      <c r="B16" s="15">
        <v>0.43852873437350698</v>
      </c>
      <c r="C16" s="20" t="s">
        <v>76</v>
      </c>
      <c r="D16" s="26" t="s">
        <v>76</v>
      </c>
      <c r="E16" s="20" t="s">
        <v>76</v>
      </c>
      <c r="F16" s="20" t="s">
        <v>76</v>
      </c>
      <c r="G16" s="26" t="s">
        <v>76</v>
      </c>
      <c r="H16" s="20" t="s">
        <v>76</v>
      </c>
      <c r="I16" s="20" t="s">
        <v>76</v>
      </c>
      <c r="J16" s="26" t="s">
        <v>76</v>
      </c>
      <c r="K16" s="20" t="s">
        <v>76</v>
      </c>
      <c r="L16" s="20" t="s">
        <v>76</v>
      </c>
      <c r="M16" s="26" t="s">
        <v>76</v>
      </c>
      <c r="N16" s="20" t="s">
        <v>76</v>
      </c>
      <c r="O16" s="20" t="s">
        <v>76</v>
      </c>
      <c r="P16" s="26" t="s">
        <v>76</v>
      </c>
    </row>
    <row r="17" spans="1:16">
      <c r="A17" s="9" t="s">
        <v>272</v>
      </c>
      <c r="B17" s="15">
        <v>4.4652225857944199</v>
      </c>
      <c r="C17" s="15">
        <v>5.1506940623114899</v>
      </c>
      <c r="D17" s="24">
        <v>3.9116559288838699</v>
      </c>
      <c r="E17" s="15">
        <v>4.8099202199421001</v>
      </c>
      <c r="F17" s="15">
        <v>5.7161414361490701</v>
      </c>
      <c r="G17" s="24">
        <v>4.0728194273671701</v>
      </c>
      <c r="H17" s="15">
        <v>4.1610301194688999</v>
      </c>
      <c r="I17" s="15">
        <v>4.6422159077518703</v>
      </c>
      <c r="J17" s="24">
        <v>3.7639444208146902</v>
      </c>
      <c r="K17" s="20" t="s">
        <v>76</v>
      </c>
      <c r="L17" s="20" t="s">
        <v>76</v>
      </c>
      <c r="M17" s="26" t="s">
        <v>76</v>
      </c>
      <c r="N17" s="20" t="s">
        <v>76</v>
      </c>
      <c r="O17" s="20" t="s">
        <v>76</v>
      </c>
      <c r="P17" s="26" t="s">
        <v>76</v>
      </c>
    </row>
    <row r="18" spans="1:16">
      <c r="A18" s="9" t="s">
        <v>273</v>
      </c>
      <c r="B18" s="15">
        <v>9.8036874695669898</v>
      </c>
      <c r="C18" s="15">
        <v>11.7970557164723</v>
      </c>
      <c r="D18" s="24">
        <v>8.1939017465522195</v>
      </c>
      <c r="E18" s="15">
        <v>2.9777082257471101</v>
      </c>
      <c r="F18" s="15">
        <v>4.5691545962071798</v>
      </c>
      <c r="G18" s="24">
        <v>1.6832600711160599</v>
      </c>
      <c r="H18" s="15">
        <v>16.984393525897001</v>
      </c>
      <c r="I18" s="15">
        <v>19.422148331791</v>
      </c>
      <c r="J18" s="24">
        <v>14.972701589399501</v>
      </c>
      <c r="K18" s="20" t="s">
        <v>76</v>
      </c>
      <c r="L18" s="20" t="s">
        <v>76</v>
      </c>
      <c r="M18" s="26" t="s">
        <v>76</v>
      </c>
      <c r="N18" s="20" t="s">
        <v>76</v>
      </c>
      <c r="O18" s="20" t="s">
        <v>76</v>
      </c>
      <c r="P18" s="26" t="s">
        <v>76</v>
      </c>
    </row>
    <row r="19" spans="1:16">
      <c r="A19" s="9" t="s">
        <v>274</v>
      </c>
      <c r="B19" s="15">
        <v>4.1610479326508196</v>
      </c>
      <c r="C19" s="15">
        <v>5.8440450433441704</v>
      </c>
      <c r="D19" s="24">
        <v>2.8019088348572501</v>
      </c>
      <c r="E19" s="15">
        <v>4.2180223231908096</v>
      </c>
      <c r="F19" s="15">
        <v>6.3564428386472001</v>
      </c>
      <c r="G19" s="24">
        <v>2.4786771957408198</v>
      </c>
      <c r="H19" s="15">
        <v>3.9370416520418599</v>
      </c>
      <c r="I19" s="15">
        <v>5.19076781866183</v>
      </c>
      <c r="J19" s="24">
        <v>2.9024376738782198</v>
      </c>
      <c r="K19" s="20" t="s">
        <v>76</v>
      </c>
      <c r="L19" s="20" t="s">
        <v>76</v>
      </c>
      <c r="M19" s="26" t="s">
        <v>76</v>
      </c>
      <c r="N19" s="20" t="s">
        <v>76</v>
      </c>
      <c r="O19" s="20" t="s">
        <v>76</v>
      </c>
      <c r="P19" s="26" t="s">
        <v>76</v>
      </c>
    </row>
    <row r="20" spans="1:16">
      <c r="A20" s="9" t="s">
        <v>275</v>
      </c>
      <c r="B20" s="15">
        <v>0.70520493860313904</v>
      </c>
      <c r="C20" s="15">
        <v>1.13248950358615</v>
      </c>
      <c r="D20" s="26" t="s">
        <v>76</v>
      </c>
      <c r="E20" s="15">
        <v>0.82181705720683595</v>
      </c>
      <c r="F20" s="20" t="s">
        <v>76</v>
      </c>
      <c r="G20" s="26" t="s">
        <v>76</v>
      </c>
      <c r="H20" s="20" t="s">
        <v>76</v>
      </c>
      <c r="I20" s="20" t="s">
        <v>76</v>
      </c>
      <c r="J20" s="26" t="s">
        <v>76</v>
      </c>
      <c r="K20" s="20" t="s">
        <v>76</v>
      </c>
      <c r="L20" s="20" t="s">
        <v>76</v>
      </c>
      <c r="M20" s="26" t="s">
        <v>76</v>
      </c>
      <c r="N20" s="20" t="s">
        <v>76</v>
      </c>
      <c r="O20" s="20" t="s">
        <v>76</v>
      </c>
      <c r="P20" s="26" t="s">
        <v>76</v>
      </c>
    </row>
    <row r="21" spans="1:16">
      <c r="A21" s="9" t="s">
        <v>276</v>
      </c>
      <c r="B21" s="15">
        <v>2.84427294119457</v>
      </c>
      <c r="C21" s="15">
        <v>2.4666048964335001</v>
      </c>
      <c r="D21" s="24">
        <v>3.1492665756818901</v>
      </c>
      <c r="E21" s="15">
        <v>1.4085518879254499</v>
      </c>
      <c r="F21" s="15">
        <v>1.8168389425488101</v>
      </c>
      <c r="G21" s="26" t="s">
        <v>76</v>
      </c>
      <c r="H21" s="15">
        <v>4.4521089451966702</v>
      </c>
      <c r="I21" s="15">
        <v>3.2060912762087499</v>
      </c>
      <c r="J21" s="24">
        <v>5.4803516919142998</v>
      </c>
      <c r="K21" s="20" t="s">
        <v>76</v>
      </c>
      <c r="L21" s="20" t="s">
        <v>76</v>
      </c>
      <c r="M21" s="26" t="s">
        <v>76</v>
      </c>
      <c r="N21" s="20" t="s">
        <v>76</v>
      </c>
      <c r="O21" s="20" t="s">
        <v>76</v>
      </c>
      <c r="P21" s="26" t="s">
        <v>76</v>
      </c>
    </row>
    <row r="22" spans="1:16">
      <c r="A22" s="9" t="s">
        <v>277</v>
      </c>
      <c r="B22" s="15">
        <v>0.95580138791602698</v>
      </c>
      <c r="C22" s="15">
        <v>1.27538897227676</v>
      </c>
      <c r="D22" s="26" t="s">
        <v>76</v>
      </c>
      <c r="E22" s="15">
        <v>1.4731729940831999</v>
      </c>
      <c r="F22" s="15">
        <v>1.80565999634106</v>
      </c>
      <c r="G22" s="26" t="s">
        <v>76</v>
      </c>
      <c r="H22" s="20" t="s">
        <v>76</v>
      </c>
      <c r="I22" s="20" t="s">
        <v>76</v>
      </c>
      <c r="J22" s="26" t="s">
        <v>76</v>
      </c>
      <c r="K22" s="20" t="s">
        <v>76</v>
      </c>
      <c r="L22" s="20" t="s">
        <v>76</v>
      </c>
      <c r="M22" s="26" t="s">
        <v>76</v>
      </c>
      <c r="N22" s="20" t="s">
        <v>76</v>
      </c>
      <c r="O22" s="20" t="s">
        <v>76</v>
      </c>
      <c r="P22" s="26" t="s">
        <v>76</v>
      </c>
    </row>
    <row r="23" spans="1:16">
      <c r="A23" s="9" t="s">
        <v>278</v>
      </c>
      <c r="B23" s="15">
        <v>5.8274403139583297</v>
      </c>
      <c r="C23" s="15">
        <v>3.7835432640136601</v>
      </c>
      <c r="D23" s="24">
        <v>7.4780316161028102</v>
      </c>
      <c r="E23" s="15">
        <v>3.6047776297253802</v>
      </c>
      <c r="F23" s="15">
        <v>2.5972501492583202</v>
      </c>
      <c r="G23" s="24">
        <v>4.4242787527532501</v>
      </c>
      <c r="H23" s="15">
        <v>8.3590961346501302</v>
      </c>
      <c r="I23" s="15">
        <v>5.0052199864258897</v>
      </c>
      <c r="J23" s="24">
        <v>11.126792699982101</v>
      </c>
      <c r="K23" s="20" t="s">
        <v>76</v>
      </c>
      <c r="L23" s="20" t="s">
        <v>76</v>
      </c>
      <c r="M23" s="26" t="s">
        <v>76</v>
      </c>
      <c r="N23" s="20" t="s">
        <v>76</v>
      </c>
      <c r="O23" s="20" t="s">
        <v>76</v>
      </c>
      <c r="P23" s="26" t="s">
        <v>76</v>
      </c>
    </row>
    <row r="24" spans="1:16">
      <c r="A24" s="9" t="s">
        <v>279</v>
      </c>
      <c r="B24" s="15">
        <v>24.719469903006601</v>
      </c>
      <c r="C24" s="15">
        <v>25.021157674139701</v>
      </c>
      <c r="D24" s="24">
        <v>24.475835708706501</v>
      </c>
      <c r="E24" s="15">
        <v>34.809684907492802</v>
      </c>
      <c r="F24" s="15">
        <v>33.539785534627399</v>
      </c>
      <c r="G24" s="24">
        <v>35.8425936691606</v>
      </c>
      <c r="H24" s="15">
        <v>14.7046447397002</v>
      </c>
      <c r="I24" s="15">
        <v>16.300419516883998</v>
      </c>
      <c r="J24" s="24">
        <v>13.3877742964688</v>
      </c>
      <c r="K24" s="20" t="s">
        <v>76</v>
      </c>
      <c r="L24" s="20" t="s">
        <v>76</v>
      </c>
      <c r="M24" s="26" t="s">
        <v>76</v>
      </c>
      <c r="N24" s="20" t="s">
        <v>76</v>
      </c>
      <c r="O24" s="20" t="s">
        <v>76</v>
      </c>
      <c r="P24" s="26" t="s">
        <v>76</v>
      </c>
    </row>
    <row r="25" spans="1:16">
      <c r="A25" s="9" t="s">
        <v>280</v>
      </c>
      <c r="B25" s="15">
        <v>0.41951295330065702</v>
      </c>
      <c r="C25" s="20" t="s">
        <v>76</v>
      </c>
      <c r="D25" s="26" t="s">
        <v>76</v>
      </c>
      <c r="E25" s="20" t="s">
        <v>76</v>
      </c>
      <c r="F25" s="20" t="s">
        <v>76</v>
      </c>
      <c r="G25" s="26" t="s">
        <v>76</v>
      </c>
      <c r="H25" s="20" t="s">
        <v>76</v>
      </c>
      <c r="I25" s="20" t="s">
        <v>76</v>
      </c>
      <c r="J25" s="26" t="s">
        <v>76</v>
      </c>
      <c r="K25" s="20" t="s">
        <v>76</v>
      </c>
      <c r="L25" s="20" t="s">
        <v>76</v>
      </c>
      <c r="M25" s="26" t="s">
        <v>76</v>
      </c>
      <c r="N25" s="20" t="s">
        <v>76</v>
      </c>
      <c r="O25" s="20" t="s">
        <v>76</v>
      </c>
      <c r="P25" s="26" t="s">
        <v>76</v>
      </c>
    </row>
    <row r="26" spans="1:16">
      <c r="A26" s="9" t="s">
        <v>281</v>
      </c>
      <c r="B26" s="15">
        <v>3.8982218986916299</v>
      </c>
      <c r="C26" s="15">
        <v>4.5533899811148997</v>
      </c>
      <c r="D26" s="24">
        <v>3.3691273739356999</v>
      </c>
      <c r="E26" s="15">
        <v>4.9633458297499304</v>
      </c>
      <c r="F26" s="15">
        <v>5.4728015778578003</v>
      </c>
      <c r="G26" s="24">
        <v>4.5489655117919003</v>
      </c>
      <c r="H26" s="15">
        <v>2.82934223899806</v>
      </c>
      <c r="I26" s="15">
        <v>3.6951709467365599</v>
      </c>
      <c r="J26" s="24">
        <v>2.1148402613855399</v>
      </c>
      <c r="K26" s="20" t="s">
        <v>76</v>
      </c>
      <c r="L26" s="20" t="s">
        <v>76</v>
      </c>
      <c r="M26" s="26" t="s">
        <v>76</v>
      </c>
      <c r="N26" s="20" t="s">
        <v>76</v>
      </c>
      <c r="O26" s="20" t="s">
        <v>76</v>
      </c>
      <c r="P26" s="26" t="s">
        <v>76</v>
      </c>
    </row>
    <row r="27" spans="1:16">
      <c r="A27" s="9" t="s">
        <v>282</v>
      </c>
      <c r="B27" s="15">
        <v>6.6802375555288904</v>
      </c>
      <c r="C27" s="15">
        <v>8.9795837981501005</v>
      </c>
      <c r="D27" s="24">
        <v>4.8233529786898002</v>
      </c>
      <c r="E27" s="15">
        <v>2.14578292476246</v>
      </c>
      <c r="F27" s="15">
        <v>3.1674361617740301</v>
      </c>
      <c r="G27" s="26" t="s">
        <v>76</v>
      </c>
      <c r="H27" s="15">
        <v>11.5433606116453</v>
      </c>
      <c r="I27" s="15">
        <v>15.246771644175301</v>
      </c>
      <c r="J27" s="24">
        <v>8.4872197341197708</v>
      </c>
      <c r="K27" s="20" t="s">
        <v>76</v>
      </c>
      <c r="L27" s="20" t="s">
        <v>76</v>
      </c>
      <c r="M27" s="26" t="s">
        <v>76</v>
      </c>
      <c r="N27" s="20" t="s">
        <v>76</v>
      </c>
      <c r="O27" s="20" t="s">
        <v>76</v>
      </c>
      <c r="P27" s="26" t="s">
        <v>76</v>
      </c>
    </row>
    <row r="28" spans="1:16">
      <c r="A28" s="9" t="s">
        <v>283</v>
      </c>
      <c r="B28" s="15">
        <v>4.1307816492107596</v>
      </c>
      <c r="C28" s="15">
        <v>5.5117350572350201</v>
      </c>
      <c r="D28" s="24">
        <v>3.01556418558491</v>
      </c>
      <c r="E28" s="15">
        <v>1.4571964560938599</v>
      </c>
      <c r="F28" s="15">
        <v>2.3324451097996599</v>
      </c>
      <c r="G28" s="26" t="s">
        <v>76</v>
      </c>
      <c r="H28" s="15">
        <v>6.9203711886248298</v>
      </c>
      <c r="I28" s="15">
        <v>8.7459826074991298</v>
      </c>
      <c r="J28" s="24">
        <v>5.4138342056403799</v>
      </c>
      <c r="K28" s="20" t="s">
        <v>76</v>
      </c>
      <c r="L28" s="20" t="s">
        <v>76</v>
      </c>
      <c r="M28" s="26" t="s">
        <v>76</v>
      </c>
      <c r="N28" s="20" t="s">
        <v>76</v>
      </c>
      <c r="O28" s="20" t="s">
        <v>76</v>
      </c>
      <c r="P28" s="26" t="s">
        <v>76</v>
      </c>
    </row>
    <row r="29" spans="1:16">
      <c r="A29" s="9" t="s">
        <v>284</v>
      </c>
      <c r="B29" s="15">
        <v>0.56424687593223899</v>
      </c>
      <c r="C29" s="15">
        <v>0.85509956299688705</v>
      </c>
      <c r="D29" s="26" t="s">
        <v>76</v>
      </c>
      <c r="E29" s="20" t="s">
        <v>76</v>
      </c>
      <c r="F29" s="20" t="s">
        <v>76</v>
      </c>
      <c r="G29" s="26" t="s">
        <v>76</v>
      </c>
      <c r="H29" s="20" t="s">
        <v>76</v>
      </c>
      <c r="I29" s="20" t="s">
        <v>76</v>
      </c>
      <c r="J29" s="26" t="s">
        <v>76</v>
      </c>
      <c r="K29" s="20" t="s">
        <v>76</v>
      </c>
      <c r="L29" s="20" t="s">
        <v>76</v>
      </c>
      <c r="M29" s="26" t="s">
        <v>76</v>
      </c>
      <c r="N29" s="20" t="s">
        <v>76</v>
      </c>
      <c r="O29" s="20" t="s">
        <v>76</v>
      </c>
      <c r="P29" s="26" t="s">
        <v>76</v>
      </c>
    </row>
    <row r="30" spans="1:16">
      <c r="A30" s="9" t="s">
        <v>285</v>
      </c>
      <c r="B30" s="15">
        <v>4.4480297089964402</v>
      </c>
      <c r="C30" s="15">
        <v>4.3214197821297304</v>
      </c>
      <c r="D30" s="24">
        <v>4.5502761719760603</v>
      </c>
      <c r="E30" s="15">
        <v>5.0265416543067296</v>
      </c>
      <c r="F30" s="15">
        <v>5.4328624916613002</v>
      </c>
      <c r="G30" s="24">
        <v>4.6960490484203596</v>
      </c>
      <c r="H30" s="15">
        <v>3.7272824392670101</v>
      </c>
      <c r="I30" s="15">
        <v>3.1177419485867501</v>
      </c>
      <c r="J30" s="24">
        <v>4.2302894222111398</v>
      </c>
      <c r="K30" s="20" t="s">
        <v>76</v>
      </c>
      <c r="L30" s="20" t="s">
        <v>76</v>
      </c>
      <c r="M30" s="26" t="s">
        <v>76</v>
      </c>
      <c r="N30" s="20" t="s">
        <v>76</v>
      </c>
      <c r="O30" s="20" t="s">
        <v>76</v>
      </c>
      <c r="P30" s="26" t="s">
        <v>76</v>
      </c>
    </row>
    <row r="31" spans="1:16">
      <c r="A31" s="9" t="s">
        <v>286</v>
      </c>
      <c r="B31" s="15">
        <v>5.9808986681108296</v>
      </c>
      <c r="C31" s="15">
        <v>6.9067091531790998</v>
      </c>
      <c r="D31" s="24">
        <v>5.2332412779652602</v>
      </c>
      <c r="E31" s="15">
        <v>6.9518925113413799</v>
      </c>
      <c r="F31" s="15">
        <v>8.5692005194821395</v>
      </c>
      <c r="G31" s="24">
        <v>5.6364090583849302</v>
      </c>
      <c r="H31" s="15">
        <v>4.9387377323219104</v>
      </c>
      <c r="I31" s="15">
        <v>5.2499506304603196</v>
      </c>
      <c r="J31" s="24">
        <v>4.6819176139878502</v>
      </c>
      <c r="K31" s="20" t="s">
        <v>76</v>
      </c>
      <c r="L31" s="20" t="s">
        <v>76</v>
      </c>
      <c r="M31" s="26" t="s">
        <v>76</v>
      </c>
      <c r="N31" s="20" t="s">
        <v>76</v>
      </c>
      <c r="O31" s="20" t="s">
        <v>76</v>
      </c>
      <c r="P31" s="26" t="s">
        <v>76</v>
      </c>
    </row>
    <row r="32" spans="1:16">
      <c r="A32" s="9" t="s">
        <v>287</v>
      </c>
      <c r="B32" s="20" t="s">
        <v>76</v>
      </c>
      <c r="C32" s="20" t="s">
        <v>76</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c r="A33" s="9" t="s">
        <v>288</v>
      </c>
      <c r="B33" s="15">
        <v>3.4746086509340302</v>
      </c>
      <c r="C33" s="15">
        <v>3.9144741210191198</v>
      </c>
      <c r="D33" s="24">
        <v>3.1193862002456201</v>
      </c>
      <c r="E33" s="15">
        <v>2.8705212517946102</v>
      </c>
      <c r="F33" s="15">
        <v>3.2190365067892701</v>
      </c>
      <c r="G33" s="24">
        <v>2.5870464598930898</v>
      </c>
      <c r="H33" s="15">
        <v>4.1721474099946798</v>
      </c>
      <c r="I33" s="15">
        <v>4.5732880465115704</v>
      </c>
      <c r="J33" s="24">
        <v>3.8411168313936299</v>
      </c>
      <c r="K33" s="20" t="s">
        <v>76</v>
      </c>
      <c r="L33" s="20" t="s">
        <v>76</v>
      </c>
      <c r="M33" s="26" t="s">
        <v>76</v>
      </c>
      <c r="N33" s="20" t="s">
        <v>76</v>
      </c>
      <c r="O33" s="20" t="s">
        <v>76</v>
      </c>
      <c r="P33" s="26" t="s">
        <v>76</v>
      </c>
    </row>
    <row r="34" spans="1:16">
      <c r="A34" s="9" t="s">
        <v>289</v>
      </c>
      <c r="B34" s="15">
        <v>2.2989601539873599</v>
      </c>
      <c r="C34" s="15">
        <v>2.1936983483110701</v>
      </c>
      <c r="D34" s="24">
        <v>2.3839665005164199</v>
      </c>
      <c r="E34" s="15">
        <v>2.94491757141614</v>
      </c>
      <c r="F34" s="15">
        <v>2.74958695355215</v>
      </c>
      <c r="G34" s="24">
        <v>3.10379528324497</v>
      </c>
      <c r="H34" s="15">
        <v>1.63138999402403</v>
      </c>
      <c r="I34" s="15">
        <v>1.6651425426606801</v>
      </c>
      <c r="J34" s="24">
        <v>1.6035366062409599</v>
      </c>
      <c r="K34" s="20" t="s">
        <v>76</v>
      </c>
      <c r="L34" s="20" t="s">
        <v>76</v>
      </c>
      <c r="M34" s="26" t="s">
        <v>76</v>
      </c>
      <c r="N34" s="20" t="s">
        <v>76</v>
      </c>
      <c r="O34" s="20" t="s">
        <v>76</v>
      </c>
      <c r="P34" s="26" t="s">
        <v>76</v>
      </c>
    </row>
    <row r="35" spans="1:16">
      <c r="A35" s="9" t="s">
        <v>290</v>
      </c>
      <c r="B35" s="15">
        <v>2.0289684767509701</v>
      </c>
      <c r="C35" s="15">
        <v>2.3018390487509302</v>
      </c>
      <c r="D35" s="24">
        <v>1.80860620715108</v>
      </c>
      <c r="E35" s="15">
        <v>2.5075998609532002</v>
      </c>
      <c r="F35" s="15">
        <v>2.9184949495930499</v>
      </c>
      <c r="G35" s="24">
        <v>2.17338665772533</v>
      </c>
      <c r="H35" s="15">
        <v>1.4548868289821899</v>
      </c>
      <c r="I35" s="15">
        <v>1.67020174146349</v>
      </c>
      <c r="J35" s="26" t="s">
        <v>76</v>
      </c>
      <c r="K35" s="20" t="s">
        <v>76</v>
      </c>
      <c r="L35" s="20" t="s">
        <v>76</v>
      </c>
      <c r="M35" s="26" t="s">
        <v>76</v>
      </c>
      <c r="N35" s="20" t="s">
        <v>76</v>
      </c>
      <c r="O35" s="20" t="s">
        <v>76</v>
      </c>
      <c r="P35" s="26" t="s">
        <v>76</v>
      </c>
    </row>
    <row r="36" spans="1:16">
      <c r="A36" s="9" t="s">
        <v>291</v>
      </c>
      <c r="B36" s="15">
        <v>8.2209174065122905</v>
      </c>
      <c r="C36" s="15">
        <v>6.6172965993863002</v>
      </c>
      <c r="D36" s="24">
        <v>9.51595452995827</v>
      </c>
      <c r="E36" s="15">
        <v>1.09425726697569</v>
      </c>
      <c r="F36" s="15">
        <v>1.7878318023747699</v>
      </c>
      <c r="G36" s="26" t="s">
        <v>76</v>
      </c>
      <c r="H36" s="15">
        <v>16.0300260273638</v>
      </c>
      <c r="I36" s="15">
        <v>11.889171399349101</v>
      </c>
      <c r="J36" s="24">
        <v>19.447155529168299</v>
      </c>
      <c r="K36" s="20" t="s">
        <v>76</v>
      </c>
      <c r="L36" s="20" t="s">
        <v>76</v>
      </c>
      <c r="M36" s="26" t="s">
        <v>76</v>
      </c>
      <c r="N36" s="20" t="s">
        <v>76</v>
      </c>
      <c r="O36" s="20" t="s">
        <v>76</v>
      </c>
      <c r="P36" s="26" t="s">
        <v>76</v>
      </c>
    </row>
    <row r="37" spans="1:16">
      <c r="A37" s="9" t="s">
        <v>292</v>
      </c>
      <c r="B37" s="15">
        <v>2.0226900540931201</v>
      </c>
      <c r="C37" s="15">
        <v>2.0055598525388998</v>
      </c>
      <c r="D37" s="24">
        <v>2.0365239023733599</v>
      </c>
      <c r="E37" s="15">
        <v>1.84968880705018</v>
      </c>
      <c r="F37" s="15">
        <v>1.71023476268338</v>
      </c>
      <c r="G37" s="24">
        <v>1.96311771909969</v>
      </c>
      <c r="H37" s="15">
        <v>2.15807015944858</v>
      </c>
      <c r="I37" s="15">
        <v>2.31223276929643</v>
      </c>
      <c r="J37" s="24">
        <v>2.03085158997207</v>
      </c>
      <c r="K37" s="20" t="s">
        <v>76</v>
      </c>
      <c r="L37" s="20" t="s">
        <v>76</v>
      </c>
      <c r="M37" s="26" t="s">
        <v>76</v>
      </c>
      <c r="N37" s="20" t="s">
        <v>76</v>
      </c>
      <c r="O37" s="20" t="s">
        <v>76</v>
      </c>
      <c r="P37" s="26" t="s">
        <v>76</v>
      </c>
    </row>
    <row r="38" spans="1:16">
      <c r="A38" s="9" t="s">
        <v>293</v>
      </c>
      <c r="B38" s="15">
        <v>2.8498261488849899</v>
      </c>
      <c r="C38" s="15">
        <v>4.6439979560617601</v>
      </c>
      <c r="D38" s="24">
        <v>1.40090562739445</v>
      </c>
      <c r="E38" s="15">
        <v>3.14796098520987</v>
      </c>
      <c r="F38" s="15">
        <v>4.5816543218673296</v>
      </c>
      <c r="G38" s="24">
        <v>1.9818257459767901</v>
      </c>
      <c r="H38" s="15">
        <v>2.5582218264995</v>
      </c>
      <c r="I38" s="15">
        <v>4.6790577106237903</v>
      </c>
      <c r="J38" s="26" t="s">
        <v>76</v>
      </c>
      <c r="K38" s="20" t="s">
        <v>76</v>
      </c>
      <c r="L38" s="20" t="s">
        <v>76</v>
      </c>
      <c r="M38" s="26" t="s">
        <v>76</v>
      </c>
      <c r="N38" s="20" t="s">
        <v>76</v>
      </c>
      <c r="O38" s="20" t="s">
        <v>76</v>
      </c>
      <c r="P38" s="26" t="s">
        <v>76</v>
      </c>
    </row>
    <row r="39" spans="1:16">
      <c r="A39" s="9" t="s">
        <v>294</v>
      </c>
      <c r="B39" s="15">
        <v>2.7408897995202102</v>
      </c>
      <c r="C39" s="15">
        <v>2.8418602340223802</v>
      </c>
      <c r="D39" s="24">
        <v>2.65934903846889</v>
      </c>
      <c r="E39" s="15">
        <v>3.8302143303995702</v>
      </c>
      <c r="F39" s="15">
        <v>3.6761071003213801</v>
      </c>
      <c r="G39" s="24">
        <v>3.9555618276779998</v>
      </c>
      <c r="H39" s="15">
        <v>1.61885383251767</v>
      </c>
      <c r="I39" s="15">
        <v>2.0451465035107201</v>
      </c>
      <c r="J39" s="26" t="s">
        <v>76</v>
      </c>
      <c r="K39" s="20" t="s">
        <v>76</v>
      </c>
      <c r="L39" s="20" t="s">
        <v>76</v>
      </c>
      <c r="M39" s="26" t="s">
        <v>76</v>
      </c>
      <c r="N39" s="20" t="s">
        <v>76</v>
      </c>
      <c r="O39" s="20" t="s">
        <v>76</v>
      </c>
      <c r="P39" s="26" t="s">
        <v>76</v>
      </c>
    </row>
    <row r="40" spans="1:16">
      <c r="A40" s="9" t="s">
        <v>295</v>
      </c>
      <c r="B40" s="15">
        <v>0.96656454371757905</v>
      </c>
      <c r="C40" s="15">
        <v>1.3197456451953999</v>
      </c>
      <c r="D40" s="24">
        <v>0.681345846329236</v>
      </c>
      <c r="E40" s="15">
        <v>0.76244672938043301</v>
      </c>
      <c r="F40" s="20" t="s">
        <v>76</v>
      </c>
      <c r="G40" s="26" t="s">
        <v>76</v>
      </c>
      <c r="H40" s="15">
        <v>1.1913041840632601</v>
      </c>
      <c r="I40" s="15">
        <v>1.7557620330013799</v>
      </c>
      <c r="J40" s="26" t="s">
        <v>76</v>
      </c>
      <c r="K40" s="20" t="s">
        <v>76</v>
      </c>
      <c r="L40" s="20" t="s">
        <v>76</v>
      </c>
      <c r="M40" s="26" t="s">
        <v>76</v>
      </c>
      <c r="N40" s="20" t="s">
        <v>76</v>
      </c>
      <c r="O40" s="20" t="s">
        <v>76</v>
      </c>
      <c r="P40" s="26" t="s">
        <v>76</v>
      </c>
    </row>
    <row r="41" spans="1:16">
      <c r="A41" s="9" t="s">
        <v>296</v>
      </c>
      <c r="B41" s="15">
        <v>3.4227933727771398</v>
      </c>
      <c r="C41" s="15">
        <v>4.6929237703698199</v>
      </c>
      <c r="D41" s="24">
        <v>2.39707332150912</v>
      </c>
      <c r="E41" s="15">
        <v>3.3823195987364301</v>
      </c>
      <c r="F41" s="15">
        <v>5.0862671960051404</v>
      </c>
      <c r="G41" s="24">
        <v>1.99636537255988</v>
      </c>
      <c r="H41" s="15">
        <v>3.41209946122332</v>
      </c>
      <c r="I41" s="15">
        <v>4.3009038854767896</v>
      </c>
      <c r="J41" s="24">
        <v>2.6786373882243799</v>
      </c>
      <c r="K41" s="20" t="s">
        <v>76</v>
      </c>
      <c r="L41" s="20" t="s">
        <v>76</v>
      </c>
      <c r="M41" s="26" t="s">
        <v>76</v>
      </c>
      <c r="N41" s="20" t="s">
        <v>76</v>
      </c>
      <c r="O41" s="20" t="s">
        <v>76</v>
      </c>
      <c r="P41" s="26" t="s">
        <v>76</v>
      </c>
    </row>
    <row r="42" spans="1:16">
      <c r="A42" s="9" t="s">
        <v>297</v>
      </c>
      <c r="B42" s="15">
        <v>1.1259552720969099</v>
      </c>
      <c r="C42" s="15">
        <v>1.45519666623582</v>
      </c>
      <c r="D42" s="24">
        <v>0.86006958011143697</v>
      </c>
      <c r="E42" s="15">
        <v>1.4680017166493999</v>
      </c>
      <c r="F42" s="15">
        <v>1.70936928190377</v>
      </c>
      <c r="G42" s="26" t="s">
        <v>76</v>
      </c>
      <c r="H42" s="15">
        <v>0.81044107360274198</v>
      </c>
      <c r="I42" s="15">
        <v>1.25162713768093</v>
      </c>
      <c r="J42" s="26" t="s">
        <v>76</v>
      </c>
      <c r="K42" s="20" t="s">
        <v>76</v>
      </c>
      <c r="L42" s="20" t="s">
        <v>76</v>
      </c>
      <c r="M42" s="26" t="s">
        <v>76</v>
      </c>
      <c r="N42" s="20" t="s">
        <v>76</v>
      </c>
      <c r="O42" s="20" t="s">
        <v>76</v>
      </c>
      <c r="P42" s="26" t="s">
        <v>76</v>
      </c>
    </row>
    <row r="43" spans="1:16">
      <c r="A43" s="9" t="s">
        <v>298</v>
      </c>
      <c r="B43" s="15">
        <v>19.133228108134499</v>
      </c>
      <c r="C43" s="15">
        <v>19.149613301622399</v>
      </c>
      <c r="D43" s="24">
        <v>19.1199959065146</v>
      </c>
      <c r="E43" s="15">
        <v>28.353960742750601</v>
      </c>
      <c r="F43" s="15">
        <v>27.673861240786099</v>
      </c>
      <c r="G43" s="24">
        <v>28.9071390097814</v>
      </c>
      <c r="H43" s="15">
        <v>9.9742288970544699</v>
      </c>
      <c r="I43" s="15">
        <v>10.5843891387665</v>
      </c>
      <c r="J43" s="24">
        <v>9.4707104811515599</v>
      </c>
      <c r="K43" s="20" t="s">
        <v>76</v>
      </c>
      <c r="L43" s="20" t="s">
        <v>76</v>
      </c>
      <c r="M43" s="26" t="s">
        <v>76</v>
      </c>
      <c r="N43" s="20" t="s">
        <v>76</v>
      </c>
      <c r="O43" s="20" t="s">
        <v>76</v>
      </c>
      <c r="P43" s="26" t="s">
        <v>76</v>
      </c>
    </row>
    <row r="44" spans="1:16">
      <c r="A44" s="9" t="s">
        <v>299</v>
      </c>
      <c r="B44" s="15">
        <v>10.2531426249286</v>
      </c>
      <c r="C44" s="15">
        <v>11.661767639554</v>
      </c>
      <c r="D44" s="24">
        <v>9.1155783835266604</v>
      </c>
      <c r="E44" s="15">
        <v>11.326513593513599</v>
      </c>
      <c r="F44" s="15">
        <v>12.9092797731305</v>
      </c>
      <c r="G44" s="24">
        <v>10.0391257189066</v>
      </c>
      <c r="H44" s="15">
        <v>9.3032582062671896</v>
      </c>
      <c r="I44" s="15">
        <v>10.3925270118214</v>
      </c>
      <c r="J44" s="24">
        <v>8.4043682656079906</v>
      </c>
      <c r="K44" s="20" t="s">
        <v>76</v>
      </c>
      <c r="L44" s="20" t="s">
        <v>76</v>
      </c>
      <c r="M44" s="26" t="s">
        <v>76</v>
      </c>
      <c r="N44" s="20" t="s">
        <v>76</v>
      </c>
      <c r="O44" s="20" t="s">
        <v>76</v>
      </c>
      <c r="P44" s="26" t="s">
        <v>76</v>
      </c>
    </row>
    <row r="45" spans="1:16">
      <c r="A45" s="9" t="s">
        <v>300</v>
      </c>
      <c r="B45" s="15">
        <v>0.60412455592723002</v>
      </c>
      <c r="C45" s="15">
        <v>0.72969068596883202</v>
      </c>
      <c r="D45" s="26" t="s">
        <v>76</v>
      </c>
      <c r="E45" s="15">
        <v>0.70871000730712097</v>
      </c>
      <c r="F45" s="20" t="s">
        <v>76</v>
      </c>
      <c r="G45" s="26" t="s">
        <v>76</v>
      </c>
      <c r="H45" s="20" t="s">
        <v>76</v>
      </c>
      <c r="I45" s="20" t="s">
        <v>76</v>
      </c>
      <c r="J45" s="26" t="s">
        <v>76</v>
      </c>
      <c r="K45" s="20" t="s">
        <v>76</v>
      </c>
      <c r="L45" s="20" t="s">
        <v>76</v>
      </c>
      <c r="M45" s="26" t="s">
        <v>76</v>
      </c>
      <c r="N45" s="20" t="s">
        <v>76</v>
      </c>
      <c r="O45" s="20" t="s">
        <v>76</v>
      </c>
      <c r="P45" s="26" t="s">
        <v>76</v>
      </c>
    </row>
    <row r="46" spans="1:16">
      <c r="A46" s="9" t="s">
        <v>301</v>
      </c>
      <c r="B46" s="15">
        <v>1.23737131302467</v>
      </c>
      <c r="C46" s="15">
        <v>1.71958806154233</v>
      </c>
      <c r="D46" s="24">
        <v>0.84794721220060698</v>
      </c>
      <c r="E46" s="15">
        <v>1.2280079477220101</v>
      </c>
      <c r="F46" s="15">
        <v>1.84555247059664</v>
      </c>
      <c r="G46" s="26" t="s">
        <v>76</v>
      </c>
      <c r="H46" s="15">
        <v>1.2625132053933501</v>
      </c>
      <c r="I46" s="15">
        <v>1.6191527254344</v>
      </c>
      <c r="J46" s="26" t="s">
        <v>76</v>
      </c>
      <c r="K46" s="20" t="s">
        <v>76</v>
      </c>
      <c r="L46" s="20" t="s">
        <v>76</v>
      </c>
      <c r="M46" s="26" t="s">
        <v>76</v>
      </c>
      <c r="N46" s="20" t="s">
        <v>76</v>
      </c>
      <c r="O46" s="20" t="s">
        <v>76</v>
      </c>
      <c r="P46" s="26" t="s">
        <v>76</v>
      </c>
    </row>
    <row r="47" spans="1:16">
      <c r="A47" s="9" t="s">
        <v>302</v>
      </c>
      <c r="B47" s="15">
        <v>1.51657498042609</v>
      </c>
      <c r="C47" s="15">
        <v>1.5929804685470601</v>
      </c>
      <c r="D47" s="24">
        <v>1.4548721494875201</v>
      </c>
      <c r="E47" s="15">
        <v>1.6737654954549499</v>
      </c>
      <c r="F47" s="15">
        <v>1.7810231811402799</v>
      </c>
      <c r="G47" s="24">
        <v>1.5865244071704501</v>
      </c>
      <c r="H47" s="15">
        <v>1.34229552543078</v>
      </c>
      <c r="I47" s="15">
        <v>1.3804332466056299</v>
      </c>
      <c r="J47" s="26" t="s">
        <v>76</v>
      </c>
      <c r="K47" s="20" t="s">
        <v>76</v>
      </c>
      <c r="L47" s="20" t="s">
        <v>76</v>
      </c>
      <c r="M47" s="26" t="s">
        <v>76</v>
      </c>
      <c r="N47" s="20" t="s">
        <v>76</v>
      </c>
      <c r="O47" s="20" t="s">
        <v>76</v>
      </c>
      <c r="P47" s="26" t="s">
        <v>76</v>
      </c>
    </row>
    <row r="48" spans="1:16">
      <c r="A48" s="9" t="s">
        <v>303</v>
      </c>
      <c r="B48" s="15">
        <v>1.70691875502534</v>
      </c>
      <c r="C48" s="15">
        <v>1.8803081202607199</v>
      </c>
      <c r="D48" s="24">
        <v>1.5668945898406901</v>
      </c>
      <c r="E48" s="15">
        <v>1.7211291439559</v>
      </c>
      <c r="F48" s="15">
        <v>1.76730541582906</v>
      </c>
      <c r="G48" s="24">
        <v>1.6835703603088701</v>
      </c>
      <c r="H48" s="15">
        <v>1.63981920920349</v>
      </c>
      <c r="I48" s="15">
        <v>2.0330660789170198</v>
      </c>
      <c r="J48" s="26" t="s">
        <v>76</v>
      </c>
      <c r="K48" s="20" t="s">
        <v>76</v>
      </c>
      <c r="L48" s="20" t="s">
        <v>76</v>
      </c>
      <c r="M48" s="26" t="s">
        <v>76</v>
      </c>
      <c r="N48" s="20" t="s">
        <v>76</v>
      </c>
      <c r="O48" s="20" t="s">
        <v>76</v>
      </c>
      <c r="P48" s="26" t="s">
        <v>76</v>
      </c>
    </row>
    <row r="49" spans="1:16">
      <c r="A49" s="9" t="s">
        <v>304</v>
      </c>
      <c r="B49" s="15">
        <v>1.53276916047834</v>
      </c>
      <c r="C49" s="15">
        <v>2.0269192793308899</v>
      </c>
      <c r="D49" s="24">
        <v>1.13370801982365</v>
      </c>
      <c r="E49" s="15">
        <v>1.7080609129795901</v>
      </c>
      <c r="F49" s="15">
        <v>2.2368511324028799</v>
      </c>
      <c r="G49" s="26" t="s">
        <v>76</v>
      </c>
      <c r="H49" s="15">
        <v>1.25195975126083</v>
      </c>
      <c r="I49" s="15">
        <v>1.6396406286207801</v>
      </c>
      <c r="J49" s="26" t="s">
        <v>76</v>
      </c>
      <c r="K49" s="20" t="s">
        <v>76</v>
      </c>
      <c r="L49" s="20" t="s">
        <v>76</v>
      </c>
      <c r="M49" s="26" t="s">
        <v>76</v>
      </c>
      <c r="N49" s="20" t="s">
        <v>76</v>
      </c>
      <c r="O49" s="20" t="s">
        <v>76</v>
      </c>
      <c r="P49" s="26" t="s">
        <v>76</v>
      </c>
    </row>
    <row r="50" spans="1:16">
      <c r="A50" s="9" t="s">
        <v>305</v>
      </c>
      <c r="B50" s="15">
        <v>18.6576522918505</v>
      </c>
      <c r="C50" s="15">
        <v>25.769014399871899</v>
      </c>
      <c r="D50" s="24">
        <v>12.9147248571161</v>
      </c>
      <c r="E50" s="15">
        <v>17.232765598029999</v>
      </c>
      <c r="F50" s="15">
        <v>23.964409318724599</v>
      </c>
      <c r="G50" s="24">
        <v>11.757391778573201</v>
      </c>
      <c r="H50" s="15">
        <v>20.5880391963844</v>
      </c>
      <c r="I50" s="15">
        <v>27.888983919119401</v>
      </c>
      <c r="J50" s="24">
        <v>14.5631298855588</v>
      </c>
      <c r="K50" s="20" t="s">
        <v>76</v>
      </c>
      <c r="L50" s="20" t="s">
        <v>76</v>
      </c>
      <c r="M50" s="26" t="s">
        <v>76</v>
      </c>
      <c r="N50" s="20" t="s">
        <v>76</v>
      </c>
      <c r="O50" s="20" t="s">
        <v>76</v>
      </c>
      <c r="P50" s="26" t="s">
        <v>76</v>
      </c>
    </row>
    <row r="51" spans="1:16">
      <c r="A51" s="9" t="s">
        <v>306</v>
      </c>
      <c r="B51" s="15">
        <v>2.2852300457250898</v>
      </c>
      <c r="C51" s="15">
        <v>2.40660903268981</v>
      </c>
      <c r="D51" s="24">
        <v>2.1872079363666401</v>
      </c>
      <c r="E51" s="15">
        <v>2.6317572711564901</v>
      </c>
      <c r="F51" s="15">
        <v>2.7074074122334899</v>
      </c>
      <c r="G51" s="24">
        <v>2.5702250779689799</v>
      </c>
      <c r="H51" s="15">
        <v>1.89400136719007</v>
      </c>
      <c r="I51" s="15">
        <v>2.0971501507477401</v>
      </c>
      <c r="J51" s="24">
        <v>1.72635826838286</v>
      </c>
      <c r="K51" s="20" t="s">
        <v>76</v>
      </c>
      <c r="L51" s="20" t="s">
        <v>76</v>
      </c>
      <c r="M51" s="26" t="s">
        <v>76</v>
      </c>
      <c r="N51" s="20" t="s">
        <v>76</v>
      </c>
      <c r="O51" s="20" t="s">
        <v>76</v>
      </c>
      <c r="P51" s="26" t="s">
        <v>76</v>
      </c>
    </row>
    <row r="52" spans="1:16">
      <c r="A52" s="9" t="s">
        <v>307</v>
      </c>
      <c r="B52" s="15">
        <v>2.3787369725887699</v>
      </c>
      <c r="C52" s="15">
        <v>2.3044709467030602</v>
      </c>
      <c r="D52" s="24">
        <v>2.43871203658483</v>
      </c>
      <c r="E52" s="15">
        <v>3.0018778784169999</v>
      </c>
      <c r="F52" s="15">
        <v>3.1729407225038599</v>
      </c>
      <c r="G52" s="24">
        <v>2.8627390503896599</v>
      </c>
      <c r="H52" s="15">
        <v>1.5613482436875601</v>
      </c>
      <c r="I52" s="15">
        <v>1.4116172919724199</v>
      </c>
      <c r="J52" s="24">
        <v>1.6849097058498701</v>
      </c>
      <c r="K52" s="20" t="s">
        <v>76</v>
      </c>
      <c r="L52" s="20" t="s">
        <v>76</v>
      </c>
      <c r="M52" s="26" t="s">
        <v>76</v>
      </c>
      <c r="N52" s="20" t="s">
        <v>76</v>
      </c>
      <c r="O52" s="20" t="s">
        <v>76</v>
      </c>
      <c r="P52" s="26" t="s">
        <v>76</v>
      </c>
    </row>
    <row r="53" spans="1:16">
      <c r="A53" s="9" t="s">
        <v>308</v>
      </c>
      <c r="B53" s="15">
        <v>4.6380699067928397</v>
      </c>
      <c r="C53" s="15">
        <v>5.2556632571421202</v>
      </c>
      <c r="D53" s="24">
        <v>4.1393196334479097</v>
      </c>
      <c r="E53" s="15">
        <v>4.5256794193283998</v>
      </c>
      <c r="F53" s="15">
        <v>5.11921515297061</v>
      </c>
      <c r="G53" s="24">
        <v>4.04291025450972</v>
      </c>
      <c r="H53" s="15">
        <v>4.7757408391325198</v>
      </c>
      <c r="I53" s="15">
        <v>5.4962272659929496</v>
      </c>
      <c r="J53" s="24">
        <v>4.1811786904837902</v>
      </c>
      <c r="K53" s="20" t="s">
        <v>76</v>
      </c>
      <c r="L53" s="20" t="s">
        <v>76</v>
      </c>
      <c r="M53" s="26" t="s">
        <v>76</v>
      </c>
      <c r="N53" s="20" t="s">
        <v>76</v>
      </c>
      <c r="O53" s="20" t="s">
        <v>76</v>
      </c>
      <c r="P53" s="26" t="s">
        <v>76</v>
      </c>
    </row>
    <row r="54" spans="1:16">
      <c r="A54" s="9" t="s">
        <v>309</v>
      </c>
      <c r="B54" s="15">
        <v>3.0001365355740899</v>
      </c>
      <c r="C54" s="15">
        <v>4.1188717965333099</v>
      </c>
      <c r="D54" s="24">
        <v>2.0966787556474502</v>
      </c>
      <c r="E54" s="15">
        <v>2.5989428829809502</v>
      </c>
      <c r="F54" s="15">
        <v>3.74559753385003</v>
      </c>
      <c r="G54" s="24">
        <v>1.6662787201367399</v>
      </c>
      <c r="H54" s="15">
        <v>3.3161857700859501</v>
      </c>
      <c r="I54" s="15">
        <v>4.4591692169133701</v>
      </c>
      <c r="J54" s="24">
        <v>2.37296925873967</v>
      </c>
      <c r="K54" s="20" t="s">
        <v>76</v>
      </c>
      <c r="L54" s="20" t="s">
        <v>76</v>
      </c>
      <c r="M54" s="26" t="s">
        <v>76</v>
      </c>
      <c r="N54" s="20" t="s">
        <v>76</v>
      </c>
      <c r="O54" s="20" t="s">
        <v>76</v>
      </c>
      <c r="P54" s="26" t="s">
        <v>76</v>
      </c>
    </row>
    <row r="55" spans="1:16">
      <c r="A55" s="9" t="s">
        <v>310</v>
      </c>
      <c r="B55" s="15">
        <v>1.40883059237194</v>
      </c>
      <c r="C55" s="15">
        <v>1.7706290457107401</v>
      </c>
      <c r="D55" s="24">
        <v>1.1166527744008601</v>
      </c>
      <c r="E55" s="15">
        <v>1.2944111963599001</v>
      </c>
      <c r="F55" s="15">
        <v>1.6236149487781</v>
      </c>
      <c r="G55" s="26" t="s">
        <v>76</v>
      </c>
      <c r="H55" s="15">
        <v>1.5716488434488201</v>
      </c>
      <c r="I55" s="15">
        <v>1.9589825989182299</v>
      </c>
      <c r="J55" s="26" t="s">
        <v>76</v>
      </c>
      <c r="K55" s="20" t="s">
        <v>76</v>
      </c>
      <c r="L55" s="20" t="s">
        <v>76</v>
      </c>
      <c r="M55" s="26" t="s">
        <v>76</v>
      </c>
      <c r="N55" s="20" t="s">
        <v>76</v>
      </c>
      <c r="O55" s="20" t="s">
        <v>76</v>
      </c>
      <c r="P55" s="26" t="s">
        <v>76</v>
      </c>
    </row>
    <row r="56" spans="1:16">
      <c r="A56" s="9" t="s">
        <v>311</v>
      </c>
      <c r="B56" s="15">
        <v>1.1115107724144699</v>
      </c>
      <c r="C56" s="15">
        <v>1.3054167555748699</v>
      </c>
      <c r="D56" s="24">
        <v>0.95491798842519104</v>
      </c>
      <c r="E56" s="15">
        <v>1.0927401846656799</v>
      </c>
      <c r="F56" s="20" t="s">
        <v>76</v>
      </c>
      <c r="G56" s="26" t="s">
        <v>76</v>
      </c>
      <c r="H56" s="15">
        <v>1.1072930185101699</v>
      </c>
      <c r="I56" s="15">
        <v>1.42605992722817</v>
      </c>
      <c r="J56" s="26" t="s">
        <v>76</v>
      </c>
      <c r="K56" s="20" t="s">
        <v>76</v>
      </c>
      <c r="L56" s="20" t="s">
        <v>76</v>
      </c>
      <c r="M56" s="26" t="s">
        <v>76</v>
      </c>
      <c r="N56" s="20" t="s">
        <v>76</v>
      </c>
      <c r="O56" s="20" t="s">
        <v>76</v>
      </c>
      <c r="P56" s="26" t="s">
        <v>76</v>
      </c>
    </row>
    <row r="57" spans="1:16">
      <c r="A57" s="9" t="s">
        <v>312</v>
      </c>
      <c r="B57" s="15">
        <v>2.0624137218709002</v>
      </c>
      <c r="C57" s="15">
        <v>2.9650687442285899</v>
      </c>
      <c r="D57" s="24">
        <v>1.3334560041712999</v>
      </c>
      <c r="E57" s="15">
        <v>1.92012679264261</v>
      </c>
      <c r="F57" s="15">
        <v>2.47828775887958</v>
      </c>
      <c r="G57" s="26" t="s">
        <v>76</v>
      </c>
      <c r="H57" s="15">
        <v>2.24573370634086</v>
      </c>
      <c r="I57" s="15">
        <v>3.5029776821430199</v>
      </c>
      <c r="J57" s="24">
        <v>1.20822675026131</v>
      </c>
      <c r="K57" s="20" t="s">
        <v>76</v>
      </c>
      <c r="L57" s="20" t="s">
        <v>76</v>
      </c>
      <c r="M57" s="26" t="s">
        <v>76</v>
      </c>
      <c r="N57" s="20" t="s">
        <v>76</v>
      </c>
      <c r="O57" s="20" t="s">
        <v>76</v>
      </c>
      <c r="P57" s="26" t="s">
        <v>76</v>
      </c>
    </row>
    <row r="58" spans="1:16">
      <c r="A58" s="9" t="s">
        <v>313</v>
      </c>
      <c r="B58" s="15">
        <v>4.2676275690535999</v>
      </c>
      <c r="C58" s="15">
        <v>2.48199253472868</v>
      </c>
      <c r="D58" s="24">
        <v>5.7096540432055001</v>
      </c>
      <c r="E58" s="15">
        <v>5.4774052991230802</v>
      </c>
      <c r="F58" s="15">
        <v>3.4275981834785298</v>
      </c>
      <c r="G58" s="24">
        <v>7.1446741983123196</v>
      </c>
      <c r="H58" s="15">
        <v>3.0196812005256599</v>
      </c>
      <c r="I58" s="15">
        <v>1.4172661705933001</v>
      </c>
      <c r="J58" s="24">
        <v>4.3420313346915798</v>
      </c>
      <c r="K58" s="20" t="s">
        <v>76</v>
      </c>
      <c r="L58" s="20" t="s">
        <v>76</v>
      </c>
      <c r="M58" s="26" t="s">
        <v>76</v>
      </c>
      <c r="N58" s="20" t="s">
        <v>76</v>
      </c>
      <c r="O58" s="20" t="s">
        <v>76</v>
      </c>
      <c r="P58" s="26" t="s">
        <v>76</v>
      </c>
    </row>
    <row r="59" spans="1:16">
      <c r="A59" s="9" t="s">
        <v>314</v>
      </c>
      <c r="B59" s="20" t="s">
        <v>76</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c r="A60" s="9" t="s">
        <v>315</v>
      </c>
      <c r="B60" s="20" t="s">
        <v>76</v>
      </c>
      <c r="C60" s="20" t="s">
        <v>76</v>
      </c>
      <c r="D60" s="26" t="s">
        <v>76</v>
      </c>
      <c r="E60" s="20" t="s">
        <v>76</v>
      </c>
      <c r="F60" s="20" t="s">
        <v>76</v>
      </c>
      <c r="G60" s="26" t="s">
        <v>76</v>
      </c>
      <c r="H60" s="20" t="s">
        <v>76</v>
      </c>
      <c r="I60" s="20" t="s">
        <v>76</v>
      </c>
      <c r="J60" s="26" t="s">
        <v>76</v>
      </c>
      <c r="K60" s="20" t="s">
        <v>76</v>
      </c>
      <c r="L60" s="20" t="s">
        <v>76</v>
      </c>
      <c r="M60" s="26" t="s">
        <v>76</v>
      </c>
      <c r="N60" s="20" t="s">
        <v>76</v>
      </c>
      <c r="O60" s="20" t="s">
        <v>76</v>
      </c>
      <c r="P60" s="26" t="s">
        <v>76</v>
      </c>
    </row>
    <row r="61" spans="1:16">
      <c r="A61" s="9" t="s">
        <v>316</v>
      </c>
      <c r="B61" s="20" t="s">
        <v>76</v>
      </c>
      <c r="C61" s="20" t="s">
        <v>76</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c r="A62" s="9" t="s">
        <v>317</v>
      </c>
      <c r="B62" s="15">
        <v>0.42961731050714602</v>
      </c>
      <c r="C62" s="20" t="s">
        <v>76</v>
      </c>
      <c r="D62" s="26" t="s">
        <v>76</v>
      </c>
      <c r="E62" s="20" t="s">
        <v>76</v>
      </c>
      <c r="F62" s="20" t="s">
        <v>76</v>
      </c>
      <c r="G62" s="26" t="s">
        <v>76</v>
      </c>
      <c r="H62" s="20" t="s">
        <v>76</v>
      </c>
      <c r="I62" s="20" t="s">
        <v>76</v>
      </c>
      <c r="J62" s="26" t="s">
        <v>76</v>
      </c>
      <c r="K62" s="20" t="s">
        <v>76</v>
      </c>
      <c r="L62" s="20" t="s">
        <v>76</v>
      </c>
      <c r="M62" s="26" t="s">
        <v>76</v>
      </c>
      <c r="N62" s="20" t="s">
        <v>76</v>
      </c>
      <c r="O62" s="20" t="s">
        <v>76</v>
      </c>
      <c r="P62" s="26" t="s">
        <v>76</v>
      </c>
    </row>
    <row r="63" spans="1:16">
      <c r="A63" s="9" t="s">
        <v>318</v>
      </c>
      <c r="B63" s="15">
        <v>1.6591804587138299</v>
      </c>
      <c r="C63" s="15">
        <v>2.2202379503863399</v>
      </c>
      <c r="D63" s="24">
        <v>1.2060868864212699</v>
      </c>
      <c r="E63" s="15">
        <v>2.1590669611027899</v>
      </c>
      <c r="F63" s="15">
        <v>2.6148956015470799</v>
      </c>
      <c r="G63" s="24">
        <v>1.78830577592976</v>
      </c>
      <c r="H63" s="15">
        <v>1.06853196417025</v>
      </c>
      <c r="I63" s="15">
        <v>1.8051822041324901</v>
      </c>
      <c r="J63" s="26" t="s">
        <v>76</v>
      </c>
      <c r="K63" s="20" t="s">
        <v>76</v>
      </c>
      <c r="L63" s="20" t="s">
        <v>76</v>
      </c>
      <c r="M63" s="26" t="s">
        <v>76</v>
      </c>
      <c r="N63" s="20" t="s">
        <v>76</v>
      </c>
      <c r="O63" s="20" t="s">
        <v>76</v>
      </c>
      <c r="P63" s="26" t="s">
        <v>76</v>
      </c>
    </row>
    <row r="64" spans="1:16">
      <c r="A64" s="11" t="s">
        <v>319</v>
      </c>
      <c r="B64" s="16">
        <v>3.05075755559543</v>
      </c>
      <c r="C64" s="16">
        <v>3.8222415693590599</v>
      </c>
      <c r="D64" s="25">
        <v>2.4277296966843198</v>
      </c>
      <c r="E64" s="16">
        <v>3.24278406916505</v>
      </c>
      <c r="F64" s="16">
        <v>3.9953484286513499</v>
      </c>
      <c r="G64" s="25">
        <v>2.6306644498928602</v>
      </c>
      <c r="H64" s="16">
        <v>2.9101456814232902</v>
      </c>
      <c r="I64" s="16">
        <v>3.5908370910354699</v>
      </c>
      <c r="J64" s="25">
        <v>2.3484233061256501</v>
      </c>
      <c r="K64" s="28" t="s">
        <v>76</v>
      </c>
      <c r="L64" s="28" t="s">
        <v>76</v>
      </c>
      <c r="M64" s="29" t="s">
        <v>76</v>
      </c>
      <c r="N64" s="28" t="s">
        <v>76</v>
      </c>
      <c r="O64" s="28" t="s">
        <v>76</v>
      </c>
      <c r="P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71"/>
  <sheetViews>
    <sheetView zoomScale="55" workbookViewId="0"/>
  </sheetViews>
  <sheetFormatPr defaultColWidth="10.88671875" defaultRowHeight="15"/>
  <cols>
    <col min="1" max="1" width="51.6640625" customWidth="1"/>
    <col min="2" max="91" width="13.6640625" customWidth="1"/>
  </cols>
  <sheetData>
    <row r="1" spans="1:92" ht="39.950000000000003" customHeight="1">
      <c r="A1" s="10" t="s">
        <v>326</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0">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c r="A3" s="9" t="s">
        <v>258</v>
      </c>
      <c r="B3" s="35">
        <v>3.61725212941491</v>
      </c>
      <c r="C3" s="32">
        <v>3.5114270312970501</v>
      </c>
      <c r="D3" s="32">
        <v>3.1178889958367302</v>
      </c>
      <c r="E3" s="32">
        <v>3.3567533924195398</v>
      </c>
      <c r="F3" s="20" t="s">
        <v>76</v>
      </c>
      <c r="G3" s="20" t="s">
        <v>76</v>
      </c>
      <c r="H3" s="20" t="s">
        <v>76</v>
      </c>
      <c r="I3" s="20" t="s">
        <v>76</v>
      </c>
      <c r="J3" s="20" t="s">
        <v>76</v>
      </c>
      <c r="K3" s="20" t="s">
        <v>76</v>
      </c>
      <c r="L3" s="15">
        <v>21.311475409836099</v>
      </c>
      <c r="M3" s="20" t="s">
        <v>76</v>
      </c>
      <c r="N3" s="20" t="s">
        <v>76</v>
      </c>
      <c r="O3" s="20" t="s">
        <v>76</v>
      </c>
      <c r="P3" s="20" t="s">
        <v>76</v>
      </c>
      <c r="Q3" s="15">
        <v>11.2676056338028</v>
      </c>
      <c r="R3" s="20" t="s">
        <v>76</v>
      </c>
      <c r="S3" s="20" t="s">
        <v>76</v>
      </c>
      <c r="T3" s="20" t="s">
        <v>76</v>
      </c>
      <c r="U3" s="20" t="s">
        <v>76</v>
      </c>
      <c r="V3" s="20" t="s">
        <v>76</v>
      </c>
      <c r="W3" s="20" t="s">
        <v>76</v>
      </c>
      <c r="X3" s="20" t="s">
        <v>76</v>
      </c>
      <c r="Y3" s="20" t="s">
        <v>76</v>
      </c>
      <c r="Z3" s="20" t="s">
        <v>76</v>
      </c>
      <c r="AA3" s="15">
        <v>6.4220183486238502</v>
      </c>
      <c r="AB3" s="20" t="s">
        <v>76</v>
      </c>
      <c r="AC3" s="15">
        <v>5.3030303030303001</v>
      </c>
      <c r="AD3" s="20" t="s">
        <v>76</v>
      </c>
      <c r="AE3" s="20" t="s">
        <v>76</v>
      </c>
      <c r="AF3" s="20" t="s">
        <v>76</v>
      </c>
      <c r="AG3" s="20" t="s">
        <v>76</v>
      </c>
      <c r="AH3" s="20" t="s">
        <v>76</v>
      </c>
      <c r="AI3" s="20" t="s">
        <v>76</v>
      </c>
      <c r="AJ3" s="15">
        <v>6.3063063063063103</v>
      </c>
      <c r="AK3" s="20" t="s">
        <v>76</v>
      </c>
      <c r="AL3" s="20" t="s">
        <v>76</v>
      </c>
      <c r="AM3" s="20" t="s">
        <v>76</v>
      </c>
      <c r="AN3" s="20" t="s">
        <v>76</v>
      </c>
      <c r="AO3" s="20" t="s">
        <v>76</v>
      </c>
      <c r="AP3" s="20" t="s">
        <v>76</v>
      </c>
      <c r="AQ3" s="20" t="s">
        <v>76</v>
      </c>
      <c r="AR3" s="20" t="s">
        <v>76</v>
      </c>
      <c r="AS3" s="20" t="s">
        <v>76</v>
      </c>
      <c r="AT3" s="20" t="s">
        <v>76</v>
      </c>
      <c r="AU3" s="20" t="s">
        <v>76</v>
      </c>
      <c r="AV3" s="20" t="s">
        <v>76</v>
      </c>
      <c r="AW3" s="20" t="s">
        <v>76</v>
      </c>
      <c r="AX3" s="20" t="s">
        <v>76</v>
      </c>
      <c r="AY3" s="20" t="s">
        <v>76</v>
      </c>
      <c r="AZ3" s="20" t="s">
        <v>76</v>
      </c>
      <c r="BA3" s="20" t="s">
        <v>76</v>
      </c>
      <c r="BB3" s="20" t="s">
        <v>76</v>
      </c>
      <c r="BC3" s="20" t="s">
        <v>76</v>
      </c>
      <c r="BD3" s="15">
        <v>7.6923076923076898</v>
      </c>
      <c r="BE3" s="20" t="s">
        <v>76</v>
      </c>
      <c r="BF3" s="20" t="s">
        <v>76</v>
      </c>
      <c r="BG3" s="20" t="s">
        <v>76</v>
      </c>
      <c r="BH3" s="20" t="s">
        <v>76</v>
      </c>
      <c r="BI3" s="20" t="s">
        <v>76</v>
      </c>
      <c r="BJ3" s="20" t="s">
        <v>76</v>
      </c>
      <c r="BK3" s="20" t="s">
        <v>76</v>
      </c>
      <c r="BL3" s="20" t="s">
        <v>76</v>
      </c>
      <c r="BM3" s="20" t="s">
        <v>76</v>
      </c>
      <c r="BN3" s="20" t="s">
        <v>76</v>
      </c>
      <c r="BO3" s="15">
        <v>5.5555555555555598</v>
      </c>
      <c r="BP3" s="20" t="s">
        <v>76</v>
      </c>
      <c r="BQ3" s="20" t="s">
        <v>76</v>
      </c>
      <c r="BR3" s="20" t="s">
        <v>76</v>
      </c>
      <c r="BS3" s="20" t="s">
        <v>76</v>
      </c>
      <c r="BT3" s="20" t="s">
        <v>76</v>
      </c>
      <c r="BU3" s="20" t="s">
        <v>76</v>
      </c>
      <c r="BV3" s="15">
        <v>6.0606060606060597</v>
      </c>
      <c r="BW3" s="20" t="s">
        <v>76</v>
      </c>
      <c r="BX3" s="20" t="s">
        <v>76</v>
      </c>
      <c r="BY3" s="20" t="s">
        <v>76</v>
      </c>
      <c r="BZ3" s="20" t="s">
        <v>76</v>
      </c>
      <c r="CA3" s="32">
        <v>2.9249891159713401</v>
      </c>
      <c r="CB3" s="15">
        <v>4.1533546325878596</v>
      </c>
      <c r="CC3" s="15">
        <v>3.45911949685535</v>
      </c>
      <c r="CD3" s="15">
        <v>3.87096774193548</v>
      </c>
      <c r="CE3" s="20" t="s">
        <v>76</v>
      </c>
      <c r="CF3" s="20" t="s">
        <v>76</v>
      </c>
      <c r="CG3" s="15">
        <v>6.7039106145251397</v>
      </c>
      <c r="CH3" s="15">
        <v>3.125</v>
      </c>
      <c r="CI3" s="15">
        <v>2.0533880903490802</v>
      </c>
      <c r="CJ3" s="15">
        <v>5.0980392156862804</v>
      </c>
      <c r="CK3" s="20" t="s">
        <v>76</v>
      </c>
      <c r="CL3" s="15">
        <v>3.1818181818181799</v>
      </c>
      <c r="CM3" s="26" t="s">
        <v>76</v>
      </c>
      <c r="CN3" s="37"/>
    </row>
    <row r="4" spans="1:92">
      <c r="A4" s="9" t="s">
        <v>259</v>
      </c>
      <c r="B4" s="35">
        <v>5.3549833712101096</v>
      </c>
      <c r="C4" s="32">
        <v>5.50407285022749</v>
      </c>
      <c r="D4" s="32">
        <v>5.1428786118241998</v>
      </c>
      <c r="E4" s="32">
        <v>4.6770253099478998</v>
      </c>
      <c r="F4" s="20" t="s">
        <v>76</v>
      </c>
      <c r="G4" s="20" t="s">
        <v>76</v>
      </c>
      <c r="H4" s="20" t="s">
        <v>76</v>
      </c>
      <c r="I4" s="20" t="s">
        <v>76</v>
      </c>
      <c r="J4" s="15">
        <v>3.4722222222222201</v>
      </c>
      <c r="K4" s="20" t="s">
        <v>76</v>
      </c>
      <c r="L4" s="20" t="s">
        <v>76</v>
      </c>
      <c r="M4" s="20" t="s">
        <v>76</v>
      </c>
      <c r="N4" s="20" t="s">
        <v>76</v>
      </c>
      <c r="O4" s="20" t="s">
        <v>76</v>
      </c>
      <c r="P4" s="20" t="s">
        <v>76</v>
      </c>
      <c r="Q4" s="15">
        <v>8.4507042253521103</v>
      </c>
      <c r="R4" s="20" t="s">
        <v>76</v>
      </c>
      <c r="S4" s="20" t="s">
        <v>76</v>
      </c>
      <c r="T4" s="20" t="s">
        <v>76</v>
      </c>
      <c r="U4" s="20" t="s">
        <v>76</v>
      </c>
      <c r="V4" s="20" t="s">
        <v>76</v>
      </c>
      <c r="W4" s="20" t="s">
        <v>76</v>
      </c>
      <c r="X4" s="20" t="s">
        <v>76</v>
      </c>
      <c r="Y4" s="20" t="s">
        <v>76</v>
      </c>
      <c r="Z4" s="20" t="s">
        <v>76</v>
      </c>
      <c r="AA4" s="15">
        <v>4.5871559633027497</v>
      </c>
      <c r="AB4" s="15">
        <v>13.235294117647101</v>
      </c>
      <c r="AC4" s="15">
        <v>4.5454545454545396</v>
      </c>
      <c r="AD4" s="20" t="s">
        <v>76</v>
      </c>
      <c r="AE4" s="20" t="s">
        <v>76</v>
      </c>
      <c r="AF4" s="20" t="s">
        <v>76</v>
      </c>
      <c r="AG4" s="20" t="s">
        <v>76</v>
      </c>
      <c r="AH4" s="15">
        <v>10.714285714285699</v>
      </c>
      <c r="AI4" s="20" t="s">
        <v>76</v>
      </c>
      <c r="AJ4" s="15">
        <v>8.1081081081081106</v>
      </c>
      <c r="AK4" s="15">
        <v>16.6666666666667</v>
      </c>
      <c r="AL4" s="20" t="s">
        <v>76</v>
      </c>
      <c r="AM4" s="20" t="s">
        <v>76</v>
      </c>
      <c r="AN4" s="20" t="s">
        <v>76</v>
      </c>
      <c r="AO4" s="20" t="s">
        <v>76</v>
      </c>
      <c r="AP4" s="15">
        <v>10.3896103896104</v>
      </c>
      <c r="AQ4" s="20" t="s">
        <v>76</v>
      </c>
      <c r="AR4" s="20" t="s">
        <v>76</v>
      </c>
      <c r="AS4" s="20" t="s">
        <v>76</v>
      </c>
      <c r="AT4" s="20" t="s">
        <v>76</v>
      </c>
      <c r="AU4" s="20" t="s">
        <v>76</v>
      </c>
      <c r="AV4" s="20" t="s">
        <v>76</v>
      </c>
      <c r="AW4" s="20" t="s">
        <v>76</v>
      </c>
      <c r="AX4" s="20" t="s">
        <v>76</v>
      </c>
      <c r="AY4" s="20" t="s">
        <v>76</v>
      </c>
      <c r="AZ4" s="20" t="s">
        <v>76</v>
      </c>
      <c r="BA4" s="20" t="s">
        <v>76</v>
      </c>
      <c r="BB4" s="20" t="s">
        <v>76</v>
      </c>
      <c r="BC4" s="15">
        <v>8.1081081081081106</v>
      </c>
      <c r="BD4" s="15">
        <v>7.6923076923076898</v>
      </c>
      <c r="BE4" s="20" t="s">
        <v>76</v>
      </c>
      <c r="BF4" s="20" t="s">
        <v>76</v>
      </c>
      <c r="BG4" s="20" t="s">
        <v>76</v>
      </c>
      <c r="BH4" s="20" t="s">
        <v>76</v>
      </c>
      <c r="BI4" s="20" t="s">
        <v>76</v>
      </c>
      <c r="BJ4" s="20" t="s">
        <v>76</v>
      </c>
      <c r="BK4" s="20" t="s">
        <v>76</v>
      </c>
      <c r="BL4" s="15">
        <v>3.90625</v>
      </c>
      <c r="BM4" s="15">
        <v>4.9504950495049496</v>
      </c>
      <c r="BN4" s="15">
        <v>7.5630252100840298</v>
      </c>
      <c r="BO4" s="15">
        <v>7.7777777777777803</v>
      </c>
      <c r="BP4" s="20" t="s">
        <v>76</v>
      </c>
      <c r="BQ4" s="20" t="s">
        <v>76</v>
      </c>
      <c r="BR4" s="20" t="s">
        <v>76</v>
      </c>
      <c r="BS4" s="20" t="s">
        <v>76</v>
      </c>
      <c r="BT4" s="20" t="s">
        <v>76</v>
      </c>
      <c r="BU4" s="15">
        <v>5.6074766355140202</v>
      </c>
      <c r="BV4" s="15">
        <v>13.1313131313131</v>
      </c>
      <c r="BW4" s="20" t="s">
        <v>76</v>
      </c>
      <c r="BX4" s="20" t="s">
        <v>76</v>
      </c>
      <c r="BY4" s="20" t="s">
        <v>76</v>
      </c>
      <c r="BZ4" s="20" t="s">
        <v>76</v>
      </c>
      <c r="CA4" s="32">
        <v>5.5190880731437497</v>
      </c>
      <c r="CB4" s="15">
        <v>5.7507987220447303</v>
      </c>
      <c r="CC4" s="15">
        <v>3.7735849056603801</v>
      </c>
      <c r="CD4" s="15">
        <v>5.1612903225806503</v>
      </c>
      <c r="CE4" s="20" t="s">
        <v>76</v>
      </c>
      <c r="CF4" s="15">
        <v>5.0898203592814397</v>
      </c>
      <c r="CG4" s="15">
        <v>11.731843575418999</v>
      </c>
      <c r="CH4" s="15">
        <v>3.125</v>
      </c>
      <c r="CI4" s="15">
        <v>5.1334702258726903</v>
      </c>
      <c r="CJ4" s="15">
        <v>3.52941176470588</v>
      </c>
      <c r="CK4" s="15">
        <v>13.004484304932699</v>
      </c>
      <c r="CL4" s="15">
        <v>7.1212121212121202</v>
      </c>
      <c r="CM4" s="24">
        <v>5.5674518201284799</v>
      </c>
      <c r="CN4" s="37"/>
    </row>
    <row r="5" spans="1:92">
      <c r="A5" s="9" t="s">
        <v>260</v>
      </c>
      <c r="B5" s="35">
        <v>2.8921024083957101</v>
      </c>
      <c r="C5" s="32">
        <v>2.9566415699313202</v>
      </c>
      <c r="D5" s="32">
        <v>1.9487970171632401</v>
      </c>
      <c r="E5" s="32">
        <v>1.9529212585093201</v>
      </c>
      <c r="F5" s="20" t="s">
        <v>76</v>
      </c>
      <c r="G5" s="20" t="s">
        <v>76</v>
      </c>
      <c r="H5" s="20" t="s">
        <v>76</v>
      </c>
      <c r="I5" s="20" t="s">
        <v>76</v>
      </c>
      <c r="J5" s="20" t="s">
        <v>76</v>
      </c>
      <c r="K5" s="20" t="s">
        <v>76</v>
      </c>
      <c r="L5" s="20" t="s">
        <v>76</v>
      </c>
      <c r="M5" s="20" t="s">
        <v>76</v>
      </c>
      <c r="N5" s="20" t="s">
        <v>76</v>
      </c>
      <c r="O5" s="20" t="s">
        <v>76</v>
      </c>
      <c r="P5" s="20" t="s">
        <v>76</v>
      </c>
      <c r="Q5" s="20" t="s">
        <v>76</v>
      </c>
      <c r="R5" s="20" t="s">
        <v>76</v>
      </c>
      <c r="S5" s="20" t="s">
        <v>76</v>
      </c>
      <c r="T5" s="20" t="s">
        <v>76</v>
      </c>
      <c r="U5" s="20" t="s">
        <v>76</v>
      </c>
      <c r="V5" s="20" t="s">
        <v>76</v>
      </c>
      <c r="W5" s="20" t="s">
        <v>76</v>
      </c>
      <c r="X5" s="20" t="s">
        <v>76</v>
      </c>
      <c r="Y5" s="20" t="s">
        <v>76</v>
      </c>
      <c r="Z5" s="20" t="s">
        <v>76</v>
      </c>
      <c r="AA5" s="20" t="s">
        <v>76</v>
      </c>
      <c r="AB5" s="20" t="s">
        <v>76</v>
      </c>
      <c r="AC5" s="20" t="s">
        <v>76</v>
      </c>
      <c r="AD5" s="20" t="s">
        <v>76</v>
      </c>
      <c r="AE5" s="20" t="s">
        <v>76</v>
      </c>
      <c r="AF5" s="20" t="s">
        <v>76</v>
      </c>
      <c r="AG5" s="20" t="s">
        <v>76</v>
      </c>
      <c r="AH5" s="15">
        <v>12.5</v>
      </c>
      <c r="AI5" s="20" t="s">
        <v>76</v>
      </c>
      <c r="AJ5" s="20" t="s">
        <v>76</v>
      </c>
      <c r="AK5" s="20" t="s">
        <v>76</v>
      </c>
      <c r="AL5" s="20" t="s">
        <v>76</v>
      </c>
      <c r="AM5" s="20" t="s">
        <v>76</v>
      </c>
      <c r="AN5" s="20" t="s">
        <v>76</v>
      </c>
      <c r="AO5" s="20" t="s">
        <v>76</v>
      </c>
      <c r="AP5" s="20" t="s">
        <v>76</v>
      </c>
      <c r="AQ5" s="20" t="s">
        <v>76</v>
      </c>
      <c r="AR5" s="20" t="s">
        <v>76</v>
      </c>
      <c r="AS5" s="20" t="s">
        <v>76</v>
      </c>
      <c r="AT5" s="20" t="s">
        <v>76</v>
      </c>
      <c r="AU5" s="20" t="s">
        <v>76</v>
      </c>
      <c r="AV5" s="20" t="s">
        <v>76</v>
      </c>
      <c r="AW5" s="20" t="s">
        <v>76</v>
      </c>
      <c r="AX5" s="20" t="s">
        <v>76</v>
      </c>
      <c r="AY5" s="20" t="s">
        <v>76</v>
      </c>
      <c r="AZ5" s="20" t="s">
        <v>76</v>
      </c>
      <c r="BA5" s="20" t="s">
        <v>76</v>
      </c>
      <c r="BB5" s="15">
        <v>7.4626865671641802</v>
      </c>
      <c r="BC5" s="20" t="s">
        <v>76</v>
      </c>
      <c r="BD5" s="20" t="s">
        <v>76</v>
      </c>
      <c r="BE5" s="20" t="s">
        <v>76</v>
      </c>
      <c r="BF5" s="20" t="s">
        <v>76</v>
      </c>
      <c r="BG5" s="20" t="s">
        <v>76</v>
      </c>
      <c r="BH5" s="20" t="s">
        <v>76</v>
      </c>
      <c r="BI5" s="20" t="s">
        <v>76</v>
      </c>
      <c r="BJ5" s="20" t="s">
        <v>76</v>
      </c>
      <c r="BK5" s="20" t="s">
        <v>76</v>
      </c>
      <c r="BL5" s="20" t="s">
        <v>76</v>
      </c>
      <c r="BM5" s="20" t="s">
        <v>76</v>
      </c>
      <c r="BN5" s="20" t="s">
        <v>76</v>
      </c>
      <c r="BO5" s="15">
        <v>6.6666666666666696</v>
      </c>
      <c r="BP5" s="20" t="s">
        <v>76</v>
      </c>
      <c r="BQ5" s="20" t="s">
        <v>76</v>
      </c>
      <c r="BR5" s="20" t="s">
        <v>76</v>
      </c>
      <c r="BS5" s="20" t="s">
        <v>76</v>
      </c>
      <c r="BT5" s="20" t="s">
        <v>76</v>
      </c>
      <c r="BU5" s="20" t="s">
        <v>76</v>
      </c>
      <c r="BV5" s="20" t="s">
        <v>76</v>
      </c>
      <c r="BW5" s="20" t="s">
        <v>76</v>
      </c>
      <c r="BX5" s="20" t="s">
        <v>76</v>
      </c>
      <c r="BY5" s="20" t="s">
        <v>76</v>
      </c>
      <c r="BZ5" s="20" t="s">
        <v>76</v>
      </c>
      <c r="CA5" s="32">
        <v>1.9454664008320599</v>
      </c>
      <c r="CB5" s="15">
        <v>4.1533546325878596</v>
      </c>
      <c r="CC5" s="20" t="s">
        <v>76</v>
      </c>
      <c r="CD5" s="20" t="s">
        <v>76</v>
      </c>
      <c r="CE5" s="20" t="s">
        <v>76</v>
      </c>
      <c r="CF5" s="15">
        <v>3.2934131736526902</v>
      </c>
      <c r="CG5" s="15">
        <v>5.0279329608938497</v>
      </c>
      <c r="CH5" s="15">
        <v>1.65441176470588</v>
      </c>
      <c r="CI5" s="15">
        <v>1.4373716632443501</v>
      </c>
      <c r="CJ5" s="15">
        <v>3.52941176470588</v>
      </c>
      <c r="CK5" s="20" t="s">
        <v>76</v>
      </c>
      <c r="CL5" s="15">
        <v>1.0606060606060601</v>
      </c>
      <c r="CM5" s="24">
        <v>1.0706638115631699</v>
      </c>
      <c r="CN5" s="37"/>
    </row>
    <row r="6" spans="1:92">
      <c r="A6" s="9" t="s">
        <v>261</v>
      </c>
      <c r="B6" s="35">
        <v>5.9788342681915596</v>
      </c>
      <c r="C6" s="32">
        <v>5.5308032535410003</v>
      </c>
      <c r="D6" s="32">
        <v>4.3181799041983702</v>
      </c>
      <c r="E6" s="32">
        <v>5.43963837872551</v>
      </c>
      <c r="F6" s="20" t="s">
        <v>76</v>
      </c>
      <c r="G6" s="20" t="s">
        <v>76</v>
      </c>
      <c r="H6" s="20" t="s">
        <v>76</v>
      </c>
      <c r="I6" s="20" t="s">
        <v>76</v>
      </c>
      <c r="J6" s="15">
        <v>11.8055555555556</v>
      </c>
      <c r="K6" s="20" t="s">
        <v>76</v>
      </c>
      <c r="L6" s="15">
        <v>13.1147540983607</v>
      </c>
      <c r="M6" s="15">
        <v>17.105263157894701</v>
      </c>
      <c r="N6" s="15">
        <v>7.0588235294117601</v>
      </c>
      <c r="O6" s="20" t="s">
        <v>76</v>
      </c>
      <c r="P6" s="15">
        <v>8.4507042253521103</v>
      </c>
      <c r="Q6" s="20" t="s">
        <v>76</v>
      </c>
      <c r="R6" s="20" t="s">
        <v>76</v>
      </c>
      <c r="S6" s="20" t="s">
        <v>76</v>
      </c>
      <c r="T6" s="15">
        <v>10.4166666666667</v>
      </c>
      <c r="U6" s="20" t="s">
        <v>76</v>
      </c>
      <c r="V6" s="20" t="s">
        <v>76</v>
      </c>
      <c r="W6" s="20" t="s">
        <v>76</v>
      </c>
      <c r="X6" s="20" t="s">
        <v>76</v>
      </c>
      <c r="Y6" s="20" t="s">
        <v>76</v>
      </c>
      <c r="Z6" s="20" t="s">
        <v>76</v>
      </c>
      <c r="AA6" s="20" t="s">
        <v>76</v>
      </c>
      <c r="AB6" s="15">
        <v>8.8235294117646994</v>
      </c>
      <c r="AC6" s="15">
        <v>4.5454545454545396</v>
      </c>
      <c r="AD6" s="20" t="s">
        <v>76</v>
      </c>
      <c r="AE6" s="20" t="s">
        <v>76</v>
      </c>
      <c r="AF6" s="20" t="s">
        <v>76</v>
      </c>
      <c r="AG6" s="15">
        <v>10.476190476190499</v>
      </c>
      <c r="AH6" s="15">
        <v>12.5</v>
      </c>
      <c r="AI6" s="20" t="s">
        <v>76</v>
      </c>
      <c r="AJ6" s="15">
        <v>5.4054054054054097</v>
      </c>
      <c r="AK6" s="20" t="s">
        <v>76</v>
      </c>
      <c r="AL6" s="15">
        <v>8.8888888888888893</v>
      </c>
      <c r="AM6" s="15">
        <v>7.8125</v>
      </c>
      <c r="AN6" s="20" t="s">
        <v>76</v>
      </c>
      <c r="AO6" s="20" t="s">
        <v>76</v>
      </c>
      <c r="AP6" s="20" t="s">
        <v>76</v>
      </c>
      <c r="AQ6" s="20" t="s">
        <v>76</v>
      </c>
      <c r="AR6" s="20" t="s">
        <v>76</v>
      </c>
      <c r="AS6" s="20" t="s">
        <v>76</v>
      </c>
      <c r="AT6" s="20" t="s">
        <v>76</v>
      </c>
      <c r="AU6" s="20" t="s">
        <v>76</v>
      </c>
      <c r="AV6" s="20" t="s">
        <v>76</v>
      </c>
      <c r="AW6" s="15">
        <v>5.1724137931034502</v>
      </c>
      <c r="AX6" s="20" t="s">
        <v>76</v>
      </c>
      <c r="AY6" s="20" t="s">
        <v>76</v>
      </c>
      <c r="AZ6" s="20" t="s">
        <v>76</v>
      </c>
      <c r="BA6" s="20" t="s">
        <v>76</v>
      </c>
      <c r="BB6" s="20" t="s">
        <v>76</v>
      </c>
      <c r="BC6" s="20" t="s">
        <v>76</v>
      </c>
      <c r="BD6" s="20" t="s">
        <v>76</v>
      </c>
      <c r="BE6" s="20" t="s">
        <v>76</v>
      </c>
      <c r="BF6" s="20" t="s">
        <v>76</v>
      </c>
      <c r="BG6" s="20" t="s">
        <v>76</v>
      </c>
      <c r="BH6" s="20" t="s">
        <v>76</v>
      </c>
      <c r="BI6" s="20" t="s">
        <v>76</v>
      </c>
      <c r="BJ6" s="20" t="s">
        <v>76</v>
      </c>
      <c r="BK6" s="20" t="s">
        <v>76</v>
      </c>
      <c r="BL6" s="20" t="s">
        <v>76</v>
      </c>
      <c r="BM6" s="20" t="s">
        <v>76</v>
      </c>
      <c r="BN6" s="20" t="s">
        <v>76</v>
      </c>
      <c r="BO6" s="15">
        <v>8.8888888888888893</v>
      </c>
      <c r="BP6" s="20" t="s">
        <v>76</v>
      </c>
      <c r="BQ6" s="15">
        <v>6.8493150684931496</v>
      </c>
      <c r="BR6" s="20" t="s">
        <v>76</v>
      </c>
      <c r="BS6" s="20" t="s">
        <v>76</v>
      </c>
      <c r="BT6" s="20" t="s">
        <v>76</v>
      </c>
      <c r="BU6" s="15">
        <v>5.6074766355140202</v>
      </c>
      <c r="BV6" s="15">
        <v>11.1111111111111</v>
      </c>
      <c r="BW6" s="20" t="s">
        <v>76</v>
      </c>
      <c r="BX6" s="20" t="s">
        <v>76</v>
      </c>
      <c r="BY6" s="20" t="s">
        <v>76</v>
      </c>
      <c r="BZ6" s="20" t="s">
        <v>76</v>
      </c>
      <c r="CA6" s="32">
        <v>3.4125229368766399</v>
      </c>
      <c r="CB6" s="15">
        <v>3.8338658146964901</v>
      </c>
      <c r="CC6" s="15">
        <v>2.8301886792452802</v>
      </c>
      <c r="CD6" s="15">
        <v>4.5161290322580596</v>
      </c>
      <c r="CE6" s="20" t="s">
        <v>76</v>
      </c>
      <c r="CF6" s="15">
        <v>4.4910179640718599</v>
      </c>
      <c r="CG6" s="15">
        <v>2.7932960893854699</v>
      </c>
      <c r="CH6" s="15">
        <v>2.2058823529411802</v>
      </c>
      <c r="CI6" s="15">
        <v>4.9281314168377799</v>
      </c>
      <c r="CJ6" s="15">
        <v>4.7058823529411802</v>
      </c>
      <c r="CK6" s="15">
        <v>2.6905829596412598</v>
      </c>
      <c r="CL6" s="15">
        <v>4.39393939393939</v>
      </c>
      <c r="CM6" s="24">
        <v>1.9271948608137</v>
      </c>
      <c r="CN6" s="37"/>
    </row>
    <row r="7" spans="1:92">
      <c r="A7" s="9" t="s">
        <v>262</v>
      </c>
      <c r="B7" s="35">
        <v>2.2232601326097501</v>
      </c>
      <c r="C7" s="32">
        <v>2.0591160249773601</v>
      </c>
      <c r="D7" s="32">
        <v>1.98134196262332</v>
      </c>
      <c r="E7" s="32">
        <v>2.8921500036107499</v>
      </c>
      <c r="F7" s="20" t="s">
        <v>76</v>
      </c>
      <c r="G7" s="20" t="s">
        <v>76</v>
      </c>
      <c r="H7" s="20" t="s">
        <v>76</v>
      </c>
      <c r="I7" s="20" t="s">
        <v>76</v>
      </c>
      <c r="J7" s="20" t="s">
        <v>76</v>
      </c>
      <c r="K7" s="20" t="s">
        <v>76</v>
      </c>
      <c r="L7" s="20" t="s">
        <v>76</v>
      </c>
      <c r="M7" s="20" t="s">
        <v>76</v>
      </c>
      <c r="N7" s="20" t="s">
        <v>76</v>
      </c>
      <c r="O7" s="20" t="s">
        <v>76</v>
      </c>
      <c r="P7" s="20" t="s">
        <v>76</v>
      </c>
      <c r="Q7" s="20" t="s">
        <v>76</v>
      </c>
      <c r="R7" s="20" t="s">
        <v>76</v>
      </c>
      <c r="S7" s="15">
        <v>12.1951219512195</v>
      </c>
      <c r="T7" s="20" t="s">
        <v>76</v>
      </c>
      <c r="U7" s="20" t="s">
        <v>76</v>
      </c>
      <c r="V7" s="20" t="s">
        <v>76</v>
      </c>
      <c r="W7" s="20" t="s">
        <v>76</v>
      </c>
      <c r="X7" s="20" t="s">
        <v>76</v>
      </c>
      <c r="Y7" s="20" t="s">
        <v>76</v>
      </c>
      <c r="Z7" s="20" t="s">
        <v>76</v>
      </c>
      <c r="AA7" s="15">
        <v>5.5045871559632999</v>
      </c>
      <c r="AB7" s="20" t="s">
        <v>76</v>
      </c>
      <c r="AC7" s="20" t="s">
        <v>76</v>
      </c>
      <c r="AD7" s="20" t="s">
        <v>76</v>
      </c>
      <c r="AE7" s="20" t="s">
        <v>76</v>
      </c>
      <c r="AF7" s="20" t="s">
        <v>76</v>
      </c>
      <c r="AG7" s="15">
        <v>4.7619047619047601</v>
      </c>
      <c r="AH7" s="20" t="s">
        <v>76</v>
      </c>
      <c r="AI7" s="20" t="s">
        <v>76</v>
      </c>
      <c r="AJ7" s="20" t="s">
        <v>76</v>
      </c>
      <c r="AK7" s="20" t="s">
        <v>76</v>
      </c>
      <c r="AL7" s="20" t="s">
        <v>76</v>
      </c>
      <c r="AM7" s="20" t="s">
        <v>76</v>
      </c>
      <c r="AN7" s="20" t="s">
        <v>76</v>
      </c>
      <c r="AO7" s="20" t="s">
        <v>76</v>
      </c>
      <c r="AP7" s="20" t="s">
        <v>76</v>
      </c>
      <c r="AQ7" s="20" t="s">
        <v>76</v>
      </c>
      <c r="AR7" s="20" t="s">
        <v>76</v>
      </c>
      <c r="AS7" s="20" t="s">
        <v>76</v>
      </c>
      <c r="AT7" s="20" t="s">
        <v>76</v>
      </c>
      <c r="AU7" s="20" t="s">
        <v>76</v>
      </c>
      <c r="AV7" s="20" t="s">
        <v>76</v>
      </c>
      <c r="AW7" s="20" t="s">
        <v>76</v>
      </c>
      <c r="AX7" s="20" t="s">
        <v>76</v>
      </c>
      <c r="AY7" s="20" t="s">
        <v>76</v>
      </c>
      <c r="AZ7" s="20" t="s">
        <v>76</v>
      </c>
      <c r="BA7" s="20" t="s">
        <v>76</v>
      </c>
      <c r="BB7" s="20" t="s">
        <v>76</v>
      </c>
      <c r="BC7" s="20" t="s">
        <v>76</v>
      </c>
      <c r="BD7" s="20" t="s">
        <v>76</v>
      </c>
      <c r="BE7" s="20" t="s">
        <v>76</v>
      </c>
      <c r="BF7" s="15">
        <v>6.0240963855421699</v>
      </c>
      <c r="BG7" s="20" t="s">
        <v>76</v>
      </c>
      <c r="BH7" s="20" t="s">
        <v>76</v>
      </c>
      <c r="BI7" s="20" t="s">
        <v>76</v>
      </c>
      <c r="BJ7" s="20" t="s">
        <v>76</v>
      </c>
      <c r="BK7" s="20" t="s">
        <v>76</v>
      </c>
      <c r="BL7" s="20" t="s">
        <v>76</v>
      </c>
      <c r="BM7" s="20" t="s">
        <v>76</v>
      </c>
      <c r="BN7" s="20" t="s">
        <v>76</v>
      </c>
      <c r="BO7" s="20" t="s">
        <v>76</v>
      </c>
      <c r="BP7" s="20" t="s">
        <v>76</v>
      </c>
      <c r="BQ7" s="20" t="s">
        <v>76</v>
      </c>
      <c r="BR7" s="20" t="s">
        <v>76</v>
      </c>
      <c r="BS7" s="20" t="s">
        <v>76</v>
      </c>
      <c r="BT7" s="20" t="s">
        <v>76</v>
      </c>
      <c r="BU7" s="20" t="s">
        <v>76</v>
      </c>
      <c r="BV7" s="20" t="s">
        <v>76</v>
      </c>
      <c r="BW7" s="15">
        <v>7.2463768115942004</v>
      </c>
      <c r="BX7" s="20" t="s">
        <v>76</v>
      </c>
      <c r="BY7" s="20" t="s">
        <v>76</v>
      </c>
      <c r="BZ7" s="20" t="s">
        <v>76</v>
      </c>
      <c r="CA7" s="32">
        <v>1.2458001062378301</v>
      </c>
      <c r="CB7" s="20" t="s">
        <v>76</v>
      </c>
      <c r="CC7" s="15">
        <v>1.57232704402516</v>
      </c>
      <c r="CD7" s="20" t="s">
        <v>76</v>
      </c>
      <c r="CE7" s="20" t="s">
        <v>76</v>
      </c>
      <c r="CF7" s="15">
        <v>2.0958083832335301</v>
      </c>
      <c r="CG7" s="20" t="s">
        <v>76</v>
      </c>
      <c r="CH7" s="15">
        <v>1.65441176470588</v>
      </c>
      <c r="CI7" s="15">
        <v>1.4373716632443501</v>
      </c>
      <c r="CJ7" s="20" t="s">
        <v>76</v>
      </c>
      <c r="CK7" s="20" t="s">
        <v>76</v>
      </c>
      <c r="CL7" s="15">
        <v>1.36363636363636</v>
      </c>
      <c r="CM7" s="26" t="s">
        <v>76</v>
      </c>
      <c r="CN7" s="37"/>
    </row>
    <row r="8" spans="1:92">
      <c r="A8" s="9" t="s">
        <v>263</v>
      </c>
      <c r="B8" s="35">
        <v>0.28190070093734898</v>
      </c>
      <c r="C8" s="32">
        <v>0.28733195551896001</v>
      </c>
      <c r="D8" s="38" t="s">
        <v>76</v>
      </c>
      <c r="E8" s="38" t="s">
        <v>76</v>
      </c>
      <c r="F8" s="20" t="s">
        <v>76</v>
      </c>
      <c r="G8" s="20" t="s">
        <v>76</v>
      </c>
      <c r="H8" s="20" t="s">
        <v>76</v>
      </c>
      <c r="I8" s="20" t="s">
        <v>76</v>
      </c>
      <c r="J8" s="20" t="s">
        <v>76</v>
      </c>
      <c r="K8" s="20" t="s">
        <v>76</v>
      </c>
      <c r="L8" s="20" t="s">
        <v>76</v>
      </c>
      <c r="M8" s="20" t="s">
        <v>76</v>
      </c>
      <c r="N8" s="20" t="s">
        <v>76</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20" t="s">
        <v>76</v>
      </c>
      <c r="AH8" s="20" t="s">
        <v>76</v>
      </c>
      <c r="AI8" s="20" t="s">
        <v>76</v>
      </c>
      <c r="AJ8" s="20" t="s">
        <v>76</v>
      </c>
      <c r="AK8" s="20" t="s">
        <v>76</v>
      </c>
      <c r="AL8" s="20" t="s">
        <v>76</v>
      </c>
      <c r="AM8" s="20" t="s">
        <v>76</v>
      </c>
      <c r="AN8" s="20" t="s">
        <v>76</v>
      </c>
      <c r="AO8" s="20" t="s">
        <v>76</v>
      </c>
      <c r="AP8" s="20" t="s">
        <v>76</v>
      </c>
      <c r="AQ8" s="20" t="s">
        <v>76</v>
      </c>
      <c r="AR8" s="20" t="s">
        <v>76</v>
      </c>
      <c r="AS8" s="20" t="s">
        <v>76</v>
      </c>
      <c r="AT8" s="20" t="s">
        <v>76</v>
      </c>
      <c r="AU8" s="20" t="s">
        <v>76</v>
      </c>
      <c r="AV8" s="20" t="s">
        <v>76</v>
      </c>
      <c r="AW8" s="20" t="s">
        <v>76</v>
      </c>
      <c r="AX8" s="20" t="s">
        <v>76</v>
      </c>
      <c r="AY8" s="20" t="s">
        <v>76</v>
      </c>
      <c r="AZ8" s="20" t="s">
        <v>76</v>
      </c>
      <c r="BA8" s="20" t="s">
        <v>76</v>
      </c>
      <c r="BB8" s="20" t="s">
        <v>76</v>
      </c>
      <c r="BC8" s="20" t="s">
        <v>76</v>
      </c>
      <c r="BD8" s="20" t="s">
        <v>76</v>
      </c>
      <c r="BE8" s="20" t="s">
        <v>76</v>
      </c>
      <c r="BF8" s="20" t="s">
        <v>76</v>
      </c>
      <c r="BG8" s="20" t="s">
        <v>76</v>
      </c>
      <c r="BH8" s="20" t="s">
        <v>76</v>
      </c>
      <c r="BI8" s="20" t="s">
        <v>76</v>
      </c>
      <c r="BJ8" s="20" t="s">
        <v>76</v>
      </c>
      <c r="BK8" s="20" t="s">
        <v>76</v>
      </c>
      <c r="BL8" s="20" t="s">
        <v>76</v>
      </c>
      <c r="BM8" s="20" t="s">
        <v>76</v>
      </c>
      <c r="BN8" s="20" t="s">
        <v>76</v>
      </c>
      <c r="BO8" s="20" t="s">
        <v>76</v>
      </c>
      <c r="BP8" s="20" t="s">
        <v>76</v>
      </c>
      <c r="BQ8" s="20" t="s">
        <v>76</v>
      </c>
      <c r="BR8" s="20" t="s">
        <v>76</v>
      </c>
      <c r="BS8" s="20" t="s">
        <v>76</v>
      </c>
      <c r="BT8" s="20" t="s">
        <v>76</v>
      </c>
      <c r="BU8" s="20" t="s">
        <v>76</v>
      </c>
      <c r="BV8" s="20" t="s">
        <v>76</v>
      </c>
      <c r="BW8" s="20" t="s">
        <v>76</v>
      </c>
      <c r="BX8" s="20" t="s">
        <v>76</v>
      </c>
      <c r="BY8" s="20" t="s">
        <v>76</v>
      </c>
      <c r="BZ8" s="20" t="s">
        <v>76</v>
      </c>
      <c r="CA8" s="38" t="s">
        <v>76</v>
      </c>
      <c r="CB8" s="20" t="s">
        <v>76</v>
      </c>
      <c r="CC8" s="20" t="s">
        <v>76</v>
      </c>
      <c r="CD8" s="20" t="s">
        <v>76</v>
      </c>
      <c r="CE8" s="20" t="s">
        <v>76</v>
      </c>
      <c r="CF8" s="20" t="s">
        <v>76</v>
      </c>
      <c r="CG8" s="20" t="s">
        <v>76</v>
      </c>
      <c r="CH8" s="20" t="s">
        <v>76</v>
      </c>
      <c r="CI8" s="20" t="s">
        <v>76</v>
      </c>
      <c r="CJ8" s="20" t="s">
        <v>76</v>
      </c>
      <c r="CK8" s="20" t="s">
        <v>76</v>
      </c>
      <c r="CL8" s="20" t="s">
        <v>76</v>
      </c>
      <c r="CM8" s="26" t="s">
        <v>76</v>
      </c>
      <c r="CN8" s="37"/>
    </row>
    <row r="9" spans="1:92">
      <c r="A9" s="9" t="s">
        <v>264</v>
      </c>
      <c r="B9" s="35">
        <v>1.4944667296380301</v>
      </c>
      <c r="C9" s="32">
        <v>1.4404051904155299</v>
      </c>
      <c r="D9" s="32">
        <v>1.6101118308573299</v>
      </c>
      <c r="E9" s="32">
        <v>2.0526210439244399</v>
      </c>
      <c r="F9" s="20" t="s">
        <v>76</v>
      </c>
      <c r="G9" s="20" t="s">
        <v>76</v>
      </c>
      <c r="H9" s="20" t="s">
        <v>76</v>
      </c>
      <c r="I9" s="20" t="s">
        <v>76</v>
      </c>
      <c r="J9" s="15">
        <v>5.5555555555555598</v>
      </c>
      <c r="K9" s="20" t="s">
        <v>76</v>
      </c>
      <c r="L9" s="20" t="s">
        <v>76</v>
      </c>
      <c r="M9" s="20" t="s">
        <v>76</v>
      </c>
      <c r="N9" s="20" t="s">
        <v>76</v>
      </c>
      <c r="O9" s="20" t="s">
        <v>76</v>
      </c>
      <c r="P9" s="20" t="s">
        <v>76</v>
      </c>
      <c r="Q9" s="20" t="s">
        <v>76</v>
      </c>
      <c r="R9" s="20" t="s">
        <v>76</v>
      </c>
      <c r="S9" s="20" t="s">
        <v>76</v>
      </c>
      <c r="T9" s="20" t="s">
        <v>76</v>
      </c>
      <c r="U9" s="20" t="s">
        <v>76</v>
      </c>
      <c r="V9" s="20" t="s">
        <v>76</v>
      </c>
      <c r="W9" s="20" t="s">
        <v>76</v>
      </c>
      <c r="X9" s="20" t="s">
        <v>76</v>
      </c>
      <c r="Y9" s="20" t="s">
        <v>76</v>
      </c>
      <c r="Z9" s="20" t="s">
        <v>76</v>
      </c>
      <c r="AA9" s="20" t="s">
        <v>76</v>
      </c>
      <c r="AB9" s="20" t="s">
        <v>76</v>
      </c>
      <c r="AC9" s="20" t="s">
        <v>76</v>
      </c>
      <c r="AD9" s="20" t="s">
        <v>76</v>
      </c>
      <c r="AE9" s="20" t="s">
        <v>76</v>
      </c>
      <c r="AF9" s="20" t="s">
        <v>76</v>
      </c>
      <c r="AG9" s="20" t="s">
        <v>76</v>
      </c>
      <c r="AH9" s="15">
        <v>8.9285714285714306</v>
      </c>
      <c r="AI9" s="20" t="s">
        <v>76</v>
      </c>
      <c r="AJ9" s="20" t="s">
        <v>76</v>
      </c>
      <c r="AK9" s="20" t="s">
        <v>76</v>
      </c>
      <c r="AL9" s="20" t="s">
        <v>76</v>
      </c>
      <c r="AM9" s="20" t="s">
        <v>76</v>
      </c>
      <c r="AN9" s="20" t="s">
        <v>76</v>
      </c>
      <c r="AO9" s="20" t="s">
        <v>76</v>
      </c>
      <c r="AP9" s="20" t="s">
        <v>76</v>
      </c>
      <c r="AQ9" s="20" t="s">
        <v>76</v>
      </c>
      <c r="AR9" s="20" t="s">
        <v>76</v>
      </c>
      <c r="AS9" s="20" t="s">
        <v>76</v>
      </c>
      <c r="AT9" s="20" t="s">
        <v>76</v>
      </c>
      <c r="AU9" s="20" t="s">
        <v>76</v>
      </c>
      <c r="AV9" s="20" t="s">
        <v>76</v>
      </c>
      <c r="AW9" s="20" t="s">
        <v>76</v>
      </c>
      <c r="AX9" s="20" t="s">
        <v>76</v>
      </c>
      <c r="AY9" s="15">
        <v>14.285714285714301</v>
      </c>
      <c r="AZ9" s="20" t="s">
        <v>76</v>
      </c>
      <c r="BA9" s="20" t="s">
        <v>76</v>
      </c>
      <c r="BB9" s="15">
        <v>7.4626865671641802</v>
      </c>
      <c r="BC9" s="20" t="s">
        <v>76</v>
      </c>
      <c r="BD9" s="20" t="s">
        <v>76</v>
      </c>
      <c r="BE9" s="20" t="s">
        <v>76</v>
      </c>
      <c r="BF9" s="20" t="s">
        <v>76</v>
      </c>
      <c r="BG9" s="20" t="s">
        <v>76</v>
      </c>
      <c r="BH9" s="20" t="s">
        <v>76</v>
      </c>
      <c r="BI9" s="20" t="s">
        <v>76</v>
      </c>
      <c r="BJ9" s="20" t="s">
        <v>76</v>
      </c>
      <c r="BK9" s="20" t="s">
        <v>76</v>
      </c>
      <c r="BL9" s="20" t="s">
        <v>76</v>
      </c>
      <c r="BM9" s="20" t="s">
        <v>76</v>
      </c>
      <c r="BN9" s="20" t="s">
        <v>76</v>
      </c>
      <c r="BO9" s="20" t="s">
        <v>76</v>
      </c>
      <c r="BP9" s="20" t="s">
        <v>76</v>
      </c>
      <c r="BQ9" s="20" t="s">
        <v>76</v>
      </c>
      <c r="BR9" s="20" t="s">
        <v>76</v>
      </c>
      <c r="BS9" s="20" t="s">
        <v>76</v>
      </c>
      <c r="BT9" s="20" t="s">
        <v>76</v>
      </c>
      <c r="BU9" s="20" t="s">
        <v>76</v>
      </c>
      <c r="BV9" s="15">
        <v>6.0606060606060597</v>
      </c>
      <c r="BW9" s="20" t="s">
        <v>76</v>
      </c>
      <c r="BX9" s="20" t="s">
        <v>76</v>
      </c>
      <c r="BY9" s="20" t="s">
        <v>76</v>
      </c>
      <c r="BZ9" s="20" t="s">
        <v>76</v>
      </c>
      <c r="CA9" s="32">
        <v>1.2527543708878399</v>
      </c>
      <c r="CB9" s="15">
        <v>3.51437699680511</v>
      </c>
      <c r="CC9" s="20" t="s">
        <v>76</v>
      </c>
      <c r="CD9" s="20" t="s">
        <v>76</v>
      </c>
      <c r="CE9" s="20" t="s">
        <v>76</v>
      </c>
      <c r="CF9" s="20" t="s">
        <v>76</v>
      </c>
      <c r="CG9" s="20" t="s">
        <v>76</v>
      </c>
      <c r="CH9" s="15">
        <v>2.5735294117647101</v>
      </c>
      <c r="CI9" s="15">
        <v>1.64271047227926</v>
      </c>
      <c r="CJ9" s="15">
        <v>1.9607843137254899</v>
      </c>
      <c r="CK9" s="20" t="s">
        <v>76</v>
      </c>
      <c r="CL9" s="20" t="s">
        <v>76</v>
      </c>
      <c r="CM9" s="26" t="s">
        <v>76</v>
      </c>
      <c r="CN9" s="37"/>
    </row>
    <row r="10" spans="1:92">
      <c r="A10" s="9" t="s">
        <v>265</v>
      </c>
      <c r="B10" s="35">
        <v>7.50207043428553</v>
      </c>
      <c r="C10" s="32">
        <v>8.0894842376893408</v>
      </c>
      <c r="D10" s="32">
        <v>6.8916553753735004</v>
      </c>
      <c r="E10" s="32">
        <v>5.6096992199840097</v>
      </c>
      <c r="F10" s="20" t="s">
        <v>76</v>
      </c>
      <c r="G10" s="20" t="s">
        <v>76</v>
      </c>
      <c r="H10" s="20" t="s">
        <v>76</v>
      </c>
      <c r="I10" s="20" t="s">
        <v>76</v>
      </c>
      <c r="J10" s="15">
        <v>4.1666666666666696</v>
      </c>
      <c r="K10" s="20" t="s">
        <v>76</v>
      </c>
      <c r="L10" s="20" t="s">
        <v>76</v>
      </c>
      <c r="M10" s="20" t="s">
        <v>76</v>
      </c>
      <c r="N10" s="20" t="s">
        <v>76</v>
      </c>
      <c r="O10" s="15">
        <v>11.6279069767442</v>
      </c>
      <c r="P10" s="15">
        <v>7.0422535211267601</v>
      </c>
      <c r="Q10" s="15">
        <v>11.2676056338028</v>
      </c>
      <c r="R10" s="20" t="s">
        <v>76</v>
      </c>
      <c r="S10" s="15">
        <v>14.634146341463399</v>
      </c>
      <c r="T10" s="15">
        <v>18.75</v>
      </c>
      <c r="U10" s="20" t="s">
        <v>76</v>
      </c>
      <c r="V10" s="20" t="s">
        <v>76</v>
      </c>
      <c r="W10" s="15">
        <v>8.4745762711864394</v>
      </c>
      <c r="X10" s="20" t="s">
        <v>76</v>
      </c>
      <c r="Y10" s="20" t="s">
        <v>76</v>
      </c>
      <c r="Z10" s="15">
        <v>10.2564102564103</v>
      </c>
      <c r="AA10" s="15">
        <v>7.3394495412843996</v>
      </c>
      <c r="AB10" s="15">
        <v>14.705882352941201</v>
      </c>
      <c r="AC10" s="15">
        <v>3.7878787878787898</v>
      </c>
      <c r="AD10" s="20" t="s">
        <v>76</v>
      </c>
      <c r="AE10" s="20" t="s">
        <v>76</v>
      </c>
      <c r="AF10" s="20" t="s">
        <v>76</v>
      </c>
      <c r="AG10" s="15">
        <v>6.6666666666666696</v>
      </c>
      <c r="AH10" s="20" t="s">
        <v>76</v>
      </c>
      <c r="AI10" s="20" t="s">
        <v>76</v>
      </c>
      <c r="AJ10" s="15">
        <v>10.8108108108108</v>
      </c>
      <c r="AK10" s="20" t="s">
        <v>76</v>
      </c>
      <c r="AL10" s="15">
        <v>5.5555555555555598</v>
      </c>
      <c r="AM10" s="20" t="s">
        <v>76</v>
      </c>
      <c r="AN10" s="20" t="s">
        <v>76</v>
      </c>
      <c r="AO10" s="20" t="s">
        <v>76</v>
      </c>
      <c r="AP10" s="20" t="s">
        <v>76</v>
      </c>
      <c r="AQ10" s="20" t="s">
        <v>76</v>
      </c>
      <c r="AR10" s="20" t="s">
        <v>76</v>
      </c>
      <c r="AS10" s="20" t="s">
        <v>76</v>
      </c>
      <c r="AT10" s="15">
        <v>10.7692307692308</v>
      </c>
      <c r="AU10" s="20" t="s">
        <v>76</v>
      </c>
      <c r="AV10" s="20" t="s">
        <v>76</v>
      </c>
      <c r="AW10" s="15">
        <v>6.8965517241379297</v>
      </c>
      <c r="AX10" s="20" t="s">
        <v>76</v>
      </c>
      <c r="AY10" s="15">
        <v>20</v>
      </c>
      <c r="AZ10" s="20" t="s">
        <v>76</v>
      </c>
      <c r="BA10" s="20" t="s">
        <v>76</v>
      </c>
      <c r="BB10" s="20" t="s">
        <v>76</v>
      </c>
      <c r="BC10" s="20" t="s">
        <v>76</v>
      </c>
      <c r="BD10" s="15">
        <v>8.9743589743589691</v>
      </c>
      <c r="BE10" s="15">
        <v>8.6206896551724093</v>
      </c>
      <c r="BF10" s="15">
        <v>12.048192771084301</v>
      </c>
      <c r="BG10" s="20" t="s">
        <v>76</v>
      </c>
      <c r="BH10" s="20" t="s">
        <v>76</v>
      </c>
      <c r="BI10" s="20" t="s">
        <v>76</v>
      </c>
      <c r="BJ10" s="15">
        <v>5.3571428571428603</v>
      </c>
      <c r="BK10" s="20" t="s">
        <v>76</v>
      </c>
      <c r="BL10" s="20" t="s">
        <v>76</v>
      </c>
      <c r="BM10" s="20" t="s">
        <v>76</v>
      </c>
      <c r="BN10" s="15">
        <v>5.0420168067226898</v>
      </c>
      <c r="BO10" s="15">
        <v>8.8888888888888893</v>
      </c>
      <c r="BP10" s="20" t="s">
        <v>76</v>
      </c>
      <c r="BQ10" s="20" t="s">
        <v>76</v>
      </c>
      <c r="BR10" s="20" t="s">
        <v>76</v>
      </c>
      <c r="BS10" s="20" t="s">
        <v>76</v>
      </c>
      <c r="BT10" s="20" t="s">
        <v>76</v>
      </c>
      <c r="BU10" s="20" t="s">
        <v>76</v>
      </c>
      <c r="BV10" s="15">
        <v>5.0505050505050502</v>
      </c>
      <c r="BW10" s="15">
        <v>7.2463768115942004</v>
      </c>
      <c r="BX10" s="20" t="s">
        <v>76</v>
      </c>
      <c r="BY10" s="20" t="s">
        <v>76</v>
      </c>
      <c r="BZ10" s="15">
        <v>4.7619047619047601</v>
      </c>
      <c r="CA10" s="32">
        <v>7.92692556174309</v>
      </c>
      <c r="CB10" s="15">
        <v>8.3067092651757193</v>
      </c>
      <c r="CC10" s="15">
        <v>11.0062893081761</v>
      </c>
      <c r="CD10" s="15">
        <v>5.8064516129032304</v>
      </c>
      <c r="CE10" s="20" t="s">
        <v>76</v>
      </c>
      <c r="CF10" s="15">
        <v>8.3832335329341294</v>
      </c>
      <c r="CG10" s="15">
        <v>5.0279329608938497</v>
      </c>
      <c r="CH10" s="15">
        <v>8.0882352941176503</v>
      </c>
      <c r="CI10" s="15">
        <v>8.0082135523614006</v>
      </c>
      <c r="CJ10" s="15">
        <v>5.8823529411764701</v>
      </c>
      <c r="CK10" s="15">
        <v>9.8654708520179408</v>
      </c>
      <c r="CL10" s="15">
        <v>10</v>
      </c>
      <c r="CM10" s="24">
        <v>8.1370449678800796</v>
      </c>
      <c r="CN10" s="37"/>
    </row>
    <row r="11" spans="1:92">
      <c r="A11" s="9" t="s">
        <v>266</v>
      </c>
      <c r="B11" s="35">
        <v>2.9373691278334202</v>
      </c>
      <c r="C11" s="32">
        <v>2.8320650708589201</v>
      </c>
      <c r="D11" s="32">
        <v>2.8802027643522101</v>
      </c>
      <c r="E11" s="32">
        <v>2.7436496078536901</v>
      </c>
      <c r="F11" s="20" t="s">
        <v>76</v>
      </c>
      <c r="G11" s="20" t="s">
        <v>76</v>
      </c>
      <c r="H11" s="20" t="s">
        <v>76</v>
      </c>
      <c r="I11" s="20" t="s">
        <v>76</v>
      </c>
      <c r="J11" s="15">
        <v>4.1666666666666696</v>
      </c>
      <c r="K11" s="20" t="s">
        <v>76</v>
      </c>
      <c r="L11" s="20" t="s">
        <v>76</v>
      </c>
      <c r="M11" s="20" t="s">
        <v>76</v>
      </c>
      <c r="N11" s="20" t="s">
        <v>76</v>
      </c>
      <c r="O11" s="20" t="s">
        <v>76</v>
      </c>
      <c r="P11" s="15">
        <v>7.0422535211267601</v>
      </c>
      <c r="Q11" s="20" t="s">
        <v>76</v>
      </c>
      <c r="R11" s="20" t="s">
        <v>76</v>
      </c>
      <c r="S11" s="20" t="s">
        <v>76</v>
      </c>
      <c r="T11" s="20" t="s">
        <v>76</v>
      </c>
      <c r="U11" s="20" t="s">
        <v>76</v>
      </c>
      <c r="V11" s="20" t="s">
        <v>76</v>
      </c>
      <c r="W11" s="20" t="s">
        <v>76</v>
      </c>
      <c r="X11" s="20" t="s">
        <v>76</v>
      </c>
      <c r="Y11" s="20" t="s">
        <v>76</v>
      </c>
      <c r="Z11" s="20" t="s">
        <v>76</v>
      </c>
      <c r="AA11" s="20" t="s">
        <v>76</v>
      </c>
      <c r="AB11" s="20" t="s">
        <v>76</v>
      </c>
      <c r="AC11" s="20" t="s">
        <v>76</v>
      </c>
      <c r="AD11" s="20" t="s">
        <v>76</v>
      </c>
      <c r="AE11" s="20" t="s">
        <v>76</v>
      </c>
      <c r="AF11" s="20" t="s">
        <v>76</v>
      </c>
      <c r="AG11" s="20" t="s">
        <v>76</v>
      </c>
      <c r="AH11" s="20" t="s">
        <v>76</v>
      </c>
      <c r="AI11" s="20" t="s">
        <v>76</v>
      </c>
      <c r="AJ11" s="20" t="s">
        <v>76</v>
      </c>
      <c r="AK11" s="20" t="s">
        <v>76</v>
      </c>
      <c r="AL11" s="20" t="s">
        <v>76</v>
      </c>
      <c r="AM11" s="20" t="s">
        <v>76</v>
      </c>
      <c r="AN11" s="20" t="s">
        <v>76</v>
      </c>
      <c r="AO11" s="20" t="s">
        <v>76</v>
      </c>
      <c r="AP11" s="20" t="s">
        <v>76</v>
      </c>
      <c r="AQ11" s="20" t="s">
        <v>76</v>
      </c>
      <c r="AR11" s="20" t="s">
        <v>76</v>
      </c>
      <c r="AS11" s="20" t="s">
        <v>76</v>
      </c>
      <c r="AT11" s="20" t="s">
        <v>76</v>
      </c>
      <c r="AU11" s="20" t="s">
        <v>76</v>
      </c>
      <c r="AV11" s="20" t="s">
        <v>76</v>
      </c>
      <c r="AW11" s="20" t="s">
        <v>76</v>
      </c>
      <c r="AX11" s="20" t="s">
        <v>76</v>
      </c>
      <c r="AY11" s="20" t="s">
        <v>76</v>
      </c>
      <c r="AZ11" s="20" t="s">
        <v>76</v>
      </c>
      <c r="BA11" s="20" t="s">
        <v>76</v>
      </c>
      <c r="BB11" s="20" t="s">
        <v>76</v>
      </c>
      <c r="BC11" s="20" t="s">
        <v>76</v>
      </c>
      <c r="BD11" s="20" t="s">
        <v>76</v>
      </c>
      <c r="BE11" s="20" t="s">
        <v>76</v>
      </c>
      <c r="BF11" s="20" t="s">
        <v>76</v>
      </c>
      <c r="BG11" s="20" t="s">
        <v>76</v>
      </c>
      <c r="BH11" s="20" t="s">
        <v>76</v>
      </c>
      <c r="BI11" s="20" t="s">
        <v>76</v>
      </c>
      <c r="BJ11" s="20" t="s">
        <v>76</v>
      </c>
      <c r="BK11" s="20" t="s">
        <v>76</v>
      </c>
      <c r="BL11" s="20" t="s">
        <v>76</v>
      </c>
      <c r="BM11" s="15">
        <v>6.9306930693069297</v>
      </c>
      <c r="BN11" s="20" t="s">
        <v>76</v>
      </c>
      <c r="BO11" s="20" t="s">
        <v>76</v>
      </c>
      <c r="BP11" s="20" t="s">
        <v>76</v>
      </c>
      <c r="BQ11" s="20" t="s">
        <v>76</v>
      </c>
      <c r="BR11" s="20" t="s">
        <v>76</v>
      </c>
      <c r="BS11" s="20" t="s">
        <v>76</v>
      </c>
      <c r="BT11" s="15">
        <v>6.0975609756097597</v>
      </c>
      <c r="BU11" s="20" t="s">
        <v>76</v>
      </c>
      <c r="BV11" s="15">
        <v>5.0505050505050502</v>
      </c>
      <c r="BW11" s="20" t="s">
        <v>76</v>
      </c>
      <c r="BX11" s="20" t="s">
        <v>76</v>
      </c>
      <c r="BY11" s="20" t="s">
        <v>76</v>
      </c>
      <c r="BZ11" s="20" t="s">
        <v>76</v>
      </c>
      <c r="CA11" s="32">
        <v>2.9904790879091698</v>
      </c>
      <c r="CB11" s="15">
        <v>2.8753993610223598</v>
      </c>
      <c r="CC11" s="15">
        <v>2.8301886792452802</v>
      </c>
      <c r="CD11" s="20" t="s">
        <v>76</v>
      </c>
      <c r="CE11" s="20" t="s">
        <v>76</v>
      </c>
      <c r="CF11" s="15">
        <v>2.9940119760478998</v>
      </c>
      <c r="CG11" s="15">
        <v>5.5865921787709496</v>
      </c>
      <c r="CH11" s="15">
        <v>4.5955882352941204</v>
      </c>
      <c r="CI11" s="15">
        <v>1.2320328542094501</v>
      </c>
      <c r="CJ11" s="15">
        <v>9.4117647058823497</v>
      </c>
      <c r="CK11" s="15">
        <v>4.4843049327354301</v>
      </c>
      <c r="CL11" s="15">
        <v>1.9696969696969699</v>
      </c>
      <c r="CM11" s="24">
        <v>1.0706638115631699</v>
      </c>
      <c r="CN11" s="37"/>
    </row>
    <row r="12" spans="1:92">
      <c r="A12" s="9" t="s">
        <v>267</v>
      </c>
      <c r="B12" s="35">
        <v>1.08491258147811</v>
      </c>
      <c r="C12" s="32">
        <v>0.82726310238612799</v>
      </c>
      <c r="D12" s="32">
        <v>0.67172699505303501</v>
      </c>
      <c r="E12" s="32">
        <v>1.10090133655392</v>
      </c>
      <c r="F12" s="20" t="s">
        <v>76</v>
      </c>
      <c r="G12" s="20" t="s">
        <v>76</v>
      </c>
      <c r="H12" s="20" t="s">
        <v>76</v>
      </c>
      <c r="I12" s="20" t="s">
        <v>76</v>
      </c>
      <c r="J12" s="20" t="s">
        <v>76</v>
      </c>
      <c r="K12" s="20" t="s">
        <v>76</v>
      </c>
      <c r="L12" s="20" t="s">
        <v>76</v>
      </c>
      <c r="M12" s="20" t="s">
        <v>76</v>
      </c>
      <c r="N12" s="20" t="s">
        <v>76</v>
      </c>
      <c r="O12" s="20" t="s">
        <v>76</v>
      </c>
      <c r="P12" s="20" t="s">
        <v>76</v>
      </c>
      <c r="Q12" s="20" t="s">
        <v>76</v>
      </c>
      <c r="R12" s="20" t="s">
        <v>76</v>
      </c>
      <c r="S12" s="20" t="s">
        <v>76</v>
      </c>
      <c r="T12" s="20" t="s">
        <v>76</v>
      </c>
      <c r="U12" s="20" t="s">
        <v>76</v>
      </c>
      <c r="V12" s="20" t="s">
        <v>76</v>
      </c>
      <c r="W12" s="20" t="s">
        <v>76</v>
      </c>
      <c r="X12" s="20" t="s">
        <v>76</v>
      </c>
      <c r="Y12" s="20" t="s">
        <v>76</v>
      </c>
      <c r="Z12" s="20" t="s">
        <v>76</v>
      </c>
      <c r="AA12" s="20" t="s">
        <v>76</v>
      </c>
      <c r="AB12" s="20" t="s">
        <v>76</v>
      </c>
      <c r="AC12" s="20" t="s">
        <v>76</v>
      </c>
      <c r="AD12" s="20" t="s">
        <v>76</v>
      </c>
      <c r="AE12" s="20" t="s">
        <v>76</v>
      </c>
      <c r="AF12" s="20" t="s">
        <v>76</v>
      </c>
      <c r="AG12" s="20" t="s">
        <v>76</v>
      </c>
      <c r="AH12" s="20" t="s">
        <v>76</v>
      </c>
      <c r="AI12" s="20" t="s">
        <v>76</v>
      </c>
      <c r="AJ12" s="20" t="s">
        <v>76</v>
      </c>
      <c r="AK12" s="20" t="s">
        <v>76</v>
      </c>
      <c r="AL12" s="20" t="s">
        <v>76</v>
      </c>
      <c r="AM12" s="20" t="s">
        <v>76</v>
      </c>
      <c r="AN12" s="20" t="s">
        <v>76</v>
      </c>
      <c r="AO12" s="20" t="s">
        <v>76</v>
      </c>
      <c r="AP12" s="20" t="s">
        <v>76</v>
      </c>
      <c r="AQ12" s="20" t="s">
        <v>76</v>
      </c>
      <c r="AR12" s="20" t="s">
        <v>76</v>
      </c>
      <c r="AS12" s="20" t="s">
        <v>76</v>
      </c>
      <c r="AT12" s="20" t="s">
        <v>76</v>
      </c>
      <c r="AU12" s="20" t="s">
        <v>76</v>
      </c>
      <c r="AV12" s="20" t="s">
        <v>76</v>
      </c>
      <c r="AW12" s="20" t="s">
        <v>76</v>
      </c>
      <c r="AX12" s="20" t="s">
        <v>76</v>
      </c>
      <c r="AY12" s="20" t="s">
        <v>76</v>
      </c>
      <c r="AZ12" s="20" t="s">
        <v>76</v>
      </c>
      <c r="BA12" s="20" t="s">
        <v>76</v>
      </c>
      <c r="BB12" s="20" t="s">
        <v>76</v>
      </c>
      <c r="BC12" s="20" t="s">
        <v>76</v>
      </c>
      <c r="BD12" s="20" t="s">
        <v>76</v>
      </c>
      <c r="BE12" s="20" t="s">
        <v>76</v>
      </c>
      <c r="BF12" s="20" t="s">
        <v>76</v>
      </c>
      <c r="BG12" s="20" t="s">
        <v>76</v>
      </c>
      <c r="BH12" s="20" t="s">
        <v>76</v>
      </c>
      <c r="BI12" s="20" t="s">
        <v>76</v>
      </c>
      <c r="BJ12" s="20" t="s">
        <v>76</v>
      </c>
      <c r="BK12" s="20" t="s">
        <v>76</v>
      </c>
      <c r="BL12" s="20" t="s">
        <v>76</v>
      </c>
      <c r="BM12" s="20" t="s">
        <v>76</v>
      </c>
      <c r="BN12" s="20" t="s">
        <v>76</v>
      </c>
      <c r="BO12" s="20" t="s">
        <v>76</v>
      </c>
      <c r="BP12" s="20" t="s">
        <v>76</v>
      </c>
      <c r="BQ12" s="20" t="s">
        <v>76</v>
      </c>
      <c r="BR12" s="20" t="s">
        <v>76</v>
      </c>
      <c r="BS12" s="20" t="s">
        <v>76</v>
      </c>
      <c r="BT12" s="20" t="s">
        <v>76</v>
      </c>
      <c r="BU12" s="15">
        <v>4.6728971962616797</v>
      </c>
      <c r="BV12" s="20" t="s">
        <v>76</v>
      </c>
      <c r="BW12" s="20" t="s">
        <v>76</v>
      </c>
      <c r="BX12" s="20" t="s">
        <v>76</v>
      </c>
      <c r="BY12" s="20" t="s">
        <v>76</v>
      </c>
      <c r="BZ12" s="20" t="s">
        <v>76</v>
      </c>
      <c r="CA12" s="38" t="s">
        <v>76</v>
      </c>
      <c r="CB12" s="15">
        <v>1.59744408945687</v>
      </c>
      <c r="CC12" s="20" t="s">
        <v>76</v>
      </c>
      <c r="CD12" s="20" t="s">
        <v>76</v>
      </c>
      <c r="CE12" s="20" t="s">
        <v>76</v>
      </c>
      <c r="CF12" s="20" t="s">
        <v>76</v>
      </c>
      <c r="CG12" s="20" t="s">
        <v>76</v>
      </c>
      <c r="CH12" s="20" t="s">
        <v>76</v>
      </c>
      <c r="CI12" s="20" t="s">
        <v>76</v>
      </c>
      <c r="CJ12" s="20" t="s">
        <v>76</v>
      </c>
      <c r="CK12" s="20" t="s">
        <v>76</v>
      </c>
      <c r="CL12" s="20" t="s">
        <v>76</v>
      </c>
      <c r="CM12" s="26" t="s">
        <v>76</v>
      </c>
      <c r="CN12" s="37"/>
    </row>
    <row r="13" spans="1:92">
      <c r="A13" s="9" t="s">
        <v>268</v>
      </c>
      <c r="B13" s="35">
        <v>2.0714048944577201</v>
      </c>
      <c r="C13" s="32">
        <v>1.7191208420978801</v>
      </c>
      <c r="D13" s="32">
        <v>1.59298296155187</v>
      </c>
      <c r="E13" s="32">
        <v>1.90547796452547</v>
      </c>
      <c r="F13" s="20" t="s">
        <v>76</v>
      </c>
      <c r="G13" s="20" t="s">
        <v>76</v>
      </c>
      <c r="H13" s="20" t="s">
        <v>76</v>
      </c>
      <c r="I13" s="20" t="s">
        <v>76</v>
      </c>
      <c r="J13" s="20" t="s">
        <v>76</v>
      </c>
      <c r="K13" s="20" t="s">
        <v>76</v>
      </c>
      <c r="L13" s="20" t="s">
        <v>76</v>
      </c>
      <c r="M13" s="20" t="s">
        <v>76</v>
      </c>
      <c r="N13" s="20" t="s">
        <v>76</v>
      </c>
      <c r="O13" s="20" t="s">
        <v>76</v>
      </c>
      <c r="P13" s="20" t="s">
        <v>76</v>
      </c>
      <c r="Q13" s="20" t="s">
        <v>76</v>
      </c>
      <c r="R13" s="20" t="s">
        <v>76</v>
      </c>
      <c r="S13" s="20" t="s">
        <v>76</v>
      </c>
      <c r="T13" s="20" t="s">
        <v>76</v>
      </c>
      <c r="U13" s="20" t="s">
        <v>76</v>
      </c>
      <c r="V13" s="20" t="s">
        <v>76</v>
      </c>
      <c r="W13" s="20" t="s">
        <v>76</v>
      </c>
      <c r="X13" s="20" t="s">
        <v>76</v>
      </c>
      <c r="Y13" s="20" t="s">
        <v>76</v>
      </c>
      <c r="Z13" s="20" t="s">
        <v>76</v>
      </c>
      <c r="AA13" s="20" t="s">
        <v>76</v>
      </c>
      <c r="AB13" s="15">
        <v>7.3529411764705896</v>
      </c>
      <c r="AC13" s="20" t="s">
        <v>76</v>
      </c>
      <c r="AD13" s="20" t="s">
        <v>76</v>
      </c>
      <c r="AE13" s="20" t="s">
        <v>76</v>
      </c>
      <c r="AF13" s="20" t="s">
        <v>76</v>
      </c>
      <c r="AG13" s="20" t="s">
        <v>76</v>
      </c>
      <c r="AH13" s="15">
        <v>8.9285714285714306</v>
      </c>
      <c r="AI13" s="20" t="s">
        <v>76</v>
      </c>
      <c r="AJ13" s="15">
        <v>6.3063063063063103</v>
      </c>
      <c r="AK13" s="20" t="s">
        <v>76</v>
      </c>
      <c r="AL13" s="15">
        <v>5.5555555555555598</v>
      </c>
      <c r="AM13" s="20" t="s">
        <v>76</v>
      </c>
      <c r="AN13" s="20" t="s">
        <v>76</v>
      </c>
      <c r="AO13" s="20" t="s">
        <v>76</v>
      </c>
      <c r="AP13" s="15">
        <v>6.4935064935064899</v>
      </c>
      <c r="AQ13" s="20" t="s">
        <v>76</v>
      </c>
      <c r="AR13" s="20" t="s">
        <v>76</v>
      </c>
      <c r="AS13" s="20" t="s">
        <v>76</v>
      </c>
      <c r="AT13" s="20" t="s">
        <v>76</v>
      </c>
      <c r="AU13" s="20" t="s">
        <v>76</v>
      </c>
      <c r="AV13" s="20" t="s">
        <v>76</v>
      </c>
      <c r="AW13" s="15">
        <v>5.1724137931034502</v>
      </c>
      <c r="AX13" s="20" t="s">
        <v>76</v>
      </c>
      <c r="AY13" s="20" t="s">
        <v>76</v>
      </c>
      <c r="AZ13" s="20" t="s">
        <v>76</v>
      </c>
      <c r="BA13" s="20" t="s">
        <v>76</v>
      </c>
      <c r="BB13" s="20" t="s">
        <v>76</v>
      </c>
      <c r="BC13" s="20" t="s">
        <v>76</v>
      </c>
      <c r="BD13" s="20" t="s">
        <v>76</v>
      </c>
      <c r="BE13" s="20" t="s">
        <v>76</v>
      </c>
      <c r="BF13" s="20" t="s">
        <v>76</v>
      </c>
      <c r="BG13" s="20" t="s">
        <v>76</v>
      </c>
      <c r="BH13" s="20" t="s">
        <v>76</v>
      </c>
      <c r="BI13" s="20" t="s">
        <v>76</v>
      </c>
      <c r="BJ13" s="20" t="s">
        <v>76</v>
      </c>
      <c r="BK13" s="20" t="s">
        <v>76</v>
      </c>
      <c r="BL13" s="20" t="s">
        <v>76</v>
      </c>
      <c r="BM13" s="20" t="s">
        <v>76</v>
      </c>
      <c r="BN13" s="20" t="s">
        <v>76</v>
      </c>
      <c r="BO13" s="20" t="s">
        <v>76</v>
      </c>
      <c r="BP13" s="20" t="s">
        <v>76</v>
      </c>
      <c r="BQ13" s="20" t="s">
        <v>76</v>
      </c>
      <c r="BR13" s="20" t="s">
        <v>76</v>
      </c>
      <c r="BS13" s="20" t="s">
        <v>76</v>
      </c>
      <c r="BT13" s="20" t="s">
        <v>76</v>
      </c>
      <c r="BU13" s="20" t="s">
        <v>76</v>
      </c>
      <c r="BV13" s="20" t="s">
        <v>76</v>
      </c>
      <c r="BW13" s="20" t="s">
        <v>76</v>
      </c>
      <c r="BX13" s="20" t="s">
        <v>76</v>
      </c>
      <c r="BY13" s="20" t="s">
        <v>76</v>
      </c>
      <c r="BZ13" s="20" t="s">
        <v>76</v>
      </c>
      <c r="CA13" s="32">
        <v>1.3406211638351999</v>
      </c>
      <c r="CB13" s="20" t="s">
        <v>76</v>
      </c>
      <c r="CC13" s="20" t="s">
        <v>76</v>
      </c>
      <c r="CD13" s="20" t="s">
        <v>76</v>
      </c>
      <c r="CE13" s="20" t="s">
        <v>76</v>
      </c>
      <c r="CF13" s="15">
        <v>1.4970059880239499</v>
      </c>
      <c r="CG13" s="20" t="s">
        <v>76</v>
      </c>
      <c r="CH13" s="20" t="s">
        <v>76</v>
      </c>
      <c r="CI13" s="20" t="s">
        <v>76</v>
      </c>
      <c r="CJ13" s="15">
        <v>3.1372549019607798</v>
      </c>
      <c r="CK13" s="20" t="s">
        <v>76</v>
      </c>
      <c r="CL13" s="15">
        <v>1.51515151515152</v>
      </c>
      <c r="CM13" s="24">
        <v>1.7130620985010701</v>
      </c>
      <c r="CN13" s="37"/>
    </row>
    <row r="14" spans="1:92">
      <c r="A14" s="9" t="s">
        <v>269</v>
      </c>
      <c r="B14" s="35">
        <v>4.3841922039719003</v>
      </c>
      <c r="C14" s="32">
        <v>4.5386710990181802</v>
      </c>
      <c r="D14" s="32">
        <v>4.1486233917047102</v>
      </c>
      <c r="E14" s="32">
        <v>4.3891967943448602</v>
      </c>
      <c r="F14" s="20" t="s">
        <v>76</v>
      </c>
      <c r="G14" s="20" t="s">
        <v>76</v>
      </c>
      <c r="H14" s="20" t="s">
        <v>76</v>
      </c>
      <c r="I14" s="20" t="s">
        <v>76</v>
      </c>
      <c r="J14" s="15">
        <v>8.3333333333333304</v>
      </c>
      <c r="K14" s="20" t="s">
        <v>76</v>
      </c>
      <c r="L14" s="15">
        <v>24.590163934426201</v>
      </c>
      <c r="M14" s="20" t="s">
        <v>76</v>
      </c>
      <c r="N14" s="20" t="s">
        <v>76</v>
      </c>
      <c r="O14" s="20" t="s">
        <v>76</v>
      </c>
      <c r="P14" s="20" t="s">
        <v>76</v>
      </c>
      <c r="Q14" s="20" t="s">
        <v>76</v>
      </c>
      <c r="R14" s="20" t="s">
        <v>76</v>
      </c>
      <c r="S14" s="20" t="s">
        <v>76</v>
      </c>
      <c r="T14" s="20" t="s">
        <v>76</v>
      </c>
      <c r="U14" s="20" t="s">
        <v>76</v>
      </c>
      <c r="V14" s="20" t="s">
        <v>76</v>
      </c>
      <c r="W14" s="20" t="s">
        <v>76</v>
      </c>
      <c r="X14" s="20" t="s">
        <v>76</v>
      </c>
      <c r="Y14" s="20" t="s">
        <v>76</v>
      </c>
      <c r="Z14" s="20" t="s">
        <v>76</v>
      </c>
      <c r="AA14" s="20" t="s">
        <v>76</v>
      </c>
      <c r="AB14" s="20" t="s">
        <v>76</v>
      </c>
      <c r="AC14" s="15">
        <v>4.5454545454545396</v>
      </c>
      <c r="AD14" s="20" t="s">
        <v>76</v>
      </c>
      <c r="AE14" s="20" t="s">
        <v>76</v>
      </c>
      <c r="AF14" s="20" t="s">
        <v>76</v>
      </c>
      <c r="AG14" s="20" t="s">
        <v>76</v>
      </c>
      <c r="AH14" s="20" t="s">
        <v>76</v>
      </c>
      <c r="AI14" s="20" t="s">
        <v>76</v>
      </c>
      <c r="AJ14" s="15">
        <v>9.0090090090090094</v>
      </c>
      <c r="AK14" s="20" t="s">
        <v>76</v>
      </c>
      <c r="AL14" s="20" t="s">
        <v>76</v>
      </c>
      <c r="AM14" s="20" t="s">
        <v>76</v>
      </c>
      <c r="AN14" s="20" t="s">
        <v>76</v>
      </c>
      <c r="AO14" s="20" t="s">
        <v>76</v>
      </c>
      <c r="AP14" s="20" t="s">
        <v>76</v>
      </c>
      <c r="AQ14" s="20" t="s">
        <v>76</v>
      </c>
      <c r="AR14" s="20" t="s">
        <v>76</v>
      </c>
      <c r="AS14" s="20" t="s">
        <v>76</v>
      </c>
      <c r="AT14" s="20" t="s">
        <v>76</v>
      </c>
      <c r="AU14" s="20" t="s">
        <v>76</v>
      </c>
      <c r="AV14" s="20" t="s">
        <v>76</v>
      </c>
      <c r="AW14" s="15">
        <v>4.31034482758621</v>
      </c>
      <c r="AX14" s="20" t="s">
        <v>76</v>
      </c>
      <c r="AY14" s="15">
        <v>14.285714285714301</v>
      </c>
      <c r="AZ14" s="20" t="s">
        <v>76</v>
      </c>
      <c r="BA14" s="20" t="s">
        <v>76</v>
      </c>
      <c r="BB14" s="15">
        <v>8.9552238805970106</v>
      </c>
      <c r="BC14" s="20" t="s">
        <v>76</v>
      </c>
      <c r="BD14" s="15">
        <v>12.8205128205128</v>
      </c>
      <c r="BE14" s="20" t="s">
        <v>76</v>
      </c>
      <c r="BF14" s="20" t="s">
        <v>76</v>
      </c>
      <c r="BG14" s="20" t="s">
        <v>76</v>
      </c>
      <c r="BH14" s="20" t="s">
        <v>76</v>
      </c>
      <c r="BI14" s="20" t="s">
        <v>76</v>
      </c>
      <c r="BJ14" s="20" t="s">
        <v>76</v>
      </c>
      <c r="BK14" s="20" t="s">
        <v>76</v>
      </c>
      <c r="BL14" s="20" t="s">
        <v>76</v>
      </c>
      <c r="BM14" s="20" t="s">
        <v>76</v>
      </c>
      <c r="BN14" s="15">
        <v>4.2016806722689104</v>
      </c>
      <c r="BO14" s="20" t="s">
        <v>76</v>
      </c>
      <c r="BP14" s="20" t="s">
        <v>76</v>
      </c>
      <c r="BQ14" s="20" t="s">
        <v>76</v>
      </c>
      <c r="BR14" s="20" t="s">
        <v>76</v>
      </c>
      <c r="BS14" s="20" t="s">
        <v>76</v>
      </c>
      <c r="BT14" s="20" t="s">
        <v>76</v>
      </c>
      <c r="BU14" s="15">
        <v>6.5420560747663501</v>
      </c>
      <c r="BV14" s="15">
        <v>10.1010101010101</v>
      </c>
      <c r="BW14" s="20" t="s">
        <v>76</v>
      </c>
      <c r="BX14" s="20" t="s">
        <v>76</v>
      </c>
      <c r="BY14" s="20" t="s">
        <v>76</v>
      </c>
      <c r="BZ14" s="20" t="s">
        <v>76</v>
      </c>
      <c r="CA14" s="32">
        <v>3.9543433686791398</v>
      </c>
      <c r="CB14" s="15">
        <v>3.19488817891374</v>
      </c>
      <c r="CC14" s="15">
        <v>3.7735849056603801</v>
      </c>
      <c r="CD14" s="15">
        <v>3.2258064516128999</v>
      </c>
      <c r="CE14" s="20" t="s">
        <v>76</v>
      </c>
      <c r="CF14" s="15">
        <v>4.4910179640718599</v>
      </c>
      <c r="CG14" s="15">
        <v>5.0279329608938497</v>
      </c>
      <c r="CH14" s="15">
        <v>4.7794117647058796</v>
      </c>
      <c r="CI14" s="15">
        <v>3.49075975359343</v>
      </c>
      <c r="CJ14" s="15">
        <v>3.1372549019607798</v>
      </c>
      <c r="CK14" s="15">
        <v>9.4170403587443907</v>
      </c>
      <c r="CL14" s="15">
        <v>3.6363636363636398</v>
      </c>
      <c r="CM14" s="24">
        <v>1.9271948608137</v>
      </c>
      <c r="CN14" s="37"/>
    </row>
    <row r="15" spans="1:92">
      <c r="A15" s="9" t="s">
        <v>270</v>
      </c>
      <c r="B15" s="35">
        <v>6.1267677042598097</v>
      </c>
      <c r="C15" s="32">
        <v>8.2963470880712897</v>
      </c>
      <c r="D15" s="32">
        <v>9.0487734197082403</v>
      </c>
      <c r="E15" s="32">
        <v>10.9101064207099</v>
      </c>
      <c r="F15" s="20" t="s">
        <v>76</v>
      </c>
      <c r="G15" s="20" t="s">
        <v>76</v>
      </c>
      <c r="H15" s="20" t="s">
        <v>76</v>
      </c>
      <c r="I15" s="20" t="s">
        <v>76</v>
      </c>
      <c r="J15" s="15">
        <v>15.9722222222222</v>
      </c>
      <c r="K15" s="15">
        <v>20.5128205128205</v>
      </c>
      <c r="L15" s="15">
        <v>13.1147540983607</v>
      </c>
      <c r="M15" s="20" t="s">
        <v>76</v>
      </c>
      <c r="N15" s="20" t="s">
        <v>76</v>
      </c>
      <c r="O15" s="20" t="s">
        <v>76</v>
      </c>
      <c r="P15" s="20" t="s">
        <v>76</v>
      </c>
      <c r="Q15" s="20" t="s">
        <v>76</v>
      </c>
      <c r="R15" s="20" t="s">
        <v>76</v>
      </c>
      <c r="S15" s="15">
        <v>24.390243902439</v>
      </c>
      <c r="T15" s="20" t="s">
        <v>76</v>
      </c>
      <c r="U15" s="15">
        <v>23.8095238095238</v>
      </c>
      <c r="V15" s="20" t="s">
        <v>76</v>
      </c>
      <c r="W15" s="15">
        <v>8.4745762711864394</v>
      </c>
      <c r="X15" s="20" t="s">
        <v>76</v>
      </c>
      <c r="Y15" s="20" t="s">
        <v>76</v>
      </c>
      <c r="Z15" s="15">
        <v>8.9743589743589691</v>
      </c>
      <c r="AA15" s="15">
        <v>14.678899082568799</v>
      </c>
      <c r="AB15" s="15">
        <v>8.8235294117646994</v>
      </c>
      <c r="AC15" s="15">
        <v>9.0909090909090899</v>
      </c>
      <c r="AD15" s="15">
        <v>37.5</v>
      </c>
      <c r="AE15" s="20" t="s">
        <v>76</v>
      </c>
      <c r="AF15" s="20" t="s">
        <v>76</v>
      </c>
      <c r="AG15" s="15">
        <v>9.5238095238095202</v>
      </c>
      <c r="AH15" s="15">
        <v>8.9285714285714306</v>
      </c>
      <c r="AI15" s="20" t="s">
        <v>76</v>
      </c>
      <c r="AJ15" s="15">
        <v>5.4054054054054097</v>
      </c>
      <c r="AK15" s="15">
        <v>20</v>
      </c>
      <c r="AL15" s="15">
        <v>20</v>
      </c>
      <c r="AM15" s="15">
        <v>18.75</v>
      </c>
      <c r="AN15" s="20" t="s">
        <v>76</v>
      </c>
      <c r="AO15" s="15">
        <v>20</v>
      </c>
      <c r="AP15" s="15">
        <v>37.662337662337698</v>
      </c>
      <c r="AQ15" s="20" t="s">
        <v>76</v>
      </c>
      <c r="AR15" s="15">
        <v>10.909090909090899</v>
      </c>
      <c r="AS15" s="20" t="s">
        <v>76</v>
      </c>
      <c r="AT15" s="20" t="s">
        <v>76</v>
      </c>
      <c r="AU15" s="15">
        <v>24.4897959183673</v>
      </c>
      <c r="AV15" s="20" t="s">
        <v>76</v>
      </c>
      <c r="AW15" s="15">
        <v>7.7586206896551699</v>
      </c>
      <c r="AX15" s="20" t="s">
        <v>76</v>
      </c>
      <c r="AY15" s="20" t="s">
        <v>76</v>
      </c>
      <c r="AZ15" s="15">
        <v>22</v>
      </c>
      <c r="BA15" s="20" t="s">
        <v>76</v>
      </c>
      <c r="BB15" s="15">
        <v>11.9402985074627</v>
      </c>
      <c r="BC15" s="15">
        <v>8.1081081081081106</v>
      </c>
      <c r="BD15" s="15">
        <v>7.6923076923076898</v>
      </c>
      <c r="BE15" s="15">
        <v>10.3448275862069</v>
      </c>
      <c r="BF15" s="20" t="s">
        <v>76</v>
      </c>
      <c r="BG15" s="20" t="s">
        <v>76</v>
      </c>
      <c r="BH15" s="20" t="s">
        <v>76</v>
      </c>
      <c r="BI15" s="20" t="s">
        <v>76</v>
      </c>
      <c r="BJ15" s="15">
        <v>6.25</v>
      </c>
      <c r="BK15" s="15">
        <v>17.5</v>
      </c>
      <c r="BL15" s="15">
        <v>27.34375</v>
      </c>
      <c r="BM15" s="15">
        <v>15.841584158415801</v>
      </c>
      <c r="BN15" s="15">
        <v>14.285714285714301</v>
      </c>
      <c r="BO15" s="15">
        <v>6.6666666666666696</v>
      </c>
      <c r="BP15" s="20" t="s">
        <v>76</v>
      </c>
      <c r="BQ15" s="15">
        <v>20.5479452054795</v>
      </c>
      <c r="BR15" s="20" t="s">
        <v>76</v>
      </c>
      <c r="BS15" s="15">
        <v>6.0240963855421699</v>
      </c>
      <c r="BT15" s="20" t="s">
        <v>76</v>
      </c>
      <c r="BU15" s="15">
        <v>14.953271028037401</v>
      </c>
      <c r="BV15" s="15">
        <v>17.171717171717201</v>
      </c>
      <c r="BW15" s="20" t="s">
        <v>76</v>
      </c>
      <c r="BX15" s="20" t="s">
        <v>76</v>
      </c>
      <c r="BY15" s="15">
        <v>11.1111111111111</v>
      </c>
      <c r="BZ15" s="15">
        <v>13.605442176870699</v>
      </c>
      <c r="CA15" s="32">
        <v>7.54561548818182</v>
      </c>
      <c r="CB15" s="15">
        <v>4.7923322683706102</v>
      </c>
      <c r="CC15" s="15">
        <v>2.5157232704402501</v>
      </c>
      <c r="CD15" s="15">
        <v>5.1612903225806503</v>
      </c>
      <c r="CE15" s="20" t="s">
        <v>76</v>
      </c>
      <c r="CF15" s="15">
        <v>4.7904191616766498</v>
      </c>
      <c r="CG15" s="15">
        <v>6.7039106145251397</v>
      </c>
      <c r="CH15" s="15">
        <v>6.6176470588235299</v>
      </c>
      <c r="CI15" s="15">
        <v>8.4188911704312108</v>
      </c>
      <c r="CJ15" s="15">
        <v>5.8823529411764701</v>
      </c>
      <c r="CK15" s="15">
        <v>14.349775784753399</v>
      </c>
      <c r="CL15" s="15">
        <v>12.575757575757599</v>
      </c>
      <c r="CM15" s="24">
        <v>7.9229122055674503</v>
      </c>
      <c r="CN15" s="37"/>
    </row>
    <row r="16" spans="1:92">
      <c r="A16" s="9" t="s">
        <v>271</v>
      </c>
      <c r="B16" s="35">
        <v>0.40361937654808799</v>
      </c>
      <c r="C16" s="32">
        <v>0.39201245976104199</v>
      </c>
      <c r="D16" s="32">
        <v>0.43852873437350698</v>
      </c>
      <c r="E16" s="38" t="s">
        <v>76</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20" t="s">
        <v>76</v>
      </c>
      <c r="AD16" s="20" t="s">
        <v>76</v>
      </c>
      <c r="AE16" s="20" t="s">
        <v>76</v>
      </c>
      <c r="AF16" s="20" t="s">
        <v>76</v>
      </c>
      <c r="AG16" s="20" t="s">
        <v>76</v>
      </c>
      <c r="AH16" s="20" t="s">
        <v>76</v>
      </c>
      <c r="AI16" s="20" t="s">
        <v>76</v>
      </c>
      <c r="AJ16" s="20" t="s">
        <v>76</v>
      </c>
      <c r="AK16" s="20" t="s">
        <v>76</v>
      </c>
      <c r="AL16" s="20" t="s">
        <v>76</v>
      </c>
      <c r="AM16" s="20" t="s">
        <v>76</v>
      </c>
      <c r="AN16" s="20" t="s">
        <v>76</v>
      </c>
      <c r="AO16" s="20" t="s">
        <v>76</v>
      </c>
      <c r="AP16" s="20" t="s">
        <v>76</v>
      </c>
      <c r="AQ16" s="20" t="s">
        <v>76</v>
      </c>
      <c r="AR16" s="20" t="s">
        <v>76</v>
      </c>
      <c r="AS16" s="20" t="s">
        <v>76</v>
      </c>
      <c r="AT16" s="20" t="s">
        <v>76</v>
      </c>
      <c r="AU16" s="20" t="s">
        <v>76</v>
      </c>
      <c r="AV16" s="20" t="s">
        <v>76</v>
      </c>
      <c r="AW16" s="20" t="s">
        <v>76</v>
      </c>
      <c r="AX16" s="20" t="s">
        <v>76</v>
      </c>
      <c r="AY16" s="20" t="s">
        <v>76</v>
      </c>
      <c r="AZ16" s="20" t="s">
        <v>76</v>
      </c>
      <c r="BA16" s="20" t="s">
        <v>76</v>
      </c>
      <c r="BB16" s="20" t="s">
        <v>76</v>
      </c>
      <c r="BC16" s="20" t="s">
        <v>76</v>
      </c>
      <c r="BD16" s="20" t="s">
        <v>76</v>
      </c>
      <c r="BE16" s="20" t="s">
        <v>76</v>
      </c>
      <c r="BF16" s="20" t="s">
        <v>76</v>
      </c>
      <c r="BG16" s="20" t="s">
        <v>76</v>
      </c>
      <c r="BH16" s="20" t="s">
        <v>76</v>
      </c>
      <c r="BI16" s="20" t="s">
        <v>76</v>
      </c>
      <c r="BJ16" s="20" t="s">
        <v>76</v>
      </c>
      <c r="BK16" s="20" t="s">
        <v>76</v>
      </c>
      <c r="BL16" s="20" t="s">
        <v>76</v>
      </c>
      <c r="BM16" s="20" t="s">
        <v>76</v>
      </c>
      <c r="BN16" s="20" t="s">
        <v>76</v>
      </c>
      <c r="BO16" s="20" t="s">
        <v>76</v>
      </c>
      <c r="BP16" s="20" t="s">
        <v>76</v>
      </c>
      <c r="BQ16" s="20" t="s">
        <v>76</v>
      </c>
      <c r="BR16" s="20" t="s">
        <v>76</v>
      </c>
      <c r="BS16" s="20" t="s">
        <v>76</v>
      </c>
      <c r="BT16" s="20" t="s">
        <v>76</v>
      </c>
      <c r="BU16" s="20" t="s">
        <v>76</v>
      </c>
      <c r="BV16" s="20" t="s">
        <v>76</v>
      </c>
      <c r="BW16" s="20" t="s">
        <v>76</v>
      </c>
      <c r="BX16" s="20" t="s">
        <v>76</v>
      </c>
      <c r="BY16" s="20" t="s">
        <v>76</v>
      </c>
      <c r="BZ16" s="20" t="s">
        <v>76</v>
      </c>
      <c r="CA16" s="38" t="s">
        <v>76</v>
      </c>
      <c r="CB16" s="20" t="s">
        <v>76</v>
      </c>
      <c r="CC16" s="20" t="s">
        <v>76</v>
      </c>
      <c r="CD16" s="20" t="s">
        <v>76</v>
      </c>
      <c r="CE16" s="20" t="s">
        <v>76</v>
      </c>
      <c r="CF16" s="20" t="s">
        <v>76</v>
      </c>
      <c r="CG16" s="20" t="s">
        <v>76</v>
      </c>
      <c r="CH16" s="20" t="s">
        <v>76</v>
      </c>
      <c r="CI16" s="20" t="s">
        <v>76</v>
      </c>
      <c r="CJ16" s="20" t="s">
        <v>76</v>
      </c>
      <c r="CK16" s="20" t="s">
        <v>76</v>
      </c>
      <c r="CL16" s="20" t="s">
        <v>76</v>
      </c>
      <c r="CM16" s="26" t="s">
        <v>76</v>
      </c>
      <c r="CN16" s="37"/>
    </row>
    <row r="17" spans="1:92">
      <c r="A17" s="9" t="s">
        <v>272</v>
      </c>
      <c r="B17" s="35">
        <v>3.8286353927064298</v>
      </c>
      <c r="C17" s="32">
        <v>4.0806950105366502</v>
      </c>
      <c r="D17" s="32">
        <v>4.4652225857944199</v>
      </c>
      <c r="E17" s="32">
        <v>5.1506940623114899</v>
      </c>
      <c r="F17" s="20" t="s">
        <v>76</v>
      </c>
      <c r="G17" s="20" t="s">
        <v>76</v>
      </c>
      <c r="H17" s="20" t="s">
        <v>76</v>
      </c>
      <c r="I17" s="20" t="s">
        <v>76</v>
      </c>
      <c r="J17" s="15">
        <v>3.4722222222222201</v>
      </c>
      <c r="K17" s="20" t="s">
        <v>76</v>
      </c>
      <c r="L17" s="20" t="s">
        <v>76</v>
      </c>
      <c r="M17" s="15">
        <v>14.473684210526301</v>
      </c>
      <c r="N17" s="15">
        <v>7.0588235294117601</v>
      </c>
      <c r="O17" s="15">
        <v>11.6279069767442</v>
      </c>
      <c r="P17" s="20" t="s">
        <v>76</v>
      </c>
      <c r="Q17" s="20" t="s">
        <v>76</v>
      </c>
      <c r="R17" s="20" t="s">
        <v>76</v>
      </c>
      <c r="S17" s="20" t="s">
        <v>76</v>
      </c>
      <c r="T17" s="20" t="s">
        <v>76</v>
      </c>
      <c r="U17" s="20" t="s">
        <v>76</v>
      </c>
      <c r="V17" s="20" t="s">
        <v>76</v>
      </c>
      <c r="W17" s="20" t="s">
        <v>76</v>
      </c>
      <c r="X17" s="20" t="s">
        <v>76</v>
      </c>
      <c r="Y17" s="20" t="s">
        <v>76</v>
      </c>
      <c r="Z17" s="20" t="s">
        <v>76</v>
      </c>
      <c r="AA17" s="15">
        <v>4.5871559633027497</v>
      </c>
      <c r="AB17" s="20" t="s">
        <v>76</v>
      </c>
      <c r="AC17" s="15">
        <v>5.3030303030303001</v>
      </c>
      <c r="AD17" s="20" t="s">
        <v>76</v>
      </c>
      <c r="AE17" s="20" t="s">
        <v>76</v>
      </c>
      <c r="AF17" s="20" t="s">
        <v>76</v>
      </c>
      <c r="AG17" s="15">
        <v>10.476190476190499</v>
      </c>
      <c r="AH17" s="15">
        <v>8.9285714285714306</v>
      </c>
      <c r="AI17" s="20" t="s">
        <v>76</v>
      </c>
      <c r="AJ17" s="15">
        <v>4.5045045045045002</v>
      </c>
      <c r="AK17" s="20" t="s">
        <v>76</v>
      </c>
      <c r="AL17" s="20" t="s">
        <v>76</v>
      </c>
      <c r="AM17" s="20" t="s">
        <v>76</v>
      </c>
      <c r="AN17" s="20" t="s">
        <v>76</v>
      </c>
      <c r="AO17" s="20" t="s">
        <v>76</v>
      </c>
      <c r="AP17" s="15">
        <v>9.0909090909090899</v>
      </c>
      <c r="AQ17" s="20" t="s">
        <v>76</v>
      </c>
      <c r="AR17" s="20" t="s">
        <v>76</v>
      </c>
      <c r="AS17" s="20" t="s">
        <v>76</v>
      </c>
      <c r="AT17" s="20" t="s">
        <v>76</v>
      </c>
      <c r="AU17" s="20" t="s">
        <v>76</v>
      </c>
      <c r="AV17" s="15">
        <v>6.8493150684931496</v>
      </c>
      <c r="AW17" s="20" t="s">
        <v>76</v>
      </c>
      <c r="AX17" s="20" t="s">
        <v>76</v>
      </c>
      <c r="AY17" s="20" t="s">
        <v>76</v>
      </c>
      <c r="AZ17" s="20" t="s">
        <v>76</v>
      </c>
      <c r="BA17" s="20" t="s">
        <v>76</v>
      </c>
      <c r="BB17" s="20" t="s">
        <v>76</v>
      </c>
      <c r="BC17" s="20" t="s">
        <v>76</v>
      </c>
      <c r="BD17" s="15">
        <v>7.6923076923076898</v>
      </c>
      <c r="BE17" s="20" t="s">
        <v>76</v>
      </c>
      <c r="BF17" s="20" t="s">
        <v>76</v>
      </c>
      <c r="BG17" s="20" t="s">
        <v>76</v>
      </c>
      <c r="BH17" s="20" t="s">
        <v>76</v>
      </c>
      <c r="BI17" s="20" t="s">
        <v>76</v>
      </c>
      <c r="BJ17" s="20" t="s">
        <v>76</v>
      </c>
      <c r="BK17" s="20" t="s">
        <v>76</v>
      </c>
      <c r="BL17" s="15">
        <v>6.25</v>
      </c>
      <c r="BM17" s="20" t="s">
        <v>76</v>
      </c>
      <c r="BN17" s="20" t="s">
        <v>76</v>
      </c>
      <c r="BO17" s="20" t="s">
        <v>76</v>
      </c>
      <c r="BP17" s="20" t="s">
        <v>76</v>
      </c>
      <c r="BQ17" s="20" t="s">
        <v>76</v>
      </c>
      <c r="BR17" s="20" t="s">
        <v>76</v>
      </c>
      <c r="BS17" s="20" t="s">
        <v>76</v>
      </c>
      <c r="BT17" s="20" t="s">
        <v>76</v>
      </c>
      <c r="BU17" s="15">
        <v>5.6074766355140202</v>
      </c>
      <c r="BV17" s="15">
        <v>12.1212121212121</v>
      </c>
      <c r="BW17" s="15">
        <v>10.144927536231901</v>
      </c>
      <c r="BX17" s="20" t="s">
        <v>76</v>
      </c>
      <c r="BY17" s="20" t="s">
        <v>76</v>
      </c>
      <c r="BZ17" s="15">
        <v>4.7619047619047601</v>
      </c>
      <c r="CA17" s="32">
        <v>3.9116559288838699</v>
      </c>
      <c r="CB17" s="15">
        <v>2.8753993610223598</v>
      </c>
      <c r="CC17" s="15">
        <v>3.1446540880503102</v>
      </c>
      <c r="CD17" s="20" t="s">
        <v>76</v>
      </c>
      <c r="CE17" s="20" t="s">
        <v>76</v>
      </c>
      <c r="CF17" s="15">
        <v>4.4910179640718599</v>
      </c>
      <c r="CG17" s="15">
        <v>2.7932960893854699</v>
      </c>
      <c r="CH17" s="15">
        <v>2.7573529411764701</v>
      </c>
      <c r="CI17" s="15">
        <v>4.9281314168377799</v>
      </c>
      <c r="CJ17" s="15">
        <v>4.31372549019608</v>
      </c>
      <c r="CK17" s="15">
        <v>7.6233183856502196</v>
      </c>
      <c r="CL17" s="15">
        <v>4.0909090909090899</v>
      </c>
      <c r="CM17" s="24">
        <v>4.4967880085653098</v>
      </c>
      <c r="CN17" s="37"/>
    </row>
    <row r="18" spans="1:92">
      <c r="A18" s="9" t="s">
        <v>273</v>
      </c>
      <c r="B18" s="35">
        <v>10.915436754923</v>
      </c>
      <c r="C18" s="32">
        <v>10.9677886659719</v>
      </c>
      <c r="D18" s="32">
        <v>9.8036874695669898</v>
      </c>
      <c r="E18" s="32">
        <v>11.7970557164723</v>
      </c>
      <c r="F18" s="20" t="s">
        <v>76</v>
      </c>
      <c r="G18" s="20" t="s">
        <v>76</v>
      </c>
      <c r="H18" s="20" t="s">
        <v>76</v>
      </c>
      <c r="I18" s="20" t="s">
        <v>76</v>
      </c>
      <c r="J18" s="15">
        <v>13.1944444444444</v>
      </c>
      <c r="K18" s="15">
        <v>25.6410256410256</v>
      </c>
      <c r="L18" s="15">
        <v>21.311475409836099</v>
      </c>
      <c r="M18" s="15">
        <v>15.789473684210501</v>
      </c>
      <c r="N18" s="15">
        <v>18.823529411764699</v>
      </c>
      <c r="O18" s="20" t="s">
        <v>76</v>
      </c>
      <c r="P18" s="15">
        <v>14.084507042253501</v>
      </c>
      <c r="Q18" s="15">
        <v>18.309859154929601</v>
      </c>
      <c r="R18" s="20" t="s">
        <v>76</v>
      </c>
      <c r="S18" s="20" t="s">
        <v>76</v>
      </c>
      <c r="T18" s="15">
        <v>16.6666666666667</v>
      </c>
      <c r="U18" s="20" t="s">
        <v>76</v>
      </c>
      <c r="V18" s="20" t="s">
        <v>76</v>
      </c>
      <c r="W18" s="20" t="s">
        <v>76</v>
      </c>
      <c r="X18" s="20" t="s">
        <v>76</v>
      </c>
      <c r="Y18" s="20" t="s">
        <v>76</v>
      </c>
      <c r="Z18" s="15">
        <v>14.1025641025641</v>
      </c>
      <c r="AA18" s="15">
        <v>13.7614678899083</v>
      </c>
      <c r="AB18" s="15">
        <v>20.588235294117599</v>
      </c>
      <c r="AC18" s="15">
        <v>8.3333333333333304</v>
      </c>
      <c r="AD18" s="20" t="s">
        <v>76</v>
      </c>
      <c r="AE18" s="20" t="s">
        <v>76</v>
      </c>
      <c r="AF18" s="20" t="s">
        <v>76</v>
      </c>
      <c r="AG18" s="15">
        <v>4.7619047619047601</v>
      </c>
      <c r="AH18" s="15">
        <v>19.6428571428571</v>
      </c>
      <c r="AI18" s="20" t="s">
        <v>76</v>
      </c>
      <c r="AJ18" s="15">
        <v>16.2162162162162</v>
      </c>
      <c r="AK18" s="20" t="s">
        <v>76</v>
      </c>
      <c r="AL18" s="15">
        <v>15.5555555555556</v>
      </c>
      <c r="AM18" s="15">
        <v>9.375</v>
      </c>
      <c r="AN18" s="20" t="s">
        <v>76</v>
      </c>
      <c r="AO18" s="20" t="s">
        <v>76</v>
      </c>
      <c r="AP18" s="15">
        <v>11.6883116883117</v>
      </c>
      <c r="AQ18" s="20" t="s">
        <v>76</v>
      </c>
      <c r="AR18" s="20" t="s">
        <v>76</v>
      </c>
      <c r="AS18" s="20" t="s">
        <v>76</v>
      </c>
      <c r="AT18" s="15">
        <v>18.461538461538499</v>
      </c>
      <c r="AU18" s="20" t="s">
        <v>76</v>
      </c>
      <c r="AV18" s="15">
        <v>8.2191780821917799</v>
      </c>
      <c r="AW18" s="15">
        <v>15.517241379310301</v>
      </c>
      <c r="AX18" s="20" t="s">
        <v>76</v>
      </c>
      <c r="AY18" s="15">
        <v>20</v>
      </c>
      <c r="AZ18" s="15">
        <v>10</v>
      </c>
      <c r="BA18" s="15">
        <v>11.320754716981099</v>
      </c>
      <c r="BB18" s="15">
        <v>20.8955223880597</v>
      </c>
      <c r="BC18" s="15">
        <v>21.6216216216216</v>
      </c>
      <c r="BD18" s="15">
        <v>12.8205128205128</v>
      </c>
      <c r="BE18" s="15">
        <v>8.6206896551724093</v>
      </c>
      <c r="BF18" s="15">
        <v>7.2289156626505999</v>
      </c>
      <c r="BG18" s="15">
        <v>17.910447761194</v>
      </c>
      <c r="BH18" s="20" t="s">
        <v>76</v>
      </c>
      <c r="BI18" s="20" t="s">
        <v>76</v>
      </c>
      <c r="BJ18" s="15">
        <v>8.0357142857142794</v>
      </c>
      <c r="BK18" s="20" t="s">
        <v>76</v>
      </c>
      <c r="BL18" s="15">
        <v>25.78125</v>
      </c>
      <c r="BM18" s="15">
        <v>4.9504950495049496</v>
      </c>
      <c r="BN18" s="15">
        <v>17.647058823529399</v>
      </c>
      <c r="BO18" s="15">
        <v>12.2222222222222</v>
      </c>
      <c r="BP18" s="20" t="s">
        <v>76</v>
      </c>
      <c r="BQ18" s="20" t="s">
        <v>76</v>
      </c>
      <c r="BR18" s="15">
        <v>8.3333333333333304</v>
      </c>
      <c r="BS18" s="15">
        <v>10.8433734939759</v>
      </c>
      <c r="BT18" s="15">
        <v>8.5365853658536608</v>
      </c>
      <c r="BU18" s="15">
        <v>12.1495327102804</v>
      </c>
      <c r="BV18" s="15">
        <v>12.1212121212121</v>
      </c>
      <c r="BW18" s="20" t="s">
        <v>76</v>
      </c>
      <c r="BX18" s="20" t="s">
        <v>76</v>
      </c>
      <c r="BY18" s="15">
        <v>15.8730158730159</v>
      </c>
      <c r="BZ18" s="15">
        <v>14.965986394557801</v>
      </c>
      <c r="CA18" s="32">
        <v>8.1939017465522195</v>
      </c>
      <c r="CB18" s="15">
        <v>5.4313099041533501</v>
      </c>
      <c r="CC18" s="15">
        <v>7.2327044025157203</v>
      </c>
      <c r="CD18" s="15">
        <v>4.5161290322580596</v>
      </c>
      <c r="CE18" s="20" t="s">
        <v>76</v>
      </c>
      <c r="CF18" s="15">
        <v>5.9880239520958103</v>
      </c>
      <c r="CG18" s="15">
        <v>8.3798882681564208</v>
      </c>
      <c r="CH18" s="15">
        <v>6.9852941176470598</v>
      </c>
      <c r="CI18" s="15">
        <v>9.4455852156057496</v>
      </c>
      <c r="CJ18" s="15">
        <v>8.62745098039216</v>
      </c>
      <c r="CK18" s="15">
        <v>10.3139013452915</v>
      </c>
      <c r="CL18" s="15">
        <v>10</v>
      </c>
      <c r="CM18" s="24">
        <v>10.9207708779443</v>
      </c>
      <c r="CN18" s="37"/>
    </row>
    <row r="19" spans="1:92">
      <c r="A19" s="9" t="s">
        <v>274</v>
      </c>
      <c r="B19" s="35">
        <v>4.9115167681525396</v>
      </c>
      <c r="C19" s="32">
        <v>4.8009034006615199</v>
      </c>
      <c r="D19" s="32">
        <v>4.1610479326508196</v>
      </c>
      <c r="E19" s="32">
        <v>5.8440450433441704</v>
      </c>
      <c r="F19" s="20" t="s">
        <v>76</v>
      </c>
      <c r="G19" s="20" t="s">
        <v>76</v>
      </c>
      <c r="H19" s="20" t="s">
        <v>76</v>
      </c>
      <c r="I19" s="20" t="s">
        <v>76</v>
      </c>
      <c r="J19" s="15">
        <v>6.9444444444444402</v>
      </c>
      <c r="K19" s="20" t="s">
        <v>76</v>
      </c>
      <c r="L19" s="15">
        <v>13.1147540983607</v>
      </c>
      <c r="M19" s="15">
        <v>13.157894736842101</v>
      </c>
      <c r="N19" s="20" t="s">
        <v>76</v>
      </c>
      <c r="O19" s="20" t="s">
        <v>76</v>
      </c>
      <c r="P19" s="20" t="s">
        <v>76</v>
      </c>
      <c r="Q19" s="15">
        <v>7.0422535211267601</v>
      </c>
      <c r="R19" s="20" t="s">
        <v>76</v>
      </c>
      <c r="S19" s="20" t="s">
        <v>76</v>
      </c>
      <c r="T19" s="20" t="s">
        <v>76</v>
      </c>
      <c r="U19" s="20" t="s">
        <v>76</v>
      </c>
      <c r="V19" s="20" t="s">
        <v>76</v>
      </c>
      <c r="W19" s="20" t="s">
        <v>76</v>
      </c>
      <c r="X19" s="20" t="s">
        <v>76</v>
      </c>
      <c r="Y19" s="20" t="s">
        <v>76</v>
      </c>
      <c r="Z19" s="15">
        <v>8.9743589743589691</v>
      </c>
      <c r="AA19" s="15">
        <v>7.3394495412843996</v>
      </c>
      <c r="AB19" s="15">
        <v>11.764705882352899</v>
      </c>
      <c r="AC19" s="15">
        <v>5.3030303030303001</v>
      </c>
      <c r="AD19" s="20" t="s">
        <v>76</v>
      </c>
      <c r="AE19" s="20" t="s">
        <v>76</v>
      </c>
      <c r="AF19" s="20" t="s">
        <v>76</v>
      </c>
      <c r="AG19" s="15">
        <v>11.4285714285714</v>
      </c>
      <c r="AH19" s="15">
        <v>12.5</v>
      </c>
      <c r="AI19" s="20" t="s">
        <v>76</v>
      </c>
      <c r="AJ19" s="15">
        <v>9.0090090090090094</v>
      </c>
      <c r="AK19" s="20" t="s">
        <v>76</v>
      </c>
      <c r="AL19" s="15">
        <v>13.3333333333333</v>
      </c>
      <c r="AM19" s="20" t="s">
        <v>76</v>
      </c>
      <c r="AN19" s="20" t="s">
        <v>76</v>
      </c>
      <c r="AO19" s="20" t="s">
        <v>76</v>
      </c>
      <c r="AP19" s="20" t="s">
        <v>76</v>
      </c>
      <c r="AQ19" s="20" t="s">
        <v>76</v>
      </c>
      <c r="AR19" s="20" t="s">
        <v>76</v>
      </c>
      <c r="AS19" s="20" t="s">
        <v>76</v>
      </c>
      <c r="AT19" s="20" t="s">
        <v>76</v>
      </c>
      <c r="AU19" s="20" t="s">
        <v>76</v>
      </c>
      <c r="AV19" s="20" t="s">
        <v>76</v>
      </c>
      <c r="AW19" s="15">
        <v>6.8965517241379297</v>
      </c>
      <c r="AX19" s="20" t="s">
        <v>76</v>
      </c>
      <c r="AY19" s="20" t="s">
        <v>76</v>
      </c>
      <c r="AZ19" s="20" t="s">
        <v>76</v>
      </c>
      <c r="BA19" s="15">
        <v>15.094339622641501</v>
      </c>
      <c r="BB19" s="20" t="s">
        <v>76</v>
      </c>
      <c r="BC19" s="20" t="s">
        <v>76</v>
      </c>
      <c r="BD19" s="15">
        <v>8.9743589743589691</v>
      </c>
      <c r="BE19" s="15">
        <v>8.6206896551724093</v>
      </c>
      <c r="BF19" s="20" t="s">
        <v>76</v>
      </c>
      <c r="BG19" s="20" t="s">
        <v>76</v>
      </c>
      <c r="BH19" s="20" t="s">
        <v>76</v>
      </c>
      <c r="BI19" s="20" t="s">
        <v>76</v>
      </c>
      <c r="BJ19" s="20" t="s">
        <v>76</v>
      </c>
      <c r="BK19" s="15">
        <v>12.5</v>
      </c>
      <c r="BL19" s="20" t="s">
        <v>76</v>
      </c>
      <c r="BM19" s="15">
        <v>5.9405940594059397</v>
      </c>
      <c r="BN19" s="20" t="s">
        <v>76</v>
      </c>
      <c r="BO19" s="15">
        <v>11.1111111111111</v>
      </c>
      <c r="BP19" s="20" t="s">
        <v>76</v>
      </c>
      <c r="BQ19" s="15">
        <v>8.2191780821917799</v>
      </c>
      <c r="BR19" s="20" t="s">
        <v>76</v>
      </c>
      <c r="BS19" s="20" t="s">
        <v>76</v>
      </c>
      <c r="BT19" s="20" t="s">
        <v>76</v>
      </c>
      <c r="BU19" s="15">
        <v>6.5420560747663501</v>
      </c>
      <c r="BV19" s="15">
        <v>10.1010101010101</v>
      </c>
      <c r="BW19" s="20" t="s">
        <v>76</v>
      </c>
      <c r="BX19" s="20" t="s">
        <v>76</v>
      </c>
      <c r="BY19" s="20" t="s">
        <v>76</v>
      </c>
      <c r="BZ19" s="20" t="s">
        <v>76</v>
      </c>
      <c r="CA19" s="32">
        <v>2.8019088348572501</v>
      </c>
      <c r="CB19" s="15">
        <v>2.2364217252396199</v>
      </c>
      <c r="CC19" s="15">
        <v>1.88679245283019</v>
      </c>
      <c r="CD19" s="20" t="s">
        <v>76</v>
      </c>
      <c r="CE19" s="20" t="s">
        <v>76</v>
      </c>
      <c r="CF19" s="15">
        <v>2.39520958083832</v>
      </c>
      <c r="CG19" s="15">
        <v>6.1452513966480398</v>
      </c>
      <c r="CH19" s="15">
        <v>2.5735294117647101</v>
      </c>
      <c r="CI19" s="15">
        <v>3.0800821355236101</v>
      </c>
      <c r="CJ19" s="15">
        <v>4.31372549019608</v>
      </c>
      <c r="CK19" s="15">
        <v>3.1390134529148002</v>
      </c>
      <c r="CL19" s="15">
        <v>1.6666666666666701</v>
      </c>
      <c r="CM19" s="24">
        <v>2.5695931477516099</v>
      </c>
      <c r="CN19" s="37"/>
    </row>
    <row r="20" spans="1:92">
      <c r="A20" s="9" t="s">
        <v>275</v>
      </c>
      <c r="B20" s="35">
        <v>0.85494288457628098</v>
      </c>
      <c r="C20" s="32">
        <v>0.73649025128619705</v>
      </c>
      <c r="D20" s="32">
        <v>0.70520493860313904</v>
      </c>
      <c r="E20" s="32">
        <v>1.13248950358615</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20" t="s">
        <v>76</v>
      </c>
      <c r="T20" s="20" t="s">
        <v>76</v>
      </c>
      <c r="U20" s="20" t="s">
        <v>76</v>
      </c>
      <c r="V20" s="20" t="s">
        <v>76</v>
      </c>
      <c r="W20" s="20" t="s">
        <v>76</v>
      </c>
      <c r="X20" s="20" t="s">
        <v>76</v>
      </c>
      <c r="Y20" s="20" t="s">
        <v>76</v>
      </c>
      <c r="Z20" s="20" t="s">
        <v>76</v>
      </c>
      <c r="AA20" s="15">
        <v>6.4220183486238502</v>
      </c>
      <c r="AB20" s="20" t="s">
        <v>76</v>
      </c>
      <c r="AC20" s="20" t="s">
        <v>76</v>
      </c>
      <c r="AD20" s="20" t="s">
        <v>76</v>
      </c>
      <c r="AE20" s="20" t="s">
        <v>76</v>
      </c>
      <c r="AF20" s="20" t="s">
        <v>76</v>
      </c>
      <c r="AG20" s="20" t="s">
        <v>76</v>
      </c>
      <c r="AH20" s="15">
        <v>8.9285714285714306</v>
      </c>
      <c r="AI20" s="20" t="s">
        <v>76</v>
      </c>
      <c r="AJ20" s="20" t="s">
        <v>76</v>
      </c>
      <c r="AK20" s="20" t="s">
        <v>76</v>
      </c>
      <c r="AL20" s="20" t="s">
        <v>76</v>
      </c>
      <c r="AM20" s="20" t="s">
        <v>76</v>
      </c>
      <c r="AN20" s="20" t="s">
        <v>76</v>
      </c>
      <c r="AO20" s="20" t="s">
        <v>76</v>
      </c>
      <c r="AP20" s="20" t="s">
        <v>76</v>
      </c>
      <c r="AQ20" s="20" t="s">
        <v>76</v>
      </c>
      <c r="AR20" s="20" t="s">
        <v>76</v>
      </c>
      <c r="AS20" s="20" t="s">
        <v>76</v>
      </c>
      <c r="AT20" s="20" t="s">
        <v>76</v>
      </c>
      <c r="AU20" s="20" t="s">
        <v>76</v>
      </c>
      <c r="AV20" s="20" t="s">
        <v>76</v>
      </c>
      <c r="AW20" s="20" t="s">
        <v>76</v>
      </c>
      <c r="AX20" s="20" t="s">
        <v>76</v>
      </c>
      <c r="AY20" s="20" t="s">
        <v>76</v>
      </c>
      <c r="AZ20" s="20" t="s">
        <v>76</v>
      </c>
      <c r="BA20" s="20" t="s">
        <v>76</v>
      </c>
      <c r="BB20" s="20" t="s">
        <v>76</v>
      </c>
      <c r="BC20" s="20" t="s">
        <v>76</v>
      </c>
      <c r="BD20" s="20" t="s">
        <v>76</v>
      </c>
      <c r="BE20" s="20" t="s">
        <v>76</v>
      </c>
      <c r="BF20" s="20" t="s">
        <v>76</v>
      </c>
      <c r="BG20" s="20" t="s">
        <v>76</v>
      </c>
      <c r="BH20" s="20" t="s">
        <v>76</v>
      </c>
      <c r="BI20" s="20" t="s">
        <v>76</v>
      </c>
      <c r="BJ20" s="20" t="s">
        <v>76</v>
      </c>
      <c r="BK20" s="20" t="s">
        <v>76</v>
      </c>
      <c r="BL20" s="20" t="s">
        <v>76</v>
      </c>
      <c r="BM20" s="20" t="s">
        <v>76</v>
      </c>
      <c r="BN20" s="20" t="s">
        <v>76</v>
      </c>
      <c r="BO20" s="20" t="s">
        <v>76</v>
      </c>
      <c r="BP20" s="20" t="s">
        <v>76</v>
      </c>
      <c r="BQ20" s="20" t="s">
        <v>76</v>
      </c>
      <c r="BR20" s="20" t="s">
        <v>76</v>
      </c>
      <c r="BS20" s="20" t="s">
        <v>76</v>
      </c>
      <c r="BT20" s="20" t="s">
        <v>76</v>
      </c>
      <c r="BU20" s="20" t="s">
        <v>76</v>
      </c>
      <c r="BV20" s="20" t="s">
        <v>76</v>
      </c>
      <c r="BW20" s="20" t="s">
        <v>76</v>
      </c>
      <c r="BX20" s="20" t="s">
        <v>76</v>
      </c>
      <c r="BY20" s="20" t="s">
        <v>76</v>
      </c>
      <c r="BZ20" s="20" t="s">
        <v>76</v>
      </c>
      <c r="CA20" s="38" t="s">
        <v>76</v>
      </c>
      <c r="CB20" s="20" t="s">
        <v>76</v>
      </c>
      <c r="CC20" s="20" t="s">
        <v>76</v>
      </c>
      <c r="CD20" s="20" t="s">
        <v>76</v>
      </c>
      <c r="CE20" s="20" t="s">
        <v>76</v>
      </c>
      <c r="CF20" s="20" t="s">
        <v>76</v>
      </c>
      <c r="CG20" s="20" t="s">
        <v>76</v>
      </c>
      <c r="CH20" s="20" t="s">
        <v>76</v>
      </c>
      <c r="CI20" s="20" t="s">
        <v>76</v>
      </c>
      <c r="CJ20" s="20" t="s">
        <v>76</v>
      </c>
      <c r="CK20" s="20" t="s">
        <v>76</v>
      </c>
      <c r="CL20" s="15">
        <v>1.0606060606060601</v>
      </c>
      <c r="CM20" s="26" t="s">
        <v>76</v>
      </c>
      <c r="CN20" s="37"/>
    </row>
    <row r="21" spans="1:92">
      <c r="A21" s="9" t="s">
        <v>276</v>
      </c>
      <c r="B21" s="35">
        <v>2.55943123551581</v>
      </c>
      <c r="C21" s="32">
        <v>2.5340038644260101</v>
      </c>
      <c r="D21" s="32">
        <v>2.84427294119457</v>
      </c>
      <c r="E21" s="32">
        <v>2.4666048964335001</v>
      </c>
      <c r="F21" s="20" t="s">
        <v>76</v>
      </c>
      <c r="G21" s="20" t="s">
        <v>76</v>
      </c>
      <c r="H21" s="20" t="s">
        <v>76</v>
      </c>
      <c r="I21" s="20" t="s">
        <v>76</v>
      </c>
      <c r="J21" s="20" t="s">
        <v>76</v>
      </c>
      <c r="K21" s="20" t="s">
        <v>76</v>
      </c>
      <c r="L21" s="20" t="s">
        <v>76</v>
      </c>
      <c r="M21" s="20" t="s">
        <v>76</v>
      </c>
      <c r="N21" s="20" t="s">
        <v>76</v>
      </c>
      <c r="O21" s="20" t="s">
        <v>76</v>
      </c>
      <c r="P21" s="20" t="s">
        <v>76</v>
      </c>
      <c r="Q21" s="20" t="s">
        <v>76</v>
      </c>
      <c r="R21" s="20" t="s">
        <v>76</v>
      </c>
      <c r="S21" s="20" t="s">
        <v>76</v>
      </c>
      <c r="T21" s="20" t="s">
        <v>76</v>
      </c>
      <c r="U21" s="20" t="s">
        <v>76</v>
      </c>
      <c r="V21" s="20" t="s">
        <v>76</v>
      </c>
      <c r="W21" s="20" t="s">
        <v>76</v>
      </c>
      <c r="X21" s="20" t="s">
        <v>76</v>
      </c>
      <c r="Y21" s="20" t="s">
        <v>76</v>
      </c>
      <c r="Z21" s="15">
        <v>37.179487179487197</v>
      </c>
      <c r="AA21" s="20" t="s">
        <v>76</v>
      </c>
      <c r="AB21" s="20" t="s">
        <v>76</v>
      </c>
      <c r="AC21" s="20" t="s">
        <v>76</v>
      </c>
      <c r="AD21" s="20" t="s">
        <v>76</v>
      </c>
      <c r="AE21" s="20" t="s">
        <v>76</v>
      </c>
      <c r="AF21" s="20" t="s">
        <v>76</v>
      </c>
      <c r="AG21" s="20" t="s">
        <v>76</v>
      </c>
      <c r="AH21" s="15">
        <v>10.714285714285699</v>
      </c>
      <c r="AI21" s="20" t="s">
        <v>76</v>
      </c>
      <c r="AJ21" s="20" t="s">
        <v>76</v>
      </c>
      <c r="AK21" s="20" t="s">
        <v>76</v>
      </c>
      <c r="AL21" s="20" t="s">
        <v>76</v>
      </c>
      <c r="AM21" s="20" t="s">
        <v>76</v>
      </c>
      <c r="AN21" s="20" t="s">
        <v>76</v>
      </c>
      <c r="AO21" s="20" t="s">
        <v>76</v>
      </c>
      <c r="AP21" s="20" t="s">
        <v>76</v>
      </c>
      <c r="AQ21" s="20" t="s">
        <v>76</v>
      </c>
      <c r="AR21" s="20" t="s">
        <v>76</v>
      </c>
      <c r="AS21" s="20" t="s">
        <v>76</v>
      </c>
      <c r="AT21" s="20" t="s">
        <v>76</v>
      </c>
      <c r="AU21" s="20" t="s">
        <v>76</v>
      </c>
      <c r="AV21" s="20" t="s">
        <v>76</v>
      </c>
      <c r="AW21" s="20" t="s">
        <v>76</v>
      </c>
      <c r="AX21" s="20" t="s">
        <v>76</v>
      </c>
      <c r="AY21" s="20" t="s">
        <v>76</v>
      </c>
      <c r="AZ21" s="20" t="s">
        <v>76</v>
      </c>
      <c r="BA21" s="20" t="s">
        <v>76</v>
      </c>
      <c r="BB21" s="20" t="s">
        <v>76</v>
      </c>
      <c r="BC21" s="20" t="s">
        <v>76</v>
      </c>
      <c r="BD21" s="20" t="s">
        <v>76</v>
      </c>
      <c r="BE21" s="20" t="s">
        <v>76</v>
      </c>
      <c r="BF21" s="20" t="s">
        <v>76</v>
      </c>
      <c r="BG21" s="20" t="s">
        <v>76</v>
      </c>
      <c r="BH21" s="20" t="s">
        <v>76</v>
      </c>
      <c r="BI21" s="20" t="s">
        <v>76</v>
      </c>
      <c r="BJ21" s="20" t="s">
        <v>76</v>
      </c>
      <c r="BK21" s="20" t="s">
        <v>76</v>
      </c>
      <c r="BL21" s="20" t="s">
        <v>76</v>
      </c>
      <c r="BM21" s="20" t="s">
        <v>76</v>
      </c>
      <c r="BN21" s="20" t="s">
        <v>76</v>
      </c>
      <c r="BO21" s="20" t="s">
        <v>76</v>
      </c>
      <c r="BP21" s="20" t="s">
        <v>76</v>
      </c>
      <c r="BQ21" s="15">
        <v>10.958904109589</v>
      </c>
      <c r="BR21" s="20" t="s">
        <v>76</v>
      </c>
      <c r="BS21" s="20" t="s">
        <v>76</v>
      </c>
      <c r="BT21" s="20" t="s">
        <v>76</v>
      </c>
      <c r="BU21" s="20" t="s">
        <v>76</v>
      </c>
      <c r="BV21" s="20" t="s">
        <v>76</v>
      </c>
      <c r="BW21" s="20" t="s">
        <v>76</v>
      </c>
      <c r="BX21" s="20" t="s">
        <v>76</v>
      </c>
      <c r="BY21" s="20" t="s">
        <v>76</v>
      </c>
      <c r="BZ21" s="20" t="s">
        <v>76</v>
      </c>
      <c r="CA21" s="32">
        <v>3.1492665756818901</v>
      </c>
      <c r="CB21" s="15">
        <v>2.5559105431309899</v>
      </c>
      <c r="CC21" s="20" t="s">
        <v>76</v>
      </c>
      <c r="CD21" s="20" t="s">
        <v>76</v>
      </c>
      <c r="CE21" s="20" t="s">
        <v>76</v>
      </c>
      <c r="CF21" s="15">
        <v>4.7904191616766498</v>
      </c>
      <c r="CG21" s="20" t="s">
        <v>76</v>
      </c>
      <c r="CH21" s="15">
        <v>12.132352941176499</v>
      </c>
      <c r="CI21" s="15">
        <v>2.0533880903490802</v>
      </c>
      <c r="CJ21" s="15">
        <v>3.1372549019607798</v>
      </c>
      <c r="CK21" s="15">
        <v>3.5874439461883401</v>
      </c>
      <c r="CL21" s="15">
        <v>2.2727272727272698</v>
      </c>
      <c r="CM21" s="24">
        <v>1.4989293361884399</v>
      </c>
      <c r="CN21" s="37"/>
    </row>
    <row r="22" spans="1:92">
      <c r="A22" s="9" t="s">
        <v>277</v>
      </c>
      <c r="B22" s="35">
        <v>1.0363360376879001</v>
      </c>
      <c r="C22" s="32">
        <v>0.97575428546424103</v>
      </c>
      <c r="D22" s="32">
        <v>0.95580138791602698</v>
      </c>
      <c r="E22" s="32">
        <v>1.27538897227676</v>
      </c>
      <c r="F22" s="20" t="s">
        <v>76</v>
      </c>
      <c r="G22" s="20" t="s">
        <v>76</v>
      </c>
      <c r="H22" s="20" t="s">
        <v>76</v>
      </c>
      <c r="I22" s="20" t="s">
        <v>76</v>
      </c>
      <c r="J22" s="20" t="s">
        <v>76</v>
      </c>
      <c r="K22" s="20" t="s">
        <v>76</v>
      </c>
      <c r="L22" s="20" t="s">
        <v>76</v>
      </c>
      <c r="M22" s="20" t="s">
        <v>76</v>
      </c>
      <c r="N22" s="20" t="s">
        <v>76</v>
      </c>
      <c r="O22" s="20" t="s">
        <v>76</v>
      </c>
      <c r="P22" s="20" t="s">
        <v>76</v>
      </c>
      <c r="Q22" s="20" t="s">
        <v>76</v>
      </c>
      <c r="R22" s="20" t="s">
        <v>76</v>
      </c>
      <c r="S22" s="20" t="s">
        <v>76</v>
      </c>
      <c r="T22" s="20" t="s">
        <v>76</v>
      </c>
      <c r="U22" s="20" t="s">
        <v>76</v>
      </c>
      <c r="V22" s="20" t="s">
        <v>76</v>
      </c>
      <c r="W22" s="20" t="s">
        <v>76</v>
      </c>
      <c r="X22" s="20" t="s">
        <v>76</v>
      </c>
      <c r="Y22" s="20" t="s">
        <v>76</v>
      </c>
      <c r="Z22" s="20" t="s">
        <v>76</v>
      </c>
      <c r="AA22" s="20" t="s">
        <v>76</v>
      </c>
      <c r="AB22" s="20" t="s">
        <v>76</v>
      </c>
      <c r="AC22" s="20" t="s">
        <v>76</v>
      </c>
      <c r="AD22" s="20" t="s">
        <v>76</v>
      </c>
      <c r="AE22" s="20" t="s">
        <v>76</v>
      </c>
      <c r="AF22" s="20" t="s">
        <v>76</v>
      </c>
      <c r="AG22" s="20" t="s">
        <v>76</v>
      </c>
      <c r="AH22" s="15">
        <v>8.9285714285714306</v>
      </c>
      <c r="AI22" s="20" t="s">
        <v>76</v>
      </c>
      <c r="AJ22" s="20" t="s">
        <v>76</v>
      </c>
      <c r="AK22" s="20" t="s">
        <v>76</v>
      </c>
      <c r="AL22" s="20" t="s">
        <v>76</v>
      </c>
      <c r="AM22" s="20" t="s">
        <v>76</v>
      </c>
      <c r="AN22" s="20" t="s">
        <v>76</v>
      </c>
      <c r="AO22" s="20" t="s">
        <v>76</v>
      </c>
      <c r="AP22" s="20" t="s">
        <v>76</v>
      </c>
      <c r="AQ22" s="20" t="s">
        <v>76</v>
      </c>
      <c r="AR22" s="20" t="s">
        <v>76</v>
      </c>
      <c r="AS22" s="20" t="s">
        <v>76</v>
      </c>
      <c r="AT22" s="20" t="s">
        <v>76</v>
      </c>
      <c r="AU22" s="20" t="s">
        <v>76</v>
      </c>
      <c r="AV22" s="20" t="s">
        <v>76</v>
      </c>
      <c r="AW22" s="20" t="s">
        <v>76</v>
      </c>
      <c r="AX22" s="20" t="s">
        <v>76</v>
      </c>
      <c r="AY22" s="20" t="s">
        <v>76</v>
      </c>
      <c r="AZ22" s="20" t="s">
        <v>76</v>
      </c>
      <c r="BA22" s="20" t="s">
        <v>76</v>
      </c>
      <c r="BB22" s="20" t="s">
        <v>76</v>
      </c>
      <c r="BC22" s="20" t="s">
        <v>76</v>
      </c>
      <c r="BD22" s="20" t="s">
        <v>76</v>
      </c>
      <c r="BE22" s="20" t="s">
        <v>76</v>
      </c>
      <c r="BF22" s="20" t="s">
        <v>76</v>
      </c>
      <c r="BG22" s="20" t="s">
        <v>76</v>
      </c>
      <c r="BH22" s="20" t="s">
        <v>76</v>
      </c>
      <c r="BI22" s="20" t="s">
        <v>76</v>
      </c>
      <c r="BJ22" s="20" t="s">
        <v>76</v>
      </c>
      <c r="BK22" s="20" t="s">
        <v>76</v>
      </c>
      <c r="BL22" s="20" t="s">
        <v>76</v>
      </c>
      <c r="BM22" s="20" t="s">
        <v>76</v>
      </c>
      <c r="BN22" s="20" t="s">
        <v>76</v>
      </c>
      <c r="BO22" s="20" t="s">
        <v>76</v>
      </c>
      <c r="BP22" s="20" t="s">
        <v>76</v>
      </c>
      <c r="BQ22" s="20" t="s">
        <v>76</v>
      </c>
      <c r="BR22" s="20" t="s">
        <v>76</v>
      </c>
      <c r="BS22" s="20" t="s">
        <v>76</v>
      </c>
      <c r="BT22" s="20" t="s">
        <v>76</v>
      </c>
      <c r="BU22" s="20" t="s">
        <v>76</v>
      </c>
      <c r="BV22" s="20" t="s">
        <v>76</v>
      </c>
      <c r="BW22" s="20" t="s">
        <v>76</v>
      </c>
      <c r="BX22" s="20" t="s">
        <v>76</v>
      </c>
      <c r="BY22" s="20" t="s">
        <v>76</v>
      </c>
      <c r="BZ22" s="20" t="s">
        <v>76</v>
      </c>
      <c r="CA22" s="38" t="s">
        <v>76</v>
      </c>
      <c r="CB22" s="20" t="s">
        <v>76</v>
      </c>
      <c r="CC22" s="20" t="s">
        <v>76</v>
      </c>
      <c r="CD22" s="20" t="s">
        <v>76</v>
      </c>
      <c r="CE22" s="20" t="s">
        <v>76</v>
      </c>
      <c r="CF22" s="20" t="s">
        <v>76</v>
      </c>
      <c r="CG22" s="20" t="s">
        <v>76</v>
      </c>
      <c r="CH22" s="20" t="s">
        <v>76</v>
      </c>
      <c r="CI22" s="20" t="s">
        <v>76</v>
      </c>
      <c r="CJ22" s="20" t="s">
        <v>76</v>
      </c>
      <c r="CK22" s="20" t="s">
        <v>76</v>
      </c>
      <c r="CL22" s="15">
        <v>1.2121212121212099</v>
      </c>
      <c r="CM22" s="26" t="s">
        <v>76</v>
      </c>
      <c r="CN22" s="37"/>
    </row>
    <row r="23" spans="1:92">
      <c r="A23" s="9" t="s">
        <v>278</v>
      </c>
      <c r="B23" s="35">
        <v>5.5703404785507198</v>
      </c>
      <c r="C23" s="32">
        <v>6.0201998618334303</v>
      </c>
      <c r="D23" s="32">
        <v>5.8274403139583297</v>
      </c>
      <c r="E23" s="32">
        <v>3.7835432640136601</v>
      </c>
      <c r="F23" s="20" t="s">
        <v>76</v>
      </c>
      <c r="G23" s="20" t="s">
        <v>76</v>
      </c>
      <c r="H23" s="20" t="s">
        <v>76</v>
      </c>
      <c r="I23" s="20" t="s">
        <v>76</v>
      </c>
      <c r="J23" s="20" t="s">
        <v>76</v>
      </c>
      <c r="K23" s="20" t="s">
        <v>76</v>
      </c>
      <c r="L23" s="20" t="s">
        <v>76</v>
      </c>
      <c r="M23" s="15">
        <v>9.2105263157894708</v>
      </c>
      <c r="N23" s="15">
        <v>9.4117647058823497</v>
      </c>
      <c r="O23" s="20" t="s">
        <v>76</v>
      </c>
      <c r="P23" s="15">
        <v>7.0422535211267601</v>
      </c>
      <c r="Q23" s="20" t="s">
        <v>76</v>
      </c>
      <c r="R23" s="20" t="s">
        <v>76</v>
      </c>
      <c r="S23" s="20" t="s">
        <v>76</v>
      </c>
      <c r="T23" s="20" t="s">
        <v>76</v>
      </c>
      <c r="U23" s="20" t="s">
        <v>76</v>
      </c>
      <c r="V23" s="20" t="s">
        <v>76</v>
      </c>
      <c r="W23" s="20" t="s">
        <v>76</v>
      </c>
      <c r="X23" s="20" t="s">
        <v>76</v>
      </c>
      <c r="Y23" s="20" t="s">
        <v>76</v>
      </c>
      <c r="Z23" s="20" t="s">
        <v>76</v>
      </c>
      <c r="AA23" s="20" t="s">
        <v>76</v>
      </c>
      <c r="AB23" s="15">
        <v>13.235294117647101</v>
      </c>
      <c r="AC23" s="20" t="s">
        <v>76</v>
      </c>
      <c r="AD23" s="20" t="s">
        <v>76</v>
      </c>
      <c r="AE23" s="20" t="s">
        <v>76</v>
      </c>
      <c r="AF23" s="15">
        <v>35.714285714285701</v>
      </c>
      <c r="AG23" s="15">
        <v>5.71428571428571</v>
      </c>
      <c r="AH23" s="15">
        <v>8.9285714285714306</v>
      </c>
      <c r="AI23" s="20" t="s">
        <v>76</v>
      </c>
      <c r="AJ23" s="20" t="s">
        <v>76</v>
      </c>
      <c r="AK23" s="20" t="s">
        <v>76</v>
      </c>
      <c r="AL23" s="15">
        <v>7.7777777777777803</v>
      </c>
      <c r="AM23" s="20" t="s">
        <v>76</v>
      </c>
      <c r="AN23" s="20" t="s">
        <v>76</v>
      </c>
      <c r="AO23" s="20" t="s">
        <v>76</v>
      </c>
      <c r="AP23" s="15">
        <v>7.7922077922077904</v>
      </c>
      <c r="AQ23" s="20" t="s">
        <v>76</v>
      </c>
      <c r="AR23" s="20" t="s">
        <v>76</v>
      </c>
      <c r="AS23" s="20" t="s">
        <v>76</v>
      </c>
      <c r="AT23" s="20" t="s">
        <v>76</v>
      </c>
      <c r="AU23" s="20" t="s">
        <v>76</v>
      </c>
      <c r="AV23" s="20" t="s">
        <v>76</v>
      </c>
      <c r="AW23" s="20" t="s">
        <v>76</v>
      </c>
      <c r="AX23" s="20" t="s">
        <v>76</v>
      </c>
      <c r="AY23" s="20" t="s">
        <v>76</v>
      </c>
      <c r="AZ23" s="20" t="s">
        <v>76</v>
      </c>
      <c r="BA23" s="20" t="s">
        <v>76</v>
      </c>
      <c r="BB23" s="15">
        <v>7.4626865671641802</v>
      </c>
      <c r="BC23" s="20" t="s">
        <v>76</v>
      </c>
      <c r="BD23" s="20" t="s">
        <v>76</v>
      </c>
      <c r="BE23" s="20" t="s">
        <v>76</v>
      </c>
      <c r="BF23" s="20" t="s">
        <v>76</v>
      </c>
      <c r="BG23" s="15">
        <v>8.9552238805970106</v>
      </c>
      <c r="BH23" s="20" t="s">
        <v>76</v>
      </c>
      <c r="BI23" s="20" t="s">
        <v>76</v>
      </c>
      <c r="BJ23" s="20" t="s">
        <v>76</v>
      </c>
      <c r="BK23" s="20" t="s">
        <v>76</v>
      </c>
      <c r="BL23" s="15">
        <v>5.46875</v>
      </c>
      <c r="BM23" s="20" t="s">
        <v>76</v>
      </c>
      <c r="BN23" s="15">
        <v>5.0420168067226898</v>
      </c>
      <c r="BO23" s="15">
        <v>6.6666666666666696</v>
      </c>
      <c r="BP23" s="20" t="s">
        <v>76</v>
      </c>
      <c r="BQ23" s="20" t="s">
        <v>76</v>
      </c>
      <c r="BR23" s="20" t="s">
        <v>76</v>
      </c>
      <c r="BS23" s="20" t="s">
        <v>76</v>
      </c>
      <c r="BT23" s="20" t="s">
        <v>76</v>
      </c>
      <c r="BU23" s="20" t="s">
        <v>76</v>
      </c>
      <c r="BV23" s="15">
        <v>5.0505050505050502</v>
      </c>
      <c r="BW23" s="20" t="s">
        <v>76</v>
      </c>
      <c r="BX23" s="20" t="s">
        <v>76</v>
      </c>
      <c r="BY23" s="15">
        <v>7.9365079365079403</v>
      </c>
      <c r="BZ23" s="20" t="s">
        <v>76</v>
      </c>
      <c r="CA23" s="32">
        <v>7.4780316161028102</v>
      </c>
      <c r="CB23" s="15">
        <v>5.1118210862619797</v>
      </c>
      <c r="CC23" s="15">
        <v>7.2327044025157203</v>
      </c>
      <c r="CD23" s="15">
        <v>4.5161290322580596</v>
      </c>
      <c r="CE23" s="20" t="s">
        <v>76</v>
      </c>
      <c r="CF23" s="15">
        <v>4.7904191616766498</v>
      </c>
      <c r="CG23" s="15">
        <v>7.8212290502793298</v>
      </c>
      <c r="CH23" s="15">
        <v>9.5588235294117592</v>
      </c>
      <c r="CI23" s="15">
        <v>8.6242299794661204</v>
      </c>
      <c r="CJ23" s="15">
        <v>6.2745098039215703</v>
      </c>
      <c r="CK23" s="15">
        <v>7.6233183856502196</v>
      </c>
      <c r="CL23" s="15">
        <v>6.9696969696969697</v>
      </c>
      <c r="CM23" s="24">
        <v>8.3511777301927204</v>
      </c>
      <c r="CN23" s="37"/>
    </row>
    <row r="24" spans="1:92">
      <c r="A24" s="9" t="s">
        <v>279</v>
      </c>
      <c r="B24" s="35">
        <v>22.940609912452601</v>
      </c>
      <c r="C24" s="32">
        <v>24.233381867303802</v>
      </c>
      <c r="D24" s="32">
        <v>24.719469903006601</v>
      </c>
      <c r="E24" s="32">
        <v>25.021157674139701</v>
      </c>
      <c r="F24" s="20" t="s">
        <v>76</v>
      </c>
      <c r="G24" s="20" t="s">
        <v>76</v>
      </c>
      <c r="H24" s="15">
        <v>21.739130434782599</v>
      </c>
      <c r="I24" s="20" t="s">
        <v>76</v>
      </c>
      <c r="J24" s="15">
        <v>18.75</v>
      </c>
      <c r="K24" s="20" t="s">
        <v>76</v>
      </c>
      <c r="L24" s="15">
        <v>22.9508196721311</v>
      </c>
      <c r="M24" s="15">
        <v>19.7368421052632</v>
      </c>
      <c r="N24" s="15">
        <v>58.823529411764703</v>
      </c>
      <c r="O24" s="15">
        <v>30.232558139534898</v>
      </c>
      <c r="P24" s="15">
        <v>19.7183098591549</v>
      </c>
      <c r="Q24" s="15">
        <v>11.2676056338028</v>
      </c>
      <c r="R24" s="20" t="s">
        <v>76</v>
      </c>
      <c r="S24" s="15">
        <v>48.780487804878</v>
      </c>
      <c r="T24" s="15">
        <v>22.9166666666667</v>
      </c>
      <c r="U24" s="20" t="s">
        <v>76</v>
      </c>
      <c r="V24" s="20" t="s">
        <v>76</v>
      </c>
      <c r="W24" s="15">
        <v>18.644067796610202</v>
      </c>
      <c r="X24" s="20" t="s">
        <v>76</v>
      </c>
      <c r="Y24" s="20" t="s">
        <v>76</v>
      </c>
      <c r="Z24" s="15">
        <v>16.6666666666667</v>
      </c>
      <c r="AA24" s="15">
        <v>24.7706422018349</v>
      </c>
      <c r="AB24" s="15">
        <v>22.0588235294118</v>
      </c>
      <c r="AC24" s="15">
        <v>22.727272727272702</v>
      </c>
      <c r="AD24" s="15">
        <v>34.375</v>
      </c>
      <c r="AE24" s="15">
        <v>29.629629629629601</v>
      </c>
      <c r="AF24" s="20" t="s">
        <v>76</v>
      </c>
      <c r="AG24" s="15">
        <v>29.523809523809501</v>
      </c>
      <c r="AH24" s="15">
        <v>35.714285714285701</v>
      </c>
      <c r="AI24" s="20" t="s">
        <v>76</v>
      </c>
      <c r="AJ24" s="15">
        <v>27.9279279279279</v>
      </c>
      <c r="AK24" s="15">
        <v>53.3333333333333</v>
      </c>
      <c r="AL24" s="15">
        <v>15.5555555555556</v>
      </c>
      <c r="AM24" s="15">
        <v>34.375</v>
      </c>
      <c r="AN24" s="20" t="s">
        <v>76</v>
      </c>
      <c r="AO24" s="20" t="s">
        <v>76</v>
      </c>
      <c r="AP24" s="15">
        <v>28.571428571428601</v>
      </c>
      <c r="AQ24" s="15">
        <v>20.5128205128205</v>
      </c>
      <c r="AR24" s="15">
        <v>30.909090909090899</v>
      </c>
      <c r="AS24" s="20" t="s">
        <v>76</v>
      </c>
      <c r="AT24" s="15">
        <v>30.769230769230798</v>
      </c>
      <c r="AU24" s="15">
        <v>12.244897959183699</v>
      </c>
      <c r="AV24" s="15">
        <v>17.808219178082201</v>
      </c>
      <c r="AW24" s="15">
        <v>15.517241379310301</v>
      </c>
      <c r="AX24" s="20" t="s">
        <v>76</v>
      </c>
      <c r="AY24" s="15">
        <v>14.285714285714301</v>
      </c>
      <c r="AZ24" s="15">
        <v>30</v>
      </c>
      <c r="BA24" s="15">
        <v>15.094339622641501</v>
      </c>
      <c r="BB24" s="15">
        <v>43.283582089552198</v>
      </c>
      <c r="BC24" s="15">
        <v>17.5675675675676</v>
      </c>
      <c r="BD24" s="15">
        <v>28.205128205128201</v>
      </c>
      <c r="BE24" s="15">
        <v>24.137931034482801</v>
      </c>
      <c r="BF24" s="15">
        <v>21.6867469879518</v>
      </c>
      <c r="BG24" s="15">
        <v>26.865671641791</v>
      </c>
      <c r="BH24" s="15">
        <v>29.1666666666667</v>
      </c>
      <c r="BI24" s="20" t="s">
        <v>76</v>
      </c>
      <c r="BJ24" s="15">
        <v>43.75</v>
      </c>
      <c r="BK24" s="15">
        <v>15</v>
      </c>
      <c r="BL24" s="15">
        <v>34.375</v>
      </c>
      <c r="BM24" s="15">
        <v>28.712871287128699</v>
      </c>
      <c r="BN24" s="15">
        <v>31.092436974789901</v>
      </c>
      <c r="BO24" s="15">
        <v>21.1111111111111</v>
      </c>
      <c r="BP24" s="20" t="s">
        <v>76</v>
      </c>
      <c r="BQ24" s="15">
        <v>26.027397260274</v>
      </c>
      <c r="BR24" s="15">
        <v>20</v>
      </c>
      <c r="BS24" s="15">
        <v>22.891566265060199</v>
      </c>
      <c r="BT24" s="15">
        <v>15.853658536585399</v>
      </c>
      <c r="BU24" s="15">
        <v>23.364485981308398</v>
      </c>
      <c r="BV24" s="15">
        <v>50.505050505050498</v>
      </c>
      <c r="BW24" s="15">
        <v>15.9420289855072</v>
      </c>
      <c r="BX24" s="20" t="s">
        <v>76</v>
      </c>
      <c r="BY24" s="15">
        <v>22.2222222222222</v>
      </c>
      <c r="BZ24" s="15">
        <v>34.013605442176903</v>
      </c>
      <c r="CA24" s="32">
        <v>24.475835708706501</v>
      </c>
      <c r="CB24" s="15">
        <v>25.878594249201299</v>
      </c>
      <c r="CC24" s="15">
        <v>13.8364779874214</v>
      </c>
      <c r="CD24" s="15">
        <v>25.161290322580601</v>
      </c>
      <c r="CE24" s="20" t="s">
        <v>76</v>
      </c>
      <c r="CF24" s="15">
        <v>21.856287425149699</v>
      </c>
      <c r="CG24" s="15">
        <v>22.905027932960898</v>
      </c>
      <c r="CH24" s="15">
        <v>21.139705882352899</v>
      </c>
      <c r="CI24" s="15">
        <v>21.560574948665302</v>
      </c>
      <c r="CJ24" s="15">
        <v>14.509803921568601</v>
      </c>
      <c r="CK24" s="15">
        <v>30.4932735426009</v>
      </c>
      <c r="CL24" s="15">
        <v>33.636363636363598</v>
      </c>
      <c r="CM24" s="24">
        <v>31.4775160599572</v>
      </c>
      <c r="CN24" s="37"/>
    </row>
    <row r="25" spans="1:92">
      <c r="A25" s="9" t="s">
        <v>280</v>
      </c>
      <c r="B25" s="35">
        <v>0.40052593877834902</v>
      </c>
      <c r="C25" s="32">
        <v>0.36467915110829402</v>
      </c>
      <c r="D25" s="32">
        <v>0.41951295330065702</v>
      </c>
      <c r="E25" s="38" t="s">
        <v>76</v>
      </c>
      <c r="F25" s="20" t="s">
        <v>76</v>
      </c>
      <c r="G25" s="20" t="s">
        <v>76</v>
      </c>
      <c r="H25" s="20" t="s">
        <v>76</v>
      </c>
      <c r="I25" s="20" t="s">
        <v>76</v>
      </c>
      <c r="J25" s="20" t="s">
        <v>76</v>
      </c>
      <c r="K25" s="20" t="s">
        <v>76</v>
      </c>
      <c r="L25" s="20" t="s">
        <v>76</v>
      </c>
      <c r="M25" s="20" t="s">
        <v>76</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20" t="s">
        <v>76</v>
      </c>
      <c r="AH25" s="20" t="s">
        <v>76</v>
      </c>
      <c r="AI25" s="20" t="s">
        <v>76</v>
      </c>
      <c r="AJ25" s="20" t="s">
        <v>76</v>
      </c>
      <c r="AK25" s="20" t="s">
        <v>76</v>
      </c>
      <c r="AL25" s="20" t="s">
        <v>76</v>
      </c>
      <c r="AM25" s="20" t="s">
        <v>76</v>
      </c>
      <c r="AN25" s="20" t="s">
        <v>76</v>
      </c>
      <c r="AO25" s="20" t="s">
        <v>76</v>
      </c>
      <c r="AP25" s="20" t="s">
        <v>76</v>
      </c>
      <c r="AQ25" s="20" t="s">
        <v>76</v>
      </c>
      <c r="AR25" s="20" t="s">
        <v>76</v>
      </c>
      <c r="AS25" s="20" t="s">
        <v>76</v>
      </c>
      <c r="AT25" s="20" t="s">
        <v>76</v>
      </c>
      <c r="AU25" s="20" t="s">
        <v>76</v>
      </c>
      <c r="AV25" s="20" t="s">
        <v>76</v>
      </c>
      <c r="AW25" s="20" t="s">
        <v>76</v>
      </c>
      <c r="AX25" s="20" t="s">
        <v>76</v>
      </c>
      <c r="AY25" s="20" t="s">
        <v>76</v>
      </c>
      <c r="AZ25" s="20" t="s">
        <v>76</v>
      </c>
      <c r="BA25" s="20" t="s">
        <v>76</v>
      </c>
      <c r="BB25" s="20" t="s">
        <v>76</v>
      </c>
      <c r="BC25" s="20" t="s">
        <v>76</v>
      </c>
      <c r="BD25" s="20" t="s">
        <v>76</v>
      </c>
      <c r="BE25" s="20" t="s">
        <v>76</v>
      </c>
      <c r="BF25" s="20" t="s">
        <v>76</v>
      </c>
      <c r="BG25" s="20" t="s">
        <v>76</v>
      </c>
      <c r="BH25" s="20" t="s">
        <v>76</v>
      </c>
      <c r="BI25" s="20" t="s">
        <v>76</v>
      </c>
      <c r="BJ25" s="20" t="s">
        <v>76</v>
      </c>
      <c r="BK25" s="20" t="s">
        <v>76</v>
      </c>
      <c r="BL25" s="20" t="s">
        <v>76</v>
      </c>
      <c r="BM25" s="20" t="s">
        <v>76</v>
      </c>
      <c r="BN25" s="20" t="s">
        <v>76</v>
      </c>
      <c r="BO25" s="20" t="s">
        <v>76</v>
      </c>
      <c r="BP25" s="20" t="s">
        <v>76</v>
      </c>
      <c r="BQ25" s="20" t="s">
        <v>76</v>
      </c>
      <c r="BR25" s="20" t="s">
        <v>76</v>
      </c>
      <c r="BS25" s="20" t="s">
        <v>76</v>
      </c>
      <c r="BT25" s="20" t="s">
        <v>76</v>
      </c>
      <c r="BU25" s="20" t="s">
        <v>76</v>
      </c>
      <c r="BV25" s="20" t="s">
        <v>76</v>
      </c>
      <c r="BW25" s="20" t="s">
        <v>76</v>
      </c>
      <c r="BX25" s="20" t="s">
        <v>76</v>
      </c>
      <c r="BY25" s="20" t="s">
        <v>76</v>
      </c>
      <c r="BZ25" s="20" t="s">
        <v>76</v>
      </c>
      <c r="CA25" s="38" t="s">
        <v>76</v>
      </c>
      <c r="CB25" s="20" t="s">
        <v>76</v>
      </c>
      <c r="CC25" s="20" t="s">
        <v>76</v>
      </c>
      <c r="CD25" s="20" t="s">
        <v>76</v>
      </c>
      <c r="CE25" s="20" t="s">
        <v>76</v>
      </c>
      <c r="CF25" s="20" t="s">
        <v>76</v>
      </c>
      <c r="CG25" s="20" t="s">
        <v>76</v>
      </c>
      <c r="CH25" s="20" t="s">
        <v>76</v>
      </c>
      <c r="CI25" s="20" t="s">
        <v>76</v>
      </c>
      <c r="CJ25" s="20" t="s">
        <v>76</v>
      </c>
      <c r="CK25" s="20" t="s">
        <v>76</v>
      </c>
      <c r="CL25" s="20" t="s">
        <v>76</v>
      </c>
      <c r="CM25" s="26" t="s">
        <v>76</v>
      </c>
      <c r="CN25" s="37"/>
    </row>
    <row r="26" spans="1:92">
      <c r="A26" s="9" t="s">
        <v>281</v>
      </c>
      <c r="B26" s="35">
        <v>3.6371770846970901</v>
      </c>
      <c r="C26" s="32">
        <v>3.7720087784054299</v>
      </c>
      <c r="D26" s="32">
        <v>3.8982218986916299</v>
      </c>
      <c r="E26" s="32">
        <v>4.5533899811148997</v>
      </c>
      <c r="F26" s="20" t="s">
        <v>76</v>
      </c>
      <c r="G26" s="20" t="s">
        <v>76</v>
      </c>
      <c r="H26" s="20" t="s">
        <v>76</v>
      </c>
      <c r="I26" s="20" t="s">
        <v>76</v>
      </c>
      <c r="J26" s="20" t="s">
        <v>76</v>
      </c>
      <c r="K26" s="20" t="s">
        <v>76</v>
      </c>
      <c r="L26" s="15">
        <v>11.4754098360656</v>
      </c>
      <c r="M26" s="20" t="s">
        <v>76</v>
      </c>
      <c r="N26" s="20" t="s">
        <v>76</v>
      </c>
      <c r="O26" s="20" t="s">
        <v>76</v>
      </c>
      <c r="P26" s="15">
        <v>7.0422535211267601</v>
      </c>
      <c r="Q26" s="15">
        <v>7.0422535211267601</v>
      </c>
      <c r="R26" s="20" t="s">
        <v>76</v>
      </c>
      <c r="S26" s="20" t="s">
        <v>76</v>
      </c>
      <c r="T26" s="20" t="s">
        <v>76</v>
      </c>
      <c r="U26" s="20" t="s">
        <v>76</v>
      </c>
      <c r="V26" s="20" t="s">
        <v>76</v>
      </c>
      <c r="W26" s="20" t="s">
        <v>76</v>
      </c>
      <c r="X26" s="20" t="s">
        <v>76</v>
      </c>
      <c r="Y26" s="20" t="s">
        <v>76</v>
      </c>
      <c r="Z26" s="20" t="s">
        <v>76</v>
      </c>
      <c r="AA26" s="15">
        <v>4.5871559633027497</v>
      </c>
      <c r="AB26" s="20" t="s">
        <v>76</v>
      </c>
      <c r="AC26" s="15">
        <v>3.7878787878787898</v>
      </c>
      <c r="AD26" s="20" t="s">
        <v>76</v>
      </c>
      <c r="AE26" s="20" t="s">
        <v>76</v>
      </c>
      <c r="AF26" s="20" t="s">
        <v>76</v>
      </c>
      <c r="AG26" s="20" t="s">
        <v>76</v>
      </c>
      <c r="AH26" s="20" t="s">
        <v>76</v>
      </c>
      <c r="AI26" s="20" t="s">
        <v>76</v>
      </c>
      <c r="AJ26" s="20" t="s">
        <v>76</v>
      </c>
      <c r="AK26" s="20" t="s">
        <v>76</v>
      </c>
      <c r="AL26" s="15">
        <v>5.5555555555555598</v>
      </c>
      <c r="AM26" s="15">
        <v>7.8125</v>
      </c>
      <c r="AN26" s="20" t="s">
        <v>76</v>
      </c>
      <c r="AO26" s="20" t="s">
        <v>76</v>
      </c>
      <c r="AP26" s="20" t="s">
        <v>76</v>
      </c>
      <c r="AQ26" s="20" t="s">
        <v>76</v>
      </c>
      <c r="AR26" s="20" t="s">
        <v>76</v>
      </c>
      <c r="AS26" s="20" t="s">
        <v>76</v>
      </c>
      <c r="AT26" s="20" t="s">
        <v>76</v>
      </c>
      <c r="AU26" s="20" t="s">
        <v>76</v>
      </c>
      <c r="AV26" s="20" t="s">
        <v>76</v>
      </c>
      <c r="AW26" s="20" t="s">
        <v>76</v>
      </c>
      <c r="AX26" s="20" t="s">
        <v>76</v>
      </c>
      <c r="AY26" s="20" t="s">
        <v>76</v>
      </c>
      <c r="AZ26" s="20" t="s">
        <v>76</v>
      </c>
      <c r="BA26" s="20" t="s">
        <v>76</v>
      </c>
      <c r="BB26" s="15">
        <v>10.4477611940298</v>
      </c>
      <c r="BC26" s="20" t="s">
        <v>76</v>
      </c>
      <c r="BD26" s="15">
        <v>7.6923076923076898</v>
      </c>
      <c r="BE26" s="20" t="s">
        <v>76</v>
      </c>
      <c r="BF26" s="20" t="s">
        <v>76</v>
      </c>
      <c r="BG26" s="20" t="s">
        <v>76</v>
      </c>
      <c r="BH26" s="15">
        <v>25</v>
      </c>
      <c r="BI26" s="20" t="s">
        <v>76</v>
      </c>
      <c r="BJ26" s="20" t="s">
        <v>76</v>
      </c>
      <c r="BK26" s="20" t="s">
        <v>76</v>
      </c>
      <c r="BL26" s="15">
        <v>7.8125</v>
      </c>
      <c r="BM26" s="20" t="s">
        <v>76</v>
      </c>
      <c r="BN26" s="15">
        <v>6.7226890756302504</v>
      </c>
      <c r="BO26" s="15">
        <v>5.5555555555555598</v>
      </c>
      <c r="BP26" s="20" t="s">
        <v>76</v>
      </c>
      <c r="BQ26" s="15">
        <v>6.8493150684931496</v>
      </c>
      <c r="BR26" s="20" t="s">
        <v>76</v>
      </c>
      <c r="BS26" s="15">
        <v>6.0240963855421699</v>
      </c>
      <c r="BT26" s="15">
        <v>7.3170731707317103</v>
      </c>
      <c r="BU26" s="15">
        <v>6.5420560747663501</v>
      </c>
      <c r="BV26" s="15">
        <v>11.1111111111111</v>
      </c>
      <c r="BW26" s="20" t="s">
        <v>76</v>
      </c>
      <c r="BX26" s="20" t="s">
        <v>76</v>
      </c>
      <c r="BY26" s="20" t="s">
        <v>76</v>
      </c>
      <c r="BZ26" s="20" t="s">
        <v>76</v>
      </c>
      <c r="CA26" s="32">
        <v>3.3691273739356999</v>
      </c>
      <c r="CB26" s="15">
        <v>3.51437699680511</v>
      </c>
      <c r="CC26" s="15">
        <v>1.88679245283019</v>
      </c>
      <c r="CD26" s="20" t="s">
        <v>76</v>
      </c>
      <c r="CE26" s="20" t="s">
        <v>76</v>
      </c>
      <c r="CF26" s="15">
        <v>1.79640718562874</v>
      </c>
      <c r="CG26" s="15">
        <v>3.3519553072625698</v>
      </c>
      <c r="CH26" s="15">
        <v>2.0220588235294099</v>
      </c>
      <c r="CI26" s="15">
        <v>2.25872689938398</v>
      </c>
      <c r="CJ26" s="15">
        <v>2.3529411764705901</v>
      </c>
      <c r="CK26" s="15">
        <v>8.0717488789237706</v>
      </c>
      <c r="CL26" s="15">
        <v>4.6969696969696999</v>
      </c>
      <c r="CM26" s="24">
        <v>3.4261241970021401</v>
      </c>
      <c r="CN26" s="37"/>
    </row>
    <row r="27" spans="1:92">
      <c r="A27" s="9" t="s">
        <v>282</v>
      </c>
      <c r="B27" s="35">
        <v>7.9378004050992903</v>
      </c>
      <c r="C27" s="32">
        <v>7.5579949097710903</v>
      </c>
      <c r="D27" s="32">
        <v>6.6802375555288904</v>
      </c>
      <c r="E27" s="32">
        <v>8.9795837981501005</v>
      </c>
      <c r="F27" s="20" t="s">
        <v>76</v>
      </c>
      <c r="G27" s="20" t="s">
        <v>76</v>
      </c>
      <c r="H27" s="20" t="s">
        <v>76</v>
      </c>
      <c r="I27" s="20" t="s">
        <v>76</v>
      </c>
      <c r="J27" s="15">
        <v>4.1666666666666696</v>
      </c>
      <c r="K27" s="20" t="s">
        <v>76</v>
      </c>
      <c r="L27" s="15">
        <v>14.7540983606557</v>
      </c>
      <c r="M27" s="15">
        <v>9.2105263157894708</v>
      </c>
      <c r="N27" s="15">
        <v>7.0588235294117601</v>
      </c>
      <c r="O27" s="20" t="s">
        <v>76</v>
      </c>
      <c r="P27" s="15">
        <v>12.6760563380282</v>
      </c>
      <c r="Q27" s="15">
        <v>8.4507042253521103</v>
      </c>
      <c r="R27" s="20" t="s">
        <v>76</v>
      </c>
      <c r="S27" s="20" t="s">
        <v>76</v>
      </c>
      <c r="T27" s="20" t="s">
        <v>76</v>
      </c>
      <c r="U27" s="20" t="s">
        <v>76</v>
      </c>
      <c r="V27" s="20" t="s">
        <v>76</v>
      </c>
      <c r="W27" s="20" t="s">
        <v>76</v>
      </c>
      <c r="X27" s="20" t="s">
        <v>76</v>
      </c>
      <c r="Y27" s="20" t="s">
        <v>76</v>
      </c>
      <c r="Z27" s="15">
        <v>6.4102564102564097</v>
      </c>
      <c r="AA27" s="15">
        <v>11.926605504587201</v>
      </c>
      <c r="AB27" s="15">
        <v>16.176470588235301</v>
      </c>
      <c r="AC27" s="15">
        <v>4.5454545454545396</v>
      </c>
      <c r="AD27" s="15">
        <v>21.875</v>
      </c>
      <c r="AE27" s="20" t="s">
        <v>76</v>
      </c>
      <c r="AF27" s="20" t="s">
        <v>76</v>
      </c>
      <c r="AG27" s="15">
        <v>14.285714285714301</v>
      </c>
      <c r="AH27" s="15">
        <v>14.285714285714301</v>
      </c>
      <c r="AI27" s="20" t="s">
        <v>76</v>
      </c>
      <c r="AJ27" s="15">
        <v>9.9099099099099099</v>
      </c>
      <c r="AK27" s="20" t="s">
        <v>76</v>
      </c>
      <c r="AL27" s="15">
        <v>11.1111111111111</v>
      </c>
      <c r="AM27" s="15">
        <v>10.9375</v>
      </c>
      <c r="AN27" s="20" t="s">
        <v>76</v>
      </c>
      <c r="AO27" s="20" t="s">
        <v>76</v>
      </c>
      <c r="AP27" s="15">
        <v>11.6883116883117</v>
      </c>
      <c r="AQ27" s="20" t="s">
        <v>76</v>
      </c>
      <c r="AR27" s="20" t="s">
        <v>76</v>
      </c>
      <c r="AS27" s="20" t="s">
        <v>76</v>
      </c>
      <c r="AT27" s="15">
        <v>16.923076923076898</v>
      </c>
      <c r="AU27" s="20" t="s">
        <v>76</v>
      </c>
      <c r="AV27" s="15">
        <v>13.698630136986299</v>
      </c>
      <c r="AW27" s="15">
        <v>13.7931034482759</v>
      </c>
      <c r="AX27" s="20" t="s">
        <v>76</v>
      </c>
      <c r="AY27" s="20" t="s">
        <v>76</v>
      </c>
      <c r="AZ27" s="20" t="s">
        <v>76</v>
      </c>
      <c r="BA27" s="15">
        <v>13.207547169811299</v>
      </c>
      <c r="BB27" s="15">
        <v>11.9402985074627</v>
      </c>
      <c r="BC27" s="15">
        <v>8.1081081081081106</v>
      </c>
      <c r="BD27" s="15">
        <v>10.2564102564103</v>
      </c>
      <c r="BE27" s="15">
        <v>8.6206896551724093</v>
      </c>
      <c r="BF27" s="15">
        <v>8.4337349397590398</v>
      </c>
      <c r="BG27" s="15">
        <v>20.8955223880597</v>
      </c>
      <c r="BH27" s="20" t="s">
        <v>76</v>
      </c>
      <c r="BI27" s="20" t="s">
        <v>76</v>
      </c>
      <c r="BJ27" s="15">
        <v>8.0357142857142794</v>
      </c>
      <c r="BK27" s="15">
        <v>17.5</v>
      </c>
      <c r="BL27" s="15">
        <v>10.15625</v>
      </c>
      <c r="BM27" s="20" t="s">
        <v>76</v>
      </c>
      <c r="BN27" s="15">
        <v>15.966386554621799</v>
      </c>
      <c r="BO27" s="15">
        <v>13.3333333333333</v>
      </c>
      <c r="BP27" s="20" t="s">
        <v>76</v>
      </c>
      <c r="BQ27" s="15">
        <v>9.5890410958904102</v>
      </c>
      <c r="BR27" s="20" t="s">
        <v>76</v>
      </c>
      <c r="BS27" s="15">
        <v>8.4337349397590398</v>
      </c>
      <c r="BT27" s="20" t="s">
        <v>76</v>
      </c>
      <c r="BU27" s="20" t="s">
        <v>76</v>
      </c>
      <c r="BV27" s="15">
        <v>13.1313131313131</v>
      </c>
      <c r="BW27" s="15">
        <v>14.492753623188401</v>
      </c>
      <c r="BX27" s="20" t="s">
        <v>76</v>
      </c>
      <c r="BY27" s="15">
        <v>7.9365079365079403</v>
      </c>
      <c r="BZ27" s="15">
        <v>14.285714285714301</v>
      </c>
      <c r="CA27" s="32">
        <v>4.8233529786898002</v>
      </c>
      <c r="CB27" s="15">
        <v>6.0702875399360998</v>
      </c>
      <c r="CC27" s="15">
        <v>3.1446540880503102</v>
      </c>
      <c r="CD27" s="15">
        <v>3.87096774193548</v>
      </c>
      <c r="CE27" s="20" t="s">
        <v>76</v>
      </c>
      <c r="CF27" s="15">
        <v>2.9940119760478998</v>
      </c>
      <c r="CG27" s="15">
        <v>5.5865921787709496</v>
      </c>
      <c r="CH27" s="15">
        <v>5.6985294117647101</v>
      </c>
      <c r="CI27" s="15">
        <v>6.3655030800821404</v>
      </c>
      <c r="CJ27" s="15">
        <v>4.7058823529411802</v>
      </c>
      <c r="CK27" s="15">
        <v>4.4843049327354301</v>
      </c>
      <c r="CL27" s="15">
        <v>6.9696969696969697</v>
      </c>
      <c r="CM27" s="24">
        <v>4.2826552462526797</v>
      </c>
      <c r="CN27" s="37"/>
    </row>
    <row r="28" spans="1:92">
      <c r="A28" s="9" t="s">
        <v>283</v>
      </c>
      <c r="B28" s="35">
        <v>4.3991788642041403</v>
      </c>
      <c r="C28" s="32">
        <v>4.1892384964413303</v>
      </c>
      <c r="D28" s="32">
        <v>4.1307816492107596</v>
      </c>
      <c r="E28" s="32">
        <v>5.5117350572350201</v>
      </c>
      <c r="F28" s="20" t="s">
        <v>76</v>
      </c>
      <c r="G28" s="20" t="s">
        <v>76</v>
      </c>
      <c r="H28" s="20" t="s">
        <v>76</v>
      </c>
      <c r="I28" s="20" t="s">
        <v>76</v>
      </c>
      <c r="J28" s="15">
        <v>3.4722222222222201</v>
      </c>
      <c r="K28" s="15">
        <v>15.384615384615399</v>
      </c>
      <c r="L28" s="20" t="s">
        <v>76</v>
      </c>
      <c r="M28" s="20" t="s">
        <v>76</v>
      </c>
      <c r="N28" s="20" t="s">
        <v>76</v>
      </c>
      <c r="O28" s="20" t="s">
        <v>76</v>
      </c>
      <c r="P28" s="15">
        <v>8.4507042253521103</v>
      </c>
      <c r="Q28" s="15">
        <v>9.8591549295774694</v>
      </c>
      <c r="R28" s="20" t="s">
        <v>76</v>
      </c>
      <c r="S28" s="20" t="s">
        <v>76</v>
      </c>
      <c r="T28" s="20" t="s">
        <v>76</v>
      </c>
      <c r="U28" s="20" t="s">
        <v>76</v>
      </c>
      <c r="V28" s="15">
        <v>17.647058823529399</v>
      </c>
      <c r="W28" s="20" t="s">
        <v>76</v>
      </c>
      <c r="X28" s="20" t="s">
        <v>76</v>
      </c>
      <c r="Y28" s="20" t="s">
        <v>76</v>
      </c>
      <c r="Z28" s="15">
        <v>10.2564102564103</v>
      </c>
      <c r="AA28" s="20" t="s">
        <v>76</v>
      </c>
      <c r="AB28" s="15">
        <v>10.294117647058799</v>
      </c>
      <c r="AC28" s="15">
        <v>7.5757575757575797</v>
      </c>
      <c r="AD28" s="20" t="s">
        <v>76</v>
      </c>
      <c r="AE28" s="20" t="s">
        <v>76</v>
      </c>
      <c r="AF28" s="20" t="s">
        <v>76</v>
      </c>
      <c r="AG28" s="20" t="s">
        <v>76</v>
      </c>
      <c r="AH28" s="15">
        <v>8.9285714285714306</v>
      </c>
      <c r="AI28" s="20" t="s">
        <v>76</v>
      </c>
      <c r="AJ28" s="20" t="s">
        <v>76</v>
      </c>
      <c r="AK28" s="20" t="s">
        <v>76</v>
      </c>
      <c r="AL28" s="15">
        <v>12.2222222222222</v>
      </c>
      <c r="AM28" s="20" t="s">
        <v>76</v>
      </c>
      <c r="AN28" s="20" t="s">
        <v>76</v>
      </c>
      <c r="AO28" s="20" t="s">
        <v>76</v>
      </c>
      <c r="AP28" s="15">
        <v>10.3896103896104</v>
      </c>
      <c r="AQ28" s="20" t="s">
        <v>76</v>
      </c>
      <c r="AR28" s="20" t="s">
        <v>76</v>
      </c>
      <c r="AS28" s="20" t="s">
        <v>76</v>
      </c>
      <c r="AT28" s="15">
        <v>9.2307692307692299</v>
      </c>
      <c r="AU28" s="20" t="s">
        <v>76</v>
      </c>
      <c r="AV28" s="20" t="s">
        <v>76</v>
      </c>
      <c r="AW28" s="15">
        <v>5.1724137931034502</v>
      </c>
      <c r="AX28" s="20" t="s">
        <v>76</v>
      </c>
      <c r="AY28" s="20" t="s">
        <v>76</v>
      </c>
      <c r="AZ28" s="20" t="s">
        <v>76</v>
      </c>
      <c r="BA28" s="20" t="s">
        <v>76</v>
      </c>
      <c r="BB28" s="15">
        <v>10.4477611940298</v>
      </c>
      <c r="BC28" s="15">
        <v>6.7567567567567597</v>
      </c>
      <c r="BD28" s="15">
        <v>8.9743589743589691</v>
      </c>
      <c r="BE28" s="20" t="s">
        <v>76</v>
      </c>
      <c r="BF28" s="20" t="s">
        <v>76</v>
      </c>
      <c r="BG28" s="20" t="s">
        <v>76</v>
      </c>
      <c r="BH28" s="20" t="s">
        <v>76</v>
      </c>
      <c r="BI28" s="20" t="s">
        <v>76</v>
      </c>
      <c r="BJ28" s="20" t="s">
        <v>76</v>
      </c>
      <c r="BK28" s="20" t="s">
        <v>76</v>
      </c>
      <c r="BL28" s="20" t="s">
        <v>76</v>
      </c>
      <c r="BM28" s="20" t="s">
        <v>76</v>
      </c>
      <c r="BN28" s="15">
        <v>10.084033613445399</v>
      </c>
      <c r="BO28" s="15">
        <v>5.5555555555555598</v>
      </c>
      <c r="BP28" s="20" t="s">
        <v>76</v>
      </c>
      <c r="BQ28" s="15">
        <v>6.8493150684931496</v>
      </c>
      <c r="BR28" s="20" t="s">
        <v>76</v>
      </c>
      <c r="BS28" s="20" t="s">
        <v>76</v>
      </c>
      <c r="BT28" s="20" t="s">
        <v>76</v>
      </c>
      <c r="BU28" s="15">
        <v>9.3457943925233593</v>
      </c>
      <c r="BV28" s="15">
        <v>12.1212121212121</v>
      </c>
      <c r="BW28" s="20" t="s">
        <v>76</v>
      </c>
      <c r="BX28" s="20" t="s">
        <v>76</v>
      </c>
      <c r="BY28" s="20" t="s">
        <v>76</v>
      </c>
      <c r="BZ28" s="15">
        <v>4.0816326530612201</v>
      </c>
      <c r="CA28" s="32">
        <v>3.01556418558491</v>
      </c>
      <c r="CB28" s="15">
        <v>1.91693290734824</v>
      </c>
      <c r="CC28" s="15">
        <v>2.2012578616352201</v>
      </c>
      <c r="CD28" s="20" t="s">
        <v>76</v>
      </c>
      <c r="CE28" s="20" t="s">
        <v>76</v>
      </c>
      <c r="CF28" s="15">
        <v>1.79640718562874</v>
      </c>
      <c r="CG28" s="15">
        <v>3.3519553072625698</v>
      </c>
      <c r="CH28" s="15">
        <v>4.7794117647058796</v>
      </c>
      <c r="CI28" s="15">
        <v>2.4640657084188899</v>
      </c>
      <c r="CJ28" s="15">
        <v>4.7058823529411802</v>
      </c>
      <c r="CK28" s="15">
        <v>4.4843049327354301</v>
      </c>
      <c r="CL28" s="15">
        <v>3.3333333333333299</v>
      </c>
      <c r="CM28" s="24">
        <v>3.8543897216274101</v>
      </c>
      <c r="CN28" s="37"/>
    </row>
    <row r="29" spans="1:92">
      <c r="A29" s="9" t="s">
        <v>284</v>
      </c>
      <c r="B29" s="35">
        <v>0.60444325089101603</v>
      </c>
      <c r="C29" s="32">
        <v>0.47065422944235602</v>
      </c>
      <c r="D29" s="32">
        <v>0.56424687593223899</v>
      </c>
      <c r="E29" s="32">
        <v>0.85509956299688705</v>
      </c>
      <c r="F29" s="20" t="s">
        <v>76</v>
      </c>
      <c r="G29" s="20" t="s">
        <v>76</v>
      </c>
      <c r="H29" s="20" t="s">
        <v>76</v>
      </c>
      <c r="I29" s="20" t="s">
        <v>76</v>
      </c>
      <c r="J29" s="20" t="s">
        <v>76</v>
      </c>
      <c r="K29" s="20" t="s">
        <v>76</v>
      </c>
      <c r="L29" s="20" t="s">
        <v>76</v>
      </c>
      <c r="M29" s="20" t="s">
        <v>76</v>
      </c>
      <c r="N29" s="20" t="s">
        <v>76</v>
      </c>
      <c r="O29" s="20" t="s">
        <v>76</v>
      </c>
      <c r="P29" s="20" t="s">
        <v>76</v>
      </c>
      <c r="Q29" s="20" t="s">
        <v>76</v>
      </c>
      <c r="R29" s="20" t="s">
        <v>76</v>
      </c>
      <c r="S29" s="20" t="s">
        <v>76</v>
      </c>
      <c r="T29" s="20" t="s">
        <v>76</v>
      </c>
      <c r="U29" s="20" t="s">
        <v>76</v>
      </c>
      <c r="V29" s="20" t="s">
        <v>76</v>
      </c>
      <c r="W29" s="20" t="s">
        <v>76</v>
      </c>
      <c r="X29" s="20" t="s">
        <v>76</v>
      </c>
      <c r="Y29" s="20" t="s">
        <v>76</v>
      </c>
      <c r="Z29" s="20" t="s">
        <v>76</v>
      </c>
      <c r="AA29" s="20" t="s">
        <v>76</v>
      </c>
      <c r="AB29" s="20" t="s">
        <v>76</v>
      </c>
      <c r="AC29" s="20" t="s">
        <v>76</v>
      </c>
      <c r="AD29" s="20" t="s">
        <v>76</v>
      </c>
      <c r="AE29" s="20" t="s">
        <v>76</v>
      </c>
      <c r="AF29" s="20" t="s">
        <v>76</v>
      </c>
      <c r="AG29" s="20" t="s">
        <v>76</v>
      </c>
      <c r="AH29" s="20" t="s">
        <v>76</v>
      </c>
      <c r="AI29" s="20" t="s">
        <v>76</v>
      </c>
      <c r="AJ29" s="20" t="s">
        <v>76</v>
      </c>
      <c r="AK29" s="20" t="s">
        <v>76</v>
      </c>
      <c r="AL29" s="20" t="s">
        <v>76</v>
      </c>
      <c r="AM29" s="20" t="s">
        <v>76</v>
      </c>
      <c r="AN29" s="20" t="s">
        <v>76</v>
      </c>
      <c r="AO29" s="20" t="s">
        <v>76</v>
      </c>
      <c r="AP29" s="20" t="s">
        <v>76</v>
      </c>
      <c r="AQ29" s="20" t="s">
        <v>76</v>
      </c>
      <c r="AR29" s="20" t="s">
        <v>76</v>
      </c>
      <c r="AS29" s="20" t="s">
        <v>76</v>
      </c>
      <c r="AT29" s="20" t="s">
        <v>76</v>
      </c>
      <c r="AU29" s="20" t="s">
        <v>76</v>
      </c>
      <c r="AV29" s="20" t="s">
        <v>76</v>
      </c>
      <c r="AW29" s="20" t="s">
        <v>76</v>
      </c>
      <c r="AX29" s="20" t="s">
        <v>76</v>
      </c>
      <c r="AY29" s="20" t="s">
        <v>76</v>
      </c>
      <c r="AZ29" s="20" t="s">
        <v>76</v>
      </c>
      <c r="BA29" s="20" t="s">
        <v>76</v>
      </c>
      <c r="BB29" s="20" t="s">
        <v>76</v>
      </c>
      <c r="BC29" s="20" t="s">
        <v>76</v>
      </c>
      <c r="BD29" s="20" t="s">
        <v>76</v>
      </c>
      <c r="BE29" s="20" t="s">
        <v>76</v>
      </c>
      <c r="BF29" s="20" t="s">
        <v>76</v>
      </c>
      <c r="BG29" s="20" t="s">
        <v>76</v>
      </c>
      <c r="BH29" s="20" t="s">
        <v>76</v>
      </c>
      <c r="BI29" s="20" t="s">
        <v>76</v>
      </c>
      <c r="BJ29" s="20" t="s">
        <v>76</v>
      </c>
      <c r="BK29" s="20" t="s">
        <v>76</v>
      </c>
      <c r="BL29" s="20" t="s">
        <v>76</v>
      </c>
      <c r="BM29" s="20" t="s">
        <v>76</v>
      </c>
      <c r="BN29" s="20" t="s">
        <v>76</v>
      </c>
      <c r="BO29" s="20" t="s">
        <v>76</v>
      </c>
      <c r="BP29" s="20" t="s">
        <v>76</v>
      </c>
      <c r="BQ29" s="20" t="s">
        <v>76</v>
      </c>
      <c r="BR29" s="20" t="s">
        <v>76</v>
      </c>
      <c r="BS29" s="20" t="s">
        <v>76</v>
      </c>
      <c r="BT29" s="20" t="s">
        <v>76</v>
      </c>
      <c r="BU29" s="20" t="s">
        <v>76</v>
      </c>
      <c r="BV29" s="20" t="s">
        <v>76</v>
      </c>
      <c r="BW29" s="20" t="s">
        <v>76</v>
      </c>
      <c r="BX29" s="20" t="s">
        <v>76</v>
      </c>
      <c r="BY29" s="20" t="s">
        <v>76</v>
      </c>
      <c r="BZ29" s="20" t="s">
        <v>76</v>
      </c>
      <c r="CA29" s="38" t="s">
        <v>76</v>
      </c>
      <c r="CB29" s="20" t="s">
        <v>76</v>
      </c>
      <c r="CC29" s="20" t="s">
        <v>76</v>
      </c>
      <c r="CD29" s="20" t="s">
        <v>76</v>
      </c>
      <c r="CE29" s="20" t="s">
        <v>76</v>
      </c>
      <c r="CF29" s="20" t="s">
        <v>76</v>
      </c>
      <c r="CG29" s="20" t="s">
        <v>76</v>
      </c>
      <c r="CH29" s="20" t="s">
        <v>76</v>
      </c>
      <c r="CI29" s="20" t="s">
        <v>76</v>
      </c>
      <c r="CJ29" s="20" t="s">
        <v>76</v>
      </c>
      <c r="CK29" s="20" t="s">
        <v>76</v>
      </c>
      <c r="CL29" s="20" t="s">
        <v>76</v>
      </c>
      <c r="CM29" s="26" t="s">
        <v>76</v>
      </c>
      <c r="CN29" s="37"/>
    </row>
    <row r="30" spans="1:92">
      <c r="A30" s="9" t="s">
        <v>285</v>
      </c>
      <c r="B30" s="35">
        <v>2.9308780981006999</v>
      </c>
      <c r="C30" s="32">
        <v>3.6870288411453802</v>
      </c>
      <c r="D30" s="32">
        <v>4.4480297089964402</v>
      </c>
      <c r="E30" s="32">
        <v>4.3214197821297304</v>
      </c>
      <c r="F30" s="20" t="s">
        <v>76</v>
      </c>
      <c r="G30" s="20" t="s">
        <v>76</v>
      </c>
      <c r="H30" s="20" t="s">
        <v>76</v>
      </c>
      <c r="I30" s="20" t="s">
        <v>76</v>
      </c>
      <c r="J30" s="15">
        <v>3.4722222222222201</v>
      </c>
      <c r="K30" s="20" t="s">
        <v>76</v>
      </c>
      <c r="L30" s="15">
        <v>9.8360655737704903</v>
      </c>
      <c r="M30" s="20" t="s">
        <v>76</v>
      </c>
      <c r="N30" s="20" t="s">
        <v>76</v>
      </c>
      <c r="O30" s="20" t="s">
        <v>76</v>
      </c>
      <c r="P30" s="20" t="s">
        <v>76</v>
      </c>
      <c r="Q30" s="20" t="s">
        <v>76</v>
      </c>
      <c r="R30" s="20" t="s">
        <v>76</v>
      </c>
      <c r="S30" s="15">
        <v>12.1951219512195</v>
      </c>
      <c r="T30" s="20" t="s">
        <v>76</v>
      </c>
      <c r="U30" s="20" t="s">
        <v>76</v>
      </c>
      <c r="V30" s="20" t="s">
        <v>76</v>
      </c>
      <c r="W30" s="20" t="s">
        <v>76</v>
      </c>
      <c r="X30" s="20" t="s">
        <v>76</v>
      </c>
      <c r="Y30" s="20" t="s">
        <v>76</v>
      </c>
      <c r="Z30" s="20" t="s">
        <v>76</v>
      </c>
      <c r="AA30" s="20" t="s">
        <v>76</v>
      </c>
      <c r="AB30" s="20" t="s">
        <v>76</v>
      </c>
      <c r="AC30" s="20" t="s">
        <v>76</v>
      </c>
      <c r="AD30" s="20" t="s">
        <v>76</v>
      </c>
      <c r="AE30" s="20" t="s">
        <v>76</v>
      </c>
      <c r="AF30" s="20" t="s">
        <v>76</v>
      </c>
      <c r="AG30" s="15">
        <v>6.6666666666666696</v>
      </c>
      <c r="AH30" s="20" t="s">
        <v>76</v>
      </c>
      <c r="AI30" s="20" t="s">
        <v>76</v>
      </c>
      <c r="AJ30" s="15">
        <v>11.7117117117117</v>
      </c>
      <c r="AK30" s="15">
        <v>33.3333333333333</v>
      </c>
      <c r="AL30" s="20" t="s">
        <v>76</v>
      </c>
      <c r="AM30" s="20" t="s">
        <v>76</v>
      </c>
      <c r="AN30" s="20" t="s">
        <v>76</v>
      </c>
      <c r="AO30" s="20" t="s">
        <v>76</v>
      </c>
      <c r="AP30" s="20" t="s">
        <v>76</v>
      </c>
      <c r="AQ30" s="20" t="s">
        <v>76</v>
      </c>
      <c r="AR30" s="20" t="s">
        <v>76</v>
      </c>
      <c r="AS30" s="20" t="s">
        <v>76</v>
      </c>
      <c r="AT30" s="20" t="s">
        <v>76</v>
      </c>
      <c r="AU30" s="20" t="s">
        <v>76</v>
      </c>
      <c r="AV30" s="20" t="s">
        <v>76</v>
      </c>
      <c r="AW30" s="15">
        <v>4.31034482758621</v>
      </c>
      <c r="AX30" s="20" t="s">
        <v>76</v>
      </c>
      <c r="AY30" s="20" t="s">
        <v>76</v>
      </c>
      <c r="AZ30" s="20" t="s">
        <v>76</v>
      </c>
      <c r="BA30" s="20" t="s">
        <v>76</v>
      </c>
      <c r="BB30" s="20" t="s">
        <v>76</v>
      </c>
      <c r="BC30" s="15">
        <v>6.7567567567567597</v>
      </c>
      <c r="BD30" s="20" t="s">
        <v>76</v>
      </c>
      <c r="BE30" s="20" t="s">
        <v>76</v>
      </c>
      <c r="BF30" s="20" t="s">
        <v>76</v>
      </c>
      <c r="BG30" s="15">
        <v>7.4626865671641802</v>
      </c>
      <c r="BH30" s="20" t="s">
        <v>76</v>
      </c>
      <c r="BI30" s="20" t="s">
        <v>76</v>
      </c>
      <c r="BJ30" s="20" t="s">
        <v>76</v>
      </c>
      <c r="BK30" s="20" t="s">
        <v>76</v>
      </c>
      <c r="BL30" s="20" t="s">
        <v>76</v>
      </c>
      <c r="BM30" s="20" t="s">
        <v>76</v>
      </c>
      <c r="BN30" s="20" t="s">
        <v>76</v>
      </c>
      <c r="BO30" s="15">
        <v>6.6666666666666696</v>
      </c>
      <c r="BP30" s="20" t="s">
        <v>76</v>
      </c>
      <c r="BQ30" s="20" t="s">
        <v>76</v>
      </c>
      <c r="BR30" s="20" t="s">
        <v>76</v>
      </c>
      <c r="BS30" s="15">
        <v>7.2289156626505999</v>
      </c>
      <c r="BT30" s="20" t="s">
        <v>76</v>
      </c>
      <c r="BU30" s="15">
        <v>5.6074766355140202</v>
      </c>
      <c r="BV30" s="15">
        <v>8.0808080808080796</v>
      </c>
      <c r="BW30" s="20" t="s">
        <v>76</v>
      </c>
      <c r="BX30" s="20" t="s">
        <v>76</v>
      </c>
      <c r="BY30" s="20" t="s">
        <v>76</v>
      </c>
      <c r="BZ30" s="20" t="s">
        <v>76</v>
      </c>
      <c r="CA30" s="32">
        <v>4.5502761719760603</v>
      </c>
      <c r="CB30" s="15">
        <v>7.6677316293929696</v>
      </c>
      <c r="CC30" s="15">
        <v>5.6603773584905701</v>
      </c>
      <c r="CD30" s="15">
        <v>3.87096774193548</v>
      </c>
      <c r="CE30" s="20" t="s">
        <v>76</v>
      </c>
      <c r="CF30" s="15">
        <v>4.19161676646707</v>
      </c>
      <c r="CG30" s="15">
        <v>4.4692737430167604</v>
      </c>
      <c r="CH30" s="15">
        <v>2.2058823529411802</v>
      </c>
      <c r="CI30" s="15">
        <v>4.1067761806981498</v>
      </c>
      <c r="CJ30" s="15">
        <v>3.52941176470588</v>
      </c>
      <c r="CK30" s="15">
        <v>4.03587443946188</v>
      </c>
      <c r="CL30" s="15">
        <v>5.60606060606061</v>
      </c>
      <c r="CM30" s="24">
        <v>4.9250535331905798</v>
      </c>
      <c r="CN30" s="37"/>
    </row>
    <row r="31" spans="1:92">
      <c r="A31" s="9" t="s">
        <v>286</v>
      </c>
      <c r="B31" s="35">
        <v>6.9949084674478703</v>
      </c>
      <c r="C31" s="32">
        <v>7.2235261424613002</v>
      </c>
      <c r="D31" s="32">
        <v>5.9808986681108296</v>
      </c>
      <c r="E31" s="32">
        <v>6.9067091531790998</v>
      </c>
      <c r="F31" s="20" t="s">
        <v>76</v>
      </c>
      <c r="G31" s="20" t="s">
        <v>76</v>
      </c>
      <c r="H31" s="20" t="s">
        <v>76</v>
      </c>
      <c r="I31" s="20" t="s">
        <v>76</v>
      </c>
      <c r="J31" s="15">
        <v>13.1944444444444</v>
      </c>
      <c r="K31" s="20" t="s">
        <v>76</v>
      </c>
      <c r="L31" s="15">
        <v>8.1967213114754092</v>
      </c>
      <c r="M31" s="20" t="s">
        <v>76</v>
      </c>
      <c r="N31" s="20" t="s">
        <v>76</v>
      </c>
      <c r="O31" s="20" t="s">
        <v>76</v>
      </c>
      <c r="P31" s="15">
        <v>7.0422535211267601</v>
      </c>
      <c r="Q31" s="15">
        <v>7.0422535211267601</v>
      </c>
      <c r="R31" s="20" t="s">
        <v>76</v>
      </c>
      <c r="S31" s="15">
        <v>14.634146341463399</v>
      </c>
      <c r="T31" s="20" t="s">
        <v>76</v>
      </c>
      <c r="U31" s="20" t="s">
        <v>76</v>
      </c>
      <c r="V31" s="20" t="s">
        <v>76</v>
      </c>
      <c r="W31" s="15">
        <v>10.1694915254237</v>
      </c>
      <c r="X31" s="20" t="s">
        <v>76</v>
      </c>
      <c r="Y31" s="20" t="s">
        <v>76</v>
      </c>
      <c r="Z31" s="20" t="s">
        <v>76</v>
      </c>
      <c r="AA31" s="15">
        <v>7.3394495412843996</v>
      </c>
      <c r="AB31" s="15">
        <v>11.764705882352899</v>
      </c>
      <c r="AC31" s="15">
        <v>6.0606060606060597</v>
      </c>
      <c r="AD31" s="20" t="s">
        <v>76</v>
      </c>
      <c r="AE31" s="20" t="s">
        <v>76</v>
      </c>
      <c r="AF31" s="20" t="s">
        <v>76</v>
      </c>
      <c r="AG31" s="15">
        <v>7.6190476190476204</v>
      </c>
      <c r="AH31" s="20" t="s">
        <v>76</v>
      </c>
      <c r="AI31" s="20" t="s">
        <v>76</v>
      </c>
      <c r="AJ31" s="15">
        <v>7.20720720720721</v>
      </c>
      <c r="AK31" s="20" t="s">
        <v>76</v>
      </c>
      <c r="AL31" s="15">
        <v>5.5555555555555598</v>
      </c>
      <c r="AM31" s="20" t="s">
        <v>76</v>
      </c>
      <c r="AN31" s="20" t="s">
        <v>76</v>
      </c>
      <c r="AO31" s="20" t="s">
        <v>76</v>
      </c>
      <c r="AP31" s="15">
        <v>9.0909090909090899</v>
      </c>
      <c r="AQ31" s="20" t="s">
        <v>76</v>
      </c>
      <c r="AR31" s="15">
        <v>9.0909090909090899</v>
      </c>
      <c r="AS31" s="20" t="s">
        <v>76</v>
      </c>
      <c r="AT31" s="20" t="s">
        <v>76</v>
      </c>
      <c r="AU31" s="20" t="s">
        <v>76</v>
      </c>
      <c r="AV31" s="15">
        <v>6.8493150684931496</v>
      </c>
      <c r="AW31" s="15">
        <v>5.1724137931034502</v>
      </c>
      <c r="AX31" s="20" t="s">
        <v>76</v>
      </c>
      <c r="AY31" s="20" t="s">
        <v>76</v>
      </c>
      <c r="AZ31" s="15">
        <v>10</v>
      </c>
      <c r="BA31" s="15">
        <v>11.320754716981099</v>
      </c>
      <c r="BB31" s="15">
        <v>8.9552238805970106</v>
      </c>
      <c r="BC31" s="15">
        <v>10.8108108108108</v>
      </c>
      <c r="BD31" s="20" t="s">
        <v>76</v>
      </c>
      <c r="BE31" s="20" t="s">
        <v>76</v>
      </c>
      <c r="BF31" s="20" t="s">
        <v>76</v>
      </c>
      <c r="BG31" s="20" t="s">
        <v>76</v>
      </c>
      <c r="BH31" s="20" t="s">
        <v>76</v>
      </c>
      <c r="BI31" s="20" t="s">
        <v>76</v>
      </c>
      <c r="BJ31" s="15">
        <v>8.0357142857142794</v>
      </c>
      <c r="BK31" s="20" t="s">
        <v>76</v>
      </c>
      <c r="BL31" s="15">
        <v>4.6875</v>
      </c>
      <c r="BM31" s="15">
        <v>4.9504950495049496</v>
      </c>
      <c r="BN31" s="15">
        <v>18.487394957983199</v>
      </c>
      <c r="BO31" s="15">
        <v>10</v>
      </c>
      <c r="BP31" s="20" t="s">
        <v>76</v>
      </c>
      <c r="BQ31" s="20" t="s">
        <v>76</v>
      </c>
      <c r="BR31" s="15">
        <v>8.3333333333333304</v>
      </c>
      <c r="BS31" s="15">
        <v>7.2289156626505999</v>
      </c>
      <c r="BT31" s="15">
        <v>7.3170731707317103</v>
      </c>
      <c r="BU31" s="15">
        <v>4.6728971962616797</v>
      </c>
      <c r="BV31" s="15">
        <v>13.1313131313131</v>
      </c>
      <c r="BW31" s="20" t="s">
        <v>76</v>
      </c>
      <c r="BX31" s="20" t="s">
        <v>76</v>
      </c>
      <c r="BY31" s="20" t="s">
        <v>76</v>
      </c>
      <c r="BZ31" s="15">
        <v>4.7619047619047601</v>
      </c>
      <c r="CA31" s="32">
        <v>5.2332412779652602</v>
      </c>
      <c r="CB31" s="15">
        <v>7.0287539936102199</v>
      </c>
      <c r="CC31" s="15">
        <v>1.88679245283019</v>
      </c>
      <c r="CD31" s="20" t="s">
        <v>76</v>
      </c>
      <c r="CE31" s="20" t="s">
        <v>76</v>
      </c>
      <c r="CF31" s="15">
        <v>5.0898203592814397</v>
      </c>
      <c r="CG31" s="15">
        <v>7.8212290502793298</v>
      </c>
      <c r="CH31" s="15">
        <v>4.7794117647058796</v>
      </c>
      <c r="CI31" s="15">
        <v>4.7227926078028704</v>
      </c>
      <c r="CJ31" s="15">
        <v>10.588235294117601</v>
      </c>
      <c r="CK31" s="15">
        <v>4.4843049327354301</v>
      </c>
      <c r="CL31" s="15">
        <v>5.1515151515151496</v>
      </c>
      <c r="CM31" s="24">
        <v>7.2805139186295502</v>
      </c>
      <c r="CN31" s="37"/>
    </row>
    <row r="32" spans="1:92">
      <c r="A32" s="9" t="s">
        <v>287</v>
      </c>
      <c r="B32" s="35">
        <v>0.31382264659037301</v>
      </c>
      <c r="C32" s="32">
        <v>0.244420662868859</v>
      </c>
      <c r="D32" s="38" t="s">
        <v>76</v>
      </c>
      <c r="E32" s="38" t="s">
        <v>76</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20" t="s">
        <v>76</v>
      </c>
      <c r="AH32" s="20" t="s">
        <v>76</v>
      </c>
      <c r="AI32" s="20" t="s">
        <v>76</v>
      </c>
      <c r="AJ32" s="20" t="s">
        <v>76</v>
      </c>
      <c r="AK32" s="20" t="s">
        <v>76</v>
      </c>
      <c r="AL32" s="20" t="s">
        <v>76</v>
      </c>
      <c r="AM32" s="20" t="s">
        <v>76</v>
      </c>
      <c r="AN32" s="20" t="s">
        <v>76</v>
      </c>
      <c r="AO32" s="20" t="s">
        <v>76</v>
      </c>
      <c r="AP32" s="20" t="s">
        <v>76</v>
      </c>
      <c r="AQ32" s="20" t="s">
        <v>76</v>
      </c>
      <c r="AR32" s="20" t="s">
        <v>76</v>
      </c>
      <c r="AS32" s="20" t="s">
        <v>76</v>
      </c>
      <c r="AT32" s="20" t="s">
        <v>76</v>
      </c>
      <c r="AU32" s="20" t="s">
        <v>76</v>
      </c>
      <c r="AV32" s="20" t="s">
        <v>76</v>
      </c>
      <c r="AW32" s="20" t="s">
        <v>76</v>
      </c>
      <c r="AX32" s="20" t="s">
        <v>76</v>
      </c>
      <c r="AY32" s="20" t="s">
        <v>76</v>
      </c>
      <c r="AZ32" s="20" t="s">
        <v>76</v>
      </c>
      <c r="BA32" s="20" t="s">
        <v>76</v>
      </c>
      <c r="BB32" s="20" t="s">
        <v>76</v>
      </c>
      <c r="BC32" s="20" t="s">
        <v>76</v>
      </c>
      <c r="BD32" s="20" t="s">
        <v>76</v>
      </c>
      <c r="BE32" s="20" t="s">
        <v>76</v>
      </c>
      <c r="BF32" s="20" t="s">
        <v>76</v>
      </c>
      <c r="BG32" s="20" t="s">
        <v>76</v>
      </c>
      <c r="BH32" s="20" t="s">
        <v>76</v>
      </c>
      <c r="BI32" s="20" t="s">
        <v>76</v>
      </c>
      <c r="BJ32" s="20" t="s">
        <v>76</v>
      </c>
      <c r="BK32" s="20" t="s">
        <v>76</v>
      </c>
      <c r="BL32" s="20" t="s">
        <v>76</v>
      </c>
      <c r="BM32" s="20" t="s">
        <v>76</v>
      </c>
      <c r="BN32" s="20" t="s">
        <v>76</v>
      </c>
      <c r="BO32" s="20" t="s">
        <v>76</v>
      </c>
      <c r="BP32" s="20" t="s">
        <v>76</v>
      </c>
      <c r="BQ32" s="20" t="s">
        <v>76</v>
      </c>
      <c r="BR32" s="20" t="s">
        <v>76</v>
      </c>
      <c r="BS32" s="20" t="s">
        <v>76</v>
      </c>
      <c r="BT32" s="20" t="s">
        <v>76</v>
      </c>
      <c r="BU32" s="20" t="s">
        <v>76</v>
      </c>
      <c r="BV32" s="20" t="s">
        <v>76</v>
      </c>
      <c r="BW32" s="20" t="s">
        <v>76</v>
      </c>
      <c r="BX32" s="20" t="s">
        <v>76</v>
      </c>
      <c r="BY32" s="20" t="s">
        <v>76</v>
      </c>
      <c r="BZ32" s="20" t="s">
        <v>76</v>
      </c>
      <c r="CA32" s="38" t="s">
        <v>76</v>
      </c>
      <c r="CB32" s="20" t="s">
        <v>76</v>
      </c>
      <c r="CC32" s="20" t="s">
        <v>76</v>
      </c>
      <c r="CD32" s="20" t="s">
        <v>76</v>
      </c>
      <c r="CE32" s="20" t="s">
        <v>76</v>
      </c>
      <c r="CF32" s="20" t="s">
        <v>76</v>
      </c>
      <c r="CG32" s="20" t="s">
        <v>76</v>
      </c>
      <c r="CH32" s="20" t="s">
        <v>76</v>
      </c>
      <c r="CI32" s="20" t="s">
        <v>76</v>
      </c>
      <c r="CJ32" s="20" t="s">
        <v>76</v>
      </c>
      <c r="CK32" s="20" t="s">
        <v>76</v>
      </c>
      <c r="CL32" s="20" t="s">
        <v>76</v>
      </c>
      <c r="CM32" s="26" t="s">
        <v>76</v>
      </c>
      <c r="CN32" s="37"/>
    </row>
    <row r="33" spans="1:92">
      <c r="A33" s="9" t="s">
        <v>288</v>
      </c>
      <c r="B33" s="35">
        <v>4.5538298587018904</v>
      </c>
      <c r="C33" s="32">
        <v>4.7386506015965599</v>
      </c>
      <c r="D33" s="32">
        <v>3.4746086509340302</v>
      </c>
      <c r="E33" s="32">
        <v>3.9144741210191198</v>
      </c>
      <c r="F33" s="20" t="s">
        <v>76</v>
      </c>
      <c r="G33" s="20" t="s">
        <v>76</v>
      </c>
      <c r="H33" s="20" t="s">
        <v>76</v>
      </c>
      <c r="I33" s="20" t="s">
        <v>76</v>
      </c>
      <c r="J33" s="20" t="s">
        <v>76</v>
      </c>
      <c r="K33" s="20" t="s">
        <v>76</v>
      </c>
      <c r="L33" s="20" t="s">
        <v>76</v>
      </c>
      <c r="M33" s="20" t="s">
        <v>76</v>
      </c>
      <c r="N33" s="20" t="s">
        <v>76</v>
      </c>
      <c r="O33" s="20" t="s">
        <v>76</v>
      </c>
      <c r="P33" s="20" t="s">
        <v>76</v>
      </c>
      <c r="Q33" s="20" t="s">
        <v>76</v>
      </c>
      <c r="R33" s="20" t="s">
        <v>76</v>
      </c>
      <c r="S33" s="20" t="s">
        <v>76</v>
      </c>
      <c r="T33" s="20" t="s">
        <v>76</v>
      </c>
      <c r="U33" s="20" t="s">
        <v>76</v>
      </c>
      <c r="V33" s="20" t="s">
        <v>76</v>
      </c>
      <c r="W33" s="20" t="s">
        <v>76</v>
      </c>
      <c r="X33" s="20" t="s">
        <v>76</v>
      </c>
      <c r="Y33" s="20" t="s">
        <v>76</v>
      </c>
      <c r="Z33" s="20" t="s">
        <v>76</v>
      </c>
      <c r="AA33" s="20" t="s">
        <v>76</v>
      </c>
      <c r="AB33" s="20" t="s">
        <v>76</v>
      </c>
      <c r="AC33" s="15">
        <v>8.3333333333333304</v>
      </c>
      <c r="AD33" s="20" t="s">
        <v>76</v>
      </c>
      <c r="AE33" s="20" t="s">
        <v>76</v>
      </c>
      <c r="AF33" s="20" t="s">
        <v>76</v>
      </c>
      <c r="AG33" s="15">
        <v>5.71428571428571</v>
      </c>
      <c r="AH33" s="20" t="s">
        <v>76</v>
      </c>
      <c r="AI33" s="20" t="s">
        <v>76</v>
      </c>
      <c r="AJ33" s="15">
        <v>5.4054054054054097</v>
      </c>
      <c r="AK33" s="15">
        <v>16.6666666666667</v>
      </c>
      <c r="AL33" s="20" t="s">
        <v>76</v>
      </c>
      <c r="AM33" s="20" t="s">
        <v>76</v>
      </c>
      <c r="AN33" s="20" t="s">
        <v>76</v>
      </c>
      <c r="AO33" s="20" t="s">
        <v>76</v>
      </c>
      <c r="AP33" s="20" t="s">
        <v>76</v>
      </c>
      <c r="AQ33" s="20" t="s">
        <v>76</v>
      </c>
      <c r="AR33" s="20" t="s">
        <v>76</v>
      </c>
      <c r="AS33" s="20" t="s">
        <v>76</v>
      </c>
      <c r="AT33" s="20" t="s">
        <v>76</v>
      </c>
      <c r="AU33" s="20" t="s">
        <v>76</v>
      </c>
      <c r="AV33" s="20" t="s">
        <v>76</v>
      </c>
      <c r="AW33" s="15">
        <v>5.1724137931034502</v>
      </c>
      <c r="AX33" s="20" t="s">
        <v>76</v>
      </c>
      <c r="AY33" s="20" t="s">
        <v>76</v>
      </c>
      <c r="AZ33" s="20" t="s">
        <v>76</v>
      </c>
      <c r="BA33" s="20" t="s">
        <v>76</v>
      </c>
      <c r="BB33" s="20" t="s">
        <v>76</v>
      </c>
      <c r="BC33" s="20" t="s">
        <v>76</v>
      </c>
      <c r="BD33" s="20" t="s">
        <v>76</v>
      </c>
      <c r="BE33" s="20" t="s">
        <v>76</v>
      </c>
      <c r="BF33" s="20" t="s">
        <v>76</v>
      </c>
      <c r="BG33" s="20" t="s">
        <v>76</v>
      </c>
      <c r="BH33" s="20" t="s">
        <v>76</v>
      </c>
      <c r="BI33" s="20" t="s">
        <v>76</v>
      </c>
      <c r="BJ33" s="20" t="s">
        <v>76</v>
      </c>
      <c r="BK33" s="20" t="s">
        <v>76</v>
      </c>
      <c r="BL33" s="15">
        <v>6.25</v>
      </c>
      <c r="BM33" s="15">
        <v>4.9504950495049496</v>
      </c>
      <c r="BN33" s="15">
        <v>10.084033613445399</v>
      </c>
      <c r="BO33" s="20" t="s">
        <v>76</v>
      </c>
      <c r="BP33" s="20" t="s">
        <v>76</v>
      </c>
      <c r="BQ33" s="20" t="s">
        <v>76</v>
      </c>
      <c r="BR33" s="15">
        <v>8.3333333333333304</v>
      </c>
      <c r="BS33" s="20" t="s">
        <v>76</v>
      </c>
      <c r="BT33" s="20" t="s">
        <v>76</v>
      </c>
      <c r="BU33" s="15">
        <v>4.6728971962616797</v>
      </c>
      <c r="BV33" s="15">
        <v>11.1111111111111</v>
      </c>
      <c r="BW33" s="20" t="s">
        <v>76</v>
      </c>
      <c r="BX33" s="20" t="s">
        <v>76</v>
      </c>
      <c r="BY33" s="15">
        <v>7.9365079365079403</v>
      </c>
      <c r="BZ33" s="15">
        <v>4.0816326530612201</v>
      </c>
      <c r="CA33" s="32">
        <v>3.1193862002456201</v>
      </c>
      <c r="CB33" s="15">
        <v>2.2364217252396199</v>
      </c>
      <c r="CC33" s="20" t="s">
        <v>76</v>
      </c>
      <c r="CD33" s="20" t="s">
        <v>76</v>
      </c>
      <c r="CE33" s="20" t="s">
        <v>76</v>
      </c>
      <c r="CF33" s="15">
        <v>4.19161676646707</v>
      </c>
      <c r="CG33" s="15">
        <v>4.4692737430167604</v>
      </c>
      <c r="CH33" s="15">
        <v>4.4117647058823497</v>
      </c>
      <c r="CI33" s="15">
        <v>1.84804928131417</v>
      </c>
      <c r="CJ33" s="15">
        <v>5.0980392156862804</v>
      </c>
      <c r="CK33" s="15">
        <v>4.4843049327354301</v>
      </c>
      <c r="CL33" s="15">
        <v>3.48484848484848</v>
      </c>
      <c r="CM33" s="24">
        <v>3.8543897216274101</v>
      </c>
      <c r="CN33" s="37"/>
    </row>
    <row r="34" spans="1:92">
      <c r="A34" s="9" t="s">
        <v>289</v>
      </c>
      <c r="B34" s="35">
        <v>1.9410735335935601</v>
      </c>
      <c r="C34" s="32">
        <v>2.1038550325886498</v>
      </c>
      <c r="D34" s="32">
        <v>2.2989601539873599</v>
      </c>
      <c r="E34" s="32">
        <v>2.1936983483110701</v>
      </c>
      <c r="F34" s="20" t="s">
        <v>76</v>
      </c>
      <c r="G34" s="20" t="s">
        <v>76</v>
      </c>
      <c r="H34" s="20" t="s">
        <v>76</v>
      </c>
      <c r="I34" s="20" t="s">
        <v>76</v>
      </c>
      <c r="J34" s="20" t="s">
        <v>76</v>
      </c>
      <c r="K34" s="20" t="s">
        <v>76</v>
      </c>
      <c r="L34" s="15">
        <v>18.032786885245901</v>
      </c>
      <c r="M34" s="20" t="s">
        <v>76</v>
      </c>
      <c r="N34" s="20" t="s">
        <v>76</v>
      </c>
      <c r="O34" s="20" t="s">
        <v>76</v>
      </c>
      <c r="P34" s="20" t="s">
        <v>76</v>
      </c>
      <c r="Q34" s="15">
        <v>7.0422535211267601</v>
      </c>
      <c r="R34" s="20" t="s">
        <v>76</v>
      </c>
      <c r="S34" s="20" t="s">
        <v>76</v>
      </c>
      <c r="T34" s="20" t="s">
        <v>76</v>
      </c>
      <c r="U34" s="20" t="s">
        <v>76</v>
      </c>
      <c r="V34" s="20" t="s">
        <v>76</v>
      </c>
      <c r="W34" s="20" t="s">
        <v>76</v>
      </c>
      <c r="X34" s="20" t="s">
        <v>76</v>
      </c>
      <c r="Y34" s="20" t="s">
        <v>76</v>
      </c>
      <c r="Z34" s="15">
        <v>7.6923076923076898</v>
      </c>
      <c r="AA34" s="20" t="s">
        <v>76</v>
      </c>
      <c r="AB34" s="20" t="s">
        <v>76</v>
      </c>
      <c r="AC34" s="15">
        <v>3.7878787878787898</v>
      </c>
      <c r="AD34" s="20" t="s">
        <v>76</v>
      </c>
      <c r="AE34" s="20" t="s">
        <v>76</v>
      </c>
      <c r="AF34" s="20" t="s">
        <v>76</v>
      </c>
      <c r="AG34" s="20" t="s">
        <v>76</v>
      </c>
      <c r="AH34" s="20" t="s">
        <v>76</v>
      </c>
      <c r="AI34" s="20" t="s">
        <v>76</v>
      </c>
      <c r="AJ34" s="20" t="s">
        <v>76</v>
      </c>
      <c r="AK34" s="20" t="s">
        <v>76</v>
      </c>
      <c r="AL34" s="20" t="s">
        <v>76</v>
      </c>
      <c r="AM34" s="20" t="s">
        <v>76</v>
      </c>
      <c r="AN34" s="20" t="s">
        <v>76</v>
      </c>
      <c r="AO34" s="20" t="s">
        <v>76</v>
      </c>
      <c r="AP34" s="20" t="s">
        <v>76</v>
      </c>
      <c r="AQ34" s="20" t="s">
        <v>76</v>
      </c>
      <c r="AR34" s="20" t="s">
        <v>76</v>
      </c>
      <c r="AS34" s="20" t="s">
        <v>76</v>
      </c>
      <c r="AT34" s="20" t="s">
        <v>76</v>
      </c>
      <c r="AU34" s="20" t="s">
        <v>76</v>
      </c>
      <c r="AV34" s="20" t="s">
        <v>76</v>
      </c>
      <c r="AW34" s="20" t="s">
        <v>76</v>
      </c>
      <c r="AX34" s="20" t="s">
        <v>76</v>
      </c>
      <c r="AY34" s="20" t="s">
        <v>76</v>
      </c>
      <c r="AZ34" s="20" t="s">
        <v>76</v>
      </c>
      <c r="BA34" s="20" t="s">
        <v>76</v>
      </c>
      <c r="BB34" s="20" t="s">
        <v>76</v>
      </c>
      <c r="BC34" s="20" t="s">
        <v>76</v>
      </c>
      <c r="BD34" s="20" t="s">
        <v>76</v>
      </c>
      <c r="BE34" s="20" t="s">
        <v>76</v>
      </c>
      <c r="BF34" s="20" t="s">
        <v>76</v>
      </c>
      <c r="BG34" s="20" t="s">
        <v>76</v>
      </c>
      <c r="BH34" s="20" t="s">
        <v>76</v>
      </c>
      <c r="BI34" s="20" t="s">
        <v>76</v>
      </c>
      <c r="BJ34" s="20" t="s">
        <v>76</v>
      </c>
      <c r="BK34" s="20" t="s">
        <v>76</v>
      </c>
      <c r="BL34" s="15">
        <v>3.90625</v>
      </c>
      <c r="BM34" s="20" t="s">
        <v>76</v>
      </c>
      <c r="BN34" s="20" t="s">
        <v>76</v>
      </c>
      <c r="BO34" s="20" t="s">
        <v>76</v>
      </c>
      <c r="BP34" s="20" t="s">
        <v>76</v>
      </c>
      <c r="BQ34" s="20" t="s">
        <v>76</v>
      </c>
      <c r="BR34" s="20" t="s">
        <v>76</v>
      </c>
      <c r="BS34" s="20" t="s">
        <v>76</v>
      </c>
      <c r="BT34" s="20" t="s">
        <v>76</v>
      </c>
      <c r="BU34" s="20" t="s">
        <v>76</v>
      </c>
      <c r="BV34" s="15">
        <v>5.0505050505050502</v>
      </c>
      <c r="BW34" s="20" t="s">
        <v>76</v>
      </c>
      <c r="BX34" s="20" t="s">
        <v>76</v>
      </c>
      <c r="BY34" s="20" t="s">
        <v>76</v>
      </c>
      <c r="BZ34" s="20" t="s">
        <v>76</v>
      </c>
      <c r="CA34" s="32">
        <v>2.3839665005164199</v>
      </c>
      <c r="CB34" s="15">
        <v>1.59744408945687</v>
      </c>
      <c r="CC34" s="20" t="s">
        <v>76</v>
      </c>
      <c r="CD34" s="20" t="s">
        <v>76</v>
      </c>
      <c r="CE34" s="20" t="s">
        <v>76</v>
      </c>
      <c r="CF34" s="15">
        <v>2.6946107784431099</v>
      </c>
      <c r="CG34" s="20" t="s">
        <v>76</v>
      </c>
      <c r="CH34" s="15">
        <v>2.3897058823529398</v>
      </c>
      <c r="CI34" s="15">
        <v>1.84804928131417</v>
      </c>
      <c r="CJ34" s="15">
        <v>3.9215686274509798</v>
      </c>
      <c r="CK34" s="15">
        <v>3.5874439461883401</v>
      </c>
      <c r="CL34" s="15">
        <v>3.3333333333333299</v>
      </c>
      <c r="CM34" s="24">
        <v>2.35546038543897</v>
      </c>
      <c r="CN34" s="37"/>
    </row>
    <row r="35" spans="1:92">
      <c r="A35" s="9" t="s">
        <v>290</v>
      </c>
      <c r="B35" s="35">
        <v>2.0413571216700799</v>
      </c>
      <c r="C35" s="32">
        <v>1.94985326147461</v>
      </c>
      <c r="D35" s="32">
        <v>2.0289684767509701</v>
      </c>
      <c r="E35" s="32">
        <v>2.3018390487509302</v>
      </c>
      <c r="F35" s="20" t="s">
        <v>76</v>
      </c>
      <c r="G35" s="20" t="s">
        <v>76</v>
      </c>
      <c r="H35" s="20" t="s">
        <v>76</v>
      </c>
      <c r="I35" s="20" t="s">
        <v>76</v>
      </c>
      <c r="J35" s="20" t="s">
        <v>76</v>
      </c>
      <c r="K35" s="20" t="s">
        <v>76</v>
      </c>
      <c r="L35" s="20" t="s">
        <v>76</v>
      </c>
      <c r="M35" s="20" t="s">
        <v>76</v>
      </c>
      <c r="N35" s="20" t="s">
        <v>76</v>
      </c>
      <c r="O35" s="20" t="s">
        <v>76</v>
      </c>
      <c r="P35" s="20" t="s">
        <v>76</v>
      </c>
      <c r="Q35" s="20" t="s">
        <v>76</v>
      </c>
      <c r="R35" s="20" t="s">
        <v>76</v>
      </c>
      <c r="S35" s="20" t="s">
        <v>76</v>
      </c>
      <c r="T35" s="20" t="s">
        <v>76</v>
      </c>
      <c r="U35" s="20" t="s">
        <v>76</v>
      </c>
      <c r="V35" s="20" t="s">
        <v>76</v>
      </c>
      <c r="W35" s="20" t="s">
        <v>76</v>
      </c>
      <c r="X35" s="20" t="s">
        <v>76</v>
      </c>
      <c r="Y35" s="20" t="s">
        <v>76</v>
      </c>
      <c r="Z35" s="20" t="s">
        <v>76</v>
      </c>
      <c r="AA35" s="20" t="s">
        <v>76</v>
      </c>
      <c r="AB35" s="20" t="s">
        <v>76</v>
      </c>
      <c r="AC35" s="20" t="s">
        <v>76</v>
      </c>
      <c r="AD35" s="20" t="s">
        <v>76</v>
      </c>
      <c r="AE35" s="20" t="s">
        <v>76</v>
      </c>
      <c r="AF35" s="20" t="s">
        <v>76</v>
      </c>
      <c r="AG35" s="20" t="s">
        <v>76</v>
      </c>
      <c r="AH35" s="20" t="s">
        <v>76</v>
      </c>
      <c r="AI35" s="20" t="s">
        <v>76</v>
      </c>
      <c r="AJ35" s="20" t="s">
        <v>76</v>
      </c>
      <c r="AK35" s="20" t="s">
        <v>76</v>
      </c>
      <c r="AL35" s="20" t="s">
        <v>76</v>
      </c>
      <c r="AM35" s="20" t="s">
        <v>76</v>
      </c>
      <c r="AN35" s="20" t="s">
        <v>76</v>
      </c>
      <c r="AO35" s="20" t="s">
        <v>76</v>
      </c>
      <c r="AP35" s="20" t="s">
        <v>76</v>
      </c>
      <c r="AQ35" s="20" t="s">
        <v>76</v>
      </c>
      <c r="AR35" s="20" t="s">
        <v>76</v>
      </c>
      <c r="AS35" s="20" t="s">
        <v>76</v>
      </c>
      <c r="AT35" s="20" t="s">
        <v>76</v>
      </c>
      <c r="AU35" s="20" t="s">
        <v>76</v>
      </c>
      <c r="AV35" s="20" t="s">
        <v>76</v>
      </c>
      <c r="AW35" s="20" t="s">
        <v>76</v>
      </c>
      <c r="AX35" s="20" t="s">
        <v>76</v>
      </c>
      <c r="AY35" s="20" t="s">
        <v>76</v>
      </c>
      <c r="AZ35" s="20" t="s">
        <v>76</v>
      </c>
      <c r="BA35" s="20" t="s">
        <v>76</v>
      </c>
      <c r="BB35" s="20" t="s">
        <v>76</v>
      </c>
      <c r="BC35" s="20" t="s">
        <v>76</v>
      </c>
      <c r="BD35" s="15">
        <v>6.4102564102564097</v>
      </c>
      <c r="BE35" s="20" t="s">
        <v>76</v>
      </c>
      <c r="BF35" s="20" t="s">
        <v>76</v>
      </c>
      <c r="BG35" s="20" t="s">
        <v>76</v>
      </c>
      <c r="BH35" s="20" t="s">
        <v>76</v>
      </c>
      <c r="BI35" s="20" t="s">
        <v>76</v>
      </c>
      <c r="BJ35" s="20" t="s">
        <v>76</v>
      </c>
      <c r="BK35" s="20" t="s">
        <v>76</v>
      </c>
      <c r="BL35" s="20" t="s">
        <v>76</v>
      </c>
      <c r="BM35" s="20" t="s">
        <v>76</v>
      </c>
      <c r="BN35" s="20" t="s">
        <v>76</v>
      </c>
      <c r="BO35" s="20" t="s">
        <v>76</v>
      </c>
      <c r="BP35" s="20" t="s">
        <v>76</v>
      </c>
      <c r="BQ35" s="20" t="s">
        <v>76</v>
      </c>
      <c r="BR35" s="20" t="s">
        <v>76</v>
      </c>
      <c r="BS35" s="20" t="s">
        <v>76</v>
      </c>
      <c r="BT35" s="20" t="s">
        <v>76</v>
      </c>
      <c r="BU35" s="20" t="s">
        <v>76</v>
      </c>
      <c r="BV35" s="15">
        <v>6.0606060606060597</v>
      </c>
      <c r="BW35" s="20" t="s">
        <v>76</v>
      </c>
      <c r="BX35" s="20" t="s">
        <v>76</v>
      </c>
      <c r="BY35" s="20" t="s">
        <v>76</v>
      </c>
      <c r="BZ35" s="20" t="s">
        <v>76</v>
      </c>
      <c r="CA35" s="32">
        <v>1.80860620715108</v>
      </c>
      <c r="CB35" s="20" t="s">
        <v>76</v>
      </c>
      <c r="CC35" s="20" t="s">
        <v>76</v>
      </c>
      <c r="CD35" s="20" t="s">
        <v>76</v>
      </c>
      <c r="CE35" s="20" t="s">
        <v>76</v>
      </c>
      <c r="CF35" s="15">
        <v>2.39520958083832</v>
      </c>
      <c r="CG35" s="20" t="s">
        <v>76</v>
      </c>
      <c r="CH35" s="15">
        <v>1.8382352941176501</v>
      </c>
      <c r="CI35" s="15">
        <v>1.64271047227926</v>
      </c>
      <c r="CJ35" s="15">
        <v>2.7450980392156898</v>
      </c>
      <c r="CK35" s="15">
        <v>4.03587443946188</v>
      </c>
      <c r="CL35" s="15">
        <v>1.51515151515152</v>
      </c>
      <c r="CM35" s="24">
        <v>1.7130620985010701</v>
      </c>
      <c r="CN35" s="37"/>
    </row>
    <row r="36" spans="1:92">
      <c r="A36" s="9" t="s">
        <v>291</v>
      </c>
      <c r="B36" s="35">
        <v>6.3406467851349397</v>
      </c>
      <c r="C36" s="32">
        <v>7.8251222294372003</v>
      </c>
      <c r="D36" s="32">
        <v>8.2209174065122905</v>
      </c>
      <c r="E36" s="32">
        <v>6.6172965993863002</v>
      </c>
      <c r="F36" s="20" t="s">
        <v>76</v>
      </c>
      <c r="G36" s="20" t="s">
        <v>76</v>
      </c>
      <c r="H36" s="20" t="s">
        <v>76</v>
      </c>
      <c r="I36" s="20" t="s">
        <v>76</v>
      </c>
      <c r="J36" s="20" t="s">
        <v>76</v>
      </c>
      <c r="K36" s="20" t="s">
        <v>76</v>
      </c>
      <c r="L36" s="20" t="s">
        <v>76</v>
      </c>
      <c r="M36" s="15">
        <v>11.842105263157899</v>
      </c>
      <c r="N36" s="20" t="s">
        <v>76</v>
      </c>
      <c r="O36" s="20" t="s">
        <v>76</v>
      </c>
      <c r="P36" s="20" t="s">
        <v>76</v>
      </c>
      <c r="Q36" s="20" t="s">
        <v>76</v>
      </c>
      <c r="R36" s="20" t="s">
        <v>76</v>
      </c>
      <c r="S36" s="20" t="s">
        <v>76</v>
      </c>
      <c r="T36" s="15">
        <v>10.4166666666667</v>
      </c>
      <c r="U36" s="20" t="s">
        <v>76</v>
      </c>
      <c r="V36" s="20" t="s">
        <v>76</v>
      </c>
      <c r="W36" s="20" t="s">
        <v>76</v>
      </c>
      <c r="X36" s="20" t="s">
        <v>76</v>
      </c>
      <c r="Y36" s="20" t="s">
        <v>76</v>
      </c>
      <c r="Z36" s="20" t="s">
        <v>76</v>
      </c>
      <c r="AA36" s="15">
        <v>11.926605504587201</v>
      </c>
      <c r="AB36" s="15">
        <v>8.8235294117646994</v>
      </c>
      <c r="AC36" s="15">
        <v>5.3030303030303001</v>
      </c>
      <c r="AD36" s="15">
        <v>21.875</v>
      </c>
      <c r="AE36" s="20" t="s">
        <v>76</v>
      </c>
      <c r="AF36" s="20" t="s">
        <v>76</v>
      </c>
      <c r="AG36" s="15">
        <v>7.6190476190476204</v>
      </c>
      <c r="AH36" s="15">
        <v>12.5</v>
      </c>
      <c r="AI36" s="20" t="s">
        <v>76</v>
      </c>
      <c r="AJ36" s="15">
        <v>4.5045045045045002</v>
      </c>
      <c r="AK36" s="15">
        <v>16.6666666666667</v>
      </c>
      <c r="AL36" s="20" t="s">
        <v>76</v>
      </c>
      <c r="AM36" s="20" t="s">
        <v>76</v>
      </c>
      <c r="AN36" s="20" t="s">
        <v>76</v>
      </c>
      <c r="AO36" s="15">
        <v>35</v>
      </c>
      <c r="AP36" s="15">
        <v>10.3896103896104</v>
      </c>
      <c r="AQ36" s="20" t="s">
        <v>76</v>
      </c>
      <c r="AR36" s="20" t="s">
        <v>76</v>
      </c>
      <c r="AS36" s="20" t="s">
        <v>76</v>
      </c>
      <c r="AT36" s="15">
        <v>9.2307692307692299</v>
      </c>
      <c r="AU36" s="20" t="s">
        <v>76</v>
      </c>
      <c r="AV36" s="15">
        <v>6.8493150684931496</v>
      </c>
      <c r="AW36" s="20" t="s">
        <v>76</v>
      </c>
      <c r="AX36" s="20" t="s">
        <v>76</v>
      </c>
      <c r="AY36" s="20" t="s">
        <v>76</v>
      </c>
      <c r="AZ36" s="20" t="s">
        <v>76</v>
      </c>
      <c r="BA36" s="20" t="s">
        <v>76</v>
      </c>
      <c r="BB36" s="15">
        <v>17.910447761194</v>
      </c>
      <c r="BC36" s="20" t="s">
        <v>76</v>
      </c>
      <c r="BD36" s="15">
        <v>16.6666666666667</v>
      </c>
      <c r="BE36" s="15">
        <v>10.3448275862069</v>
      </c>
      <c r="BF36" s="20" t="s">
        <v>76</v>
      </c>
      <c r="BG36" s="20" t="s">
        <v>76</v>
      </c>
      <c r="BH36" s="20" t="s">
        <v>76</v>
      </c>
      <c r="BI36" s="20" t="s">
        <v>76</v>
      </c>
      <c r="BJ36" s="15">
        <v>6.25</v>
      </c>
      <c r="BK36" s="15">
        <v>15</v>
      </c>
      <c r="BL36" s="20" t="s">
        <v>76</v>
      </c>
      <c r="BM36" s="15">
        <v>16.8316831683168</v>
      </c>
      <c r="BN36" s="20" t="s">
        <v>76</v>
      </c>
      <c r="BO36" s="15">
        <v>7.7777777777777803</v>
      </c>
      <c r="BP36" s="20" t="s">
        <v>76</v>
      </c>
      <c r="BQ36" s="20" t="s">
        <v>76</v>
      </c>
      <c r="BR36" s="15">
        <v>13.3333333333333</v>
      </c>
      <c r="BS36" s="20" t="s">
        <v>76</v>
      </c>
      <c r="BT36" s="20" t="s">
        <v>76</v>
      </c>
      <c r="BU36" s="15">
        <v>7.4766355140186898</v>
      </c>
      <c r="BV36" s="15">
        <v>12.1212121212121</v>
      </c>
      <c r="BW36" s="20" t="s">
        <v>76</v>
      </c>
      <c r="BX36" s="20" t="s">
        <v>76</v>
      </c>
      <c r="BY36" s="15">
        <v>15.8730158730159</v>
      </c>
      <c r="BZ36" s="15">
        <v>10.2040816326531</v>
      </c>
      <c r="CA36" s="32">
        <v>9.51595452995827</v>
      </c>
      <c r="CB36" s="15">
        <v>5.4313099041533501</v>
      </c>
      <c r="CC36" s="15">
        <v>6.6037735849056602</v>
      </c>
      <c r="CD36" s="15">
        <v>14.8387096774194</v>
      </c>
      <c r="CE36" s="20" t="s">
        <v>76</v>
      </c>
      <c r="CF36" s="15">
        <v>2.9940119760478998</v>
      </c>
      <c r="CG36" s="15">
        <v>6.7039106145251397</v>
      </c>
      <c r="CH36" s="15">
        <v>11.948529411764699</v>
      </c>
      <c r="CI36" s="15">
        <v>6.16016427104723</v>
      </c>
      <c r="CJ36" s="15">
        <v>5.8823529411764701</v>
      </c>
      <c r="CK36" s="15">
        <v>9.8654708520179408</v>
      </c>
      <c r="CL36" s="15">
        <v>18.484848484848499</v>
      </c>
      <c r="CM36" s="24">
        <v>13.2762312633833</v>
      </c>
      <c r="CN36" s="37"/>
    </row>
    <row r="37" spans="1:92">
      <c r="A37" s="9" t="s">
        <v>292</v>
      </c>
      <c r="B37" s="35">
        <v>1.9725799011287199</v>
      </c>
      <c r="C37" s="32">
        <v>2.4600902329626799</v>
      </c>
      <c r="D37" s="32">
        <v>2.0226900540931201</v>
      </c>
      <c r="E37" s="32">
        <v>2.0055598525388998</v>
      </c>
      <c r="F37" s="20" t="s">
        <v>76</v>
      </c>
      <c r="G37" s="20" t="s">
        <v>76</v>
      </c>
      <c r="H37" s="20" t="s">
        <v>76</v>
      </c>
      <c r="I37" s="20" t="s">
        <v>76</v>
      </c>
      <c r="J37" s="20" t="s">
        <v>76</v>
      </c>
      <c r="K37" s="20" t="s">
        <v>76</v>
      </c>
      <c r="L37" s="20" t="s">
        <v>76</v>
      </c>
      <c r="M37" s="20" t="s">
        <v>76</v>
      </c>
      <c r="N37" s="20" t="s">
        <v>76</v>
      </c>
      <c r="O37" s="20" t="s">
        <v>76</v>
      </c>
      <c r="P37" s="20" t="s">
        <v>76</v>
      </c>
      <c r="Q37" s="20" t="s">
        <v>76</v>
      </c>
      <c r="R37" s="20" t="s">
        <v>76</v>
      </c>
      <c r="S37" s="20" t="s">
        <v>76</v>
      </c>
      <c r="T37" s="20" t="s">
        <v>76</v>
      </c>
      <c r="U37" s="20" t="s">
        <v>76</v>
      </c>
      <c r="V37" s="20" t="s">
        <v>76</v>
      </c>
      <c r="W37" s="20" t="s">
        <v>76</v>
      </c>
      <c r="X37" s="20" t="s">
        <v>76</v>
      </c>
      <c r="Y37" s="20" t="s">
        <v>76</v>
      </c>
      <c r="Z37" s="20" t="s">
        <v>76</v>
      </c>
      <c r="AA37" s="20" t="s">
        <v>76</v>
      </c>
      <c r="AB37" s="20" t="s">
        <v>76</v>
      </c>
      <c r="AC37" s="20" t="s">
        <v>76</v>
      </c>
      <c r="AD37" s="20" t="s">
        <v>76</v>
      </c>
      <c r="AE37" s="20" t="s">
        <v>76</v>
      </c>
      <c r="AF37" s="20" t="s">
        <v>76</v>
      </c>
      <c r="AG37" s="20" t="s">
        <v>76</v>
      </c>
      <c r="AH37" s="20" t="s">
        <v>76</v>
      </c>
      <c r="AI37" s="20" t="s">
        <v>76</v>
      </c>
      <c r="AJ37" s="20" t="s">
        <v>76</v>
      </c>
      <c r="AK37" s="20" t="s">
        <v>76</v>
      </c>
      <c r="AL37" s="20" t="s">
        <v>76</v>
      </c>
      <c r="AM37" s="20" t="s">
        <v>76</v>
      </c>
      <c r="AN37" s="20" t="s">
        <v>76</v>
      </c>
      <c r="AO37" s="20" t="s">
        <v>76</v>
      </c>
      <c r="AP37" s="20" t="s">
        <v>76</v>
      </c>
      <c r="AQ37" s="20" t="s">
        <v>76</v>
      </c>
      <c r="AR37" s="20" t="s">
        <v>76</v>
      </c>
      <c r="AS37" s="20" t="s">
        <v>76</v>
      </c>
      <c r="AT37" s="20" t="s">
        <v>76</v>
      </c>
      <c r="AU37" s="20" t="s">
        <v>76</v>
      </c>
      <c r="AV37" s="20" t="s">
        <v>76</v>
      </c>
      <c r="AW37" s="20" t="s">
        <v>76</v>
      </c>
      <c r="AX37" s="20" t="s">
        <v>76</v>
      </c>
      <c r="AY37" s="20" t="s">
        <v>76</v>
      </c>
      <c r="AZ37" s="20" t="s">
        <v>76</v>
      </c>
      <c r="BA37" s="20" t="s">
        <v>76</v>
      </c>
      <c r="BB37" s="20" t="s">
        <v>76</v>
      </c>
      <c r="BC37" s="20" t="s">
        <v>76</v>
      </c>
      <c r="BD37" s="20" t="s">
        <v>76</v>
      </c>
      <c r="BE37" s="20" t="s">
        <v>76</v>
      </c>
      <c r="BF37" s="20" t="s">
        <v>76</v>
      </c>
      <c r="BG37" s="20" t="s">
        <v>76</v>
      </c>
      <c r="BH37" s="20" t="s">
        <v>76</v>
      </c>
      <c r="BI37" s="20" t="s">
        <v>76</v>
      </c>
      <c r="BJ37" s="20" t="s">
        <v>76</v>
      </c>
      <c r="BK37" s="20" t="s">
        <v>76</v>
      </c>
      <c r="BL37" s="20" t="s">
        <v>76</v>
      </c>
      <c r="BM37" s="20" t="s">
        <v>76</v>
      </c>
      <c r="BN37" s="20" t="s">
        <v>76</v>
      </c>
      <c r="BO37" s="20" t="s">
        <v>76</v>
      </c>
      <c r="BP37" s="20" t="s">
        <v>76</v>
      </c>
      <c r="BQ37" s="20" t="s">
        <v>76</v>
      </c>
      <c r="BR37" s="20" t="s">
        <v>76</v>
      </c>
      <c r="BS37" s="20" t="s">
        <v>76</v>
      </c>
      <c r="BT37" s="20" t="s">
        <v>76</v>
      </c>
      <c r="BU37" s="20" t="s">
        <v>76</v>
      </c>
      <c r="BV37" s="15">
        <v>5.0505050505050502</v>
      </c>
      <c r="BW37" s="20" t="s">
        <v>76</v>
      </c>
      <c r="BX37" s="20" t="s">
        <v>76</v>
      </c>
      <c r="BY37" s="20" t="s">
        <v>76</v>
      </c>
      <c r="BZ37" s="15">
        <v>3.40136054421769</v>
      </c>
      <c r="CA37" s="32">
        <v>2.0365239023733599</v>
      </c>
      <c r="CB37" s="15">
        <v>1.91693290734824</v>
      </c>
      <c r="CC37" s="15">
        <v>2.5157232704402501</v>
      </c>
      <c r="CD37" s="20" t="s">
        <v>76</v>
      </c>
      <c r="CE37" s="20" t="s">
        <v>76</v>
      </c>
      <c r="CF37" s="20" t="s">
        <v>76</v>
      </c>
      <c r="CG37" s="20" t="s">
        <v>76</v>
      </c>
      <c r="CH37" s="15">
        <v>1.65441176470588</v>
      </c>
      <c r="CI37" s="20" t="s">
        <v>76</v>
      </c>
      <c r="CJ37" s="15">
        <v>6.2745098039215703</v>
      </c>
      <c r="CK37" s="15">
        <v>2.6905829596412598</v>
      </c>
      <c r="CL37" s="15">
        <v>1.51515151515152</v>
      </c>
      <c r="CM37" s="24">
        <v>1.9271948608137</v>
      </c>
      <c r="CN37" s="37"/>
    </row>
    <row r="38" spans="1:92">
      <c r="A38" s="9" t="s">
        <v>293</v>
      </c>
      <c r="B38" s="35">
        <v>3.0236775374030498</v>
      </c>
      <c r="C38" s="32">
        <v>2.93644987875166</v>
      </c>
      <c r="D38" s="32">
        <v>2.8498261488849899</v>
      </c>
      <c r="E38" s="32">
        <v>4.6439979560617601</v>
      </c>
      <c r="F38" s="20" t="s">
        <v>76</v>
      </c>
      <c r="G38" s="20" t="s">
        <v>76</v>
      </c>
      <c r="H38" s="20" t="s">
        <v>76</v>
      </c>
      <c r="I38" s="20" t="s">
        <v>76</v>
      </c>
      <c r="J38" s="15">
        <v>4.8611111111111098</v>
      </c>
      <c r="K38" s="20" t="s">
        <v>76</v>
      </c>
      <c r="L38" s="20" t="s">
        <v>76</v>
      </c>
      <c r="M38" s="15">
        <v>7.8947368421052602</v>
      </c>
      <c r="N38" s="20" t="s">
        <v>76</v>
      </c>
      <c r="O38" s="20" t="s">
        <v>76</v>
      </c>
      <c r="P38" s="15">
        <v>9.8591549295774694</v>
      </c>
      <c r="Q38" s="20" t="s">
        <v>76</v>
      </c>
      <c r="R38" s="20" t="s">
        <v>76</v>
      </c>
      <c r="S38" s="20" t="s">
        <v>76</v>
      </c>
      <c r="T38" s="20" t="s">
        <v>76</v>
      </c>
      <c r="U38" s="20" t="s">
        <v>76</v>
      </c>
      <c r="V38" s="20" t="s">
        <v>76</v>
      </c>
      <c r="W38" s="20" t="s">
        <v>76</v>
      </c>
      <c r="X38" s="20" t="s">
        <v>76</v>
      </c>
      <c r="Y38" s="20" t="s">
        <v>76</v>
      </c>
      <c r="Z38" s="15">
        <v>12.8205128205128</v>
      </c>
      <c r="AA38" s="15">
        <v>9.1743119266054993</v>
      </c>
      <c r="AB38" s="20" t="s">
        <v>76</v>
      </c>
      <c r="AC38" s="15">
        <v>3.7878787878787898</v>
      </c>
      <c r="AD38" s="20" t="s">
        <v>76</v>
      </c>
      <c r="AE38" s="20" t="s">
        <v>76</v>
      </c>
      <c r="AF38" s="20" t="s">
        <v>76</v>
      </c>
      <c r="AG38" s="15">
        <v>7.6190476190476204</v>
      </c>
      <c r="AH38" s="20" t="s">
        <v>76</v>
      </c>
      <c r="AI38" s="20" t="s">
        <v>76</v>
      </c>
      <c r="AJ38" s="15">
        <v>5.4054054054054097</v>
      </c>
      <c r="AK38" s="20" t="s">
        <v>76</v>
      </c>
      <c r="AL38" s="15">
        <v>18.8888888888889</v>
      </c>
      <c r="AM38" s="20" t="s">
        <v>76</v>
      </c>
      <c r="AN38" s="20" t="s">
        <v>76</v>
      </c>
      <c r="AO38" s="20" t="s">
        <v>76</v>
      </c>
      <c r="AP38" s="20" t="s">
        <v>76</v>
      </c>
      <c r="AQ38" s="20" t="s">
        <v>76</v>
      </c>
      <c r="AR38" s="20" t="s">
        <v>76</v>
      </c>
      <c r="AS38" s="20" t="s">
        <v>76</v>
      </c>
      <c r="AT38" s="20" t="s">
        <v>76</v>
      </c>
      <c r="AU38" s="20" t="s">
        <v>76</v>
      </c>
      <c r="AV38" s="20" t="s">
        <v>76</v>
      </c>
      <c r="AW38" s="15">
        <v>5.1724137931034502</v>
      </c>
      <c r="AX38" s="20" t="s">
        <v>76</v>
      </c>
      <c r="AY38" s="15">
        <v>14.285714285714301</v>
      </c>
      <c r="AZ38" s="20" t="s">
        <v>76</v>
      </c>
      <c r="BA38" s="20" t="s">
        <v>76</v>
      </c>
      <c r="BB38" s="15">
        <v>7.4626865671641802</v>
      </c>
      <c r="BC38" s="20" t="s">
        <v>76</v>
      </c>
      <c r="BD38" s="15">
        <v>7.6923076923076898</v>
      </c>
      <c r="BE38" s="20" t="s">
        <v>76</v>
      </c>
      <c r="BF38" s="20" t="s">
        <v>76</v>
      </c>
      <c r="BG38" s="20" t="s">
        <v>76</v>
      </c>
      <c r="BH38" s="20" t="s">
        <v>76</v>
      </c>
      <c r="BI38" s="20" t="s">
        <v>76</v>
      </c>
      <c r="BJ38" s="20" t="s">
        <v>76</v>
      </c>
      <c r="BK38" s="20" t="s">
        <v>76</v>
      </c>
      <c r="BL38" s="15">
        <v>7.03125</v>
      </c>
      <c r="BM38" s="20" t="s">
        <v>76</v>
      </c>
      <c r="BN38" s="20" t="s">
        <v>76</v>
      </c>
      <c r="BO38" s="20" t="s">
        <v>76</v>
      </c>
      <c r="BP38" s="15">
        <v>33.3333333333333</v>
      </c>
      <c r="BQ38" s="15">
        <v>6.8493150684931496</v>
      </c>
      <c r="BR38" s="20" t="s">
        <v>76</v>
      </c>
      <c r="BS38" s="15">
        <v>6.0240963855421699</v>
      </c>
      <c r="BT38" s="20" t="s">
        <v>76</v>
      </c>
      <c r="BU38" s="15">
        <v>6.5420560747663501</v>
      </c>
      <c r="BV38" s="20" t="s">
        <v>76</v>
      </c>
      <c r="BW38" s="20" t="s">
        <v>76</v>
      </c>
      <c r="BX38" s="20" t="s">
        <v>76</v>
      </c>
      <c r="BY38" s="20" t="s">
        <v>76</v>
      </c>
      <c r="BZ38" s="20" t="s">
        <v>76</v>
      </c>
      <c r="CA38" s="32">
        <v>1.40090562739445</v>
      </c>
      <c r="CB38" s="20" t="s">
        <v>76</v>
      </c>
      <c r="CC38" s="15">
        <v>1.57232704402516</v>
      </c>
      <c r="CD38" s="20" t="s">
        <v>76</v>
      </c>
      <c r="CE38" s="20" t="s">
        <v>76</v>
      </c>
      <c r="CF38" s="20" t="s">
        <v>76</v>
      </c>
      <c r="CG38" s="20" t="s">
        <v>76</v>
      </c>
      <c r="CH38" s="15">
        <v>4.9632352941176503</v>
      </c>
      <c r="CI38" s="15">
        <v>1.0266940451745401</v>
      </c>
      <c r="CJ38" s="20" t="s">
        <v>76</v>
      </c>
      <c r="CK38" s="20" t="s">
        <v>76</v>
      </c>
      <c r="CL38" s="15">
        <v>1.6666666666666701</v>
      </c>
      <c r="CM38" s="24">
        <v>1.0706638115631699</v>
      </c>
      <c r="CN38" s="37"/>
    </row>
    <row r="39" spans="1:92">
      <c r="A39" s="9" t="s">
        <v>294</v>
      </c>
      <c r="B39" s="35">
        <v>3.2807781621161101</v>
      </c>
      <c r="C39" s="32">
        <v>3.20806120656583</v>
      </c>
      <c r="D39" s="32">
        <v>2.7408897995202102</v>
      </c>
      <c r="E39" s="32">
        <v>2.8418602340223802</v>
      </c>
      <c r="F39" s="20" t="s">
        <v>76</v>
      </c>
      <c r="G39" s="20" t="s">
        <v>76</v>
      </c>
      <c r="H39" s="20" t="s">
        <v>76</v>
      </c>
      <c r="I39" s="20" t="s">
        <v>76</v>
      </c>
      <c r="J39" s="15">
        <v>3.4722222222222201</v>
      </c>
      <c r="K39" s="20" t="s">
        <v>76</v>
      </c>
      <c r="L39" s="20" t="s">
        <v>76</v>
      </c>
      <c r="M39" s="20" t="s">
        <v>76</v>
      </c>
      <c r="N39" s="20" t="s">
        <v>76</v>
      </c>
      <c r="O39" s="20" t="s">
        <v>76</v>
      </c>
      <c r="P39" s="20" t="s">
        <v>76</v>
      </c>
      <c r="Q39" s="20" t="s">
        <v>76</v>
      </c>
      <c r="R39" s="20" t="s">
        <v>76</v>
      </c>
      <c r="S39" s="20" t="s">
        <v>76</v>
      </c>
      <c r="T39" s="20" t="s">
        <v>76</v>
      </c>
      <c r="U39" s="20" t="s">
        <v>76</v>
      </c>
      <c r="V39" s="20" t="s">
        <v>76</v>
      </c>
      <c r="W39" s="20" t="s">
        <v>76</v>
      </c>
      <c r="X39" s="20" t="s">
        <v>76</v>
      </c>
      <c r="Y39" s="20" t="s">
        <v>76</v>
      </c>
      <c r="Z39" s="20" t="s">
        <v>76</v>
      </c>
      <c r="AA39" s="20" t="s">
        <v>76</v>
      </c>
      <c r="AB39" s="20" t="s">
        <v>76</v>
      </c>
      <c r="AC39" s="15">
        <v>3.7878787878787898</v>
      </c>
      <c r="AD39" s="20" t="s">
        <v>76</v>
      </c>
      <c r="AE39" s="20" t="s">
        <v>76</v>
      </c>
      <c r="AF39" s="20" t="s">
        <v>76</v>
      </c>
      <c r="AG39" s="20" t="s">
        <v>76</v>
      </c>
      <c r="AH39" s="20" t="s">
        <v>76</v>
      </c>
      <c r="AI39" s="20" t="s">
        <v>76</v>
      </c>
      <c r="AJ39" s="20" t="s">
        <v>76</v>
      </c>
      <c r="AK39" s="20" t="s">
        <v>76</v>
      </c>
      <c r="AL39" s="20" t="s">
        <v>76</v>
      </c>
      <c r="AM39" s="20" t="s">
        <v>76</v>
      </c>
      <c r="AN39" s="20" t="s">
        <v>76</v>
      </c>
      <c r="AO39" s="20" t="s">
        <v>76</v>
      </c>
      <c r="AP39" s="20" t="s">
        <v>76</v>
      </c>
      <c r="AQ39" s="20" t="s">
        <v>76</v>
      </c>
      <c r="AR39" s="20" t="s">
        <v>76</v>
      </c>
      <c r="AS39" s="20" t="s">
        <v>76</v>
      </c>
      <c r="AT39" s="20" t="s">
        <v>76</v>
      </c>
      <c r="AU39" s="20" t="s">
        <v>76</v>
      </c>
      <c r="AV39" s="20" t="s">
        <v>76</v>
      </c>
      <c r="AW39" s="20" t="s">
        <v>76</v>
      </c>
      <c r="AX39" s="20" t="s">
        <v>76</v>
      </c>
      <c r="AY39" s="20" t="s">
        <v>76</v>
      </c>
      <c r="AZ39" s="20" t="s">
        <v>76</v>
      </c>
      <c r="BA39" s="20" t="s">
        <v>76</v>
      </c>
      <c r="BB39" s="15">
        <v>7.4626865671641802</v>
      </c>
      <c r="BC39" s="20" t="s">
        <v>76</v>
      </c>
      <c r="BD39" s="20" t="s">
        <v>76</v>
      </c>
      <c r="BE39" s="20" t="s">
        <v>76</v>
      </c>
      <c r="BF39" s="20" t="s">
        <v>76</v>
      </c>
      <c r="BG39" s="20" t="s">
        <v>76</v>
      </c>
      <c r="BH39" s="20" t="s">
        <v>76</v>
      </c>
      <c r="BI39" s="20" t="s">
        <v>76</v>
      </c>
      <c r="BJ39" s="20" t="s">
        <v>76</v>
      </c>
      <c r="BK39" s="20" t="s">
        <v>76</v>
      </c>
      <c r="BL39" s="20" t="s">
        <v>76</v>
      </c>
      <c r="BM39" s="15">
        <v>8.9108910891089099</v>
      </c>
      <c r="BN39" s="15">
        <v>4.2016806722689104</v>
      </c>
      <c r="BO39" s="20" t="s">
        <v>76</v>
      </c>
      <c r="BP39" s="20" t="s">
        <v>76</v>
      </c>
      <c r="BQ39" s="20" t="s">
        <v>76</v>
      </c>
      <c r="BR39" s="20" t="s">
        <v>76</v>
      </c>
      <c r="BS39" s="20" t="s">
        <v>76</v>
      </c>
      <c r="BT39" s="20" t="s">
        <v>76</v>
      </c>
      <c r="BU39" s="15">
        <v>4.6728971962616797</v>
      </c>
      <c r="BV39" s="20" t="s">
        <v>76</v>
      </c>
      <c r="BW39" s="20" t="s">
        <v>76</v>
      </c>
      <c r="BX39" s="20" t="s">
        <v>76</v>
      </c>
      <c r="BY39" s="20" t="s">
        <v>76</v>
      </c>
      <c r="BZ39" s="20" t="s">
        <v>76</v>
      </c>
      <c r="CA39" s="32">
        <v>2.65934903846889</v>
      </c>
      <c r="CB39" s="15">
        <v>3.51437699680511</v>
      </c>
      <c r="CC39" s="15">
        <v>5.3459119496855303</v>
      </c>
      <c r="CD39" s="20" t="s">
        <v>76</v>
      </c>
      <c r="CE39" s="20" t="s">
        <v>76</v>
      </c>
      <c r="CF39" s="20" t="s">
        <v>76</v>
      </c>
      <c r="CG39" s="15">
        <v>2.7932960893854699</v>
      </c>
      <c r="CH39" s="15">
        <v>2.2058823529411802</v>
      </c>
      <c r="CI39" s="15">
        <v>2.0533880903490802</v>
      </c>
      <c r="CJ39" s="20" t="s">
        <v>76</v>
      </c>
      <c r="CK39" s="20" t="s">
        <v>76</v>
      </c>
      <c r="CL39" s="15">
        <v>4.0909090909090899</v>
      </c>
      <c r="CM39" s="24">
        <v>1.4989293361884399</v>
      </c>
      <c r="CN39" s="37"/>
    </row>
    <row r="40" spans="1:92">
      <c r="A40" s="9" t="s">
        <v>295</v>
      </c>
      <c r="B40" s="35">
        <v>1.2878032030773501</v>
      </c>
      <c r="C40" s="32">
        <v>1.1420933034185901</v>
      </c>
      <c r="D40" s="32">
        <v>0.96656454371757905</v>
      </c>
      <c r="E40" s="32">
        <v>1.3197456451953999</v>
      </c>
      <c r="F40" s="20" t="s">
        <v>76</v>
      </c>
      <c r="G40" s="20" t="s">
        <v>76</v>
      </c>
      <c r="H40" s="20" t="s">
        <v>76</v>
      </c>
      <c r="I40" s="20" t="s">
        <v>76</v>
      </c>
      <c r="J40" s="20" t="s">
        <v>76</v>
      </c>
      <c r="K40" s="20" t="s">
        <v>76</v>
      </c>
      <c r="L40" s="20" t="s">
        <v>76</v>
      </c>
      <c r="M40" s="20" t="s">
        <v>76</v>
      </c>
      <c r="N40" s="20" t="s">
        <v>76</v>
      </c>
      <c r="O40" s="20" t="s">
        <v>76</v>
      </c>
      <c r="P40" s="20" t="s">
        <v>76</v>
      </c>
      <c r="Q40" s="20" t="s">
        <v>76</v>
      </c>
      <c r="R40" s="20" t="s">
        <v>76</v>
      </c>
      <c r="S40" s="20" t="s">
        <v>76</v>
      </c>
      <c r="T40" s="20" t="s">
        <v>76</v>
      </c>
      <c r="U40" s="20" t="s">
        <v>76</v>
      </c>
      <c r="V40" s="20" t="s">
        <v>76</v>
      </c>
      <c r="W40" s="20" t="s">
        <v>76</v>
      </c>
      <c r="X40" s="20" t="s">
        <v>76</v>
      </c>
      <c r="Y40" s="20" t="s">
        <v>76</v>
      </c>
      <c r="Z40" s="20" t="s">
        <v>76</v>
      </c>
      <c r="AA40" s="20" t="s">
        <v>76</v>
      </c>
      <c r="AB40" s="20" t="s">
        <v>76</v>
      </c>
      <c r="AC40" s="15">
        <v>3.7878787878787898</v>
      </c>
      <c r="AD40" s="20" t="s">
        <v>76</v>
      </c>
      <c r="AE40" s="20" t="s">
        <v>76</v>
      </c>
      <c r="AF40" s="20" t="s">
        <v>76</v>
      </c>
      <c r="AG40" s="20" t="s">
        <v>76</v>
      </c>
      <c r="AH40" s="20" t="s">
        <v>76</v>
      </c>
      <c r="AI40" s="20" t="s">
        <v>76</v>
      </c>
      <c r="AJ40" s="20" t="s">
        <v>76</v>
      </c>
      <c r="AK40" s="20" t="s">
        <v>76</v>
      </c>
      <c r="AL40" s="20" t="s">
        <v>76</v>
      </c>
      <c r="AM40" s="20" t="s">
        <v>76</v>
      </c>
      <c r="AN40" s="20" t="s">
        <v>76</v>
      </c>
      <c r="AO40" s="20" t="s">
        <v>76</v>
      </c>
      <c r="AP40" s="20" t="s">
        <v>76</v>
      </c>
      <c r="AQ40" s="20" t="s">
        <v>76</v>
      </c>
      <c r="AR40" s="20" t="s">
        <v>76</v>
      </c>
      <c r="AS40" s="20" t="s">
        <v>76</v>
      </c>
      <c r="AT40" s="20" t="s">
        <v>76</v>
      </c>
      <c r="AU40" s="20" t="s">
        <v>76</v>
      </c>
      <c r="AV40" s="20" t="s">
        <v>76</v>
      </c>
      <c r="AW40" s="20" t="s">
        <v>76</v>
      </c>
      <c r="AX40" s="20" t="s">
        <v>76</v>
      </c>
      <c r="AY40" s="20" t="s">
        <v>76</v>
      </c>
      <c r="AZ40" s="20" t="s">
        <v>76</v>
      </c>
      <c r="BA40" s="20" t="s">
        <v>76</v>
      </c>
      <c r="BB40" s="20" t="s">
        <v>76</v>
      </c>
      <c r="BC40" s="20" t="s">
        <v>76</v>
      </c>
      <c r="BD40" s="20" t="s">
        <v>76</v>
      </c>
      <c r="BE40" s="20" t="s">
        <v>76</v>
      </c>
      <c r="BF40" s="20" t="s">
        <v>76</v>
      </c>
      <c r="BG40" s="20" t="s">
        <v>76</v>
      </c>
      <c r="BH40" s="20" t="s">
        <v>76</v>
      </c>
      <c r="BI40" s="20" t="s">
        <v>76</v>
      </c>
      <c r="BJ40" s="20" t="s">
        <v>76</v>
      </c>
      <c r="BK40" s="20" t="s">
        <v>76</v>
      </c>
      <c r="BL40" s="20" t="s">
        <v>76</v>
      </c>
      <c r="BM40" s="20" t="s">
        <v>76</v>
      </c>
      <c r="BN40" s="20" t="s">
        <v>76</v>
      </c>
      <c r="BO40" s="20" t="s">
        <v>76</v>
      </c>
      <c r="BP40" s="20" t="s">
        <v>76</v>
      </c>
      <c r="BQ40" s="20" t="s">
        <v>76</v>
      </c>
      <c r="BR40" s="20" t="s">
        <v>76</v>
      </c>
      <c r="BS40" s="20" t="s">
        <v>76</v>
      </c>
      <c r="BT40" s="20" t="s">
        <v>76</v>
      </c>
      <c r="BU40" s="20" t="s">
        <v>76</v>
      </c>
      <c r="BV40" s="20" t="s">
        <v>76</v>
      </c>
      <c r="BW40" s="20" t="s">
        <v>76</v>
      </c>
      <c r="BX40" s="20" t="s">
        <v>76</v>
      </c>
      <c r="BY40" s="20" t="s">
        <v>76</v>
      </c>
      <c r="BZ40" s="20" t="s">
        <v>76</v>
      </c>
      <c r="CA40" s="32">
        <v>0.681345846329236</v>
      </c>
      <c r="CB40" s="20" t="s">
        <v>76</v>
      </c>
      <c r="CC40" s="20" t="s">
        <v>76</v>
      </c>
      <c r="CD40" s="20" t="s">
        <v>76</v>
      </c>
      <c r="CE40" s="20" t="s">
        <v>76</v>
      </c>
      <c r="CF40" s="20" t="s">
        <v>76</v>
      </c>
      <c r="CG40" s="20" t="s">
        <v>76</v>
      </c>
      <c r="CH40" s="15">
        <v>1.47058823529412</v>
      </c>
      <c r="CI40" s="20" t="s">
        <v>76</v>
      </c>
      <c r="CJ40" s="20" t="s">
        <v>76</v>
      </c>
      <c r="CK40" s="20" t="s">
        <v>76</v>
      </c>
      <c r="CL40" s="15">
        <v>0.90909090909090895</v>
      </c>
      <c r="CM40" s="24">
        <v>1.0706638115631699</v>
      </c>
      <c r="CN40" s="37"/>
    </row>
    <row r="41" spans="1:92">
      <c r="A41" s="9" t="s">
        <v>296</v>
      </c>
      <c r="B41" s="35">
        <v>3.03330481375529</v>
      </c>
      <c r="C41" s="32">
        <v>2.9900210093774802</v>
      </c>
      <c r="D41" s="32">
        <v>3.4227933727771398</v>
      </c>
      <c r="E41" s="32">
        <v>4.6929237703698199</v>
      </c>
      <c r="F41" s="20" t="s">
        <v>76</v>
      </c>
      <c r="G41" s="20" t="s">
        <v>76</v>
      </c>
      <c r="H41" s="20" t="s">
        <v>76</v>
      </c>
      <c r="I41" s="20" t="s">
        <v>76</v>
      </c>
      <c r="J41" s="15">
        <v>6.25</v>
      </c>
      <c r="K41" s="20" t="s">
        <v>76</v>
      </c>
      <c r="L41" s="15">
        <v>9.8360655737704903</v>
      </c>
      <c r="M41" s="15">
        <v>19.7368421052632</v>
      </c>
      <c r="N41" s="20" t="s">
        <v>76</v>
      </c>
      <c r="O41" s="20" t="s">
        <v>76</v>
      </c>
      <c r="P41" s="15">
        <v>8.4507042253521103</v>
      </c>
      <c r="Q41" s="20" t="s">
        <v>76</v>
      </c>
      <c r="R41" s="20" t="s">
        <v>76</v>
      </c>
      <c r="S41" s="20" t="s">
        <v>76</v>
      </c>
      <c r="T41" s="20" t="s">
        <v>76</v>
      </c>
      <c r="U41" s="20" t="s">
        <v>76</v>
      </c>
      <c r="V41" s="20" t="s">
        <v>76</v>
      </c>
      <c r="W41" s="20" t="s">
        <v>76</v>
      </c>
      <c r="X41" s="20" t="s">
        <v>76</v>
      </c>
      <c r="Y41" s="20" t="s">
        <v>76</v>
      </c>
      <c r="Z41" s="15">
        <v>7.6923076923076898</v>
      </c>
      <c r="AA41" s="15">
        <v>4.5871559633027497</v>
      </c>
      <c r="AB41" s="15">
        <v>8.8235294117646994</v>
      </c>
      <c r="AC41" s="15">
        <v>3.7878787878787898</v>
      </c>
      <c r="AD41" s="20" t="s">
        <v>76</v>
      </c>
      <c r="AE41" s="20" t="s">
        <v>76</v>
      </c>
      <c r="AF41" s="20" t="s">
        <v>76</v>
      </c>
      <c r="AG41" s="15">
        <v>8.5714285714285694</v>
      </c>
      <c r="AH41" s="15">
        <v>14.285714285714301</v>
      </c>
      <c r="AI41" s="20" t="s">
        <v>76</v>
      </c>
      <c r="AJ41" s="20" t="s">
        <v>76</v>
      </c>
      <c r="AK41" s="20" t="s">
        <v>76</v>
      </c>
      <c r="AL41" s="15">
        <v>7.7777777777777803</v>
      </c>
      <c r="AM41" s="20" t="s">
        <v>76</v>
      </c>
      <c r="AN41" s="20" t="s">
        <v>76</v>
      </c>
      <c r="AO41" s="20" t="s">
        <v>76</v>
      </c>
      <c r="AP41" s="15">
        <v>10.3896103896104</v>
      </c>
      <c r="AQ41" s="20" t="s">
        <v>76</v>
      </c>
      <c r="AR41" s="20" t="s">
        <v>76</v>
      </c>
      <c r="AS41" s="20" t="s">
        <v>76</v>
      </c>
      <c r="AT41" s="20" t="s">
        <v>76</v>
      </c>
      <c r="AU41" s="20" t="s">
        <v>76</v>
      </c>
      <c r="AV41" s="20" t="s">
        <v>76</v>
      </c>
      <c r="AW41" s="15">
        <v>6.0344827586206904</v>
      </c>
      <c r="AX41" s="20" t="s">
        <v>76</v>
      </c>
      <c r="AY41" s="20" t="s">
        <v>76</v>
      </c>
      <c r="AZ41" s="15">
        <v>14</v>
      </c>
      <c r="BA41" s="20" t="s">
        <v>76</v>
      </c>
      <c r="BB41" s="20" t="s">
        <v>76</v>
      </c>
      <c r="BC41" s="20" t="s">
        <v>76</v>
      </c>
      <c r="BD41" s="15">
        <v>8.9743589743589691</v>
      </c>
      <c r="BE41" s="20" t="s">
        <v>76</v>
      </c>
      <c r="BF41" s="20" t="s">
        <v>76</v>
      </c>
      <c r="BG41" s="20" t="s">
        <v>76</v>
      </c>
      <c r="BH41" s="20" t="s">
        <v>76</v>
      </c>
      <c r="BI41" s="20" t="s">
        <v>76</v>
      </c>
      <c r="BJ41" s="20" t="s">
        <v>76</v>
      </c>
      <c r="BK41" s="20" t="s">
        <v>76</v>
      </c>
      <c r="BL41" s="20" t="s">
        <v>76</v>
      </c>
      <c r="BM41" s="15">
        <v>7.9207920792079198</v>
      </c>
      <c r="BN41" s="20" t="s">
        <v>76</v>
      </c>
      <c r="BO41" s="20" t="s">
        <v>76</v>
      </c>
      <c r="BP41" s="20" t="s">
        <v>76</v>
      </c>
      <c r="BQ41" s="20" t="s">
        <v>76</v>
      </c>
      <c r="BR41" s="20" t="s">
        <v>76</v>
      </c>
      <c r="BS41" s="20" t="s">
        <v>76</v>
      </c>
      <c r="BT41" s="20" t="s">
        <v>76</v>
      </c>
      <c r="BU41" s="20" t="s">
        <v>76</v>
      </c>
      <c r="BV41" s="15">
        <v>8.0808080808080796</v>
      </c>
      <c r="BW41" s="20" t="s">
        <v>76</v>
      </c>
      <c r="BX41" s="20" t="s">
        <v>76</v>
      </c>
      <c r="BY41" s="20" t="s">
        <v>76</v>
      </c>
      <c r="BZ41" s="20" t="s">
        <v>76</v>
      </c>
      <c r="CA41" s="32">
        <v>2.39707332150912</v>
      </c>
      <c r="CB41" s="20" t="s">
        <v>76</v>
      </c>
      <c r="CC41" s="15">
        <v>1.88679245283019</v>
      </c>
      <c r="CD41" s="20" t="s">
        <v>76</v>
      </c>
      <c r="CE41" s="20" t="s">
        <v>76</v>
      </c>
      <c r="CF41" s="20" t="s">
        <v>76</v>
      </c>
      <c r="CG41" s="15">
        <v>5.0279329608938497</v>
      </c>
      <c r="CH41" s="15">
        <v>1.2867647058823499</v>
      </c>
      <c r="CI41" s="15">
        <v>2.0533880903490802</v>
      </c>
      <c r="CJ41" s="15">
        <v>3.1372549019607798</v>
      </c>
      <c r="CK41" s="15">
        <v>3.5874439461883401</v>
      </c>
      <c r="CL41" s="15">
        <v>2.7272727272727302</v>
      </c>
      <c r="CM41" s="24">
        <v>3.21199143468951</v>
      </c>
      <c r="CN41" s="37"/>
    </row>
    <row r="42" spans="1:92">
      <c r="A42" s="9" t="s">
        <v>297</v>
      </c>
      <c r="B42" s="35">
        <v>1.2276474341044501</v>
      </c>
      <c r="C42" s="32">
        <v>1.25508747554933</v>
      </c>
      <c r="D42" s="32">
        <v>1.1259552720969099</v>
      </c>
      <c r="E42" s="32">
        <v>1.45519666623582</v>
      </c>
      <c r="F42" s="20" t="s">
        <v>76</v>
      </c>
      <c r="G42" s="20" t="s">
        <v>76</v>
      </c>
      <c r="H42" s="20" t="s">
        <v>76</v>
      </c>
      <c r="I42" s="20" t="s">
        <v>76</v>
      </c>
      <c r="J42" s="20" t="s">
        <v>76</v>
      </c>
      <c r="K42" s="20" t="s">
        <v>76</v>
      </c>
      <c r="L42" s="20" t="s">
        <v>76</v>
      </c>
      <c r="M42" s="20" t="s">
        <v>76</v>
      </c>
      <c r="N42" s="20" t="s">
        <v>76</v>
      </c>
      <c r="O42" s="20" t="s">
        <v>76</v>
      </c>
      <c r="P42" s="20" t="s">
        <v>76</v>
      </c>
      <c r="Q42" s="20" t="s">
        <v>76</v>
      </c>
      <c r="R42" s="20" t="s">
        <v>76</v>
      </c>
      <c r="S42" s="20" t="s">
        <v>76</v>
      </c>
      <c r="T42" s="20" t="s">
        <v>76</v>
      </c>
      <c r="U42" s="20" t="s">
        <v>76</v>
      </c>
      <c r="V42" s="20" t="s">
        <v>76</v>
      </c>
      <c r="W42" s="20" t="s">
        <v>76</v>
      </c>
      <c r="X42" s="20" t="s">
        <v>76</v>
      </c>
      <c r="Y42" s="20" t="s">
        <v>76</v>
      </c>
      <c r="Z42" s="20" t="s">
        <v>76</v>
      </c>
      <c r="AA42" s="20" t="s">
        <v>76</v>
      </c>
      <c r="AB42" s="20" t="s">
        <v>76</v>
      </c>
      <c r="AC42" s="15">
        <v>3.7878787878787898</v>
      </c>
      <c r="AD42" s="20" t="s">
        <v>76</v>
      </c>
      <c r="AE42" s="20" t="s">
        <v>76</v>
      </c>
      <c r="AF42" s="20" t="s">
        <v>76</v>
      </c>
      <c r="AG42" s="20" t="s">
        <v>76</v>
      </c>
      <c r="AH42" s="20" t="s">
        <v>76</v>
      </c>
      <c r="AI42" s="20" t="s">
        <v>76</v>
      </c>
      <c r="AJ42" s="20" t="s">
        <v>76</v>
      </c>
      <c r="AK42" s="20" t="s">
        <v>76</v>
      </c>
      <c r="AL42" s="20" t="s">
        <v>76</v>
      </c>
      <c r="AM42" s="20" t="s">
        <v>76</v>
      </c>
      <c r="AN42" s="20" t="s">
        <v>76</v>
      </c>
      <c r="AO42" s="20" t="s">
        <v>76</v>
      </c>
      <c r="AP42" s="20" t="s">
        <v>76</v>
      </c>
      <c r="AQ42" s="20" t="s">
        <v>76</v>
      </c>
      <c r="AR42" s="20" t="s">
        <v>76</v>
      </c>
      <c r="AS42" s="20" t="s">
        <v>76</v>
      </c>
      <c r="AT42" s="20" t="s">
        <v>76</v>
      </c>
      <c r="AU42" s="20" t="s">
        <v>76</v>
      </c>
      <c r="AV42" s="20" t="s">
        <v>76</v>
      </c>
      <c r="AW42" s="20" t="s">
        <v>76</v>
      </c>
      <c r="AX42" s="20" t="s">
        <v>76</v>
      </c>
      <c r="AY42" s="20" t="s">
        <v>76</v>
      </c>
      <c r="AZ42" s="20" t="s">
        <v>76</v>
      </c>
      <c r="BA42" s="20" t="s">
        <v>76</v>
      </c>
      <c r="BB42" s="20" t="s">
        <v>76</v>
      </c>
      <c r="BC42" s="20" t="s">
        <v>76</v>
      </c>
      <c r="BD42" s="20" t="s">
        <v>76</v>
      </c>
      <c r="BE42" s="20" t="s">
        <v>76</v>
      </c>
      <c r="BF42" s="20" t="s">
        <v>76</v>
      </c>
      <c r="BG42" s="20" t="s">
        <v>76</v>
      </c>
      <c r="BH42" s="20" t="s">
        <v>76</v>
      </c>
      <c r="BI42" s="20" t="s">
        <v>76</v>
      </c>
      <c r="BJ42" s="20" t="s">
        <v>76</v>
      </c>
      <c r="BK42" s="20" t="s">
        <v>76</v>
      </c>
      <c r="BL42" s="20" t="s">
        <v>76</v>
      </c>
      <c r="BM42" s="20" t="s">
        <v>76</v>
      </c>
      <c r="BN42" s="20" t="s">
        <v>76</v>
      </c>
      <c r="BO42" s="20" t="s">
        <v>76</v>
      </c>
      <c r="BP42" s="20" t="s">
        <v>76</v>
      </c>
      <c r="BQ42" s="20" t="s">
        <v>76</v>
      </c>
      <c r="BR42" s="20" t="s">
        <v>76</v>
      </c>
      <c r="BS42" s="20" t="s">
        <v>76</v>
      </c>
      <c r="BT42" s="20" t="s">
        <v>76</v>
      </c>
      <c r="BU42" s="20" t="s">
        <v>76</v>
      </c>
      <c r="BV42" s="20" t="s">
        <v>76</v>
      </c>
      <c r="BW42" s="20" t="s">
        <v>76</v>
      </c>
      <c r="BX42" s="20" t="s">
        <v>76</v>
      </c>
      <c r="BY42" s="20" t="s">
        <v>76</v>
      </c>
      <c r="BZ42" s="20" t="s">
        <v>76</v>
      </c>
      <c r="CA42" s="32">
        <v>0.86006958011143697</v>
      </c>
      <c r="CB42" s="20" t="s">
        <v>76</v>
      </c>
      <c r="CC42" s="20" t="s">
        <v>76</v>
      </c>
      <c r="CD42" s="20" t="s">
        <v>76</v>
      </c>
      <c r="CE42" s="20" t="s">
        <v>76</v>
      </c>
      <c r="CF42" s="15">
        <v>1.79640718562874</v>
      </c>
      <c r="CG42" s="20" t="s">
        <v>76</v>
      </c>
      <c r="CH42" s="20" t="s">
        <v>76</v>
      </c>
      <c r="CI42" s="20" t="s">
        <v>76</v>
      </c>
      <c r="CJ42" s="15">
        <v>2.7450980392156898</v>
      </c>
      <c r="CK42" s="20" t="s">
        <v>76</v>
      </c>
      <c r="CL42" s="20" t="s">
        <v>76</v>
      </c>
      <c r="CM42" s="26" t="s">
        <v>76</v>
      </c>
      <c r="CN42" s="37"/>
    </row>
    <row r="43" spans="1:92">
      <c r="A43" s="9" t="s">
        <v>298</v>
      </c>
      <c r="B43" s="35">
        <v>12.193386761295899</v>
      </c>
      <c r="C43" s="32">
        <v>16.894908401515401</v>
      </c>
      <c r="D43" s="32">
        <v>19.133228108134499</v>
      </c>
      <c r="E43" s="32">
        <v>19.149613301622399</v>
      </c>
      <c r="F43" s="20" t="s">
        <v>76</v>
      </c>
      <c r="G43" s="20" t="s">
        <v>76</v>
      </c>
      <c r="H43" s="20" t="s">
        <v>76</v>
      </c>
      <c r="I43" s="20" t="s">
        <v>76</v>
      </c>
      <c r="J43" s="15">
        <v>15.2777777777778</v>
      </c>
      <c r="K43" s="15">
        <v>23.076923076923102</v>
      </c>
      <c r="L43" s="15">
        <v>11.4754098360656</v>
      </c>
      <c r="M43" s="15">
        <v>21.052631578947398</v>
      </c>
      <c r="N43" s="15">
        <v>36.470588235294102</v>
      </c>
      <c r="O43" s="15">
        <v>13.953488372093</v>
      </c>
      <c r="P43" s="15">
        <v>15.492957746478901</v>
      </c>
      <c r="Q43" s="15">
        <v>18.309859154929601</v>
      </c>
      <c r="R43" s="20" t="s">
        <v>76</v>
      </c>
      <c r="S43" s="15">
        <v>31.707317073170699</v>
      </c>
      <c r="T43" s="20" t="s">
        <v>76</v>
      </c>
      <c r="U43" s="15">
        <v>33.3333333333333</v>
      </c>
      <c r="V43" s="20" t="s">
        <v>76</v>
      </c>
      <c r="W43" s="15">
        <v>13.559322033898299</v>
      </c>
      <c r="X43" s="20" t="s">
        <v>76</v>
      </c>
      <c r="Y43" s="20" t="s">
        <v>76</v>
      </c>
      <c r="Z43" s="20" t="s">
        <v>76</v>
      </c>
      <c r="AA43" s="15">
        <v>14.678899082568799</v>
      </c>
      <c r="AB43" s="15">
        <v>23.529411764705898</v>
      </c>
      <c r="AC43" s="15">
        <v>18.181818181818201</v>
      </c>
      <c r="AD43" s="15">
        <v>37.5</v>
      </c>
      <c r="AE43" s="15">
        <v>25.925925925925899</v>
      </c>
      <c r="AF43" s="20" t="s">
        <v>76</v>
      </c>
      <c r="AG43" s="15">
        <v>18.095238095238098</v>
      </c>
      <c r="AH43" s="15">
        <v>28.571428571428601</v>
      </c>
      <c r="AI43" s="20" t="s">
        <v>76</v>
      </c>
      <c r="AJ43" s="15">
        <v>13.5135135135135</v>
      </c>
      <c r="AK43" s="15">
        <v>23.3333333333333</v>
      </c>
      <c r="AL43" s="15">
        <v>11.1111111111111</v>
      </c>
      <c r="AM43" s="15">
        <v>29.6875</v>
      </c>
      <c r="AN43" s="20" t="s">
        <v>76</v>
      </c>
      <c r="AO43" s="15">
        <v>22.5</v>
      </c>
      <c r="AP43" s="15">
        <v>27.272727272727298</v>
      </c>
      <c r="AQ43" s="15">
        <v>17.948717948717899</v>
      </c>
      <c r="AR43" s="20" t="s">
        <v>76</v>
      </c>
      <c r="AS43" s="20" t="s">
        <v>76</v>
      </c>
      <c r="AT43" s="15">
        <v>33.846153846153797</v>
      </c>
      <c r="AU43" s="15">
        <v>42.857142857142897</v>
      </c>
      <c r="AV43" s="15">
        <v>12.328767123287699</v>
      </c>
      <c r="AW43" s="15">
        <v>6.0344827586206904</v>
      </c>
      <c r="AX43" s="20" t="s">
        <v>76</v>
      </c>
      <c r="AY43" s="20" t="s">
        <v>76</v>
      </c>
      <c r="AZ43" s="15">
        <v>36</v>
      </c>
      <c r="BA43" s="15">
        <v>9.4339622641509404</v>
      </c>
      <c r="BB43" s="15">
        <v>26.865671641791</v>
      </c>
      <c r="BC43" s="15">
        <v>22.972972972973</v>
      </c>
      <c r="BD43" s="15">
        <v>17.948717948717899</v>
      </c>
      <c r="BE43" s="15">
        <v>12.0689655172414</v>
      </c>
      <c r="BF43" s="15">
        <v>8.4337349397590398</v>
      </c>
      <c r="BG43" s="15">
        <v>32.835820895522403</v>
      </c>
      <c r="BH43" s="15">
        <v>29.1666666666667</v>
      </c>
      <c r="BI43" s="20" t="s">
        <v>76</v>
      </c>
      <c r="BJ43" s="15">
        <v>20.535714285714299</v>
      </c>
      <c r="BK43" s="15">
        <v>27.5</v>
      </c>
      <c r="BL43" s="15">
        <v>28.125</v>
      </c>
      <c r="BM43" s="15">
        <v>22.7722772277228</v>
      </c>
      <c r="BN43" s="15">
        <v>26.890756302521002</v>
      </c>
      <c r="BO43" s="15">
        <v>14.4444444444444</v>
      </c>
      <c r="BP43" s="20" t="s">
        <v>76</v>
      </c>
      <c r="BQ43" s="15">
        <v>26.027397260274</v>
      </c>
      <c r="BR43" s="15">
        <v>21.6666666666667</v>
      </c>
      <c r="BS43" s="15">
        <v>24.096385542168701</v>
      </c>
      <c r="BT43" s="15">
        <v>8.5365853658536608</v>
      </c>
      <c r="BU43" s="15">
        <v>27.1028037383178</v>
      </c>
      <c r="BV43" s="15">
        <v>27.272727272727298</v>
      </c>
      <c r="BW43" s="20" t="s">
        <v>76</v>
      </c>
      <c r="BX43" s="15">
        <v>66.6666666666667</v>
      </c>
      <c r="BY43" s="15">
        <v>20.634920634920601</v>
      </c>
      <c r="BZ43" s="15">
        <v>17.687074829932001</v>
      </c>
      <c r="CA43" s="32">
        <v>19.1199959065146</v>
      </c>
      <c r="CB43" s="15">
        <v>15.015974440894601</v>
      </c>
      <c r="CC43" s="15">
        <v>10.062893081761001</v>
      </c>
      <c r="CD43" s="15">
        <v>25.161290322580601</v>
      </c>
      <c r="CE43" s="20" t="s">
        <v>76</v>
      </c>
      <c r="CF43" s="15">
        <v>8.6826347305389202</v>
      </c>
      <c r="CG43" s="15">
        <v>12.849162011173201</v>
      </c>
      <c r="CH43" s="15">
        <v>20.772058823529399</v>
      </c>
      <c r="CI43" s="15">
        <v>23.408624229979502</v>
      </c>
      <c r="CJ43" s="15">
        <v>9.0196078431372495</v>
      </c>
      <c r="CK43" s="15">
        <v>23.766816143497799</v>
      </c>
      <c r="CL43" s="15">
        <v>25.454545454545499</v>
      </c>
      <c r="CM43" s="24">
        <v>29.5503211991435</v>
      </c>
      <c r="CN43" s="37"/>
    </row>
    <row r="44" spans="1:92">
      <c r="A44" s="9" t="s">
        <v>299</v>
      </c>
      <c r="B44" s="35">
        <v>9.3784669420420101</v>
      </c>
      <c r="C44" s="32">
        <v>9.9293494597654295</v>
      </c>
      <c r="D44" s="32">
        <v>10.2531426249286</v>
      </c>
      <c r="E44" s="32">
        <v>11.661767639554</v>
      </c>
      <c r="F44" s="20" t="s">
        <v>76</v>
      </c>
      <c r="G44" s="20" t="s">
        <v>76</v>
      </c>
      <c r="H44" s="15">
        <v>30.434782608695699</v>
      </c>
      <c r="I44" s="20" t="s">
        <v>76</v>
      </c>
      <c r="J44" s="15">
        <v>9.7222222222222197</v>
      </c>
      <c r="K44" s="15">
        <v>15.384615384615399</v>
      </c>
      <c r="L44" s="15">
        <v>22.9508196721311</v>
      </c>
      <c r="M44" s="15">
        <v>10.526315789473699</v>
      </c>
      <c r="N44" s="15">
        <v>25.882352941176499</v>
      </c>
      <c r="O44" s="15">
        <v>20.930232558139501</v>
      </c>
      <c r="P44" s="15">
        <v>12.6760563380282</v>
      </c>
      <c r="Q44" s="15">
        <v>7.0422535211267601</v>
      </c>
      <c r="R44" s="20" t="s">
        <v>76</v>
      </c>
      <c r="S44" s="20" t="s">
        <v>76</v>
      </c>
      <c r="T44" s="20" t="s">
        <v>76</v>
      </c>
      <c r="U44" s="20" t="s">
        <v>76</v>
      </c>
      <c r="V44" s="15">
        <v>17.647058823529399</v>
      </c>
      <c r="W44" s="15">
        <v>13.559322033898299</v>
      </c>
      <c r="X44" s="20" t="s">
        <v>76</v>
      </c>
      <c r="Y44" s="20" t="s">
        <v>76</v>
      </c>
      <c r="Z44" s="15">
        <v>12.8205128205128</v>
      </c>
      <c r="AA44" s="15">
        <v>9.1743119266054993</v>
      </c>
      <c r="AB44" s="15">
        <v>20.588235294117599</v>
      </c>
      <c r="AC44" s="15">
        <v>17.424242424242401</v>
      </c>
      <c r="AD44" s="20" t="s">
        <v>76</v>
      </c>
      <c r="AE44" s="20" t="s">
        <v>76</v>
      </c>
      <c r="AF44" s="20" t="s">
        <v>76</v>
      </c>
      <c r="AG44" s="15">
        <v>15.2380952380952</v>
      </c>
      <c r="AH44" s="15">
        <v>12.5</v>
      </c>
      <c r="AI44" s="20" t="s">
        <v>76</v>
      </c>
      <c r="AJ44" s="15">
        <v>13.5135135135135</v>
      </c>
      <c r="AK44" s="20" t="s">
        <v>76</v>
      </c>
      <c r="AL44" s="15">
        <v>11.1111111111111</v>
      </c>
      <c r="AM44" s="15">
        <v>17.1875</v>
      </c>
      <c r="AN44" s="20" t="s">
        <v>76</v>
      </c>
      <c r="AO44" s="20" t="s">
        <v>76</v>
      </c>
      <c r="AP44" s="15">
        <v>12.987012987012999</v>
      </c>
      <c r="AQ44" s="20" t="s">
        <v>76</v>
      </c>
      <c r="AR44" s="20" t="s">
        <v>76</v>
      </c>
      <c r="AS44" s="20" t="s">
        <v>76</v>
      </c>
      <c r="AT44" s="15">
        <v>7.6923076923076898</v>
      </c>
      <c r="AU44" s="15">
        <v>16.326530612244898</v>
      </c>
      <c r="AV44" s="20" t="s">
        <v>76</v>
      </c>
      <c r="AW44" s="15">
        <v>9.4827586206896601</v>
      </c>
      <c r="AX44" s="20" t="s">
        <v>76</v>
      </c>
      <c r="AY44" s="20" t="s">
        <v>76</v>
      </c>
      <c r="AZ44" s="15">
        <v>12</v>
      </c>
      <c r="BA44" s="15">
        <v>13.207547169811299</v>
      </c>
      <c r="BB44" s="15">
        <v>13.4328358208955</v>
      </c>
      <c r="BC44" s="15">
        <v>13.5135135135135</v>
      </c>
      <c r="BD44" s="15">
        <v>12.8205128205128</v>
      </c>
      <c r="BE44" s="15">
        <v>10.3448275862069</v>
      </c>
      <c r="BF44" s="15">
        <v>7.2289156626505999</v>
      </c>
      <c r="BG44" s="15">
        <v>16.417910447761201</v>
      </c>
      <c r="BH44" s="20" t="s">
        <v>76</v>
      </c>
      <c r="BI44" s="20" t="s">
        <v>76</v>
      </c>
      <c r="BJ44" s="15">
        <v>8.0357142857142794</v>
      </c>
      <c r="BK44" s="20" t="s">
        <v>76</v>
      </c>
      <c r="BL44" s="15">
        <v>15.625</v>
      </c>
      <c r="BM44" s="15">
        <v>16.8316831683168</v>
      </c>
      <c r="BN44" s="15">
        <v>14.285714285714301</v>
      </c>
      <c r="BO44" s="15">
        <v>8.8888888888888893</v>
      </c>
      <c r="BP44" s="20" t="s">
        <v>76</v>
      </c>
      <c r="BQ44" s="20" t="s">
        <v>76</v>
      </c>
      <c r="BR44" s="20" t="s">
        <v>76</v>
      </c>
      <c r="BS44" s="15">
        <v>9.6385542168674707</v>
      </c>
      <c r="BT44" s="15">
        <v>15.853658536585399</v>
      </c>
      <c r="BU44" s="15">
        <v>8.4112149532710294</v>
      </c>
      <c r="BV44" s="15">
        <v>16.161616161616202</v>
      </c>
      <c r="BW44" s="20" t="s">
        <v>76</v>
      </c>
      <c r="BX44" s="20" t="s">
        <v>76</v>
      </c>
      <c r="BY44" s="20" t="s">
        <v>76</v>
      </c>
      <c r="BZ44" s="15">
        <v>6.12244897959184</v>
      </c>
      <c r="CA44" s="32">
        <v>9.1155783835266604</v>
      </c>
      <c r="CB44" s="15">
        <v>9.9041533546325908</v>
      </c>
      <c r="CC44" s="15">
        <v>6.9182389937106903</v>
      </c>
      <c r="CD44" s="15">
        <v>6.4516129032258096</v>
      </c>
      <c r="CE44" s="20" t="s">
        <v>76</v>
      </c>
      <c r="CF44" s="15">
        <v>5.3892215568862296</v>
      </c>
      <c r="CG44" s="15">
        <v>11.731843575418999</v>
      </c>
      <c r="CH44" s="15">
        <v>7.3529411764705896</v>
      </c>
      <c r="CI44" s="15">
        <v>10.472279260780301</v>
      </c>
      <c r="CJ44" s="15">
        <v>7.8431372549019596</v>
      </c>
      <c r="CK44" s="15">
        <v>15.2466367713004</v>
      </c>
      <c r="CL44" s="15">
        <v>11.969696969697001</v>
      </c>
      <c r="CM44" s="24">
        <v>7.9229122055674503</v>
      </c>
      <c r="CN44" s="37"/>
    </row>
    <row r="45" spans="1:92">
      <c r="A45" s="9" t="s">
        <v>300</v>
      </c>
      <c r="B45" s="35">
        <v>1.14425758213735</v>
      </c>
      <c r="C45" s="32">
        <v>1.18989321757543</v>
      </c>
      <c r="D45" s="32">
        <v>0.60412455592723002</v>
      </c>
      <c r="E45" s="32">
        <v>0.72969068596883202</v>
      </c>
      <c r="F45" s="20" t="s">
        <v>76</v>
      </c>
      <c r="G45" s="20" t="s">
        <v>76</v>
      </c>
      <c r="H45" s="20" t="s">
        <v>76</v>
      </c>
      <c r="I45" s="20" t="s">
        <v>76</v>
      </c>
      <c r="J45" s="20" t="s">
        <v>76</v>
      </c>
      <c r="K45" s="20" t="s">
        <v>76</v>
      </c>
      <c r="L45" s="20" t="s">
        <v>76</v>
      </c>
      <c r="M45" s="20" t="s">
        <v>76</v>
      </c>
      <c r="N45" s="20" t="s">
        <v>76</v>
      </c>
      <c r="O45" s="20" t="s">
        <v>76</v>
      </c>
      <c r="P45" s="20" t="s">
        <v>76</v>
      </c>
      <c r="Q45" s="20" t="s">
        <v>76</v>
      </c>
      <c r="R45" s="20" t="s">
        <v>76</v>
      </c>
      <c r="S45" s="20" t="s">
        <v>76</v>
      </c>
      <c r="T45" s="20" t="s">
        <v>76</v>
      </c>
      <c r="U45" s="20" t="s">
        <v>76</v>
      </c>
      <c r="V45" s="20" t="s">
        <v>76</v>
      </c>
      <c r="W45" s="20" t="s">
        <v>76</v>
      </c>
      <c r="X45" s="20" t="s">
        <v>76</v>
      </c>
      <c r="Y45" s="20" t="s">
        <v>76</v>
      </c>
      <c r="Z45" s="20" t="s">
        <v>76</v>
      </c>
      <c r="AA45" s="20" t="s">
        <v>76</v>
      </c>
      <c r="AB45" s="20" t="s">
        <v>76</v>
      </c>
      <c r="AC45" s="20" t="s">
        <v>76</v>
      </c>
      <c r="AD45" s="20" t="s">
        <v>76</v>
      </c>
      <c r="AE45" s="20" t="s">
        <v>76</v>
      </c>
      <c r="AF45" s="20" t="s">
        <v>76</v>
      </c>
      <c r="AG45" s="20" t="s">
        <v>76</v>
      </c>
      <c r="AH45" s="20" t="s">
        <v>76</v>
      </c>
      <c r="AI45" s="20" t="s">
        <v>76</v>
      </c>
      <c r="AJ45" s="20" t="s">
        <v>76</v>
      </c>
      <c r="AK45" s="20" t="s">
        <v>76</v>
      </c>
      <c r="AL45" s="20" t="s">
        <v>76</v>
      </c>
      <c r="AM45" s="20" t="s">
        <v>76</v>
      </c>
      <c r="AN45" s="20" t="s">
        <v>76</v>
      </c>
      <c r="AO45" s="20" t="s">
        <v>76</v>
      </c>
      <c r="AP45" s="20" t="s">
        <v>76</v>
      </c>
      <c r="AQ45" s="20" t="s">
        <v>76</v>
      </c>
      <c r="AR45" s="20" t="s">
        <v>76</v>
      </c>
      <c r="AS45" s="20" t="s">
        <v>76</v>
      </c>
      <c r="AT45" s="20" t="s">
        <v>76</v>
      </c>
      <c r="AU45" s="20" t="s">
        <v>76</v>
      </c>
      <c r="AV45" s="20" t="s">
        <v>76</v>
      </c>
      <c r="AW45" s="20" t="s">
        <v>76</v>
      </c>
      <c r="AX45" s="20" t="s">
        <v>76</v>
      </c>
      <c r="AY45" s="20" t="s">
        <v>76</v>
      </c>
      <c r="AZ45" s="20" t="s">
        <v>76</v>
      </c>
      <c r="BA45" s="20" t="s">
        <v>76</v>
      </c>
      <c r="BB45" s="20" t="s">
        <v>76</v>
      </c>
      <c r="BC45" s="20" t="s">
        <v>76</v>
      </c>
      <c r="BD45" s="20" t="s">
        <v>76</v>
      </c>
      <c r="BE45" s="20" t="s">
        <v>76</v>
      </c>
      <c r="BF45" s="20" t="s">
        <v>76</v>
      </c>
      <c r="BG45" s="20" t="s">
        <v>76</v>
      </c>
      <c r="BH45" s="20" t="s">
        <v>76</v>
      </c>
      <c r="BI45" s="20" t="s">
        <v>76</v>
      </c>
      <c r="BJ45" s="20" t="s">
        <v>76</v>
      </c>
      <c r="BK45" s="20" t="s">
        <v>76</v>
      </c>
      <c r="BL45" s="20" t="s">
        <v>76</v>
      </c>
      <c r="BM45" s="20" t="s">
        <v>76</v>
      </c>
      <c r="BN45" s="20" t="s">
        <v>76</v>
      </c>
      <c r="BO45" s="20" t="s">
        <v>76</v>
      </c>
      <c r="BP45" s="20" t="s">
        <v>76</v>
      </c>
      <c r="BQ45" s="20" t="s">
        <v>76</v>
      </c>
      <c r="BR45" s="20" t="s">
        <v>76</v>
      </c>
      <c r="BS45" s="20" t="s">
        <v>76</v>
      </c>
      <c r="BT45" s="20" t="s">
        <v>76</v>
      </c>
      <c r="BU45" s="20" t="s">
        <v>76</v>
      </c>
      <c r="BV45" s="20" t="s">
        <v>76</v>
      </c>
      <c r="BW45" s="20" t="s">
        <v>76</v>
      </c>
      <c r="BX45" s="20" t="s">
        <v>76</v>
      </c>
      <c r="BY45" s="20" t="s">
        <v>76</v>
      </c>
      <c r="BZ45" s="20" t="s">
        <v>76</v>
      </c>
      <c r="CA45" s="38" t="s">
        <v>76</v>
      </c>
      <c r="CB45" s="20" t="s">
        <v>76</v>
      </c>
      <c r="CC45" s="20" t="s">
        <v>76</v>
      </c>
      <c r="CD45" s="20" t="s">
        <v>76</v>
      </c>
      <c r="CE45" s="20" t="s">
        <v>76</v>
      </c>
      <c r="CF45" s="20" t="s">
        <v>76</v>
      </c>
      <c r="CG45" s="20" t="s">
        <v>76</v>
      </c>
      <c r="CH45" s="20" t="s">
        <v>76</v>
      </c>
      <c r="CI45" s="20" t="s">
        <v>76</v>
      </c>
      <c r="CJ45" s="20" t="s">
        <v>76</v>
      </c>
      <c r="CK45" s="20" t="s">
        <v>76</v>
      </c>
      <c r="CL45" s="20" t="s">
        <v>76</v>
      </c>
      <c r="CM45" s="26" t="s">
        <v>76</v>
      </c>
      <c r="CN45" s="37"/>
    </row>
    <row r="46" spans="1:92">
      <c r="A46" s="9" t="s">
        <v>301</v>
      </c>
      <c r="B46" s="35">
        <v>1.6461325806109699</v>
      </c>
      <c r="C46" s="32">
        <v>1.6818185781747099</v>
      </c>
      <c r="D46" s="32">
        <v>1.23737131302467</v>
      </c>
      <c r="E46" s="32">
        <v>1.71958806154233</v>
      </c>
      <c r="F46" s="20" t="s">
        <v>76</v>
      </c>
      <c r="G46" s="20" t="s">
        <v>76</v>
      </c>
      <c r="H46" s="20" t="s">
        <v>76</v>
      </c>
      <c r="I46" s="20" t="s">
        <v>76</v>
      </c>
      <c r="J46" s="15">
        <v>3.4722222222222201</v>
      </c>
      <c r="K46" s="20" t="s">
        <v>76</v>
      </c>
      <c r="L46" s="20" t="s">
        <v>76</v>
      </c>
      <c r="M46" s="20" t="s">
        <v>76</v>
      </c>
      <c r="N46" s="20" t="s">
        <v>76</v>
      </c>
      <c r="O46" s="20" t="s">
        <v>76</v>
      </c>
      <c r="P46" s="20" t="s">
        <v>76</v>
      </c>
      <c r="Q46" s="20" t="s">
        <v>76</v>
      </c>
      <c r="R46" s="20" t="s">
        <v>76</v>
      </c>
      <c r="S46" s="20" t="s">
        <v>76</v>
      </c>
      <c r="T46" s="20" t="s">
        <v>76</v>
      </c>
      <c r="U46" s="20" t="s">
        <v>76</v>
      </c>
      <c r="V46" s="20" t="s">
        <v>76</v>
      </c>
      <c r="W46" s="20" t="s">
        <v>76</v>
      </c>
      <c r="X46" s="20" t="s">
        <v>76</v>
      </c>
      <c r="Y46" s="20" t="s">
        <v>76</v>
      </c>
      <c r="Z46" s="20" t="s">
        <v>76</v>
      </c>
      <c r="AA46" s="20" t="s">
        <v>76</v>
      </c>
      <c r="AB46" s="20" t="s">
        <v>76</v>
      </c>
      <c r="AC46" s="20" t="s">
        <v>76</v>
      </c>
      <c r="AD46" s="20" t="s">
        <v>76</v>
      </c>
      <c r="AE46" s="20" t="s">
        <v>76</v>
      </c>
      <c r="AF46" s="20" t="s">
        <v>76</v>
      </c>
      <c r="AG46" s="20" t="s">
        <v>76</v>
      </c>
      <c r="AH46" s="20" t="s">
        <v>76</v>
      </c>
      <c r="AI46" s="20" t="s">
        <v>76</v>
      </c>
      <c r="AJ46" s="20" t="s">
        <v>76</v>
      </c>
      <c r="AK46" s="20" t="s">
        <v>76</v>
      </c>
      <c r="AL46" s="20" t="s">
        <v>76</v>
      </c>
      <c r="AM46" s="20" t="s">
        <v>76</v>
      </c>
      <c r="AN46" s="20" t="s">
        <v>76</v>
      </c>
      <c r="AO46" s="20" t="s">
        <v>76</v>
      </c>
      <c r="AP46" s="20" t="s">
        <v>76</v>
      </c>
      <c r="AQ46" s="20" t="s">
        <v>76</v>
      </c>
      <c r="AR46" s="20" t="s">
        <v>76</v>
      </c>
      <c r="AS46" s="20" t="s">
        <v>76</v>
      </c>
      <c r="AT46" s="20" t="s">
        <v>76</v>
      </c>
      <c r="AU46" s="20" t="s">
        <v>76</v>
      </c>
      <c r="AV46" s="20" t="s">
        <v>76</v>
      </c>
      <c r="AW46" s="20" t="s">
        <v>76</v>
      </c>
      <c r="AX46" s="20" t="s">
        <v>76</v>
      </c>
      <c r="AY46" s="20" t="s">
        <v>76</v>
      </c>
      <c r="AZ46" s="20" t="s">
        <v>76</v>
      </c>
      <c r="BA46" s="20" t="s">
        <v>76</v>
      </c>
      <c r="BB46" s="20" t="s">
        <v>76</v>
      </c>
      <c r="BC46" s="20" t="s">
        <v>76</v>
      </c>
      <c r="BD46" s="20" t="s">
        <v>76</v>
      </c>
      <c r="BE46" s="20" t="s">
        <v>76</v>
      </c>
      <c r="BF46" s="20" t="s">
        <v>76</v>
      </c>
      <c r="BG46" s="20" t="s">
        <v>76</v>
      </c>
      <c r="BH46" s="20" t="s">
        <v>76</v>
      </c>
      <c r="BI46" s="20" t="s">
        <v>76</v>
      </c>
      <c r="BJ46" s="20" t="s">
        <v>76</v>
      </c>
      <c r="BK46" s="20" t="s">
        <v>76</v>
      </c>
      <c r="BL46" s="20" t="s">
        <v>76</v>
      </c>
      <c r="BM46" s="20" t="s">
        <v>76</v>
      </c>
      <c r="BN46" s="20" t="s">
        <v>76</v>
      </c>
      <c r="BO46" s="20" t="s">
        <v>76</v>
      </c>
      <c r="BP46" s="20" t="s">
        <v>76</v>
      </c>
      <c r="BQ46" s="20" t="s">
        <v>76</v>
      </c>
      <c r="BR46" s="20" t="s">
        <v>76</v>
      </c>
      <c r="BS46" s="20" t="s">
        <v>76</v>
      </c>
      <c r="BT46" s="20" t="s">
        <v>76</v>
      </c>
      <c r="BU46" s="20" t="s">
        <v>76</v>
      </c>
      <c r="BV46" s="20" t="s">
        <v>76</v>
      </c>
      <c r="BW46" s="20" t="s">
        <v>76</v>
      </c>
      <c r="BX46" s="20" t="s">
        <v>76</v>
      </c>
      <c r="BY46" s="20" t="s">
        <v>76</v>
      </c>
      <c r="BZ46" s="20" t="s">
        <v>76</v>
      </c>
      <c r="CA46" s="32">
        <v>0.84794721220060698</v>
      </c>
      <c r="CB46" s="20" t="s">
        <v>76</v>
      </c>
      <c r="CC46" s="20" t="s">
        <v>76</v>
      </c>
      <c r="CD46" s="20" t="s">
        <v>76</v>
      </c>
      <c r="CE46" s="20" t="s">
        <v>76</v>
      </c>
      <c r="CF46" s="20" t="s">
        <v>76</v>
      </c>
      <c r="CG46" s="20" t="s">
        <v>76</v>
      </c>
      <c r="CH46" s="15">
        <v>0.91911764705882304</v>
      </c>
      <c r="CI46" s="20" t="s">
        <v>76</v>
      </c>
      <c r="CJ46" s="20" t="s">
        <v>76</v>
      </c>
      <c r="CK46" s="15">
        <v>2.2421524663677102</v>
      </c>
      <c r="CL46" s="15">
        <v>0.90909090909090895</v>
      </c>
      <c r="CM46" s="26" t="s">
        <v>76</v>
      </c>
      <c r="CN46" s="37"/>
    </row>
    <row r="47" spans="1:92">
      <c r="A47" s="9" t="s">
        <v>302</v>
      </c>
      <c r="B47" s="35">
        <v>1.1547718029535099</v>
      </c>
      <c r="C47" s="32">
        <v>1.18623984423218</v>
      </c>
      <c r="D47" s="32">
        <v>1.51657498042609</v>
      </c>
      <c r="E47" s="32">
        <v>1.5929804685470601</v>
      </c>
      <c r="F47" s="20" t="s">
        <v>76</v>
      </c>
      <c r="G47" s="20" t="s">
        <v>76</v>
      </c>
      <c r="H47" s="20" t="s">
        <v>76</v>
      </c>
      <c r="I47" s="20" t="s">
        <v>76</v>
      </c>
      <c r="J47" s="20" t="s">
        <v>76</v>
      </c>
      <c r="K47" s="20" t="s">
        <v>76</v>
      </c>
      <c r="L47" s="20" t="s">
        <v>76</v>
      </c>
      <c r="M47" s="20" t="s">
        <v>76</v>
      </c>
      <c r="N47" s="20" t="s">
        <v>76</v>
      </c>
      <c r="O47" s="20" t="s">
        <v>76</v>
      </c>
      <c r="P47" s="20" t="s">
        <v>76</v>
      </c>
      <c r="Q47" s="20" t="s">
        <v>76</v>
      </c>
      <c r="R47" s="20" t="s">
        <v>76</v>
      </c>
      <c r="S47" s="20" t="s">
        <v>76</v>
      </c>
      <c r="T47" s="20" t="s">
        <v>76</v>
      </c>
      <c r="U47" s="20" t="s">
        <v>76</v>
      </c>
      <c r="V47" s="20" t="s">
        <v>76</v>
      </c>
      <c r="W47" s="20" t="s">
        <v>76</v>
      </c>
      <c r="X47" s="20" t="s">
        <v>76</v>
      </c>
      <c r="Y47" s="20" t="s">
        <v>76</v>
      </c>
      <c r="Z47" s="20" t="s">
        <v>76</v>
      </c>
      <c r="AA47" s="20" t="s">
        <v>76</v>
      </c>
      <c r="AB47" s="20" t="s">
        <v>76</v>
      </c>
      <c r="AC47" s="20" t="s">
        <v>76</v>
      </c>
      <c r="AD47" s="20" t="s">
        <v>76</v>
      </c>
      <c r="AE47" s="20" t="s">
        <v>76</v>
      </c>
      <c r="AF47" s="20" t="s">
        <v>76</v>
      </c>
      <c r="AG47" s="20" t="s">
        <v>76</v>
      </c>
      <c r="AH47" s="20" t="s">
        <v>76</v>
      </c>
      <c r="AI47" s="20" t="s">
        <v>76</v>
      </c>
      <c r="AJ47" s="20" t="s">
        <v>76</v>
      </c>
      <c r="AK47" s="20" t="s">
        <v>76</v>
      </c>
      <c r="AL47" s="20" t="s">
        <v>76</v>
      </c>
      <c r="AM47" s="20" t="s">
        <v>76</v>
      </c>
      <c r="AN47" s="20" t="s">
        <v>76</v>
      </c>
      <c r="AO47" s="20" t="s">
        <v>76</v>
      </c>
      <c r="AP47" s="20" t="s">
        <v>76</v>
      </c>
      <c r="AQ47" s="20" t="s">
        <v>76</v>
      </c>
      <c r="AR47" s="20" t="s">
        <v>76</v>
      </c>
      <c r="AS47" s="20" t="s">
        <v>76</v>
      </c>
      <c r="AT47" s="20" t="s">
        <v>76</v>
      </c>
      <c r="AU47" s="20" t="s">
        <v>76</v>
      </c>
      <c r="AV47" s="20" t="s">
        <v>76</v>
      </c>
      <c r="AW47" s="20" t="s">
        <v>76</v>
      </c>
      <c r="AX47" s="20" t="s">
        <v>76</v>
      </c>
      <c r="AY47" s="20" t="s">
        <v>76</v>
      </c>
      <c r="AZ47" s="20" t="s">
        <v>76</v>
      </c>
      <c r="BA47" s="20" t="s">
        <v>76</v>
      </c>
      <c r="BB47" s="15">
        <v>8.9552238805970106</v>
      </c>
      <c r="BC47" s="20" t="s">
        <v>76</v>
      </c>
      <c r="BD47" s="20" t="s">
        <v>76</v>
      </c>
      <c r="BE47" s="20" t="s">
        <v>76</v>
      </c>
      <c r="BF47" s="20" t="s">
        <v>76</v>
      </c>
      <c r="BG47" s="20" t="s">
        <v>76</v>
      </c>
      <c r="BH47" s="20" t="s">
        <v>76</v>
      </c>
      <c r="BI47" s="20" t="s">
        <v>76</v>
      </c>
      <c r="BJ47" s="20" t="s">
        <v>76</v>
      </c>
      <c r="BK47" s="20" t="s">
        <v>76</v>
      </c>
      <c r="BL47" s="20" t="s">
        <v>76</v>
      </c>
      <c r="BM47" s="20" t="s">
        <v>76</v>
      </c>
      <c r="BN47" s="20" t="s">
        <v>76</v>
      </c>
      <c r="BO47" s="20" t="s">
        <v>76</v>
      </c>
      <c r="BP47" s="20" t="s">
        <v>76</v>
      </c>
      <c r="BQ47" s="20" t="s">
        <v>76</v>
      </c>
      <c r="BR47" s="20" t="s">
        <v>76</v>
      </c>
      <c r="BS47" s="20" t="s">
        <v>76</v>
      </c>
      <c r="BT47" s="20" t="s">
        <v>76</v>
      </c>
      <c r="BU47" s="20" t="s">
        <v>76</v>
      </c>
      <c r="BV47" s="15">
        <v>6.0606060606060597</v>
      </c>
      <c r="BW47" s="20" t="s">
        <v>76</v>
      </c>
      <c r="BX47" s="20" t="s">
        <v>76</v>
      </c>
      <c r="BY47" s="20" t="s">
        <v>76</v>
      </c>
      <c r="BZ47" s="20" t="s">
        <v>76</v>
      </c>
      <c r="CA47" s="32">
        <v>1.4548721494875201</v>
      </c>
      <c r="CB47" s="20" t="s">
        <v>76</v>
      </c>
      <c r="CC47" s="20" t="s">
        <v>76</v>
      </c>
      <c r="CD47" s="20" t="s">
        <v>76</v>
      </c>
      <c r="CE47" s="20" t="s">
        <v>76</v>
      </c>
      <c r="CF47" s="15">
        <v>1.79640718562874</v>
      </c>
      <c r="CG47" s="20" t="s">
        <v>76</v>
      </c>
      <c r="CH47" s="15">
        <v>1.1029411764705901</v>
      </c>
      <c r="CI47" s="15">
        <v>1.2320328542094501</v>
      </c>
      <c r="CJ47" s="15">
        <v>3.52941176470588</v>
      </c>
      <c r="CK47" s="20" t="s">
        <v>76</v>
      </c>
      <c r="CL47" s="15">
        <v>2.7272727272727302</v>
      </c>
      <c r="CM47" s="26" t="s">
        <v>76</v>
      </c>
      <c r="CN47" s="37"/>
    </row>
    <row r="48" spans="1:92">
      <c r="A48" s="9" t="s">
        <v>303</v>
      </c>
      <c r="B48" s="35">
        <v>1.3297298045799599</v>
      </c>
      <c r="C48" s="32">
        <v>1.32074886064129</v>
      </c>
      <c r="D48" s="32">
        <v>1.70691875502534</v>
      </c>
      <c r="E48" s="32">
        <v>1.8803081202607199</v>
      </c>
      <c r="F48" s="20" t="s">
        <v>76</v>
      </c>
      <c r="G48" s="20" t="s">
        <v>76</v>
      </c>
      <c r="H48" s="20" t="s">
        <v>76</v>
      </c>
      <c r="I48" s="20" t="s">
        <v>76</v>
      </c>
      <c r="J48" s="20" t="s">
        <v>76</v>
      </c>
      <c r="K48" s="20" t="s">
        <v>76</v>
      </c>
      <c r="L48" s="20" t="s">
        <v>76</v>
      </c>
      <c r="M48" s="20" t="s">
        <v>76</v>
      </c>
      <c r="N48" s="20" t="s">
        <v>76</v>
      </c>
      <c r="O48" s="20" t="s">
        <v>76</v>
      </c>
      <c r="P48" s="20" t="s">
        <v>76</v>
      </c>
      <c r="Q48" s="20" t="s">
        <v>76</v>
      </c>
      <c r="R48" s="20" t="s">
        <v>76</v>
      </c>
      <c r="S48" s="20" t="s">
        <v>76</v>
      </c>
      <c r="T48" s="20" t="s">
        <v>76</v>
      </c>
      <c r="U48" s="20" t="s">
        <v>76</v>
      </c>
      <c r="V48" s="20" t="s">
        <v>76</v>
      </c>
      <c r="W48" s="20" t="s">
        <v>76</v>
      </c>
      <c r="X48" s="20" t="s">
        <v>76</v>
      </c>
      <c r="Y48" s="20" t="s">
        <v>76</v>
      </c>
      <c r="Z48" s="20" t="s">
        <v>76</v>
      </c>
      <c r="AA48" s="15">
        <v>6.4220183486238502</v>
      </c>
      <c r="AB48" s="20" t="s">
        <v>76</v>
      </c>
      <c r="AC48" s="20" t="s">
        <v>76</v>
      </c>
      <c r="AD48" s="20" t="s">
        <v>76</v>
      </c>
      <c r="AE48" s="20" t="s">
        <v>76</v>
      </c>
      <c r="AF48" s="20" t="s">
        <v>76</v>
      </c>
      <c r="AG48" s="20" t="s">
        <v>76</v>
      </c>
      <c r="AH48" s="20" t="s">
        <v>76</v>
      </c>
      <c r="AI48" s="20" t="s">
        <v>76</v>
      </c>
      <c r="AJ48" s="20" t="s">
        <v>76</v>
      </c>
      <c r="AK48" s="20" t="s">
        <v>76</v>
      </c>
      <c r="AL48" s="20" t="s">
        <v>76</v>
      </c>
      <c r="AM48" s="20" t="s">
        <v>76</v>
      </c>
      <c r="AN48" s="20" t="s">
        <v>76</v>
      </c>
      <c r="AO48" s="20" t="s">
        <v>76</v>
      </c>
      <c r="AP48" s="20" t="s">
        <v>76</v>
      </c>
      <c r="AQ48" s="20" t="s">
        <v>76</v>
      </c>
      <c r="AR48" s="20" t="s">
        <v>76</v>
      </c>
      <c r="AS48" s="20" t="s">
        <v>76</v>
      </c>
      <c r="AT48" s="20" t="s">
        <v>76</v>
      </c>
      <c r="AU48" s="20" t="s">
        <v>76</v>
      </c>
      <c r="AV48" s="20" t="s">
        <v>76</v>
      </c>
      <c r="AW48" s="20" t="s">
        <v>76</v>
      </c>
      <c r="AX48" s="20" t="s">
        <v>76</v>
      </c>
      <c r="AY48" s="20" t="s">
        <v>76</v>
      </c>
      <c r="AZ48" s="20" t="s">
        <v>76</v>
      </c>
      <c r="BA48" s="20" t="s">
        <v>76</v>
      </c>
      <c r="BB48" s="20" t="s">
        <v>76</v>
      </c>
      <c r="BC48" s="20" t="s">
        <v>76</v>
      </c>
      <c r="BD48" s="20" t="s">
        <v>76</v>
      </c>
      <c r="BE48" s="20" t="s">
        <v>76</v>
      </c>
      <c r="BF48" s="20" t="s">
        <v>76</v>
      </c>
      <c r="BG48" s="20" t="s">
        <v>76</v>
      </c>
      <c r="BH48" s="20" t="s">
        <v>76</v>
      </c>
      <c r="BI48" s="20" t="s">
        <v>76</v>
      </c>
      <c r="BJ48" s="20" t="s">
        <v>76</v>
      </c>
      <c r="BK48" s="20" t="s">
        <v>76</v>
      </c>
      <c r="BL48" s="20" t="s">
        <v>76</v>
      </c>
      <c r="BM48" s="20" t="s">
        <v>76</v>
      </c>
      <c r="BN48" s="20" t="s">
        <v>76</v>
      </c>
      <c r="BO48" s="15">
        <v>5.5555555555555598</v>
      </c>
      <c r="BP48" s="20" t="s">
        <v>76</v>
      </c>
      <c r="BQ48" s="20" t="s">
        <v>76</v>
      </c>
      <c r="BR48" s="20" t="s">
        <v>76</v>
      </c>
      <c r="BS48" s="20" t="s">
        <v>76</v>
      </c>
      <c r="BT48" s="20" t="s">
        <v>76</v>
      </c>
      <c r="BU48" s="20" t="s">
        <v>76</v>
      </c>
      <c r="BV48" s="20" t="s">
        <v>76</v>
      </c>
      <c r="BW48" s="20" t="s">
        <v>76</v>
      </c>
      <c r="BX48" s="20" t="s">
        <v>76</v>
      </c>
      <c r="BY48" s="20" t="s">
        <v>76</v>
      </c>
      <c r="BZ48" s="20" t="s">
        <v>76</v>
      </c>
      <c r="CA48" s="32">
        <v>1.5668945898406901</v>
      </c>
      <c r="CB48" s="15">
        <v>2.5559105431309899</v>
      </c>
      <c r="CC48" s="20" t="s">
        <v>76</v>
      </c>
      <c r="CD48" s="20" t="s">
        <v>76</v>
      </c>
      <c r="CE48" s="20" t="s">
        <v>76</v>
      </c>
      <c r="CF48" s="15">
        <v>1.4970059880239499</v>
      </c>
      <c r="CG48" s="20" t="s">
        <v>76</v>
      </c>
      <c r="CH48" s="15">
        <v>1.1029411764705901</v>
      </c>
      <c r="CI48" s="20" t="s">
        <v>76</v>
      </c>
      <c r="CJ48" s="15">
        <v>2.3529411764705901</v>
      </c>
      <c r="CK48" s="20" t="s">
        <v>76</v>
      </c>
      <c r="CL48" s="15">
        <v>3.48484848484848</v>
      </c>
      <c r="CM48" s="26" t="s">
        <v>76</v>
      </c>
      <c r="CN48" s="37"/>
    </row>
    <row r="49" spans="1:92">
      <c r="A49" s="9" t="s">
        <v>304</v>
      </c>
      <c r="B49" s="35">
        <v>2.0571930750704599</v>
      </c>
      <c r="C49" s="32">
        <v>3.7169524439339501</v>
      </c>
      <c r="D49" s="32">
        <v>1.53276916047834</v>
      </c>
      <c r="E49" s="32">
        <v>2.0269192793308899</v>
      </c>
      <c r="F49" s="20" t="s">
        <v>76</v>
      </c>
      <c r="G49" s="20" t="s">
        <v>76</v>
      </c>
      <c r="H49" s="20" t="s">
        <v>76</v>
      </c>
      <c r="I49" s="20" t="s">
        <v>76</v>
      </c>
      <c r="J49" s="15">
        <v>3.4722222222222201</v>
      </c>
      <c r="K49" s="20" t="s">
        <v>76</v>
      </c>
      <c r="L49" s="20" t="s">
        <v>76</v>
      </c>
      <c r="M49" s="20" t="s">
        <v>76</v>
      </c>
      <c r="N49" s="20" t="s">
        <v>76</v>
      </c>
      <c r="O49" s="20" t="s">
        <v>76</v>
      </c>
      <c r="P49" s="20" t="s">
        <v>76</v>
      </c>
      <c r="Q49" s="20" t="s">
        <v>76</v>
      </c>
      <c r="R49" s="20" t="s">
        <v>76</v>
      </c>
      <c r="S49" s="20" t="s">
        <v>76</v>
      </c>
      <c r="T49" s="20" t="s">
        <v>76</v>
      </c>
      <c r="U49" s="20" t="s">
        <v>76</v>
      </c>
      <c r="V49" s="20" t="s">
        <v>76</v>
      </c>
      <c r="W49" s="20" t="s">
        <v>76</v>
      </c>
      <c r="X49" s="20" t="s">
        <v>76</v>
      </c>
      <c r="Y49" s="20" t="s">
        <v>76</v>
      </c>
      <c r="Z49" s="20" t="s">
        <v>76</v>
      </c>
      <c r="AA49" s="20" t="s">
        <v>76</v>
      </c>
      <c r="AB49" s="20" t="s">
        <v>76</v>
      </c>
      <c r="AC49" s="20" t="s">
        <v>76</v>
      </c>
      <c r="AD49" s="20" t="s">
        <v>76</v>
      </c>
      <c r="AE49" s="20" t="s">
        <v>76</v>
      </c>
      <c r="AF49" s="20" t="s">
        <v>76</v>
      </c>
      <c r="AG49" s="20" t="s">
        <v>76</v>
      </c>
      <c r="AH49" s="20" t="s">
        <v>76</v>
      </c>
      <c r="AI49" s="20" t="s">
        <v>76</v>
      </c>
      <c r="AJ49" s="20" t="s">
        <v>76</v>
      </c>
      <c r="AK49" s="20" t="s">
        <v>76</v>
      </c>
      <c r="AL49" s="20" t="s">
        <v>76</v>
      </c>
      <c r="AM49" s="20" t="s">
        <v>76</v>
      </c>
      <c r="AN49" s="20" t="s">
        <v>76</v>
      </c>
      <c r="AO49" s="20" t="s">
        <v>76</v>
      </c>
      <c r="AP49" s="20" t="s">
        <v>76</v>
      </c>
      <c r="AQ49" s="20" t="s">
        <v>76</v>
      </c>
      <c r="AR49" s="20" t="s">
        <v>76</v>
      </c>
      <c r="AS49" s="20" t="s">
        <v>76</v>
      </c>
      <c r="AT49" s="20" t="s">
        <v>76</v>
      </c>
      <c r="AU49" s="20" t="s">
        <v>76</v>
      </c>
      <c r="AV49" s="20" t="s">
        <v>76</v>
      </c>
      <c r="AW49" s="20" t="s">
        <v>76</v>
      </c>
      <c r="AX49" s="20" t="s">
        <v>76</v>
      </c>
      <c r="AY49" s="20" t="s">
        <v>76</v>
      </c>
      <c r="AZ49" s="20" t="s">
        <v>76</v>
      </c>
      <c r="BA49" s="20" t="s">
        <v>76</v>
      </c>
      <c r="BB49" s="20" t="s">
        <v>76</v>
      </c>
      <c r="BC49" s="20" t="s">
        <v>76</v>
      </c>
      <c r="BD49" s="20" t="s">
        <v>76</v>
      </c>
      <c r="BE49" s="20" t="s">
        <v>76</v>
      </c>
      <c r="BF49" s="20" t="s">
        <v>76</v>
      </c>
      <c r="BG49" s="20" t="s">
        <v>76</v>
      </c>
      <c r="BH49" s="20" t="s">
        <v>76</v>
      </c>
      <c r="BI49" s="20" t="s">
        <v>76</v>
      </c>
      <c r="BJ49" s="20" t="s">
        <v>76</v>
      </c>
      <c r="BK49" s="20" t="s">
        <v>76</v>
      </c>
      <c r="BL49" s="20" t="s">
        <v>76</v>
      </c>
      <c r="BM49" s="20" t="s">
        <v>76</v>
      </c>
      <c r="BN49" s="20" t="s">
        <v>76</v>
      </c>
      <c r="BO49" s="20" t="s">
        <v>76</v>
      </c>
      <c r="BP49" s="20" t="s">
        <v>76</v>
      </c>
      <c r="BQ49" s="20" t="s">
        <v>76</v>
      </c>
      <c r="BR49" s="20" t="s">
        <v>76</v>
      </c>
      <c r="BS49" s="20" t="s">
        <v>76</v>
      </c>
      <c r="BT49" s="20" t="s">
        <v>76</v>
      </c>
      <c r="BU49" s="20" t="s">
        <v>76</v>
      </c>
      <c r="BV49" s="15">
        <v>8.0808080808080796</v>
      </c>
      <c r="BW49" s="20" t="s">
        <v>76</v>
      </c>
      <c r="BX49" s="20" t="s">
        <v>76</v>
      </c>
      <c r="BY49" s="20" t="s">
        <v>76</v>
      </c>
      <c r="BZ49" s="20" t="s">
        <v>76</v>
      </c>
      <c r="CA49" s="32">
        <v>1.13370801982365</v>
      </c>
      <c r="CB49" s="15">
        <v>1.59744408945687</v>
      </c>
      <c r="CC49" s="20" t="s">
        <v>76</v>
      </c>
      <c r="CD49" s="20" t="s">
        <v>76</v>
      </c>
      <c r="CE49" s="20" t="s">
        <v>76</v>
      </c>
      <c r="CF49" s="20" t="s">
        <v>76</v>
      </c>
      <c r="CG49" s="20" t="s">
        <v>76</v>
      </c>
      <c r="CH49" s="20" t="s">
        <v>76</v>
      </c>
      <c r="CI49" s="20" t="s">
        <v>76</v>
      </c>
      <c r="CJ49" s="20" t="s">
        <v>76</v>
      </c>
      <c r="CK49" s="15">
        <v>2.2421524663677102</v>
      </c>
      <c r="CL49" s="15">
        <v>1.8181818181818199</v>
      </c>
      <c r="CM49" s="24">
        <v>1.2847965738758</v>
      </c>
      <c r="CN49" s="37"/>
    </row>
    <row r="50" spans="1:92">
      <c r="A50" s="9" t="s">
        <v>305</v>
      </c>
      <c r="B50" s="35">
        <v>19.057013844204398</v>
      </c>
      <c r="C50" s="32">
        <v>19.6136806211825</v>
      </c>
      <c r="D50" s="32">
        <v>18.6576522918505</v>
      </c>
      <c r="E50" s="32">
        <v>25.769014399871899</v>
      </c>
      <c r="F50" s="20" t="s">
        <v>76</v>
      </c>
      <c r="G50" s="20" t="s">
        <v>76</v>
      </c>
      <c r="H50" s="15">
        <v>39.130434782608702</v>
      </c>
      <c r="I50" s="20" t="s">
        <v>76</v>
      </c>
      <c r="J50" s="15">
        <v>23.6111111111111</v>
      </c>
      <c r="K50" s="15">
        <v>43.589743589743598</v>
      </c>
      <c r="L50" s="15">
        <v>14.7540983606557</v>
      </c>
      <c r="M50" s="15">
        <v>9.2105263157894708</v>
      </c>
      <c r="N50" s="15">
        <v>12.9411764705882</v>
      </c>
      <c r="O50" s="15">
        <v>27.906976744186</v>
      </c>
      <c r="P50" s="15">
        <v>15.492957746478901</v>
      </c>
      <c r="Q50" s="15">
        <v>19.7183098591549</v>
      </c>
      <c r="R50" s="20" t="s">
        <v>76</v>
      </c>
      <c r="S50" s="15">
        <v>34.146341463414601</v>
      </c>
      <c r="T50" s="15">
        <v>18.75</v>
      </c>
      <c r="U50" s="15">
        <v>33.3333333333333</v>
      </c>
      <c r="V50" s="15">
        <v>23.529411764705898</v>
      </c>
      <c r="W50" s="15">
        <v>10.1694915254237</v>
      </c>
      <c r="X50" s="20" t="s">
        <v>76</v>
      </c>
      <c r="Y50" s="20" t="s">
        <v>76</v>
      </c>
      <c r="Z50" s="15">
        <v>32.051282051282101</v>
      </c>
      <c r="AA50" s="15">
        <v>22.0183486238532</v>
      </c>
      <c r="AB50" s="15">
        <v>30.882352941176499</v>
      </c>
      <c r="AC50" s="15">
        <v>24.2424242424242</v>
      </c>
      <c r="AD50" s="15">
        <v>15.625</v>
      </c>
      <c r="AE50" s="15">
        <v>29.629629629629601</v>
      </c>
      <c r="AF50" s="15">
        <v>57.142857142857103</v>
      </c>
      <c r="AG50" s="15">
        <v>18.095238095238098</v>
      </c>
      <c r="AH50" s="15">
        <v>23.214285714285701</v>
      </c>
      <c r="AI50" s="20" t="s">
        <v>76</v>
      </c>
      <c r="AJ50" s="15">
        <v>34.234234234234201</v>
      </c>
      <c r="AK50" s="15">
        <v>36.6666666666667</v>
      </c>
      <c r="AL50" s="15">
        <v>23.3333333333333</v>
      </c>
      <c r="AM50" s="15">
        <v>26.5625</v>
      </c>
      <c r="AN50" s="20" t="s">
        <v>76</v>
      </c>
      <c r="AO50" s="15">
        <v>30</v>
      </c>
      <c r="AP50" s="15">
        <v>41.558441558441601</v>
      </c>
      <c r="AQ50" s="15">
        <v>25.6410256410256</v>
      </c>
      <c r="AR50" s="15">
        <v>32.727272727272698</v>
      </c>
      <c r="AS50" s="20" t="s">
        <v>76</v>
      </c>
      <c r="AT50" s="15">
        <v>38.461538461538503</v>
      </c>
      <c r="AU50" s="15">
        <v>18.367346938775501</v>
      </c>
      <c r="AV50" s="15">
        <v>13.698630136986299</v>
      </c>
      <c r="AW50" s="15">
        <v>23.275862068965498</v>
      </c>
      <c r="AX50" s="15">
        <v>31.25</v>
      </c>
      <c r="AY50" s="15">
        <v>20</v>
      </c>
      <c r="AZ50" s="15">
        <v>24</v>
      </c>
      <c r="BA50" s="15">
        <v>16.981132075471699</v>
      </c>
      <c r="BB50" s="15">
        <v>37.313432835820898</v>
      </c>
      <c r="BC50" s="15">
        <v>28.3783783783784</v>
      </c>
      <c r="BD50" s="15">
        <v>17.948717948717899</v>
      </c>
      <c r="BE50" s="15">
        <v>31.034482758620701</v>
      </c>
      <c r="BF50" s="15">
        <v>10.8433734939759</v>
      </c>
      <c r="BG50" s="15">
        <v>38.805970149253703</v>
      </c>
      <c r="BH50" s="15">
        <v>41.6666666666667</v>
      </c>
      <c r="BI50" s="20" t="s">
        <v>76</v>
      </c>
      <c r="BJ50" s="15">
        <v>20.535714285714299</v>
      </c>
      <c r="BK50" s="15">
        <v>27.5</v>
      </c>
      <c r="BL50" s="15">
        <v>44.53125</v>
      </c>
      <c r="BM50" s="15">
        <v>35.643564356435597</v>
      </c>
      <c r="BN50" s="15">
        <v>44.537815126050397</v>
      </c>
      <c r="BO50" s="15">
        <v>28.8888888888889</v>
      </c>
      <c r="BP50" s="15">
        <v>33.3333333333333</v>
      </c>
      <c r="BQ50" s="15">
        <v>24.657534246575299</v>
      </c>
      <c r="BR50" s="15">
        <v>16.6666666666667</v>
      </c>
      <c r="BS50" s="15">
        <v>25.3012048192771</v>
      </c>
      <c r="BT50" s="15">
        <v>18.292682926829301</v>
      </c>
      <c r="BU50" s="15">
        <v>24.299065420560702</v>
      </c>
      <c r="BV50" s="15">
        <v>64.646464646464693</v>
      </c>
      <c r="BW50" s="15">
        <v>13.0434782608696</v>
      </c>
      <c r="BX50" s="20" t="s">
        <v>76</v>
      </c>
      <c r="BY50" s="15">
        <v>26.984126984126998</v>
      </c>
      <c r="BZ50" s="15">
        <v>25.170068027210899</v>
      </c>
      <c r="CA50" s="32">
        <v>12.9147248571161</v>
      </c>
      <c r="CB50" s="15">
        <v>11.182108626198101</v>
      </c>
      <c r="CC50" s="15">
        <v>8.4905660377358494</v>
      </c>
      <c r="CD50" s="15">
        <v>12.9032258064516</v>
      </c>
      <c r="CE50" s="20" t="s">
        <v>76</v>
      </c>
      <c r="CF50" s="15">
        <v>14.6706586826347</v>
      </c>
      <c r="CG50" s="15">
        <v>15.083798882681601</v>
      </c>
      <c r="CH50" s="15">
        <v>13.419117647058799</v>
      </c>
      <c r="CI50" s="15">
        <v>12.320328542094501</v>
      </c>
      <c r="CJ50" s="15">
        <v>13.3333333333333</v>
      </c>
      <c r="CK50" s="15">
        <v>22.421524663677101</v>
      </c>
      <c r="CL50" s="15">
        <v>15.909090909090899</v>
      </c>
      <c r="CM50" s="24">
        <v>13.918629550321199</v>
      </c>
      <c r="CN50" s="37"/>
    </row>
    <row r="51" spans="1:92">
      <c r="A51" s="9" t="s">
        <v>306</v>
      </c>
      <c r="B51" s="35">
        <v>3.2453803719383001</v>
      </c>
      <c r="C51" s="32">
        <v>2.9749820012858499</v>
      </c>
      <c r="D51" s="32">
        <v>2.2852300457250898</v>
      </c>
      <c r="E51" s="32">
        <v>2.40660903268981</v>
      </c>
      <c r="F51" s="20" t="s">
        <v>76</v>
      </c>
      <c r="G51" s="20" t="s">
        <v>76</v>
      </c>
      <c r="H51" s="20" t="s">
        <v>76</v>
      </c>
      <c r="I51" s="20" t="s">
        <v>76</v>
      </c>
      <c r="J51" s="20" t="s">
        <v>76</v>
      </c>
      <c r="K51" s="20" t="s">
        <v>76</v>
      </c>
      <c r="L51" s="20" t="s">
        <v>76</v>
      </c>
      <c r="M51" s="20" t="s">
        <v>76</v>
      </c>
      <c r="N51" s="20" t="s">
        <v>76</v>
      </c>
      <c r="O51" s="20" t="s">
        <v>76</v>
      </c>
      <c r="P51" s="20" t="s">
        <v>76</v>
      </c>
      <c r="Q51" s="20" t="s">
        <v>76</v>
      </c>
      <c r="R51" s="20" t="s">
        <v>76</v>
      </c>
      <c r="S51" s="20" t="s">
        <v>76</v>
      </c>
      <c r="T51" s="20" t="s">
        <v>76</v>
      </c>
      <c r="U51" s="20" t="s">
        <v>76</v>
      </c>
      <c r="V51" s="20" t="s">
        <v>76</v>
      </c>
      <c r="W51" s="20" t="s">
        <v>76</v>
      </c>
      <c r="X51" s="20" t="s">
        <v>76</v>
      </c>
      <c r="Y51" s="20" t="s">
        <v>76</v>
      </c>
      <c r="Z51" s="20" t="s">
        <v>76</v>
      </c>
      <c r="AA51" s="20" t="s">
        <v>76</v>
      </c>
      <c r="AB51" s="20" t="s">
        <v>76</v>
      </c>
      <c r="AC51" s="20" t="s">
        <v>76</v>
      </c>
      <c r="AD51" s="20" t="s">
        <v>76</v>
      </c>
      <c r="AE51" s="20" t="s">
        <v>76</v>
      </c>
      <c r="AF51" s="20" t="s">
        <v>76</v>
      </c>
      <c r="AG51" s="20" t="s">
        <v>76</v>
      </c>
      <c r="AH51" s="20" t="s">
        <v>76</v>
      </c>
      <c r="AI51" s="20" t="s">
        <v>76</v>
      </c>
      <c r="AJ51" s="15">
        <v>4.5045045045045002</v>
      </c>
      <c r="AK51" s="20" t="s">
        <v>76</v>
      </c>
      <c r="AL51" s="20" t="s">
        <v>76</v>
      </c>
      <c r="AM51" s="20" t="s">
        <v>76</v>
      </c>
      <c r="AN51" s="20" t="s">
        <v>76</v>
      </c>
      <c r="AO51" s="20" t="s">
        <v>76</v>
      </c>
      <c r="AP51" s="20" t="s">
        <v>76</v>
      </c>
      <c r="AQ51" s="20" t="s">
        <v>76</v>
      </c>
      <c r="AR51" s="20" t="s">
        <v>76</v>
      </c>
      <c r="AS51" s="20" t="s">
        <v>76</v>
      </c>
      <c r="AT51" s="20" t="s">
        <v>76</v>
      </c>
      <c r="AU51" s="20" t="s">
        <v>76</v>
      </c>
      <c r="AV51" s="20" t="s">
        <v>76</v>
      </c>
      <c r="AW51" s="20" t="s">
        <v>76</v>
      </c>
      <c r="AX51" s="20" t="s">
        <v>76</v>
      </c>
      <c r="AY51" s="15">
        <v>14.285714285714301</v>
      </c>
      <c r="AZ51" s="20" t="s">
        <v>76</v>
      </c>
      <c r="BA51" s="20" t="s">
        <v>76</v>
      </c>
      <c r="BB51" s="20" t="s">
        <v>76</v>
      </c>
      <c r="BC51" s="20" t="s">
        <v>76</v>
      </c>
      <c r="BD51" s="20" t="s">
        <v>76</v>
      </c>
      <c r="BE51" s="20" t="s">
        <v>76</v>
      </c>
      <c r="BF51" s="20" t="s">
        <v>76</v>
      </c>
      <c r="BG51" s="20" t="s">
        <v>76</v>
      </c>
      <c r="BH51" s="20" t="s">
        <v>76</v>
      </c>
      <c r="BI51" s="20" t="s">
        <v>76</v>
      </c>
      <c r="BJ51" s="20" t="s">
        <v>76</v>
      </c>
      <c r="BK51" s="20" t="s">
        <v>76</v>
      </c>
      <c r="BL51" s="20" t="s">
        <v>76</v>
      </c>
      <c r="BM51" s="20" t="s">
        <v>76</v>
      </c>
      <c r="BN51" s="20" t="s">
        <v>76</v>
      </c>
      <c r="BO51" s="20" t="s">
        <v>76</v>
      </c>
      <c r="BP51" s="20" t="s">
        <v>76</v>
      </c>
      <c r="BQ51" s="20" t="s">
        <v>76</v>
      </c>
      <c r="BR51" s="20" t="s">
        <v>76</v>
      </c>
      <c r="BS51" s="20" t="s">
        <v>76</v>
      </c>
      <c r="BT51" s="20" t="s">
        <v>76</v>
      </c>
      <c r="BU51" s="20" t="s">
        <v>76</v>
      </c>
      <c r="BV51" s="20" t="s">
        <v>76</v>
      </c>
      <c r="BW51" s="20" t="s">
        <v>76</v>
      </c>
      <c r="BX51" s="20" t="s">
        <v>76</v>
      </c>
      <c r="BY51" s="20" t="s">
        <v>76</v>
      </c>
      <c r="BZ51" s="20" t="s">
        <v>76</v>
      </c>
      <c r="CA51" s="32">
        <v>2.1872079363666401</v>
      </c>
      <c r="CB51" s="15">
        <v>3.19488817891374</v>
      </c>
      <c r="CC51" s="15">
        <v>1.88679245283019</v>
      </c>
      <c r="CD51" s="20" t="s">
        <v>76</v>
      </c>
      <c r="CE51" s="20" t="s">
        <v>76</v>
      </c>
      <c r="CF51" s="15">
        <v>1.4970059880239499</v>
      </c>
      <c r="CG51" s="20" t="s">
        <v>76</v>
      </c>
      <c r="CH51" s="15">
        <v>2.0220588235294099</v>
      </c>
      <c r="CI51" s="15">
        <v>2.6694045174537999</v>
      </c>
      <c r="CJ51" s="15">
        <v>3.1372549019607798</v>
      </c>
      <c r="CK51" s="15">
        <v>2.6905829596412598</v>
      </c>
      <c r="CL51" s="15">
        <v>3.3333333333333299</v>
      </c>
      <c r="CM51" s="26" t="s">
        <v>76</v>
      </c>
      <c r="CN51" s="37"/>
    </row>
    <row r="52" spans="1:92">
      <c r="A52" s="9" t="s">
        <v>307</v>
      </c>
      <c r="B52" s="35">
        <v>2.1709497229103798</v>
      </c>
      <c r="C52" s="32">
        <v>2.2056477513734198</v>
      </c>
      <c r="D52" s="32">
        <v>2.3787369725887699</v>
      </c>
      <c r="E52" s="32">
        <v>2.3044709467030602</v>
      </c>
      <c r="F52" s="20" t="s">
        <v>76</v>
      </c>
      <c r="G52" s="20" t="s">
        <v>76</v>
      </c>
      <c r="H52" s="20" t="s">
        <v>76</v>
      </c>
      <c r="I52" s="20" t="s">
        <v>76</v>
      </c>
      <c r="J52" s="20" t="s">
        <v>76</v>
      </c>
      <c r="K52" s="20" t="s">
        <v>76</v>
      </c>
      <c r="L52" s="20" t="s">
        <v>76</v>
      </c>
      <c r="M52" s="20" t="s">
        <v>76</v>
      </c>
      <c r="N52" s="20" t="s">
        <v>76</v>
      </c>
      <c r="O52" s="20" t="s">
        <v>76</v>
      </c>
      <c r="P52" s="20" t="s">
        <v>76</v>
      </c>
      <c r="Q52" s="20" t="s">
        <v>76</v>
      </c>
      <c r="R52" s="20" t="s">
        <v>76</v>
      </c>
      <c r="S52" s="20" t="s">
        <v>76</v>
      </c>
      <c r="T52" s="20" t="s">
        <v>76</v>
      </c>
      <c r="U52" s="20" t="s">
        <v>76</v>
      </c>
      <c r="V52" s="20" t="s">
        <v>76</v>
      </c>
      <c r="W52" s="20" t="s">
        <v>76</v>
      </c>
      <c r="X52" s="20" t="s">
        <v>76</v>
      </c>
      <c r="Y52" s="20" t="s">
        <v>76</v>
      </c>
      <c r="Z52" s="20" t="s">
        <v>76</v>
      </c>
      <c r="AA52" s="15">
        <v>4.5871559633027497</v>
      </c>
      <c r="AB52" s="20" t="s">
        <v>76</v>
      </c>
      <c r="AC52" s="15">
        <v>3.7878787878787898</v>
      </c>
      <c r="AD52" s="20" t="s">
        <v>76</v>
      </c>
      <c r="AE52" s="20" t="s">
        <v>76</v>
      </c>
      <c r="AF52" s="20" t="s">
        <v>76</v>
      </c>
      <c r="AG52" s="20" t="s">
        <v>76</v>
      </c>
      <c r="AH52" s="20" t="s">
        <v>76</v>
      </c>
      <c r="AI52" s="20" t="s">
        <v>76</v>
      </c>
      <c r="AJ52" s="15">
        <v>4.5045045045045002</v>
      </c>
      <c r="AK52" s="20" t="s">
        <v>76</v>
      </c>
      <c r="AL52" s="20" t="s">
        <v>76</v>
      </c>
      <c r="AM52" s="20" t="s">
        <v>76</v>
      </c>
      <c r="AN52" s="20" t="s">
        <v>76</v>
      </c>
      <c r="AO52" s="20" t="s">
        <v>76</v>
      </c>
      <c r="AP52" s="20" t="s">
        <v>76</v>
      </c>
      <c r="AQ52" s="20" t="s">
        <v>76</v>
      </c>
      <c r="AR52" s="20" t="s">
        <v>76</v>
      </c>
      <c r="AS52" s="20" t="s">
        <v>76</v>
      </c>
      <c r="AT52" s="20" t="s">
        <v>76</v>
      </c>
      <c r="AU52" s="20" t="s">
        <v>76</v>
      </c>
      <c r="AV52" s="20" t="s">
        <v>76</v>
      </c>
      <c r="AW52" s="20" t="s">
        <v>76</v>
      </c>
      <c r="AX52" s="20" t="s">
        <v>76</v>
      </c>
      <c r="AY52" s="20" t="s">
        <v>76</v>
      </c>
      <c r="AZ52" s="20" t="s">
        <v>76</v>
      </c>
      <c r="BA52" s="20" t="s">
        <v>76</v>
      </c>
      <c r="BB52" s="20" t="s">
        <v>76</v>
      </c>
      <c r="BC52" s="20" t="s">
        <v>76</v>
      </c>
      <c r="BD52" s="15">
        <v>6.4102564102564097</v>
      </c>
      <c r="BE52" s="20" t="s">
        <v>76</v>
      </c>
      <c r="BF52" s="20" t="s">
        <v>76</v>
      </c>
      <c r="BG52" s="20" t="s">
        <v>76</v>
      </c>
      <c r="BH52" s="20" t="s">
        <v>76</v>
      </c>
      <c r="BI52" s="20" t="s">
        <v>76</v>
      </c>
      <c r="BJ52" s="20" t="s">
        <v>76</v>
      </c>
      <c r="BK52" s="20" t="s">
        <v>76</v>
      </c>
      <c r="BL52" s="20" t="s">
        <v>76</v>
      </c>
      <c r="BM52" s="20" t="s">
        <v>76</v>
      </c>
      <c r="BN52" s="20" t="s">
        <v>76</v>
      </c>
      <c r="BO52" s="20" t="s">
        <v>76</v>
      </c>
      <c r="BP52" s="20" t="s">
        <v>76</v>
      </c>
      <c r="BQ52" s="20" t="s">
        <v>76</v>
      </c>
      <c r="BR52" s="20" t="s">
        <v>76</v>
      </c>
      <c r="BS52" s="20" t="s">
        <v>76</v>
      </c>
      <c r="BT52" s="20" t="s">
        <v>76</v>
      </c>
      <c r="BU52" s="20" t="s">
        <v>76</v>
      </c>
      <c r="BV52" s="20" t="s">
        <v>76</v>
      </c>
      <c r="BW52" s="20" t="s">
        <v>76</v>
      </c>
      <c r="BX52" s="20" t="s">
        <v>76</v>
      </c>
      <c r="BY52" s="20" t="s">
        <v>76</v>
      </c>
      <c r="BZ52" s="20" t="s">
        <v>76</v>
      </c>
      <c r="CA52" s="32">
        <v>2.43871203658483</v>
      </c>
      <c r="CB52" s="15">
        <v>3.51437699680511</v>
      </c>
      <c r="CC52" s="15">
        <v>2.5157232704402501</v>
      </c>
      <c r="CD52" s="20" t="s">
        <v>76</v>
      </c>
      <c r="CE52" s="20" t="s">
        <v>76</v>
      </c>
      <c r="CF52" s="15">
        <v>2.0958083832335301</v>
      </c>
      <c r="CG52" s="15">
        <v>4.4692737430167604</v>
      </c>
      <c r="CH52" s="15">
        <v>4.2279411764705896</v>
      </c>
      <c r="CI52" s="15">
        <v>1.2320328542094501</v>
      </c>
      <c r="CJ52" s="15">
        <v>3.52941176470588</v>
      </c>
      <c r="CK52" s="20" t="s">
        <v>76</v>
      </c>
      <c r="CL52" s="15">
        <v>2.5757575757575801</v>
      </c>
      <c r="CM52" s="24">
        <v>1.7130620985010701</v>
      </c>
      <c r="CN52" s="37"/>
    </row>
    <row r="53" spans="1:92">
      <c r="A53" s="9" t="s">
        <v>308</v>
      </c>
      <c r="B53" s="35">
        <v>5.6523380700152401</v>
      </c>
      <c r="C53" s="32">
        <v>5.1969807139321196</v>
      </c>
      <c r="D53" s="32">
        <v>4.6380699067928397</v>
      </c>
      <c r="E53" s="32">
        <v>5.2556632571421202</v>
      </c>
      <c r="F53" s="20" t="s">
        <v>76</v>
      </c>
      <c r="G53" s="20" t="s">
        <v>76</v>
      </c>
      <c r="H53" s="20" t="s">
        <v>76</v>
      </c>
      <c r="I53" s="20" t="s">
        <v>76</v>
      </c>
      <c r="J53" s="20" t="s">
        <v>76</v>
      </c>
      <c r="K53" s="20" t="s">
        <v>76</v>
      </c>
      <c r="L53" s="20" t="s">
        <v>76</v>
      </c>
      <c r="M53" s="15">
        <v>9.2105263157894708</v>
      </c>
      <c r="N53" s="15">
        <v>7.0588235294117601</v>
      </c>
      <c r="O53" s="20" t="s">
        <v>76</v>
      </c>
      <c r="P53" s="20" t="s">
        <v>76</v>
      </c>
      <c r="Q53" s="20" t="s">
        <v>76</v>
      </c>
      <c r="R53" s="20" t="s">
        <v>76</v>
      </c>
      <c r="S53" s="15">
        <v>12.1951219512195</v>
      </c>
      <c r="T53" s="20" t="s">
        <v>76</v>
      </c>
      <c r="U53" s="20" t="s">
        <v>76</v>
      </c>
      <c r="V53" s="20" t="s">
        <v>76</v>
      </c>
      <c r="W53" s="15">
        <v>8.4745762711864394</v>
      </c>
      <c r="X53" s="20" t="s">
        <v>76</v>
      </c>
      <c r="Y53" s="20" t="s">
        <v>76</v>
      </c>
      <c r="Z53" s="15">
        <v>10.2564102564103</v>
      </c>
      <c r="AA53" s="15">
        <v>12.8440366972477</v>
      </c>
      <c r="AB53" s="20" t="s">
        <v>76</v>
      </c>
      <c r="AC53" s="15">
        <v>3.7878787878787898</v>
      </c>
      <c r="AD53" s="20" t="s">
        <v>76</v>
      </c>
      <c r="AE53" s="20" t="s">
        <v>76</v>
      </c>
      <c r="AF53" s="20" t="s">
        <v>76</v>
      </c>
      <c r="AG53" s="15">
        <v>5.71428571428571</v>
      </c>
      <c r="AH53" s="15">
        <v>16.071428571428601</v>
      </c>
      <c r="AI53" s="20" t="s">
        <v>76</v>
      </c>
      <c r="AJ53" s="15">
        <v>6.3063063063063103</v>
      </c>
      <c r="AK53" s="20" t="s">
        <v>76</v>
      </c>
      <c r="AL53" s="15">
        <v>5.5555555555555598</v>
      </c>
      <c r="AM53" s="15">
        <v>10.9375</v>
      </c>
      <c r="AN53" s="20" t="s">
        <v>76</v>
      </c>
      <c r="AO53" s="20" t="s">
        <v>76</v>
      </c>
      <c r="AP53" s="15">
        <v>6.4935064935064899</v>
      </c>
      <c r="AQ53" s="20" t="s">
        <v>76</v>
      </c>
      <c r="AR53" s="20" t="s">
        <v>76</v>
      </c>
      <c r="AS53" s="20" t="s">
        <v>76</v>
      </c>
      <c r="AT53" s="20" t="s">
        <v>76</v>
      </c>
      <c r="AU53" s="20" t="s">
        <v>76</v>
      </c>
      <c r="AV53" s="20" t="s">
        <v>76</v>
      </c>
      <c r="AW53" s="15">
        <v>6.0344827586206904</v>
      </c>
      <c r="AX53" s="20" t="s">
        <v>76</v>
      </c>
      <c r="AY53" s="20" t="s">
        <v>76</v>
      </c>
      <c r="AZ53" s="20" t="s">
        <v>76</v>
      </c>
      <c r="BA53" s="20" t="s">
        <v>76</v>
      </c>
      <c r="BB53" s="20" t="s">
        <v>76</v>
      </c>
      <c r="BC53" s="20" t="s">
        <v>76</v>
      </c>
      <c r="BD53" s="15">
        <v>7.6923076923076898</v>
      </c>
      <c r="BE53" s="20" t="s">
        <v>76</v>
      </c>
      <c r="BF53" s="20" t="s">
        <v>76</v>
      </c>
      <c r="BG53" s="20" t="s">
        <v>76</v>
      </c>
      <c r="BH53" s="20" t="s">
        <v>76</v>
      </c>
      <c r="BI53" s="20" t="s">
        <v>76</v>
      </c>
      <c r="BJ53" s="20" t="s">
        <v>76</v>
      </c>
      <c r="BK53" s="20" t="s">
        <v>76</v>
      </c>
      <c r="BL53" s="20" t="s">
        <v>76</v>
      </c>
      <c r="BM53" s="15">
        <v>4.9504950495049496</v>
      </c>
      <c r="BN53" s="15">
        <v>4.2016806722689104</v>
      </c>
      <c r="BO53" s="15">
        <v>11.1111111111111</v>
      </c>
      <c r="BP53" s="20" t="s">
        <v>76</v>
      </c>
      <c r="BQ53" s="20" t="s">
        <v>76</v>
      </c>
      <c r="BR53" s="20" t="s">
        <v>76</v>
      </c>
      <c r="BS53" s="20" t="s">
        <v>76</v>
      </c>
      <c r="BT53" s="20" t="s">
        <v>76</v>
      </c>
      <c r="BU53" s="15">
        <v>7.4766355140186898</v>
      </c>
      <c r="BV53" s="15">
        <v>10.1010101010101</v>
      </c>
      <c r="BW53" s="20" t="s">
        <v>76</v>
      </c>
      <c r="BX53" s="20" t="s">
        <v>76</v>
      </c>
      <c r="BY53" s="20" t="s">
        <v>76</v>
      </c>
      <c r="BZ53" s="15">
        <v>4.0816326530612201</v>
      </c>
      <c r="CA53" s="32">
        <v>4.1393196334479097</v>
      </c>
      <c r="CB53" s="15">
        <v>3.51437699680511</v>
      </c>
      <c r="CC53" s="15">
        <v>3.1446540880503102</v>
      </c>
      <c r="CD53" s="15">
        <v>5.1612903225806503</v>
      </c>
      <c r="CE53" s="20" t="s">
        <v>76</v>
      </c>
      <c r="CF53" s="15">
        <v>5.0898203592814397</v>
      </c>
      <c r="CG53" s="15">
        <v>4.4692737430167604</v>
      </c>
      <c r="CH53" s="15">
        <v>6.0661764705882302</v>
      </c>
      <c r="CI53" s="15">
        <v>2.6694045174537999</v>
      </c>
      <c r="CJ53" s="15">
        <v>3.9215686274509798</v>
      </c>
      <c r="CK53" s="15">
        <v>6.7264573991031398</v>
      </c>
      <c r="CL53" s="15">
        <v>7.1212121212121202</v>
      </c>
      <c r="CM53" s="24">
        <v>1.7130620985010701</v>
      </c>
      <c r="CN53" s="37"/>
    </row>
    <row r="54" spans="1:92">
      <c r="A54" s="9" t="s">
        <v>309</v>
      </c>
      <c r="B54" s="35">
        <v>3.5753889155289502</v>
      </c>
      <c r="C54" s="32">
        <v>3.3707402013005501</v>
      </c>
      <c r="D54" s="32">
        <v>3.0001365355740899</v>
      </c>
      <c r="E54" s="32">
        <v>4.1188717965333099</v>
      </c>
      <c r="F54" s="20" t="s">
        <v>76</v>
      </c>
      <c r="G54" s="20" t="s">
        <v>76</v>
      </c>
      <c r="H54" s="20" t="s">
        <v>76</v>
      </c>
      <c r="I54" s="20" t="s">
        <v>76</v>
      </c>
      <c r="J54" s="15">
        <v>4.1666666666666696</v>
      </c>
      <c r="K54" s="20" t="s">
        <v>76</v>
      </c>
      <c r="L54" s="20" t="s">
        <v>76</v>
      </c>
      <c r="M54" s="20" t="s">
        <v>76</v>
      </c>
      <c r="N54" s="20" t="s">
        <v>76</v>
      </c>
      <c r="O54" s="20" t="s">
        <v>76</v>
      </c>
      <c r="P54" s="20" t="s">
        <v>76</v>
      </c>
      <c r="Q54" s="20" t="s">
        <v>76</v>
      </c>
      <c r="R54" s="20" t="s">
        <v>76</v>
      </c>
      <c r="S54" s="20" t="s">
        <v>76</v>
      </c>
      <c r="T54" s="20" t="s">
        <v>76</v>
      </c>
      <c r="U54" s="20" t="s">
        <v>76</v>
      </c>
      <c r="V54" s="20" t="s">
        <v>76</v>
      </c>
      <c r="W54" s="20" t="s">
        <v>76</v>
      </c>
      <c r="X54" s="20" t="s">
        <v>76</v>
      </c>
      <c r="Y54" s="20" t="s">
        <v>76</v>
      </c>
      <c r="Z54" s="20" t="s">
        <v>76</v>
      </c>
      <c r="AA54" s="20" t="s">
        <v>76</v>
      </c>
      <c r="AB54" s="15">
        <v>8.8235294117646994</v>
      </c>
      <c r="AC54" s="15">
        <v>3.7878787878787898</v>
      </c>
      <c r="AD54" s="20" t="s">
        <v>76</v>
      </c>
      <c r="AE54" s="20" t="s">
        <v>76</v>
      </c>
      <c r="AF54" s="20" t="s">
        <v>76</v>
      </c>
      <c r="AG54" s="15">
        <v>6.6666666666666696</v>
      </c>
      <c r="AH54" s="20" t="s">
        <v>76</v>
      </c>
      <c r="AI54" s="20" t="s">
        <v>76</v>
      </c>
      <c r="AJ54" s="20" t="s">
        <v>76</v>
      </c>
      <c r="AK54" s="20" t="s">
        <v>76</v>
      </c>
      <c r="AL54" s="15">
        <v>8.8888888888888893</v>
      </c>
      <c r="AM54" s="20" t="s">
        <v>76</v>
      </c>
      <c r="AN54" s="20" t="s">
        <v>76</v>
      </c>
      <c r="AO54" s="20" t="s">
        <v>76</v>
      </c>
      <c r="AP54" s="20" t="s">
        <v>76</v>
      </c>
      <c r="AQ54" s="20" t="s">
        <v>76</v>
      </c>
      <c r="AR54" s="20" t="s">
        <v>76</v>
      </c>
      <c r="AS54" s="20" t="s">
        <v>76</v>
      </c>
      <c r="AT54" s="20" t="s">
        <v>76</v>
      </c>
      <c r="AU54" s="20" t="s">
        <v>76</v>
      </c>
      <c r="AV54" s="20" t="s">
        <v>76</v>
      </c>
      <c r="AW54" s="15">
        <v>8.6206896551724093</v>
      </c>
      <c r="AX54" s="20" t="s">
        <v>76</v>
      </c>
      <c r="AY54" s="20" t="s">
        <v>76</v>
      </c>
      <c r="AZ54" s="20" t="s">
        <v>76</v>
      </c>
      <c r="BA54" s="20" t="s">
        <v>76</v>
      </c>
      <c r="BB54" s="20" t="s">
        <v>76</v>
      </c>
      <c r="BC54" s="20" t="s">
        <v>76</v>
      </c>
      <c r="BD54" s="20" t="s">
        <v>76</v>
      </c>
      <c r="BE54" s="20" t="s">
        <v>76</v>
      </c>
      <c r="BF54" s="20" t="s">
        <v>76</v>
      </c>
      <c r="BG54" s="15">
        <v>7.4626865671641802</v>
      </c>
      <c r="BH54" s="20" t="s">
        <v>76</v>
      </c>
      <c r="BI54" s="20" t="s">
        <v>76</v>
      </c>
      <c r="BJ54" s="20" t="s">
        <v>76</v>
      </c>
      <c r="BK54" s="20" t="s">
        <v>76</v>
      </c>
      <c r="BL54" s="20" t="s">
        <v>76</v>
      </c>
      <c r="BM54" s="20" t="s">
        <v>76</v>
      </c>
      <c r="BN54" s="15">
        <v>5.8823529411764701</v>
      </c>
      <c r="BO54" s="20" t="s">
        <v>76</v>
      </c>
      <c r="BP54" s="20" t="s">
        <v>76</v>
      </c>
      <c r="BQ54" s="20" t="s">
        <v>76</v>
      </c>
      <c r="BR54" s="20" t="s">
        <v>76</v>
      </c>
      <c r="BS54" s="20" t="s">
        <v>76</v>
      </c>
      <c r="BT54" s="20" t="s">
        <v>76</v>
      </c>
      <c r="BU54" s="20" t="s">
        <v>76</v>
      </c>
      <c r="BV54" s="15">
        <v>8.0808080808080796</v>
      </c>
      <c r="BW54" s="20" t="s">
        <v>76</v>
      </c>
      <c r="BX54" s="20" t="s">
        <v>76</v>
      </c>
      <c r="BY54" s="20" t="s">
        <v>76</v>
      </c>
      <c r="BZ54" s="15">
        <v>4.7619047619047601</v>
      </c>
      <c r="CA54" s="32">
        <v>2.0966787556474502</v>
      </c>
      <c r="CB54" s="15">
        <v>1.91693290734824</v>
      </c>
      <c r="CC54" s="15">
        <v>1.88679245283019</v>
      </c>
      <c r="CD54" s="20" t="s">
        <v>76</v>
      </c>
      <c r="CE54" s="20" t="s">
        <v>76</v>
      </c>
      <c r="CF54" s="15">
        <v>1.79640718562874</v>
      </c>
      <c r="CG54" s="20" t="s">
        <v>76</v>
      </c>
      <c r="CH54" s="15">
        <v>3.125</v>
      </c>
      <c r="CI54" s="15">
        <v>2.25872689938398</v>
      </c>
      <c r="CJ54" s="15">
        <v>1.9607843137254899</v>
      </c>
      <c r="CK54" s="15">
        <v>4.9327354260089704</v>
      </c>
      <c r="CL54" s="15">
        <v>2.1212121212121202</v>
      </c>
      <c r="CM54" s="24">
        <v>2.35546038543897</v>
      </c>
      <c r="CN54" s="37"/>
    </row>
    <row r="55" spans="1:92">
      <c r="A55" s="9" t="s">
        <v>310</v>
      </c>
      <c r="B55" s="35">
        <v>1.2495533652047699</v>
      </c>
      <c r="C55" s="32">
        <v>1.4526856853819301</v>
      </c>
      <c r="D55" s="32">
        <v>1.40883059237194</v>
      </c>
      <c r="E55" s="32">
        <v>1.7706290457107401</v>
      </c>
      <c r="F55" s="20" t="s">
        <v>76</v>
      </c>
      <c r="G55" s="20" t="s">
        <v>76</v>
      </c>
      <c r="H55" s="20" t="s">
        <v>76</v>
      </c>
      <c r="I55" s="20" t="s">
        <v>76</v>
      </c>
      <c r="J55" s="20" t="s">
        <v>76</v>
      </c>
      <c r="K55" s="20" t="s">
        <v>76</v>
      </c>
      <c r="L55" s="20" t="s">
        <v>76</v>
      </c>
      <c r="M55" s="20" t="s">
        <v>76</v>
      </c>
      <c r="N55" s="20" t="s">
        <v>76</v>
      </c>
      <c r="O55" s="20" t="s">
        <v>76</v>
      </c>
      <c r="P55" s="20" t="s">
        <v>76</v>
      </c>
      <c r="Q55" s="20" t="s">
        <v>76</v>
      </c>
      <c r="R55" s="20" t="s">
        <v>76</v>
      </c>
      <c r="S55" s="20" t="s">
        <v>76</v>
      </c>
      <c r="T55" s="20" t="s">
        <v>76</v>
      </c>
      <c r="U55" s="20" t="s">
        <v>76</v>
      </c>
      <c r="V55" s="20" t="s">
        <v>76</v>
      </c>
      <c r="W55" s="20" t="s">
        <v>76</v>
      </c>
      <c r="X55" s="20" t="s">
        <v>76</v>
      </c>
      <c r="Y55" s="20" t="s">
        <v>76</v>
      </c>
      <c r="Z55" s="20" t="s">
        <v>76</v>
      </c>
      <c r="AA55" s="20" t="s">
        <v>76</v>
      </c>
      <c r="AB55" s="20" t="s">
        <v>76</v>
      </c>
      <c r="AC55" s="20" t="s">
        <v>76</v>
      </c>
      <c r="AD55" s="20" t="s">
        <v>76</v>
      </c>
      <c r="AE55" s="20" t="s">
        <v>76</v>
      </c>
      <c r="AF55" s="20" t="s">
        <v>76</v>
      </c>
      <c r="AG55" s="20" t="s">
        <v>76</v>
      </c>
      <c r="AH55" s="20" t="s">
        <v>76</v>
      </c>
      <c r="AI55" s="20" t="s">
        <v>76</v>
      </c>
      <c r="AJ55" s="20" t="s">
        <v>76</v>
      </c>
      <c r="AK55" s="20" t="s">
        <v>76</v>
      </c>
      <c r="AL55" s="20" t="s">
        <v>76</v>
      </c>
      <c r="AM55" s="20" t="s">
        <v>76</v>
      </c>
      <c r="AN55" s="20" t="s">
        <v>76</v>
      </c>
      <c r="AO55" s="20" t="s">
        <v>76</v>
      </c>
      <c r="AP55" s="20" t="s">
        <v>76</v>
      </c>
      <c r="AQ55" s="20" t="s">
        <v>76</v>
      </c>
      <c r="AR55" s="20" t="s">
        <v>76</v>
      </c>
      <c r="AS55" s="20" t="s">
        <v>76</v>
      </c>
      <c r="AT55" s="20" t="s">
        <v>76</v>
      </c>
      <c r="AU55" s="20" t="s">
        <v>76</v>
      </c>
      <c r="AV55" s="20" t="s">
        <v>76</v>
      </c>
      <c r="AW55" s="20" t="s">
        <v>76</v>
      </c>
      <c r="AX55" s="20" t="s">
        <v>76</v>
      </c>
      <c r="AY55" s="20" t="s">
        <v>76</v>
      </c>
      <c r="AZ55" s="20" t="s">
        <v>76</v>
      </c>
      <c r="BA55" s="20" t="s">
        <v>76</v>
      </c>
      <c r="BB55" s="20" t="s">
        <v>76</v>
      </c>
      <c r="BC55" s="20" t="s">
        <v>76</v>
      </c>
      <c r="BD55" s="20" t="s">
        <v>76</v>
      </c>
      <c r="BE55" s="20" t="s">
        <v>76</v>
      </c>
      <c r="BF55" s="20" t="s">
        <v>76</v>
      </c>
      <c r="BG55" s="20" t="s">
        <v>76</v>
      </c>
      <c r="BH55" s="20" t="s">
        <v>76</v>
      </c>
      <c r="BI55" s="20" t="s">
        <v>76</v>
      </c>
      <c r="BJ55" s="20" t="s">
        <v>76</v>
      </c>
      <c r="BK55" s="20" t="s">
        <v>76</v>
      </c>
      <c r="BL55" s="15">
        <v>5.46875</v>
      </c>
      <c r="BM55" s="20" t="s">
        <v>76</v>
      </c>
      <c r="BN55" s="20" t="s">
        <v>76</v>
      </c>
      <c r="BO55" s="20" t="s">
        <v>76</v>
      </c>
      <c r="BP55" s="20" t="s">
        <v>76</v>
      </c>
      <c r="BQ55" s="20" t="s">
        <v>76</v>
      </c>
      <c r="BR55" s="20" t="s">
        <v>76</v>
      </c>
      <c r="BS55" s="20" t="s">
        <v>76</v>
      </c>
      <c r="BT55" s="20" t="s">
        <v>76</v>
      </c>
      <c r="BU55" s="20" t="s">
        <v>76</v>
      </c>
      <c r="BV55" s="20" t="s">
        <v>76</v>
      </c>
      <c r="BW55" s="20" t="s">
        <v>76</v>
      </c>
      <c r="BX55" s="20" t="s">
        <v>76</v>
      </c>
      <c r="BY55" s="20" t="s">
        <v>76</v>
      </c>
      <c r="BZ55" s="15">
        <v>3.40136054421769</v>
      </c>
      <c r="CA55" s="32">
        <v>1.1166527744008601</v>
      </c>
      <c r="CB55" s="15">
        <v>1.59744408945687</v>
      </c>
      <c r="CC55" s="20" t="s">
        <v>76</v>
      </c>
      <c r="CD55" s="20" t="s">
        <v>76</v>
      </c>
      <c r="CE55" s="20" t="s">
        <v>76</v>
      </c>
      <c r="CF55" s="20" t="s">
        <v>76</v>
      </c>
      <c r="CG55" s="20" t="s">
        <v>76</v>
      </c>
      <c r="CH55" s="15">
        <v>1.2867647058823499</v>
      </c>
      <c r="CI55" s="15">
        <v>2.0533880903490802</v>
      </c>
      <c r="CJ55" s="20" t="s">
        <v>76</v>
      </c>
      <c r="CK55" s="20" t="s">
        <v>76</v>
      </c>
      <c r="CL55" s="15">
        <v>1.0606060606060601</v>
      </c>
      <c r="CM55" s="24">
        <v>1.7130620985010701</v>
      </c>
      <c r="CN55" s="37"/>
    </row>
    <row r="56" spans="1:92">
      <c r="A56" s="9" t="s">
        <v>311</v>
      </c>
      <c r="B56" s="35">
        <v>1.4857600982311501</v>
      </c>
      <c r="C56" s="32">
        <v>1.3351085047777</v>
      </c>
      <c r="D56" s="32">
        <v>1.1115107724144699</v>
      </c>
      <c r="E56" s="32">
        <v>1.3054167555748699</v>
      </c>
      <c r="F56" s="20" t="s">
        <v>76</v>
      </c>
      <c r="G56" s="20" t="s">
        <v>76</v>
      </c>
      <c r="H56" s="20" t="s">
        <v>76</v>
      </c>
      <c r="I56" s="20" t="s">
        <v>76</v>
      </c>
      <c r="J56" s="20" t="s">
        <v>76</v>
      </c>
      <c r="K56" s="20" t="s">
        <v>76</v>
      </c>
      <c r="L56" s="20" t="s">
        <v>76</v>
      </c>
      <c r="M56" s="20" t="s">
        <v>76</v>
      </c>
      <c r="N56" s="20" t="s">
        <v>76</v>
      </c>
      <c r="O56" s="20" t="s">
        <v>76</v>
      </c>
      <c r="P56" s="20" t="s">
        <v>76</v>
      </c>
      <c r="Q56" s="20" t="s">
        <v>76</v>
      </c>
      <c r="R56" s="20" t="s">
        <v>76</v>
      </c>
      <c r="S56" s="20" t="s">
        <v>76</v>
      </c>
      <c r="T56" s="20" t="s">
        <v>76</v>
      </c>
      <c r="U56" s="20" t="s">
        <v>76</v>
      </c>
      <c r="V56" s="20" t="s">
        <v>76</v>
      </c>
      <c r="W56" s="20" t="s">
        <v>76</v>
      </c>
      <c r="X56" s="20" t="s">
        <v>76</v>
      </c>
      <c r="Y56" s="20" t="s">
        <v>76</v>
      </c>
      <c r="Z56" s="20" t="s">
        <v>76</v>
      </c>
      <c r="AA56" s="20" t="s">
        <v>76</v>
      </c>
      <c r="AB56" s="20" t="s">
        <v>76</v>
      </c>
      <c r="AC56" s="20" t="s">
        <v>76</v>
      </c>
      <c r="AD56" s="20" t="s">
        <v>76</v>
      </c>
      <c r="AE56" s="20" t="s">
        <v>76</v>
      </c>
      <c r="AF56" s="20" t="s">
        <v>76</v>
      </c>
      <c r="AG56" s="20" t="s">
        <v>76</v>
      </c>
      <c r="AH56" s="20" t="s">
        <v>76</v>
      </c>
      <c r="AI56" s="20" t="s">
        <v>76</v>
      </c>
      <c r="AJ56" s="20" t="s">
        <v>76</v>
      </c>
      <c r="AK56" s="20" t="s">
        <v>76</v>
      </c>
      <c r="AL56" s="20" t="s">
        <v>76</v>
      </c>
      <c r="AM56" s="20" t="s">
        <v>76</v>
      </c>
      <c r="AN56" s="20" t="s">
        <v>76</v>
      </c>
      <c r="AO56" s="20" t="s">
        <v>76</v>
      </c>
      <c r="AP56" s="20" t="s">
        <v>76</v>
      </c>
      <c r="AQ56" s="20" t="s">
        <v>76</v>
      </c>
      <c r="AR56" s="20" t="s">
        <v>76</v>
      </c>
      <c r="AS56" s="20" t="s">
        <v>76</v>
      </c>
      <c r="AT56" s="20" t="s">
        <v>76</v>
      </c>
      <c r="AU56" s="20" t="s">
        <v>76</v>
      </c>
      <c r="AV56" s="20" t="s">
        <v>76</v>
      </c>
      <c r="AW56" s="20" t="s">
        <v>76</v>
      </c>
      <c r="AX56" s="20" t="s">
        <v>76</v>
      </c>
      <c r="AY56" s="20" t="s">
        <v>76</v>
      </c>
      <c r="AZ56" s="20" t="s">
        <v>76</v>
      </c>
      <c r="BA56" s="20" t="s">
        <v>76</v>
      </c>
      <c r="BB56" s="20" t="s">
        <v>76</v>
      </c>
      <c r="BC56" s="20" t="s">
        <v>76</v>
      </c>
      <c r="BD56" s="15">
        <v>6.4102564102564097</v>
      </c>
      <c r="BE56" s="20" t="s">
        <v>76</v>
      </c>
      <c r="BF56" s="20" t="s">
        <v>76</v>
      </c>
      <c r="BG56" s="20" t="s">
        <v>76</v>
      </c>
      <c r="BH56" s="20" t="s">
        <v>76</v>
      </c>
      <c r="BI56" s="20" t="s">
        <v>76</v>
      </c>
      <c r="BJ56" s="20" t="s">
        <v>76</v>
      </c>
      <c r="BK56" s="20" t="s">
        <v>76</v>
      </c>
      <c r="BL56" s="20" t="s">
        <v>76</v>
      </c>
      <c r="BM56" s="20" t="s">
        <v>76</v>
      </c>
      <c r="BN56" s="20" t="s">
        <v>76</v>
      </c>
      <c r="BO56" s="20" t="s">
        <v>76</v>
      </c>
      <c r="BP56" s="20" t="s">
        <v>76</v>
      </c>
      <c r="BQ56" s="20" t="s">
        <v>76</v>
      </c>
      <c r="BR56" s="20" t="s">
        <v>76</v>
      </c>
      <c r="BS56" s="20" t="s">
        <v>76</v>
      </c>
      <c r="BT56" s="20" t="s">
        <v>76</v>
      </c>
      <c r="BU56" s="20" t="s">
        <v>76</v>
      </c>
      <c r="BV56" s="20" t="s">
        <v>76</v>
      </c>
      <c r="BW56" s="20" t="s">
        <v>76</v>
      </c>
      <c r="BX56" s="20" t="s">
        <v>76</v>
      </c>
      <c r="BY56" s="20" t="s">
        <v>76</v>
      </c>
      <c r="BZ56" s="20" t="s">
        <v>76</v>
      </c>
      <c r="CA56" s="32">
        <v>0.95491798842519104</v>
      </c>
      <c r="CB56" s="15">
        <v>1.91693290734824</v>
      </c>
      <c r="CC56" s="20" t="s">
        <v>76</v>
      </c>
      <c r="CD56" s="20" t="s">
        <v>76</v>
      </c>
      <c r="CE56" s="20" t="s">
        <v>76</v>
      </c>
      <c r="CF56" s="20" t="s">
        <v>76</v>
      </c>
      <c r="CG56" s="20" t="s">
        <v>76</v>
      </c>
      <c r="CH56" s="20" t="s">
        <v>76</v>
      </c>
      <c r="CI56" s="15">
        <v>1.4373716632443501</v>
      </c>
      <c r="CJ56" s="20" t="s">
        <v>76</v>
      </c>
      <c r="CK56" s="20" t="s">
        <v>76</v>
      </c>
      <c r="CL56" s="15">
        <v>1.36363636363636</v>
      </c>
      <c r="CM56" s="26" t="s">
        <v>76</v>
      </c>
      <c r="CN56" s="37"/>
    </row>
    <row r="57" spans="1:92">
      <c r="A57" s="9" t="s">
        <v>312</v>
      </c>
      <c r="B57" s="35">
        <v>1.93464618753541</v>
      </c>
      <c r="C57" s="32">
        <v>1.8981811633529799</v>
      </c>
      <c r="D57" s="32">
        <v>2.0624137218709002</v>
      </c>
      <c r="E57" s="32">
        <v>2.9650687442285899</v>
      </c>
      <c r="F57" s="20" t="s">
        <v>76</v>
      </c>
      <c r="G57" s="20" t="s">
        <v>76</v>
      </c>
      <c r="H57" s="20" t="s">
        <v>76</v>
      </c>
      <c r="I57" s="20" t="s">
        <v>76</v>
      </c>
      <c r="J57" s="20" t="s">
        <v>76</v>
      </c>
      <c r="K57" s="20" t="s">
        <v>76</v>
      </c>
      <c r="L57" s="20" t="s">
        <v>76</v>
      </c>
      <c r="M57" s="20" t="s">
        <v>76</v>
      </c>
      <c r="N57" s="20" t="s">
        <v>76</v>
      </c>
      <c r="O57" s="20" t="s">
        <v>76</v>
      </c>
      <c r="P57" s="20" t="s">
        <v>76</v>
      </c>
      <c r="Q57" s="20" t="s">
        <v>76</v>
      </c>
      <c r="R57" s="20" t="s">
        <v>76</v>
      </c>
      <c r="S57" s="15">
        <v>12.1951219512195</v>
      </c>
      <c r="T57" s="20" t="s">
        <v>76</v>
      </c>
      <c r="U57" s="20" t="s">
        <v>76</v>
      </c>
      <c r="V57" s="20" t="s">
        <v>76</v>
      </c>
      <c r="W57" s="20" t="s">
        <v>76</v>
      </c>
      <c r="X57" s="20" t="s">
        <v>76</v>
      </c>
      <c r="Y57" s="20" t="s">
        <v>76</v>
      </c>
      <c r="Z57" s="20" t="s">
        <v>76</v>
      </c>
      <c r="AA57" s="20" t="s">
        <v>76</v>
      </c>
      <c r="AB57" s="20" t="s">
        <v>76</v>
      </c>
      <c r="AC57" s="15">
        <v>4.5454545454545396</v>
      </c>
      <c r="AD57" s="20" t="s">
        <v>76</v>
      </c>
      <c r="AE57" s="20" t="s">
        <v>76</v>
      </c>
      <c r="AF57" s="20" t="s">
        <v>76</v>
      </c>
      <c r="AG57" s="15">
        <v>4.7619047619047601</v>
      </c>
      <c r="AH57" s="20" t="s">
        <v>76</v>
      </c>
      <c r="AI57" s="20" t="s">
        <v>76</v>
      </c>
      <c r="AJ57" s="15">
        <v>5.4054054054054097</v>
      </c>
      <c r="AK57" s="20" t="s">
        <v>76</v>
      </c>
      <c r="AL57" s="20" t="s">
        <v>76</v>
      </c>
      <c r="AM57" s="20" t="s">
        <v>76</v>
      </c>
      <c r="AN57" s="20" t="s">
        <v>76</v>
      </c>
      <c r="AO57" s="20" t="s">
        <v>76</v>
      </c>
      <c r="AP57" s="20" t="s">
        <v>76</v>
      </c>
      <c r="AQ57" s="20" t="s">
        <v>76</v>
      </c>
      <c r="AR57" s="20" t="s">
        <v>76</v>
      </c>
      <c r="AS57" s="20" t="s">
        <v>76</v>
      </c>
      <c r="AT57" s="20" t="s">
        <v>76</v>
      </c>
      <c r="AU57" s="20" t="s">
        <v>76</v>
      </c>
      <c r="AV57" s="20" t="s">
        <v>76</v>
      </c>
      <c r="AW57" s="15">
        <v>6.8965517241379297</v>
      </c>
      <c r="AX57" s="20" t="s">
        <v>76</v>
      </c>
      <c r="AY57" s="20" t="s">
        <v>76</v>
      </c>
      <c r="AZ57" s="20" t="s">
        <v>76</v>
      </c>
      <c r="BA57" s="20" t="s">
        <v>76</v>
      </c>
      <c r="BB57" s="20" t="s">
        <v>76</v>
      </c>
      <c r="BC57" s="20" t="s">
        <v>76</v>
      </c>
      <c r="BD57" s="20" t="s">
        <v>76</v>
      </c>
      <c r="BE57" s="20" t="s">
        <v>76</v>
      </c>
      <c r="BF57" s="20" t="s">
        <v>76</v>
      </c>
      <c r="BG57" s="20" t="s">
        <v>76</v>
      </c>
      <c r="BH57" s="20" t="s">
        <v>76</v>
      </c>
      <c r="BI57" s="20" t="s">
        <v>76</v>
      </c>
      <c r="BJ57" s="15">
        <v>4.46428571428571</v>
      </c>
      <c r="BK57" s="20" t="s">
        <v>76</v>
      </c>
      <c r="BL57" s="20" t="s">
        <v>76</v>
      </c>
      <c r="BM57" s="20" t="s">
        <v>76</v>
      </c>
      <c r="BN57" s="20" t="s">
        <v>76</v>
      </c>
      <c r="BO57" s="20" t="s">
        <v>76</v>
      </c>
      <c r="BP57" s="20" t="s">
        <v>76</v>
      </c>
      <c r="BQ57" s="20" t="s">
        <v>76</v>
      </c>
      <c r="BR57" s="20" t="s">
        <v>76</v>
      </c>
      <c r="BS57" s="20" t="s">
        <v>76</v>
      </c>
      <c r="BT57" s="20" t="s">
        <v>76</v>
      </c>
      <c r="BU57" s="15">
        <v>4.6728971962616797</v>
      </c>
      <c r="BV57" s="15">
        <v>6.0606060606060597</v>
      </c>
      <c r="BW57" s="20" t="s">
        <v>76</v>
      </c>
      <c r="BX57" s="20" t="s">
        <v>76</v>
      </c>
      <c r="BY57" s="20" t="s">
        <v>76</v>
      </c>
      <c r="BZ57" s="20" t="s">
        <v>76</v>
      </c>
      <c r="CA57" s="32">
        <v>1.3334560041712999</v>
      </c>
      <c r="CB57" s="15">
        <v>1.59744408945687</v>
      </c>
      <c r="CC57" s="20" t="s">
        <v>76</v>
      </c>
      <c r="CD57" s="20" t="s">
        <v>76</v>
      </c>
      <c r="CE57" s="20" t="s">
        <v>76</v>
      </c>
      <c r="CF57" s="15">
        <v>2.0958083832335301</v>
      </c>
      <c r="CG57" s="20" t="s">
        <v>76</v>
      </c>
      <c r="CH57" s="15">
        <v>1.8382352941176501</v>
      </c>
      <c r="CI57" s="15">
        <v>1.2320328542094501</v>
      </c>
      <c r="CJ57" s="15">
        <v>2.7450980392156898</v>
      </c>
      <c r="CK57" s="15">
        <v>2.6905829596412598</v>
      </c>
      <c r="CL57" s="15">
        <v>0.90909090909090895</v>
      </c>
      <c r="CM57" s="24">
        <v>1.4989293361884399</v>
      </c>
      <c r="CN57" s="37"/>
    </row>
    <row r="58" spans="1:92">
      <c r="A58" s="9" t="s">
        <v>313</v>
      </c>
      <c r="B58" s="35">
        <v>3.40924805856416</v>
      </c>
      <c r="C58" s="32">
        <v>3.70540195502404</v>
      </c>
      <c r="D58" s="32">
        <v>4.2676275690535999</v>
      </c>
      <c r="E58" s="32">
        <v>2.48199253472868</v>
      </c>
      <c r="F58" s="20" t="s">
        <v>76</v>
      </c>
      <c r="G58" s="20" t="s">
        <v>76</v>
      </c>
      <c r="H58" s="20" t="s">
        <v>76</v>
      </c>
      <c r="I58" s="20" t="s">
        <v>76</v>
      </c>
      <c r="J58" s="20" t="s">
        <v>76</v>
      </c>
      <c r="K58" s="20" t="s">
        <v>76</v>
      </c>
      <c r="L58" s="20" t="s">
        <v>76</v>
      </c>
      <c r="M58" s="20" t="s">
        <v>76</v>
      </c>
      <c r="N58" s="20" t="s">
        <v>76</v>
      </c>
      <c r="O58" s="20" t="s">
        <v>76</v>
      </c>
      <c r="P58" s="20" t="s">
        <v>76</v>
      </c>
      <c r="Q58" s="20" t="s">
        <v>76</v>
      </c>
      <c r="R58" s="20" t="s">
        <v>76</v>
      </c>
      <c r="S58" s="20" t="s">
        <v>76</v>
      </c>
      <c r="T58" s="20" t="s">
        <v>76</v>
      </c>
      <c r="U58" s="20" t="s">
        <v>76</v>
      </c>
      <c r="V58" s="20" t="s">
        <v>76</v>
      </c>
      <c r="W58" s="20" t="s">
        <v>76</v>
      </c>
      <c r="X58" s="20" t="s">
        <v>76</v>
      </c>
      <c r="Y58" s="20" t="s">
        <v>76</v>
      </c>
      <c r="Z58" s="20" t="s">
        <v>76</v>
      </c>
      <c r="AA58" s="20" t="s">
        <v>76</v>
      </c>
      <c r="AB58" s="20" t="s">
        <v>76</v>
      </c>
      <c r="AC58" s="15">
        <v>3.7878787878787898</v>
      </c>
      <c r="AD58" s="20" t="s">
        <v>76</v>
      </c>
      <c r="AE58" s="20" t="s">
        <v>76</v>
      </c>
      <c r="AF58" s="20" t="s">
        <v>76</v>
      </c>
      <c r="AG58" s="20" t="s">
        <v>76</v>
      </c>
      <c r="AH58" s="20" t="s">
        <v>76</v>
      </c>
      <c r="AI58" s="20" t="s">
        <v>76</v>
      </c>
      <c r="AJ58" s="20" t="s">
        <v>76</v>
      </c>
      <c r="AK58" s="20" t="s">
        <v>76</v>
      </c>
      <c r="AL58" s="20" t="s">
        <v>76</v>
      </c>
      <c r="AM58" s="20" t="s">
        <v>76</v>
      </c>
      <c r="AN58" s="20" t="s">
        <v>76</v>
      </c>
      <c r="AO58" s="20" t="s">
        <v>76</v>
      </c>
      <c r="AP58" s="20" t="s">
        <v>76</v>
      </c>
      <c r="AQ58" s="20" t="s">
        <v>76</v>
      </c>
      <c r="AR58" s="20" t="s">
        <v>76</v>
      </c>
      <c r="AS58" s="20" t="s">
        <v>76</v>
      </c>
      <c r="AT58" s="20" t="s">
        <v>76</v>
      </c>
      <c r="AU58" s="20" t="s">
        <v>76</v>
      </c>
      <c r="AV58" s="20" t="s">
        <v>76</v>
      </c>
      <c r="AW58" s="20" t="s">
        <v>76</v>
      </c>
      <c r="AX58" s="20" t="s">
        <v>76</v>
      </c>
      <c r="AY58" s="20" t="s">
        <v>76</v>
      </c>
      <c r="AZ58" s="20" t="s">
        <v>76</v>
      </c>
      <c r="BA58" s="20" t="s">
        <v>76</v>
      </c>
      <c r="BB58" s="20" t="s">
        <v>76</v>
      </c>
      <c r="BC58" s="20" t="s">
        <v>76</v>
      </c>
      <c r="BD58" s="15">
        <v>6.4102564102564097</v>
      </c>
      <c r="BE58" s="20" t="s">
        <v>76</v>
      </c>
      <c r="BF58" s="20" t="s">
        <v>76</v>
      </c>
      <c r="BG58" s="20" t="s">
        <v>76</v>
      </c>
      <c r="BH58" s="20" t="s">
        <v>76</v>
      </c>
      <c r="BI58" s="20" t="s">
        <v>76</v>
      </c>
      <c r="BJ58" s="20" t="s">
        <v>76</v>
      </c>
      <c r="BK58" s="20" t="s">
        <v>76</v>
      </c>
      <c r="BL58" s="20" t="s">
        <v>76</v>
      </c>
      <c r="BM58" s="20" t="s">
        <v>76</v>
      </c>
      <c r="BN58" s="15">
        <v>5.8823529411764701</v>
      </c>
      <c r="BO58" s="20" t="s">
        <v>76</v>
      </c>
      <c r="BP58" s="20" t="s">
        <v>76</v>
      </c>
      <c r="BQ58" s="20" t="s">
        <v>76</v>
      </c>
      <c r="BR58" s="20" t="s">
        <v>76</v>
      </c>
      <c r="BS58" s="20" t="s">
        <v>76</v>
      </c>
      <c r="BT58" s="20" t="s">
        <v>76</v>
      </c>
      <c r="BU58" s="20" t="s">
        <v>76</v>
      </c>
      <c r="BV58" s="15">
        <v>7.0707070707070701</v>
      </c>
      <c r="BW58" s="20" t="s">
        <v>76</v>
      </c>
      <c r="BX58" s="20" t="s">
        <v>76</v>
      </c>
      <c r="BY58" s="20" t="s">
        <v>76</v>
      </c>
      <c r="BZ58" s="20" t="s">
        <v>76</v>
      </c>
      <c r="CA58" s="32">
        <v>5.7096540432055001</v>
      </c>
      <c r="CB58" s="15">
        <v>4.1533546325878596</v>
      </c>
      <c r="CC58" s="15">
        <v>4.4025157232704402</v>
      </c>
      <c r="CD58" s="15">
        <v>3.87096774193548</v>
      </c>
      <c r="CE58" s="20" t="s">
        <v>76</v>
      </c>
      <c r="CF58" s="15">
        <v>4.4910179640718599</v>
      </c>
      <c r="CG58" s="15">
        <v>3.3519553072625698</v>
      </c>
      <c r="CH58" s="15">
        <v>6.8014705882352899</v>
      </c>
      <c r="CI58" s="15">
        <v>4.9281314168377799</v>
      </c>
      <c r="CJ58" s="15">
        <v>1.9607843137254899</v>
      </c>
      <c r="CK58" s="15">
        <v>6.2780269058296003</v>
      </c>
      <c r="CL58" s="15">
        <v>9.5454545454545503</v>
      </c>
      <c r="CM58" s="24">
        <v>5.99571734475375</v>
      </c>
      <c r="CN58" s="37"/>
    </row>
    <row r="59" spans="1:92">
      <c r="A59" s="9" t="s">
        <v>314</v>
      </c>
      <c r="B59" s="35">
        <v>0.33741277691758897</v>
      </c>
      <c r="C59" s="32">
        <v>0.25973849335280202</v>
      </c>
      <c r="D59" s="38" t="s">
        <v>76</v>
      </c>
      <c r="E59" s="38"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20" t="s">
        <v>76</v>
      </c>
      <c r="AH59" s="20" t="s">
        <v>76</v>
      </c>
      <c r="AI59" s="20" t="s">
        <v>76</v>
      </c>
      <c r="AJ59" s="20" t="s">
        <v>76</v>
      </c>
      <c r="AK59" s="20" t="s">
        <v>76</v>
      </c>
      <c r="AL59" s="20" t="s">
        <v>76</v>
      </c>
      <c r="AM59" s="20" t="s">
        <v>76</v>
      </c>
      <c r="AN59" s="20" t="s">
        <v>76</v>
      </c>
      <c r="AO59" s="20" t="s">
        <v>76</v>
      </c>
      <c r="AP59" s="20" t="s">
        <v>76</v>
      </c>
      <c r="AQ59" s="20" t="s">
        <v>76</v>
      </c>
      <c r="AR59" s="20" t="s">
        <v>76</v>
      </c>
      <c r="AS59" s="20" t="s">
        <v>76</v>
      </c>
      <c r="AT59" s="20" t="s">
        <v>76</v>
      </c>
      <c r="AU59" s="20" t="s">
        <v>76</v>
      </c>
      <c r="AV59" s="20" t="s">
        <v>76</v>
      </c>
      <c r="AW59" s="20" t="s">
        <v>76</v>
      </c>
      <c r="AX59" s="20" t="s">
        <v>76</v>
      </c>
      <c r="AY59" s="20" t="s">
        <v>76</v>
      </c>
      <c r="AZ59" s="20" t="s">
        <v>76</v>
      </c>
      <c r="BA59" s="20" t="s">
        <v>76</v>
      </c>
      <c r="BB59" s="20" t="s">
        <v>76</v>
      </c>
      <c r="BC59" s="20" t="s">
        <v>76</v>
      </c>
      <c r="BD59" s="20" t="s">
        <v>76</v>
      </c>
      <c r="BE59" s="20" t="s">
        <v>76</v>
      </c>
      <c r="BF59" s="20" t="s">
        <v>76</v>
      </c>
      <c r="BG59" s="20" t="s">
        <v>76</v>
      </c>
      <c r="BH59" s="20" t="s">
        <v>76</v>
      </c>
      <c r="BI59" s="20" t="s">
        <v>76</v>
      </c>
      <c r="BJ59" s="20" t="s">
        <v>76</v>
      </c>
      <c r="BK59" s="20" t="s">
        <v>76</v>
      </c>
      <c r="BL59" s="20" t="s">
        <v>76</v>
      </c>
      <c r="BM59" s="20" t="s">
        <v>76</v>
      </c>
      <c r="BN59" s="20" t="s">
        <v>76</v>
      </c>
      <c r="BO59" s="20" t="s">
        <v>76</v>
      </c>
      <c r="BP59" s="20" t="s">
        <v>76</v>
      </c>
      <c r="BQ59" s="20" t="s">
        <v>76</v>
      </c>
      <c r="BR59" s="20" t="s">
        <v>76</v>
      </c>
      <c r="BS59" s="20" t="s">
        <v>76</v>
      </c>
      <c r="BT59" s="20" t="s">
        <v>76</v>
      </c>
      <c r="BU59" s="20" t="s">
        <v>76</v>
      </c>
      <c r="BV59" s="20" t="s">
        <v>76</v>
      </c>
      <c r="BW59" s="20" t="s">
        <v>76</v>
      </c>
      <c r="BX59" s="20" t="s">
        <v>76</v>
      </c>
      <c r="BY59" s="20" t="s">
        <v>76</v>
      </c>
      <c r="BZ59" s="20" t="s">
        <v>76</v>
      </c>
      <c r="CA59" s="38" t="s">
        <v>76</v>
      </c>
      <c r="CB59" s="20" t="s">
        <v>76</v>
      </c>
      <c r="CC59" s="20" t="s">
        <v>76</v>
      </c>
      <c r="CD59" s="20" t="s">
        <v>76</v>
      </c>
      <c r="CE59" s="20" t="s">
        <v>76</v>
      </c>
      <c r="CF59" s="20" t="s">
        <v>76</v>
      </c>
      <c r="CG59" s="20" t="s">
        <v>76</v>
      </c>
      <c r="CH59" s="20" t="s">
        <v>76</v>
      </c>
      <c r="CI59" s="20" t="s">
        <v>76</v>
      </c>
      <c r="CJ59" s="20" t="s">
        <v>76</v>
      </c>
      <c r="CK59" s="20" t="s">
        <v>76</v>
      </c>
      <c r="CL59" s="20" t="s">
        <v>76</v>
      </c>
      <c r="CM59" s="26" t="s">
        <v>76</v>
      </c>
      <c r="CN59" s="37"/>
    </row>
    <row r="60" spans="1:92">
      <c r="A60" s="9" t="s">
        <v>315</v>
      </c>
      <c r="B60" s="35">
        <v>0.26052818060632599</v>
      </c>
      <c r="C60" s="32">
        <v>0.201817745528929</v>
      </c>
      <c r="D60" s="38" t="s">
        <v>76</v>
      </c>
      <c r="E60" s="38"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20" t="s">
        <v>76</v>
      </c>
      <c r="AH60" s="20" t="s">
        <v>76</v>
      </c>
      <c r="AI60" s="20" t="s">
        <v>76</v>
      </c>
      <c r="AJ60" s="20" t="s">
        <v>76</v>
      </c>
      <c r="AK60" s="20" t="s">
        <v>76</v>
      </c>
      <c r="AL60" s="20" t="s">
        <v>76</v>
      </c>
      <c r="AM60" s="20" t="s">
        <v>76</v>
      </c>
      <c r="AN60" s="20" t="s">
        <v>76</v>
      </c>
      <c r="AO60" s="20" t="s">
        <v>76</v>
      </c>
      <c r="AP60" s="20" t="s">
        <v>76</v>
      </c>
      <c r="AQ60" s="20" t="s">
        <v>76</v>
      </c>
      <c r="AR60" s="20" t="s">
        <v>76</v>
      </c>
      <c r="AS60" s="20" t="s">
        <v>76</v>
      </c>
      <c r="AT60" s="20" t="s">
        <v>76</v>
      </c>
      <c r="AU60" s="20" t="s">
        <v>76</v>
      </c>
      <c r="AV60" s="20" t="s">
        <v>76</v>
      </c>
      <c r="AW60" s="20" t="s">
        <v>76</v>
      </c>
      <c r="AX60" s="20" t="s">
        <v>76</v>
      </c>
      <c r="AY60" s="20" t="s">
        <v>76</v>
      </c>
      <c r="AZ60" s="20" t="s">
        <v>76</v>
      </c>
      <c r="BA60" s="20" t="s">
        <v>76</v>
      </c>
      <c r="BB60" s="20" t="s">
        <v>76</v>
      </c>
      <c r="BC60" s="20" t="s">
        <v>76</v>
      </c>
      <c r="BD60" s="20" t="s">
        <v>76</v>
      </c>
      <c r="BE60" s="20" t="s">
        <v>76</v>
      </c>
      <c r="BF60" s="20" t="s">
        <v>76</v>
      </c>
      <c r="BG60" s="20" t="s">
        <v>76</v>
      </c>
      <c r="BH60" s="20" t="s">
        <v>76</v>
      </c>
      <c r="BI60" s="20" t="s">
        <v>76</v>
      </c>
      <c r="BJ60" s="20" t="s">
        <v>76</v>
      </c>
      <c r="BK60" s="20" t="s">
        <v>76</v>
      </c>
      <c r="BL60" s="20" t="s">
        <v>76</v>
      </c>
      <c r="BM60" s="20" t="s">
        <v>76</v>
      </c>
      <c r="BN60" s="20" t="s">
        <v>76</v>
      </c>
      <c r="BO60" s="20" t="s">
        <v>76</v>
      </c>
      <c r="BP60" s="20" t="s">
        <v>76</v>
      </c>
      <c r="BQ60" s="20" t="s">
        <v>76</v>
      </c>
      <c r="BR60" s="20" t="s">
        <v>76</v>
      </c>
      <c r="BS60" s="20" t="s">
        <v>76</v>
      </c>
      <c r="BT60" s="20" t="s">
        <v>76</v>
      </c>
      <c r="BU60" s="20" t="s">
        <v>76</v>
      </c>
      <c r="BV60" s="20" t="s">
        <v>76</v>
      </c>
      <c r="BW60" s="20" t="s">
        <v>76</v>
      </c>
      <c r="BX60" s="20" t="s">
        <v>76</v>
      </c>
      <c r="BY60" s="20" t="s">
        <v>76</v>
      </c>
      <c r="BZ60" s="20" t="s">
        <v>76</v>
      </c>
      <c r="CA60" s="38" t="s">
        <v>76</v>
      </c>
      <c r="CB60" s="20" t="s">
        <v>76</v>
      </c>
      <c r="CC60" s="20" t="s">
        <v>76</v>
      </c>
      <c r="CD60" s="20" t="s">
        <v>76</v>
      </c>
      <c r="CE60" s="20" t="s">
        <v>76</v>
      </c>
      <c r="CF60" s="20" t="s">
        <v>76</v>
      </c>
      <c r="CG60" s="20" t="s">
        <v>76</v>
      </c>
      <c r="CH60" s="20" t="s">
        <v>76</v>
      </c>
      <c r="CI60" s="20" t="s">
        <v>76</v>
      </c>
      <c r="CJ60" s="20" t="s">
        <v>76</v>
      </c>
      <c r="CK60" s="20" t="s">
        <v>76</v>
      </c>
      <c r="CL60" s="20" t="s">
        <v>76</v>
      </c>
      <c r="CM60" s="26" t="s">
        <v>76</v>
      </c>
      <c r="CN60" s="37"/>
    </row>
    <row r="61" spans="1:92">
      <c r="A61" s="9" t="s">
        <v>316</v>
      </c>
      <c r="B61" s="35">
        <v>0.25084235537058402</v>
      </c>
      <c r="C61" s="32">
        <v>0.234580420505072</v>
      </c>
      <c r="D61" s="38" t="s">
        <v>76</v>
      </c>
      <c r="E61" s="38"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20" t="s">
        <v>76</v>
      </c>
      <c r="AH61" s="20" t="s">
        <v>76</v>
      </c>
      <c r="AI61" s="20" t="s">
        <v>76</v>
      </c>
      <c r="AJ61" s="20" t="s">
        <v>76</v>
      </c>
      <c r="AK61" s="20" t="s">
        <v>76</v>
      </c>
      <c r="AL61" s="20" t="s">
        <v>76</v>
      </c>
      <c r="AM61" s="20" t="s">
        <v>76</v>
      </c>
      <c r="AN61" s="20" t="s">
        <v>76</v>
      </c>
      <c r="AO61" s="20" t="s">
        <v>76</v>
      </c>
      <c r="AP61" s="20" t="s">
        <v>76</v>
      </c>
      <c r="AQ61" s="20" t="s">
        <v>76</v>
      </c>
      <c r="AR61" s="20" t="s">
        <v>76</v>
      </c>
      <c r="AS61" s="20" t="s">
        <v>76</v>
      </c>
      <c r="AT61" s="20" t="s">
        <v>76</v>
      </c>
      <c r="AU61" s="20" t="s">
        <v>76</v>
      </c>
      <c r="AV61" s="20" t="s">
        <v>76</v>
      </c>
      <c r="AW61" s="20" t="s">
        <v>76</v>
      </c>
      <c r="AX61" s="20" t="s">
        <v>76</v>
      </c>
      <c r="AY61" s="20" t="s">
        <v>76</v>
      </c>
      <c r="AZ61" s="20" t="s">
        <v>76</v>
      </c>
      <c r="BA61" s="20" t="s">
        <v>76</v>
      </c>
      <c r="BB61" s="20" t="s">
        <v>76</v>
      </c>
      <c r="BC61" s="20" t="s">
        <v>76</v>
      </c>
      <c r="BD61" s="20" t="s">
        <v>76</v>
      </c>
      <c r="BE61" s="20" t="s">
        <v>76</v>
      </c>
      <c r="BF61" s="20" t="s">
        <v>76</v>
      </c>
      <c r="BG61" s="20" t="s">
        <v>76</v>
      </c>
      <c r="BH61" s="20" t="s">
        <v>76</v>
      </c>
      <c r="BI61" s="20" t="s">
        <v>76</v>
      </c>
      <c r="BJ61" s="20" t="s">
        <v>76</v>
      </c>
      <c r="BK61" s="20" t="s">
        <v>76</v>
      </c>
      <c r="BL61" s="20" t="s">
        <v>76</v>
      </c>
      <c r="BM61" s="20" t="s">
        <v>76</v>
      </c>
      <c r="BN61" s="20" t="s">
        <v>76</v>
      </c>
      <c r="BO61" s="20" t="s">
        <v>76</v>
      </c>
      <c r="BP61" s="20" t="s">
        <v>76</v>
      </c>
      <c r="BQ61" s="20" t="s">
        <v>76</v>
      </c>
      <c r="BR61" s="20" t="s">
        <v>76</v>
      </c>
      <c r="BS61" s="20" t="s">
        <v>76</v>
      </c>
      <c r="BT61" s="20" t="s">
        <v>76</v>
      </c>
      <c r="BU61" s="20" t="s">
        <v>76</v>
      </c>
      <c r="BV61" s="20" t="s">
        <v>76</v>
      </c>
      <c r="BW61" s="20" t="s">
        <v>76</v>
      </c>
      <c r="BX61" s="20" t="s">
        <v>76</v>
      </c>
      <c r="BY61" s="20" t="s">
        <v>76</v>
      </c>
      <c r="BZ61" s="20" t="s">
        <v>76</v>
      </c>
      <c r="CA61" s="38" t="s">
        <v>76</v>
      </c>
      <c r="CB61" s="20" t="s">
        <v>76</v>
      </c>
      <c r="CC61" s="20" t="s">
        <v>76</v>
      </c>
      <c r="CD61" s="20" t="s">
        <v>76</v>
      </c>
      <c r="CE61" s="20" t="s">
        <v>76</v>
      </c>
      <c r="CF61" s="20" t="s">
        <v>76</v>
      </c>
      <c r="CG61" s="20" t="s">
        <v>76</v>
      </c>
      <c r="CH61" s="20" t="s">
        <v>76</v>
      </c>
      <c r="CI61" s="20" t="s">
        <v>76</v>
      </c>
      <c r="CJ61" s="20" t="s">
        <v>76</v>
      </c>
      <c r="CK61" s="20" t="s">
        <v>76</v>
      </c>
      <c r="CL61" s="20" t="s">
        <v>76</v>
      </c>
      <c r="CM61" s="26" t="s">
        <v>76</v>
      </c>
      <c r="CN61" s="37"/>
    </row>
    <row r="62" spans="1:92">
      <c r="A62" s="9" t="s">
        <v>317</v>
      </c>
      <c r="B62" s="35">
        <v>0.50204599585685095</v>
      </c>
      <c r="C62" s="32">
        <v>0.60903491496210704</v>
      </c>
      <c r="D62" s="32">
        <v>0.42961731050714602</v>
      </c>
      <c r="E62" s="38" t="s">
        <v>76</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20" t="s">
        <v>76</v>
      </c>
      <c r="AB62" s="20" t="s">
        <v>76</v>
      </c>
      <c r="AC62" s="20" t="s">
        <v>76</v>
      </c>
      <c r="AD62" s="20" t="s">
        <v>76</v>
      </c>
      <c r="AE62" s="20" t="s">
        <v>76</v>
      </c>
      <c r="AF62" s="20" t="s">
        <v>76</v>
      </c>
      <c r="AG62" s="20" t="s">
        <v>76</v>
      </c>
      <c r="AH62" s="20" t="s">
        <v>76</v>
      </c>
      <c r="AI62" s="20" t="s">
        <v>76</v>
      </c>
      <c r="AJ62" s="20" t="s">
        <v>76</v>
      </c>
      <c r="AK62" s="20" t="s">
        <v>76</v>
      </c>
      <c r="AL62" s="20" t="s">
        <v>76</v>
      </c>
      <c r="AM62" s="20" t="s">
        <v>76</v>
      </c>
      <c r="AN62" s="20" t="s">
        <v>76</v>
      </c>
      <c r="AO62" s="20" t="s">
        <v>76</v>
      </c>
      <c r="AP62" s="20" t="s">
        <v>76</v>
      </c>
      <c r="AQ62" s="20" t="s">
        <v>76</v>
      </c>
      <c r="AR62" s="20" t="s">
        <v>76</v>
      </c>
      <c r="AS62" s="20" t="s">
        <v>76</v>
      </c>
      <c r="AT62" s="20" t="s">
        <v>76</v>
      </c>
      <c r="AU62" s="20" t="s">
        <v>76</v>
      </c>
      <c r="AV62" s="20" t="s">
        <v>76</v>
      </c>
      <c r="AW62" s="20" t="s">
        <v>76</v>
      </c>
      <c r="AX62" s="20" t="s">
        <v>76</v>
      </c>
      <c r="AY62" s="20" t="s">
        <v>76</v>
      </c>
      <c r="AZ62" s="20" t="s">
        <v>76</v>
      </c>
      <c r="BA62" s="20" t="s">
        <v>76</v>
      </c>
      <c r="BB62" s="20" t="s">
        <v>76</v>
      </c>
      <c r="BC62" s="20" t="s">
        <v>76</v>
      </c>
      <c r="BD62" s="20" t="s">
        <v>76</v>
      </c>
      <c r="BE62" s="20" t="s">
        <v>76</v>
      </c>
      <c r="BF62" s="20" t="s">
        <v>76</v>
      </c>
      <c r="BG62" s="20" t="s">
        <v>76</v>
      </c>
      <c r="BH62" s="20" t="s">
        <v>76</v>
      </c>
      <c r="BI62" s="20" t="s">
        <v>76</v>
      </c>
      <c r="BJ62" s="20" t="s">
        <v>76</v>
      </c>
      <c r="BK62" s="20" t="s">
        <v>76</v>
      </c>
      <c r="BL62" s="20" t="s">
        <v>76</v>
      </c>
      <c r="BM62" s="20" t="s">
        <v>76</v>
      </c>
      <c r="BN62" s="20" t="s">
        <v>76</v>
      </c>
      <c r="BO62" s="20" t="s">
        <v>76</v>
      </c>
      <c r="BP62" s="20" t="s">
        <v>76</v>
      </c>
      <c r="BQ62" s="20" t="s">
        <v>76</v>
      </c>
      <c r="BR62" s="20" t="s">
        <v>76</v>
      </c>
      <c r="BS62" s="20" t="s">
        <v>76</v>
      </c>
      <c r="BT62" s="20" t="s">
        <v>76</v>
      </c>
      <c r="BU62" s="20" t="s">
        <v>76</v>
      </c>
      <c r="BV62" s="20" t="s">
        <v>76</v>
      </c>
      <c r="BW62" s="20" t="s">
        <v>76</v>
      </c>
      <c r="BX62" s="20" t="s">
        <v>76</v>
      </c>
      <c r="BY62" s="20" t="s">
        <v>76</v>
      </c>
      <c r="BZ62" s="20" t="s">
        <v>76</v>
      </c>
      <c r="CA62" s="38" t="s">
        <v>76</v>
      </c>
      <c r="CB62" s="20" t="s">
        <v>76</v>
      </c>
      <c r="CC62" s="20" t="s">
        <v>76</v>
      </c>
      <c r="CD62" s="20" t="s">
        <v>76</v>
      </c>
      <c r="CE62" s="20" t="s">
        <v>76</v>
      </c>
      <c r="CF62" s="20" t="s">
        <v>76</v>
      </c>
      <c r="CG62" s="20" t="s">
        <v>76</v>
      </c>
      <c r="CH62" s="20" t="s">
        <v>76</v>
      </c>
      <c r="CI62" s="20" t="s">
        <v>76</v>
      </c>
      <c r="CJ62" s="20" t="s">
        <v>76</v>
      </c>
      <c r="CK62" s="20" t="s">
        <v>76</v>
      </c>
      <c r="CL62" s="20" t="s">
        <v>76</v>
      </c>
      <c r="CM62" s="26" t="s">
        <v>76</v>
      </c>
      <c r="CN62" s="37"/>
    </row>
    <row r="63" spans="1:92">
      <c r="A63" s="9" t="s">
        <v>318</v>
      </c>
      <c r="B63" s="35">
        <v>1.9283527759491299</v>
      </c>
      <c r="C63" s="32">
        <v>1.80299030862903</v>
      </c>
      <c r="D63" s="32">
        <v>1.6591804587138299</v>
      </c>
      <c r="E63" s="32">
        <v>2.2202379503863399</v>
      </c>
      <c r="F63" s="20" t="s">
        <v>76</v>
      </c>
      <c r="G63" s="20" t="s">
        <v>76</v>
      </c>
      <c r="H63" s="20" t="s">
        <v>76</v>
      </c>
      <c r="I63" s="20" t="s">
        <v>76</v>
      </c>
      <c r="J63" s="20" t="s">
        <v>76</v>
      </c>
      <c r="K63" s="20" t="s">
        <v>76</v>
      </c>
      <c r="L63" s="20" t="s">
        <v>76</v>
      </c>
      <c r="M63" s="20" t="s">
        <v>76</v>
      </c>
      <c r="N63" s="20" t="s">
        <v>76</v>
      </c>
      <c r="O63" s="20" t="s">
        <v>76</v>
      </c>
      <c r="P63" s="15">
        <v>7.0422535211267601</v>
      </c>
      <c r="Q63" s="20" t="s">
        <v>76</v>
      </c>
      <c r="R63" s="20" t="s">
        <v>76</v>
      </c>
      <c r="S63" s="20" t="s">
        <v>76</v>
      </c>
      <c r="T63" s="20" t="s">
        <v>76</v>
      </c>
      <c r="U63" s="20" t="s">
        <v>76</v>
      </c>
      <c r="V63" s="20" t="s">
        <v>76</v>
      </c>
      <c r="W63" s="20" t="s">
        <v>76</v>
      </c>
      <c r="X63" s="20" t="s">
        <v>76</v>
      </c>
      <c r="Y63" s="20" t="s">
        <v>76</v>
      </c>
      <c r="Z63" s="20" t="s">
        <v>76</v>
      </c>
      <c r="AA63" s="20" t="s">
        <v>76</v>
      </c>
      <c r="AB63" s="20" t="s">
        <v>76</v>
      </c>
      <c r="AC63" s="20" t="s">
        <v>76</v>
      </c>
      <c r="AD63" s="20" t="s">
        <v>76</v>
      </c>
      <c r="AE63" s="20" t="s">
        <v>76</v>
      </c>
      <c r="AF63" s="20" t="s">
        <v>76</v>
      </c>
      <c r="AG63" s="20" t="s">
        <v>76</v>
      </c>
      <c r="AH63" s="20" t="s">
        <v>76</v>
      </c>
      <c r="AI63" s="20" t="s">
        <v>76</v>
      </c>
      <c r="AJ63" s="20" t="s">
        <v>76</v>
      </c>
      <c r="AK63" s="20" t="s">
        <v>76</v>
      </c>
      <c r="AL63" s="20" t="s">
        <v>76</v>
      </c>
      <c r="AM63" s="20" t="s">
        <v>76</v>
      </c>
      <c r="AN63" s="20" t="s">
        <v>76</v>
      </c>
      <c r="AO63" s="20" t="s">
        <v>76</v>
      </c>
      <c r="AP63" s="20" t="s">
        <v>76</v>
      </c>
      <c r="AQ63" s="20" t="s">
        <v>76</v>
      </c>
      <c r="AR63" s="20" t="s">
        <v>76</v>
      </c>
      <c r="AS63" s="20" t="s">
        <v>76</v>
      </c>
      <c r="AT63" s="20" t="s">
        <v>76</v>
      </c>
      <c r="AU63" s="20" t="s">
        <v>76</v>
      </c>
      <c r="AV63" s="20" t="s">
        <v>76</v>
      </c>
      <c r="AW63" s="20" t="s">
        <v>76</v>
      </c>
      <c r="AX63" s="20" t="s">
        <v>76</v>
      </c>
      <c r="AY63" s="20" t="s">
        <v>76</v>
      </c>
      <c r="AZ63" s="20" t="s">
        <v>76</v>
      </c>
      <c r="BA63" s="20" t="s">
        <v>76</v>
      </c>
      <c r="BB63" s="20" t="s">
        <v>76</v>
      </c>
      <c r="BC63" s="20" t="s">
        <v>76</v>
      </c>
      <c r="BD63" s="15">
        <v>6.4102564102564097</v>
      </c>
      <c r="BE63" s="20" t="s">
        <v>76</v>
      </c>
      <c r="BF63" s="20" t="s">
        <v>76</v>
      </c>
      <c r="BG63" s="20" t="s">
        <v>76</v>
      </c>
      <c r="BH63" s="20" t="s">
        <v>76</v>
      </c>
      <c r="BI63" s="20" t="s">
        <v>76</v>
      </c>
      <c r="BJ63" s="15">
        <v>5.3571428571428603</v>
      </c>
      <c r="BK63" s="20" t="s">
        <v>76</v>
      </c>
      <c r="BL63" s="15">
        <v>4.6875</v>
      </c>
      <c r="BM63" s="20" t="s">
        <v>76</v>
      </c>
      <c r="BN63" s="20" t="s">
        <v>76</v>
      </c>
      <c r="BO63" s="15">
        <v>5.5555555555555598</v>
      </c>
      <c r="BP63" s="20" t="s">
        <v>76</v>
      </c>
      <c r="BQ63" s="20" t="s">
        <v>76</v>
      </c>
      <c r="BR63" s="20" t="s">
        <v>76</v>
      </c>
      <c r="BS63" s="20" t="s">
        <v>76</v>
      </c>
      <c r="BT63" s="20" t="s">
        <v>76</v>
      </c>
      <c r="BU63" s="15">
        <v>4.6728971962616797</v>
      </c>
      <c r="BV63" s="20" t="s">
        <v>76</v>
      </c>
      <c r="BW63" s="20" t="s">
        <v>76</v>
      </c>
      <c r="BX63" s="20" t="s">
        <v>76</v>
      </c>
      <c r="BY63" s="20" t="s">
        <v>76</v>
      </c>
      <c r="BZ63" s="20" t="s">
        <v>76</v>
      </c>
      <c r="CA63" s="32">
        <v>1.2060868864212699</v>
      </c>
      <c r="CB63" s="20" t="s">
        <v>76</v>
      </c>
      <c r="CC63" s="20" t="s">
        <v>76</v>
      </c>
      <c r="CD63" s="20" t="s">
        <v>76</v>
      </c>
      <c r="CE63" s="20" t="s">
        <v>76</v>
      </c>
      <c r="CF63" s="15">
        <v>1.79640718562874</v>
      </c>
      <c r="CG63" s="20" t="s">
        <v>76</v>
      </c>
      <c r="CH63" s="15">
        <v>1.65441176470588</v>
      </c>
      <c r="CI63" s="15">
        <v>1.2320328542094501</v>
      </c>
      <c r="CJ63" s="20" t="s">
        <v>76</v>
      </c>
      <c r="CK63" s="20" t="s">
        <v>76</v>
      </c>
      <c r="CL63" s="15">
        <v>2.2727272727272698</v>
      </c>
      <c r="CM63" s="26" t="s">
        <v>76</v>
      </c>
      <c r="CN63" s="37"/>
    </row>
    <row r="64" spans="1:92">
      <c r="A64" s="11" t="s">
        <v>319</v>
      </c>
      <c r="B64" s="36">
        <v>3.71292305971033</v>
      </c>
      <c r="C64" s="33">
        <v>3.5395523870619199</v>
      </c>
      <c r="D64" s="33">
        <v>3.05075755559543</v>
      </c>
      <c r="E64" s="33">
        <v>3.8222415693590599</v>
      </c>
      <c r="F64" s="28" t="s">
        <v>76</v>
      </c>
      <c r="G64" s="28" t="s">
        <v>76</v>
      </c>
      <c r="H64" s="28" t="s">
        <v>76</v>
      </c>
      <c r="I64" s="28" t="s">
        <v>76</v>
      </c>
      <c r="J64" s="28" t="s">
        <v>76</v>
      </c>
      <c r="K64" s="28" t="s">
        <v>76</v>
      </c>
      <c r="L64" s="28" t="s">
        <v>76</v>
      </c>
      <c r="M64" s="28" t="s">
        <v>76</v>
      </c>
      <c r="N64" s="28" t="s">
        <v>76</v>
      </c>
      <c r="O64" s="28" t="s">
        <v>76</v>
      </c>
      <c r="P64" s="16">
        <v>7.0422535211267601</v>
      </c>
      <c r="Q64" s="28" t="s">
        <v>76</v>
      </c>
      <c r="R64" s="28" t="s">
        <v>76</v>
      </c>
      <c r="S64" s="28" t="s">
        <v>76</v>
      </c>
      <c r="T64" s="28" t="s">
        <v>76</v>
      </c>
      <c r="U64" s="28" t="s">
        <v>76</v>
      </c>
      <c r="V64" s="28" t="s">
        <v>76</v>
      </c>
      <c r="W64" s="28" t="s">
        <v>76</v>
      </c>
      <c r="X64" s="28" t="s">
        <v>76</v>
      </c>
      <c r="Y64" s="28" t="s">
        <v>76</v>
      </c>
      <c r="Z64" s="28" t="s">
        <v>76</v>
      </c>
      <c r="AA64" s="16">
        <v>4.5871559633027497</v>
      </c>
      <c r="AB64" s="28" t="s">
        <v>76</v>
      </c>
      <c r="AC64" s="28" t="s">
        <v>76</v>
      </c>
      <c r="AD64" s="28" t="s">
        <v>76</v>
      </c>
      <c r="AE64" s="28" t="s">
        <v>76</v>
      </c>
      <c r="AF64" s="28" t="s">
        <v>76</v>
      </c>
      <c r="AG64" s="16">
        <v>4.7619047619047601</v>
      </c>
      <c r="AH64" s="28" t="s">
        <v>76</v>
      </c>
      <c r="AI64" s="28" t="s">
        <v>76</v>
      </c>
      <c r="AJ64" s="16">
        <v>7.20720720720721</v>
      </c>
      <c r="AK64" s="28" t="s">
        <v>76</v>
      </c>
      <c r="AL64" s="28" t="s">
        <v>76</v>
      </c>
      <c r="AM64" s="16">
        <v>7.8125</v>
      </c>
      <c r="AN64" s="28" t="s">
        <v>76</v>
      </c>
      <c r="AO64" s="28" t="s">
        <v>76</v>
      </c>
      <c r="AP64" s="28" t="s">
        <v>76</v>
      </c>
      <c r="AQ64" s="28" t="s">
        <v>76</v>
      </c>
      <c r="AR64" s="28" t="s">
        <v>76</v>
      </c>
      <c r="AS64" s="28" t="s">
        <v>76</v>
      </c>
      <c r="AT64" s="28" t="s">
        <v>76</v>
      </c>
      <c r="AU64" s="16">
        <v>10.2040816326531</v>
      </c>
      <c r="AV64" s="28" t="s">
        <v>76</v>
      </c>
      <c r="AW64" s="28" t="s">
        <v>76</v>
      </c>
      <c r="AX64" s="28" t="s">
        <v>76</v>
      </c>
      <c r="AY64" s="28" t="s">
        <v>76</v>
      </c>
      <c r="AZ64" s="28" t="s">
        <v>76</v>
      </c>
      <c r="BA64" s="28" t="s">
        <v>76</v>
      </c>
      <c r="BB64" s="16">
        <v>10.4477611940298</v>
      </c>
      <c r="BC64" s="28" t="s">
        <v>76</v>
      </c>
      <c r="BD64" s="28" t="s">
        <v>76</v>
      </c>
      <c r="BE64" s="28" t="s">
        <v>76</v>
      </c>
      <c r="BF64" s="28" t="s">
        <v>76</v>
      </c>
      <c r="BG64" s="28" t="s">
        <v>76</v>
      </c>
      <c r="BH64" s="28" t="s">
        <v>76</v>
      </c>
      <c r="BI64" s="28" t="s">
        <v>76</v>
      </c>
      <c r="BJ64" s="28" t="s">
        <v>76</v>
      </c>
      <c r="BK64" s="28" t="s">
        <v>76</v>
      </c>
      <c r="BL64" s="16">
        <v>4.6875</v>
      </c>
      <c r="BM64" s="28" t="s">
        <v>76</v>
      </c>
      <c r="BN64" s="28" t="s">
        <v>76</v>
      </c>
      <c r="BO64" s="16">
        <v>7.7777777777777803</v>
      </c>
      <c r="BP64" s="28" t="s">
        <v>76</v>
      </c>
      <c r="BQ64" s="28" t="s">
        <v>76</v>
      </c>
      <c r="BR64" s="28" t="s">
        <v>76</v>
      </c>
      <c r="BS64" s="28" t="s">
        <v>76</v>
      </c>
      <c r="BT64" s="28" t="s">
        <v>76</v>
      </c>
      <c r="BU64" s="16">
        <v>4.6728971962616797</v>
      </c>
      <c r="BV64" s="16">
        <v>8.0808080808080796</v>
      </c>
      <c r="BW64" s="28" t="s">
        <v>76</v>
      </c>
      <c r="BX64" s="28" t="s">
        <v>76</v>
      </c>
      <c r="BY64" s="28" t="s">
        <v>76</v>
      </c>
      <c r="BZ64" s="16">
        <v>4.7619047619047601</v>
      </c>
      <c r="CA64" s="33">
        <v>2.4277296966843198</v>
      </c>
      <c r="CB64" s="16">
        <v>2.5559105431309899</v>
      </c>
      <c r="CC64" s="16">
        <v>2.2012578616352201</v>
      </c>
      <c r="CD64" s="16">
        <v>3.2258064516128999</v>
      </c>
      <c r="CE64" s="28" t="s">
        <v>76</v>
      </c>
      <c r="CF64" s="16">
        <v>2.39520958083832</v>
      </c>
      <c r="CG64" s="28" t="s">
        <v>76</v>
      </c>
      <c r="CH64" s="16">
        <v>4.2279411764705896</v>
      </c>
      <c r="CI64" s="16">
        <v>1.2320328542094501</v>
      </c>
      <c r="CJ64" s="16">
        <v>2.3529411764705901</v>
      </c>
      <c r="CK64" s="16">
        <v>2.2421524663677102</v>
      </c>
      <c r="CL64" s="16">
        <v>3.0303030303030298</v>
      </c>
      <c r="CM64" s="25">
        <v>3.64025695931478</v>
      </c>
      <c r="CN64" s="37"/>
    </row>
    <row r="65" spans="1:1" ht="30" customHeight="1">
      <c r="A65" t="s">
        <v>252</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99"/>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327</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91.627918335512007</v>
      </c>
      <c r="C3" s="15">
        <v>92.097867309582099</v>
      </c>
      <c r="D3" s="24">
        <v>91.239552661238406</v>
      </c>
      <c r="E3" s="15">
        <v>92.354023963369201</v>
      </c>
      <c r="F3" s="15">
        <v>92.847689737310006</v>
      </c>
      <c r="G3" s="24">
        <v>91.939919007607898</v>
      </c>
      <c r="H3" s="15">
        <v>90.8437538669981</v>
      </c>
      <c r="I3" s="15">
        <v>91.220872219963198</v>
      </c>
      <c r="J3" s="24">
        <v>90.526764490806002</v>
      </c>
      <c r="K3" s="15">
        <v>92.970081310319898</v>
      </c>
      <c r="L3" s="15">
        <v>94.352570139990704</v>
      </c>
      <c r="M3" s="24">
        <v>92.621489513742702</v>
      </c>
      <c r="N3" s="15">
        <v>91.315851762401607</v>
      </c>
      <c r="O3" s="15">
        <v>93.708022198470402</v>
      </c>
      <c r="P3" s="24">
        <v>89.585764145598603</v>
      </c>
    </row>
    <row r="4" spans="1:16" ht="21.95" customHeight="1">
      <c r="A4" s="22" t="s">
        <v>69</v>
      </c>
      <c r="B4" s="15">
        <v>92.237062822459706</v>
      </c>
      <c r="C4" s="15">
        <v>91.765336566181702</v>
      </c>
      <c r="D4" s="24">
        <v>92.623970206853102</v>
      </c>
      <c r="E4" s="15">
        <v>92.971555828060303</v>
      </c>
      <c r="F4" s="15">
        <v>92.7581172152005</v>
      </c>
      <c r="G4" s="24">
        <v>93.1499588310257</v>
      </c>
      <c r="H4" s="15">
        <v>91.501660971005606</v>
      </c>
      <c r="I4" s="15">
        <v>90.682023476161703</v>
      </c>
      <c r="J4" s="24">
        <v>92.175429509148202</v>
      </c>
      <c r="K4" s="15">
        <v>93.189667388292605</v>
      </c>
      <c r="L4" s="15">
        <v>96.254783673310698</v>
      </c>
      <c r="M4" s="24">
        <v>92.246323073234905</v>
      </c>
      <c r="N4" s="15">
        <v>90.866262497222905</v>
      </c>
      <c r="O4" s="15">
        <v>91.225034724996306</v>
      </c>
      <c r="P4" s="24">
        <v>90.585253989232001</v>
      </c>
    </row>
    <row r="5" spans="1:16" ht="21.95" customHeight="1">
      <c r="A5" s="22" t="s">
        <v>70</v>
      </c>
      <c r="B5" s="15">
        <v>92.262748345113806</v>
      </c>
      <c r="C5" s="15">
        <v>92.2496227397084</v>
      </c>
      <c r="D5" s="24">
        <v>92.273348199014407</v>
      </c>
      <c r="E5" s="15">
        <v>92.464278471769504</v>
      </c>
      <c r="F5" s="15">
        <v>92.8625276928326</v>
      </c>
      <c r="G5" s="24">
        <v>92.140351144492101</v>
      </c>
      <c r="H5" s="15">
        <v>92.035336665750094</v>
      </c>
      <c r="I5" s="15">
        <v>91.380224422133693</v>
      </c>
      <c r="J5" s="24">
        <v>92.575950518627195</v>
      </c>
      <c r="K5" s="15">
        <v>91.520254671757996</v>
      </c>
      <c r="L5" s="20" t="s">
        <v>76</v>
      </c>
      <c r="M5" s="24">
        <v>89.670755313405294</v>
      </c>
      <c r="N5" s="15">
        <v>93.106921506638997</v>
      </c>
      <c r="O5" s="15">
        <v>97.143884947902706</v>
      </c>
      <c r="P5" s="24">
        <v>90.334223573027998</v>
      </c>
    </row>
    <row r="6" spans="1:16" ht="21.95" customHeight="1">
      <c r="A6" s="22" t="s">
        <v>165</v>
      </c>
      <c r="B6" s="15">
        <v>92.2496227397084</v>
      </c>
      <c r="C6" s="15">
        <v>92.2496227397084</v>
      </c>
      <c r="D6" s="26" t="s">
        <v>76</v>
      </c>
      <c r="E6" s="15">
        <v>92.8625276928326</v>
      </c>
      <c r="F6" s="15">
        <v>92.8625276928326</v>
      </c>
      <c r="G6" s="26" t="s">
        <v>76</v>
      </c>
      <c r="H6" s="15">
        <v>91.380224422133693</v>
      </c>
      <c r="I6" s="15">
        <v>91.380224422133693</v>
      </c>
      <c r="J6" s="26" t="s">
        <v>76</v>
      </c>
      <c r="K6" s="20" t="s">
        <v>76</v>
      </c>
      <c r="L6" s="20" t="s">
        <v>76</v>
      </c>
      <c r="M6" s="26" t="s">
        <v>76</v>
      </c>
      <c r="N6" s="15">
        <v>97.143884947902706</v>
      </c>
      <c r="O6" s="15">
        <v>97.143884947902706</v>
      </c>
      <c r="P6" s="26" t="s">
        <v>76</v>
      </c>
    </row>
    <row r="7" spans="1:16">
      <c r="A7" s="9" t="s">
        <v>166</v>
      </c>
      <c r="B7" s="15">
        <v>100</v>
      </c>
      <c r="C7" s="15">
        <v>100</v>
      </c>
      <c r="D7" s="26" t="s">
        <v>76</v>
      </c>
      <c r="E7" s="15">
        <v>100</v>
      </c>
      <c r="F7" s="15">
        <v>100</v>
      </c>
      <c r="G7" s="26" t="s">
        <v>76</v>
      </c>
      <c r="H7" s="15">
        <v>100</v>
      </c>
      <c r="I7" s="15">
        <v>100</v>
      </c>
      <c r="J7" s="26" t="s">
        <v>76</v>
      </c>
      <c r="K7" s="20" t="s">
        <v>76</v>
      </c>
      <c r="L7" s="20" t="s">
        <v>76</v>
      </c>
      <c r="M7" s="26" t="s">
        <v>76</v>
      </c>
      <c r="N7" s="20" t="s">
        <v>76</v>
      </c>
      <c r="O7" s="20" t="s">
        <v>76</v>
      </c>
      <c r="P7" s="26" t="s">
        <v>76</v>
      </c>
    </row>
    <row r="8" spans="1:16">
      <c r="A8" s="9" t="s">
        <v>167</v>
      </c>
      <c r="B8" s="15">
        <v>94.117647058823493</v>
      </c>
      <c r="C8" s="15">
        <v>94.117647058823493</v>
      </c>
      <c r="D8" s="26" t="s">
        <v>76</v>
      </c>
      <c r="E8" s="15">
        <v>85.714285714285694</v>
      </c>
      <c r="F8" s="15">
        <v>85.714285714285694</v>
      </c>
      <c r="G8" s="26" t="s">
        <v>76</v>
      </c>
      <c r="H8" s="15">
        <v>100</v>
      </c>
      <c r="I8" s="15">
        <v>100</v>
      </c>
      <c r="J8" s="26" t="s">
        <v>76</v>
      </c>
      <c r="K8" s="20" t="s">
        <v>76</v>
      </c>
      <c r="L8" s="20" t="s">
        <v>76</v>
      </c>
      <c r="M8" s="26" t="s">
        <v>76</v>
      </c>
      <c r="N8" s="20" t="s">
        <v>76</v>
      </c>
      <c r="O8" s="20" t="s">
        <v>76</v>
      </c>
      <c r="P8" s="26" t="s">
        <v>76</v>
      </c>
    </row>
    <row r="9" spans="1:16">
      <c r="A9" s="9" t="s">
        <v>168</v>
      </c>
      <c r="B9" s="15">
        <v>100</v>
      </c>
      <c r="C9" s="15">
        <v>100</v>
      </c>
      <c r="D9" s="26" t="s">
        <v>76</v>
      </c>
      <c r="E9" s="15">
        <v>100</v>
      </c>
      <c r="F9" s="15">
        <v>100</v>
      </c>
      <c r="G9" s="26" t="s">
        <v>76</v>
      </c>
      <c r="H9" s="15">
        <v>100</v>
      </c>
      <c r="I9" s="15">
        <v>100</v>
      </c>
      <c r="J9" s="26" t="s">
        <v>76</v>
      </c>
      <c r="K9" s="20" t="s">
        <v>76</v>
      </c>
      <c r="L9" s="20" t="s">
        <v>76</v>
      </c>
      <c r="M9" s="26" t="s">
        <v>76</v>
      </c>
      <c r="N9" s="20" t="s">
        <v>76</v>
      </c>
      <c r="O9" s="20" t="s">
        <v>76</v>
      </c>
      <c r="P9" s="26" t="s">
        <v>76</v>
      </c>
    </row>
    <row r="10" spans="1:16">
      <c r="A10" s="9" t="s">
        <v>169</v>
      </c>
      <c r="B10" s="15">
        <v>100</v>
      </c>
      <c r="C10" s="15">
        <v>100</v>
      </c>
      <c r="D10" s="26" t="s">
        <v>76</v>
      </c>
      <c r="E10" s="15">
        <v>100</v>
      </c>
      <c r="F10" s="15">
        <v>100</v>
      </c>
      <c r="G10" s="26" t="s">
        <v>76</v>
      </c>
      <c r="H10" s="15">
        <v>100</v>
      </c>
      <c r="I10" s="15">
        <v>100</v>
      </c>
      <c r="J10" s="26" t="s">
        <v>76</v>
      </c>
      <c r="K10" s="20" t="s">
        <v>76</v>
      </c>
      <c r="L10" s="20" t="s">
        <v>76</v>
      </c>
      <c r="M10" s="26" t="s">
        <v>76</v>
      </c>
      <c r="N10" s="20" t="s">
        <v>76</v>
      </c>
      <c r="O10" s="20" t="s">
        <v>76</v>
      </c>
      <c r="P10" s="26" t="s">
        <v>76</v>
      </c>
    </row>
    <row r="11" spans="1:16">
      <c r="A11" s="9" t="s">
        <v>170</v>
      </c>
      <c r="B11" s="15">
        <v>92.3611111111111</v>
      </c>
      <c r="C11" s="15">
        <v>92.3611111111111</v>
      </c>
      <c r="D11" s="26" t="s">
        <v>76</v>
      </c>
      <c r="E11" s="15">
        <v>93.827160493827193</v>
      </c>
      <c r="F11" s="15">
        <v>93.827160493827193</v>
      </c>
      <c r="G11" s="26" t="s">
        <v>76</v>
      </c>
      <c r="H11" s="15">
        <v>90.476190476190496</v>
      </c>
      <c r="I11" s="15">
        <v>90.476190476190496</v>
      </c>
      <c r="J11" s="26" t="s">
        <v>76</v>
      </c>
      <c r="K11" s="20" t="s">
        <v>76</v>
      </c>
      <c r="L11" s="20" t="s">
        <v>76</v>
      </c>
      <c r="M11" s="26" t="s">
        <v>76</v>
      </c>
      <c r="N11" s="20" t="s">
        <v>76</v>
      </c>
      <c r="O11" s="20" t="s">
        <v>76</v>
      </c>
      <c r="P11" s="26" t="s">
        <v>76</v>
      </c>
    </row>
    <row r="12" spans="1:16">
      <c r="A12" s="9" t="s">
        <v>171</v>
      </c>
      <c r="B12" s="15">
        <v>89.743589743589695</v>
      </c>
      <c r="C12" s="15">
        <v>89.743589743589695</v>
      </c>
      <c r="D12" s="26" t="s">
        <v>76</v>
      </c>
      <c r="E12" s="15">
        <v>94.4444444444444</v>
      </c>
      <c r="F12" s="15">
        <v>94.4444444444444</v>
      </c>
      <c r="G12" s="26" t="s">
        <v>76</v>
      </c>
      <c r="H12" s="15">
        <v>85.714285714285694</v>
      </c>
      <c r="I12" s="15">
        <v>85.714285714285694</v>
      </c>
      <c r="J12" s="26" t="s">
        <v>76</v>
      </c>
      <c r="K12" s="20" t="s">
        <v>76</v>
      </c>
      <c r="L12" s="20" t="s">
        <v>76</v>
      </c>
      <c r="M12" s="26" t="s">
        <v>76</v>
      </c>
      <c r="N12" s="20" t="s">
        <v>76</v>
      </c>
      <c r="O12" s="20" t="s">
        <v>76</v>
      </c>
      <c r="P12" s="26" t="s">
        <v>76</v>
      </c>
    </row>
    <row r="13" spans="1:16">
      <c r="A13" s="9" t="s">
        <v>172</v>
      </c>
      <c r="B13" s="15">
        <v>88.524590163934405</v>
      </c>
      <c r="C13" s="15">
        <v>88.524590163934405</v>
      </c>
      <c r="D13" s="26" t="s">
        <v>76</v>
      </c>
      <c r="E13" s="15">
        <v>93.103448275862107</v>
      </c>
      <c r="F13" s="15">
        <v>93.103448275862107</v>
      </c>
      <c r="G13" s="26" t="s">
        <v>76</v>
      </c>
      <c r="H13" s="15">
        <v>84.375</v>
      </c>
      <c r="I13" s="15">
        <v>84.375</v>
      </c>
      <c r="J13" s="26" t="s">
        <v>76</v>
      </c>
      <c r="K13" s="20" t="s">
        <v>76</v>
      </c>
      <c r="L13" s="20" t="s">
        <v>76</v>
      </c>
      <c r="M13" s="26" t="s">
        <v>76</v>
      </c>
      <c r="N13" s="20" t="s">
        <v>76</v>
      </c>
      <c r="O13" s="20" t="s">
        <v>76</v>
      </c>
      <c r="P13" s="26" t="s">
        <v>76</v>
      </c>
    </row>
    <row r="14" spans="1:16">
      <c r="A14" s="9" t="s">
        <v>173</v>
      </c>
      <c r="B14" s="15">
        <v>93.421052631578902</v>
      </c>
      <c r="C14" s="15">
        <v>93.421052631578902</v>
      </c>
      <c r="D14" s="26" t="s">
        <v>76</v>
      </c>
      <c r="E14" s="15">
        <v>91.891891891891902</v>
      </c>
      <c r="F14" s="15">
        <v>91.891891891891902</v>
      </c>
      <c r="G14" s="26" t="s">
        <v>76</v>
      </c>
      <c r="H14" s="15">
        <v>94.736842105263193</v>
      </c>
      <c r="I14" s="15">
        <v>94.736842105263193</v>
      </c>
      <c r="J14" s="26" t="s">
        <v>76</v>
      </c>
      <c r="K14" s="20" t="s">
        <v>76</v>
      </c>
      <c r="L14" s="20" t="s">
        <v>76</v>
      </c>
      <c r="M14" s="26" t="s">
        <v>76</v>
      </c>
      <c r="N14" s="20" t="s">
        <v>76</v>
      </c>
      <c r="O14" s="20" t="s">
        <v>76</v>
      </c>
      <c r="P14" s="26" t="s">
        <v>76</v>
      </c>
    </row>
    <row r="15" spans="1:16">
      <c r="A15" s="9" t="s">
        <v>174</v>
      </c>
      <c r="B15" s="15">
        <v>67.058823529411796</v>
      </c>
      <c r="C15" s="15">
        <v>67.058823529411796</v>
      </c>
      <c r="D15" s="26" t="s">
        <v>76</v>
      </c>
      <c r="E15" s="15">
        <v>73.170731707317103</v>
      </c>
      <c r="F15" s="15">
        <v>73.170731707317103</v>
      </c>
      <c r="G15" s="26" t="s">
        <v>76</v>
      </c>
      <c r="H15" s="15">
        <v>61.363636363636402</v>
      </c>
      <c r="I15" s="15">
        <v>61.363636363636402</v>
      </c>
      <c r="J15" s="26" t="s">
        <v>76</v>
      </c>
      <c r="K15" s="20" t="s">
        <v>76</v>
      </c>
      <c r="L15" s="20" t="s">
        <v>76</v>
      </c>
      <c r="M15" s="26" t="s">
        <v>76</v>
      </c>
      <c r="N15" s="20" t="s">
        <v>76</v>
      </c>
      <c r="O15" s="20" t="s">
        <v>76</v>
      </c>
      <c r="P15" s="26" t="s">
        <v>76</v>
      </c>
    </row>
    <row r="16" spans="1:16">
      <c r="A16" s="9" t="s">
        <v>175</v>
      </c>
      <c r="B16" s="15">
        <v>93.023255813953497</v>
      </c>
      <c r="C16" s="15">
        <v>93.023255813953497</v>
      </c>
      <c r="D16" s="26" t="s">
        <v>76</v>
      </c>
      <c r="E16" s="15">
        <v>85.714285714285694</v>
      </c>
      <c r="F16" s="15">
        <v>85.714285714285694</v>
      </c>
      <c r="G16" s="26" t="s">
        <v>76</v>
      </c>
      <c r="H16" s="15">
        <v>100</v>
      </c>
      <c r="I16" s="15">
        <v>100</v>
      </c>
      <c r="J16" s="26" t="s">
        <v>76</v>
      </c>
      <c r="K16" s="20" t="s">
        <v>76</v>
      </c>
      <c r="L16" s="20" t="s">
        <v>76</v>
      </c>
      <c r="M16" s="26" t="s">
        <v>76</v>
      </c>
      <c r="N16" s="20" t="s">
        <v>76</v>
      </c>
      <c r="O16" s="20" t="s">
        <v>76</v>
      </c>
      <c r="P16" s="26" t="s">
        <v>76</v>
      </c>
    </row>
    <row r="17" spans="1:16">
      <c r="A17" s="9" t="s">
        <v>176</v>
      </c>
      <c r="B17" s="15">
        <v>83.098591549295804</v>
      </c>
      <c r="C17" s="15">
        <v>83.098591549295804</v>
      </c>
      <c r="D17" s="26" t="s">
        <v>76</v>
      </c>
      <c r="E17" s="15">
        <v>84.615384615384599</v>
      </c>
      <c r="F17" s="15">
        <v>84.615384615384599</v>
      </c>
      <c r="G17" s="26" t="s">
        <v>76</v>
      </c>
      <c r="H17" s="15">
        <v>81.25</v>
      </c>
      <c r="I17" s="15">
        <v>81.25</v>
      </c>
      <c r="J17" s="26" t="s">
        <v>76</v>
      </c>
      <c r="K17" s="20" t="s">
        <v>76</v>
      </c>
      <c r="L17" s="20" t="s">
        <v>76</v>
      </c>
      <c r="M17" s="26" t="s">
        <v>76</v>
      </c>
      <c r="N17" s="20" t="s">
        <v>76</v>
      </c>
      <c r="O17" s="20" t="s">
        <v>76</v>
      </c>
      <c r="P17" s="26" t="s">
        <v>76</v>
      </c>
    </row>
    <row r="18" spans="1:16">
      <c r="A18" s="9" t="s">
        <v>177</v>
      </c>
      <c r="B18" s="15">
        <v>97.183098591549296</v>
      </c>
      <c r="C18" s="15">
        <v>97.183098591549296</v>
      </c>
      <c r="D18" s="26" t="s">
        <v>76</v>
      </c>
      <c r="E18" s="15">
        <v>96.551724137931004</v>
      </c>
      <c r="F18" s="15">
        <v>96.551724137931004</v>
      </c>
      <c r="G18" s="26" t="s">
        <v>76</v>
      </c>
      <c r="H18" s="15">
        <v>97.5</v>
      </c>
      <c r="I18" s="15">
        <v>97.5</v>
      </c>
      <c r="J18" s="26" t="s">
        <v>76</v>
      </c>
      <c r="K18" s="20" t="s">
        <v>76</v>
      </c>
      <c r="L18" s="20" t="s">
        <v>76</v>
      </c>
      <c r="M18" s="26" t="s">
        <v>76</v>
      </c>
      <c r="N18" s="20" t="s">
        <v>76</v>
      </c>
      <c r="O18" s="20" t="s">
        <v>76</v>
      </c>
      <c r="P18" s="26" t="s">
        <v>76</v>
      </c>
    </row>
    <row r="19" spans="1:16">
      <c r="A19" s="9" t="s">
        <v>178</v>
      </c>
      <c r="B19" s="15">
        <v>92.307692307692307</v>
      </c>
      <c r="C19" s="15">
        <v>92.307692307692307</v>
      </c>
      <c r="D19" s="26" t="s">
        <v>76</v>
      </c>
      <c r="E19" s="15">
        <v>100</v>
      </c>
      <c r="F19" s="15">
        <v>100</v>
      </c>
      <c r="G19" s="26" t="s">
        <v>76</v>
      </c>
      <c r="H19" s="15">
        <v>87.5</v>
      </c>
      <c r="I19" s="15">
        <v>87.5</v>
      </c>
      <c r="J19" s="26" t="s">
        <v>76</v>
      </c>
      <c r="K19" s="20" t="s">
        <v>76</v>
      </c>
      <c r="L19" s="20" t="s">
        <v>76</v>
      </c>
      <c r="M19" s="26" t="s">
        <v>76</v>
      </c>
      <c r="N19" s="20" t="s">
        <v>76</v>
      </c>
      <c r="O19" s="20" t="s">
        <v>76</v>
      </c>
      <c r="P19" s="26" t="s">
        <v>76</v>
      </c>
    </row>
    <row r="20" spans="1:16">
      <c r="A20" s="9" t="s">
        <v>179</v>
      </c>
      <c r="B20" s="15">
        <v>90.243902439024396</v>
      </c>
      <c r="C20" s="15">
        <v>90.243902439024396</v>
      </c>
      <c r="D20" s="26" t="s">
        <v>76</v>
      </c>
      <c r="E20" s="15">
        <v>90.909090909090907</v>
      </c>
      <c r="F20" s="15">
        <v>90.909090909090907</v>
      </c>
      <c r="G20" s="26" t="s">
        <v>76</v>
      </c>
      <c r="H20" s="15">
        <v>88.235294117647101</v>
      </c>
      <c r="I20" s="15">
        <v>88.235294117647101</v>
      </c>
      <c r="J20" s="26" t="s">
        <v>76</v>
      </c>
      <c r="K20" s="20" t="s">
        <v>76</v>
      </c>
      <c r="L20" s="20" t="s">
        <v>76</v>
      </c>
      <c r="M20" s="26" t="s">
        <v>76</v>
      </c>
      <c r="N20" s="20" t="s">
        <v>76</v>
      </c>
      <c r="O20" s="20" t="s">
        <v>76</v>
      </c>
      <c r="P20" s="26" t="s">
        <v>76</v>
      </c>
    </row>
    <row r="21" spans="1:16">
      <c r="A21" s="9" t="s">
        <v>180</v>
      </c>
      <c r="B21" s="15">
        <v>93.75</v>
      </c>
      <c r="C21" s="15">
        <v>93.75</v>
      </c>
      <c r="D21" s="26" t="s">
        <v>76</v>
      </c>
      <c r="E21" s="15">
        <v>100</v>
      </c>
      <c r="F21" s="15">
        <v>100</v>
      </c>
      <c r="G21" s="26" t="s">
        <v>76</v>
      </c>
      <c r="H21" s="15">
        <v>88.461538461538495</v>
      </c>
      <c r="I21" s="15">
        <v>88.461538461538495</v>
      </c>
      <c r="J21" s="26" t="s">
        <v>76</v>
      </c>
      <c r="K21" s="20" t="s">
        <v>76</v>
      </c>
      <c r="L21" s="20" t="s">
        <v>76</v>
      </c>
      <c r="M21" s="26" t="s">
        <v>76</v>
      </c>
      <c r="N21" s="20" t="s">
        <v>76</v>
      </c>
      <c r="O21" s="20" t="s">
        <v>76</v>
      </c>
      <c r="P21" s="26" t="s">
        <v>76</v>
      </c>
    </row>
    <row r="22" spans="1:16">
      <c r="A22" s="9" t="s">
        <v>181</v>
      </c>
      <c r="B22" s="15">
        <v>90.476190476190496</v>
      </c>
      <c r="C22" s="15">
        <v>90.476190476190496</v>
      </c>
      <c r="D22" s="26" t="s">
        <v>76</v>
      </c>
      <c r="E22" s="15">
        <v>90</v>
      </c>
      <c r="F22" s="15">
        <v>90</v>
      </c>
      <c r="G22" s="26" t="s">
        <v>76</v>
      </c>
      <c r="H22" s="15">
        <v>90.909090909090907</v>
      </c>
      <c r="I22" s="15">
        <v>90.909090909090907</v>
      </c>
      <c r="J22" s="26" t="s">
        <v>76</v>
      </c>
      <c r="K22" s="20" t="s">
        <v>76</v>
      </c>
      <c r="L22" s="20" t="s">
        <v>76</v>
      </c>
      <c r="M22" s="26" t="s">
        <v>76</v>
      </c>
      <c r="N22" s="20" t="s">
        <v>76</v>
      </c>
      <c r="O22" s="20" t="s">
        <v>76</v>
      </c>
      <c r="P22" s="26" t="s">
        <v>76</v>
      </c>
    </row>
    <row r="23" spans="1:16">
      <c r="A23" s="9" t="s">
        <v>182</v>
      </c>
      <c r="B23" s="15">
        <v>100</v>
      </c>
      <c r="C23" s="15">
        <v>100</v>
      </c>
      <c r="D23" s="26" t="s">
        <v>76</v>
      </c>
      <c r="E23" s="15">
        <v>100</v>
      </c>
      <c r="F23" s="15">
        <v>100</v>
      </c>
      <c r="G23" s="26" t="s">
        <v>76</v>
      </c>
      <c r="H23" s="15">
        <v>100</v>
      </c>
      <c r="I23" s="15">
        <v>100</v>
      </c>
      <c r="J23" s="26" t="s">
        <v>76</v>
      </c>
      <c r="K23" s="20" t="s">
        <v>76</v>
      </c>
      <c r="L23" s="20" t="s">
        <v>76</v>
      </c>
      <c r="M23" s="26" t="s">
        <v>76</v>
      </c>
      <c r="N23" s="20" t="s">
        <v>76</v>
      </c>
      <c r="O23" s="20" t="s">
        <v>76</v>
      </c>
      <c r="P23" s="26" t="s">
        <v>76</v>
      </c>
    </row>
    <row r="24" spans="1:16">
      <c r="A24" s="9" t="s">
        <v>183</v>
      </c>
      <c r="B24" s="15">
        <v>96.610169491525397</v>
      </c>
      <c r="C24" s="15">
        <v>96.610169491525397</v>
      </c>
      <c r="D24" s="26" t="s">
        <v>76</v>
      </c>
      <c r="E24" s="15">
        <v>96.774193548387103</v>
      </c>
      <c r="F24" s="15">
        <v>96.774193548387103</v>
      </c>
      <c r="G24" s="26" t="s">
        <v>76</v>
      </c>
      <c r="H24" s="15">
        <v>95.8333333333333</v>
      </c>
      <c r="I24" s="15">
        <v>95.8333333333333</v>
      </c>
      <c r="J24" s="26" t="s">
        <v>76</v>
      </c>
      <c r="K24" s="20" t="s">
        <v>76</v>
      </c>
      <c r="L24" s="20" t="s">
        <v>76</v>
      </c>
      <c r="M24" s="26" t="s">
        <v>76</v>
      </c>
      <c r="N24" s="20" t="s">
        <v>76</v>
      </c>
      <c r="O24" s="20" t="s">
        <v>76</v>
      </c>
      <c r="P24" s="26" t="s">
        <v>76</v>
      </c>
    </row>
    <row r="25" spans="1:16">
      <c r="A25" s="9" t="s">
        <v>184</v>
      </c>
      <c r="B25" s="15">
        <v>92.307692307692307</v>
      </c>
      <c r="C25" s="15">
        <v>92.307692307692307</v>
      </c>
      <c r="D25" s="26" t="s">
        <v>76</v>
      </c>
      <c r="E25" s="15">
        <v>83.3333333333333</v>
      </c>
      <c r="F25" s="15">
        <v>83.3333333333333</v>
      </c>
      <c r="G25" s="26" t="s">
        <v>76</v>
      </c>
      <c r="H25" s="15">
        <v>100</v>
      </c>
      <c r="I25" s="15">
        <v>100</v>
      </c>
      <c r="J25" s="26" t="s">
        <v>76</v>
      </c>
      <c r="K25" s="20" t="s">
        <v>76</v>
      </c>
      <c r="L25" s="20" t="s">
        <v>76</v>
      </c>
      <c r="M25" s="26" t="s">
        <v>76</v>
      </c>
      <c r="N25" s="20" t="s">
        <v>76</v>
      </c>
      <c r="O25" s="20" t="s">
        <v>76</v>
      </c>
      <c r="P25" s="26" t="s">
        <v>76</v>
      </c>
    </row>
    <row r="26" spans="1:16">
      <c r="A26" s="9" t="s">
        <v>185</v>
      </c>
      <c r="B26" s="15">
        <v>100</v>
      </c>
      <c r="C26" s="15">
        <v>100</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c r="A27" s="9" t="s">
        <v>186</v>
      </c>
      <c r="B27" s="15">
        <v>91.025641025640994</v>
      </c>
      <c r="C27" s="15">
        <v>91.025641025640994</v>
      </c>
      <c r="D27" s="26" t="s">
        <v>76</v>
      </c>
      <c r="E27" s="15">
        <v>83.3333333333333</v>
      </c>
      <c r="F27" s="15">
        <v>83.3333333333333</v>
      </c>
      <c r="G27" s="26" t="s">
        <v>76</v>
      </c>
      <c r="H27" s="15">
        <v>94.230769230769198</v>
      </c>
      <c r="I27" s="15">
        <v>94.230769230769198</v>
      </c>
      <c r="J27" s="26" t="s">
        <v>76</v>
      </c>
      <c r="K27" s="20" t="s">
        <v>76</v>
      </c>
      <c r="L27" s="20" t="s">
        <v>76</v>
      </c>
      <c r="M27" s="26" t="s">
        <v>76</v>
      </c>
      <c r="N27" s="20" t="s">
        <v>76</v>
      </c>
      <c r="O27" s="20" t="s">
        <v>76</v>
      </c>
      <c r="P27" s="26" t="s">
        <v>76</v>
      </c>
    </row>
    <row r="28" spans="1:16">
      <c r="A28" s="9" t="s">
        <v>187</v>
      </c>
      <c r="B28" s="15">
        <v>99.082568807339399</v>
      </c>
      <c r="C28" s="15">
        <v>99.082568807339399</v>
      </c>
      <c r="D28" s="26" t="s">
        <v>76</v>
      </c>
      <c r="E28" s="15">
        <v>98.148148148148096</v>
      </c>
      <c r="F28" s="15">
        <v>98.148148148148096</v>
      </c>
      <c r="G28" s="26" t="s">
        <v>76</v>
      </c>
      <c r="H28" s="15">
        <v>100</v>
      </c>
      <c r="I28" s="15">
        <v>100</v>
      </c>
      <c r="J28" s="26" t="s">
        <v>76</v>
      </c>
      <c r="K28" s="20" t="s">
        <v>76</v>
      </c>
      <c r="L28" s="20" t="s">
        <v>76</v>
      </c>
      <c r="M28" s="26" t="s">
        <v>76</v>
      </c>
      <c r="N28" s="20" t="s">
        <v>76</v>
      </c>
      <c r="O28" s="20" t="s">
        <v>76</v>
      </c>
      <c r="P28" s="26" t="s">
        <v>76</v>
      </c>
    </row>
    <row r="29" spans="1:16">
      <c r="A29" s="9" t="s">
        <v>188</v>
      </c>
      <c r="B29" s="15">
        <v>94.117647058823493</v>
      </c>
      <c r="C29" s="15">
        <v>94.117647058823493</v>
      </c>
      <c r="D29" s="26" t="s">
        <v>76</v>
      </c>
      <c r="E29" s="15">
        <v>93.548387096774206</v>
      </c>
      <c r="F29" s="15">
        <v>93.548387096774206</v>
      </c>
      <c r="G29" s="26" t="s">
        <v>76</v>
      </c>
      <c r="H29" s="15">
        <v>94.594594594594597</v>
      </c>
      <c r="I29" s="15">
        <v>94.594594594594597</v>
      </c>
      <c r="J29" s="26" t="s">
        <v>76</v>
      </c>
      <c r="K29" s="20" t="s">
        <v>76</v>
      </c>
      <c r="L29" s="20" t="s">
        <v>76</v>
      </c>
      <c r="M29" s="26" t="s">
        <v>76</v>
      </c>
      <c r="N29" s="20" t="s">
        <v>76</v>
      </c>
      <c r="O29" s="20" t="s">
        <v>76</v>
      </c>
      <c r="P29" s="26" t="s">
        <v>76</v>
      </c>
    </row>
    <row r="30" spans="1:16">
      <c r="A30" s="9" t="s">
        <v>189</v>
      </c>
      <c r="B30" s="15">
        <v>96.212121212121204</v>
      </c>
      <c r="C30" s="15">
        <v>96.212121212121204</v>
      </c>
      <c r="D30" s="26" t="s">
        <v>76</v>
      </c>
      <c r="E30" s="15">
        <v>95</v>
      </c>
      <c r="F30" s="15">
        <v>95</v>
      </c>
      <c r="G30" s="26" t="s">
        <v>76</v>
      </c>
      <c r="H30" s="15">
        <v>97.142857142857196</v>
      </c>
      <c r="I30" s="15">
        <v>97.142857142857196</v>
      </c>
      <c r="J30" s="26" t="s">
        <v>76</v>
      </c>
      <c r="K30" s="20" t="s">
        <v>76</v>
      </c>
      <c r="L30" s="20" t="s">
        <v>76</v>
      </c>
      <c r="M30" s="26" t="s">
        <v>76</v>
      </c>
      <c r="N30" s="20" t="s">
        <v>76</v>
      </c>
      <c r="O30" s="20" t="s">
        <v>76</v>
      </c>
      <c r="P30" s="26" t="s">
        <v>76</v>
      </c>
    </row>
    <row r="31" spans="1:16">
      <c r="A31" s="9" t="s">
        <v>190</v>
      </c>
      <c r="B31" s="15">
        <v>96.875</v>
      </c>
      <c r="C31" s="15">
        <v>96.875</v>
      </c>
      <c r="D31" s="26" t="s">
        <v>76</v>
      </c>
      <c r="E31" s="15">
        <v>92.857142857142804</v>
      </c>
      <c r="F31" s="15">
        <v>92.857142857142804</v>
      </c>
      <c r="G31" s="26" t="s">
        <v>76</v>
      </c>
      <c r="H31" s="15">
        <v>100</v>
      </c>
      <c r="I31" s="15">
        <v>100</v>
      </c>
      <c r="J31" s="26" t="s">
        <v>76</v>
      </c>
      <c r="K31" s="20" t="s">
        <v>76</v>
      </c>
      <c r="L31" s="20" t="s">
        <v>76</v>
      </c>
      <c r="M31" s="26" t="s">
        <v>76</v>
      </c>
      <c r="N31" s="20" t="s">
        <v>76</v>
      </c>
      <c r="O31" s="20" t="s">
        <v>76</v>
      </c>
      <c r="P31" s="26" t="s">
        <v>76</v>
      </c>
    </row>
    <row r="32" spans="1:16">
      <c r="A32" s="9" t="s">
        <v>191</v>
      </c>
      <c r="B32" s="15">
        <v>92.592592592592595</v>
      </c>
      <c r="C32" s="15">
        <v>92.592592592592595</v>
      </c>
      <c r="D32" s="26" t="s">
        <v>76</v>
      </c>
      <c r="E32" s="15">
        <v>100</v>
      </c>
      <c r="F32" s="15">
        <v>100</v>
      </c>
      <c r="G32" s="26" t="s">
        <v>76</v>
      </c>
      <c r="H32" s="15">
        <v>83.3333333333333</v>
      </c>
      <c r="I32" s="15">
        <v>83.3333333333333</v>
      </c>
      <c r="J32" s="26" t="s">
        <v>76</v>
      </c>
      <c r="K32" s="20" t="s">
        <v>76</v>
      </c>
      <c r="L32" s="20" t="s">
        <v>76</v>
      </c>
      <c r="M32" s="26" t="s">
        <v>76</v>
      </c>
      <c r="N32" s="20" t="s">
        <v>76</v>
      </c>
      <c r="O32" s="20" t="s">
        <v>76</v>
      </c>
      <c r="P32" s="26" t="s">
        <v>76</v>
      </c>
    </row>
    <row r="33" spans="1:16">
      <c r="A33" s="9" t="s">
        <v>192</v>
      </c>
      <c r="B33" s="15">
        <v>92.857142857142804</v>
      </c>
      <c r="C33" s="15">
        <v>92.857142857142804</v>
      </c>
      <c r="D33" s="26" t="s">
        <v>76</v>
      </c>
      <c r="E33" s="20" t="s">
        <v>76</v>
      </c>
      <c r="F33" s="20" t="s">
        <v>76</v>
      </c>
      <c r="G33" s="26" t="s">
        <v>76</v>
      </c>
      <c r="H33" s="15">
        <v>92.307692307692307</v>
      </c>
      <c r="I33" s="15">
        <v>92.307692307692307</v>
      </c>
      <c r="J33" s="26" t="s">
        <v>76</v>
      </c>
      <c r="K33" s="20" t="s">
        <v>76</v>
      </c>
      <c r="L33" s="20" t="s">
        <v>76</v>
      </c>
      <c r="M33" s="26" t="s">
        <v>76</v>
      </c>
      <c r="N33" s="20" t="s">
        <v>76</v>
      </c>
      <c r="O33" s="20" t="s">
        <v>76</v>
      </c>
      <c r="P33" s="26" t="s">
        <v>76</v>
      </c>
    </row>
    <row r="34" spans="1:16">
      <c r="A34" s="9" t="s">
        <v>193</v>
      </c>
      <c r="B34" s="15">
        <v>88.571428571428598</v>
      </c>
      <c r="C34" s="15">
        <v>88.571428571428598</v>
      </c>
      <c r="D34" s="26" t="s">
        <v>76</v>
      </c>
      <c r="E34" s="15">
        <v>92.592592592592595</v>
      </c>
      <c r="F34" s="15">
        <v>92.592592592592595</v>
      </c>
      <c r="G34" s="26" t="s">
        <v>76</v>
      </c>
      <c r="H34" s="15">
        <v>84</v>
      </c>
      <c r="I34" s="15">
        <v>84</v>
      </c>
      <c r="J34" s="26" t="s">
        <v>76</v>
      </c>
      <c r="K34" s="20" t="s">
        <v>76</v>
      </c>
      <c r="L34" s="20" t="s">
        <v>76</v>
      </c>
      <c r="M34" s="26" t="s">
        <v>76</v>
      </c>
      <c r="N34" s="20" t="s">
        <v>76</v>
      </c>
      <c r="O34" s="20" t="s">
        <v>76</v>
      </c>
      <c r="P34" s="26" t="s">
        <v>76</v>
      </c>
    </row>
    <row r="35" spans="1:16">
      <c r="A35" s="9" t="s">
        <v>194</v>
      </c>
      <c r="B35" s="15">
        <v>80.357142857142804</v>
      </c>
      <c r="C35" s="15">
        <v>80.357142857142804</v>
      </c>
      <c r="D35" s="26" t="s">
        <v>76</v>
      </c>
      <c r="E35" s="15">
        <v>80</v>
      </c>
      <c r="F35" s="15">
        <v>80</v>
      </c>
      <c r="G35" s="26" t="s">
        <v>76</v>
      </c>
      <c r="H35" s="15">
        <v>83.3333333333333</v>
      </c>
      <c r="I35" s="15">
        <v>83.3333333333333</v>
      </c>
      <c r="J35" s="26" t="s">
        <v>76</v>
      </c>
      <c r="K35" s="20" t="s">
        <v>76</v>
      </c>
      <c r="L35" s="20" t="s">
        <v>76</v>
      </c>
      <c r="M35" s="26" t="s">
        <v>76</v>
      </c>
      <c r="N35" s="20" t="s">
        <v>76</v>
      </c>
      <c r="O35" s="20" t="s">
        <v>76</v>
      </c>
      <c r="P35" s="26" t="s">
        <v>76</v>
      </c>
    </row>
    <row r="36" spans="1:16">
      <c r="A36" s="9" t="s">
        <v>195</v>
      </c>
      <c r="B36" s="20" t="s">
        <v>76</v>
      </c>
      <c r="C36" s="20" t="s">
        <v>76</v>
      </c>
      <c r="D36" s="26" t="s">
        <v>76</v>
      </c>
      <c r="E36" s="20" t="s">
        <v>76</v>
      </c>
      <c r="F36" s="20" t="s">
        <v>76</v>
      </c>
      <c r="G36" s="26" t="s">
        <v>76</v>
      </c>
      <c r="H36" s="20" t="s">
        <v>76</v>
      </c>
      <c r="I36" s="20" t="s">
        <v>76</v>
      </c>
      <c r="J36" s="26" t="s">
        <v>76</v>
      </c>
      <c r="K36" s="20" t="s">
        <v>76</v>
      </c>
      <c r="L36" s="20" t="s">
        <v>76</v>
      </c>
      <c r="M36" s="26" t="s">
        <v>76</v>
      </c>
      <c r="N36" s="20" t="s">
        <v>76</v>
      </c>
      <c r="O36" s="20" t="s">
        <v>76</v>
      </c>
      <c r="P36" s="26" t="s">
        <v>76</v>
      </c>
    </row>
    <row r="37" spans="1:16">
      <c r="A37" s="9" t="s">
        <v>196</v>
      </c>
      <c r="B37" s="15">
        <v>84.684684684684697</v>
      </c>
      <c r="C37" s="15">
        <v>84.684684684684697</v>
      </c>
      <c r="D37" s="26" t="s">
        <v>76</v>
      </c>
      <c r="E37" s="15">
        <v>85.714285714285694</v>
      </c>
      <c r="F37" s="15">
        <v>85.714285714285694</v>
      </c>
      <c r="G37" s="26" t="s">
        <v>76</v>
      </c>
      <c r="H37" s="15">
        <v>83.3333333333333</v>
      </c>
      <c r="I37" s="15">
        <v>83.3333333333333</v>
      </c>
      <c r="J37" s="26" t="s">
        <v>76</v>
      </c>
      <c r="K37" s="20" t="s">
        <v>76</v>
      </c>
      <c r="L37" s="20" t="s">
        <v>76</v>
      </c>
      <c r="M37" s="26" t="s">
        <v>76</v>
      </c>
      <c r="N37" s="20" t="s">
        <v>76</v>
      </c>
      <c r="O37" s="20" t="s">
        <v>76</v>
      </c>
      <c r="P37" s="26" t="s">
        <v>76</v>
      </c>
    </row>
    <row r="38" spans="1:16">
      <c r="A38" s="9" t="s">
        <v>197</v>
      </c>
      <c r="B38" s="15">
        <v>86.6666666666667</v>
      </c>
      <c r="C38" s="15">
        <v>86.6666666666667</v>
      </c>
      <c r="D38" s="26" t="s">
        <v>76</v>
      </c>
      <c r="E38" s="15">
        <v>88.235294117647101</v>
      </c>
      <c r="F38" s="15">
        <v>88.235294117647101</v>
      </c>
      <c r="G38" s="26" t="s">
        <v>76</v>
      </c>
      <c r="H38" s="15">
        <v>81.818181818181799</v>
      </c>
      <c r="I38" s="15">
        <v>81.818181818181799</v>
      </c>
      <c r="J38" s="26" t="s">
        <v>76</v>
      </c>
      <c r="K38" s="20" t="s">
        <v>76</v>
      </c>
      <c r="L38" s="20" t="s">
        <v>76</v>
      </c>
      <c r="M38" s="26" t="s">
        <v>76</v>
      </c>
      <c r="N38" s="20" t="s">
        <v>76</v>
      </c>
      <c r="O38" s="20" t="s">
        <v>76</v>
      </c>
      <c r="P38" s="26" t="s">
        <v>76</v>
      </c>
    </row>
    <row r="39" spans="1:16">
      <c r="A39" s="9" t="s">
        <v>198</v>
      </c>
      <c r="B39" s="15">
        <v>95.5555555555556</v>
      </c>
      <c r="C39" s="15">
        <v>95.5555555555556</v>
      </c>
      <c r="D39" s="26" t="s">
        <v>76</v>
      </c>
      <c r="E39" s="15">
        <v>97.297297297297305</v>
      </c>
      <c r="F39" s="15">
        <v>97.297297297297305</v>
      </c>
      <c r="G39" s="26" t="s">
        <v>76</v>
      </c>
      <c r="H39" s="15">
        <v>93.478260869565204</v>
      </c>
      <c r="I39" s="15">
        <v>93.478260869565204</v>
      </c>
      <c r="J39" s="26" t="s">
        <v>76</v>
      </c>
      <c r="K39" s="20" t="s">
        <v>76</v>
      </c>
      <c r="L39" s="20" t="s">
        <v>76</v>
      </c>
      <c r="M39" s="26" t="s">
        <v>76</v>
      </c>
      <c r="N39" s="15">
        <v>100</v>
      </c>
      <c r="O39" s="15">
        <v>100</v>
      </c>
      <c r="P39" s="26" t="s">
        <v>76</v>
      </c>
    </row>
    <row r="40" spans="1:16">
      <c r="A40" s="9" t="s">
        <v>199</v>
      </c>
      <c r="B40" s="15">
        <v>90.625</v>
      </c>
      <c r="C40" s="15">
        <v>90.625</v>
      </c>
      <c r="D40" s="26" t="s">
        <v>76</v>
      </c>
      <c r="E40" s="15">
        <v>93.939393939393895</v>
      </c>
      <c r="F40" s="15">
        <v>93.939393939393895</v>
      </c>
      <c r="G40" s="26" t="s">
        <v>76</v>
      </c>
      <c r="H40" s="15">
        <v>87.096774193548399</v>
      </c>
      <c r="I40" s="15">
        <v>87.096774193548399</v>
      </c>
      <c r="J40" s="26" t="s">
        <v>76</v>
      </c>
      <c r="K40" s="20" t="s">
        <v>76</v>
      </c>
      <c r="L40" s="20" t="s">
        <v>76</v>
      </c>
      <c r="M40" s="26" t="s">
        <v>76</v>
      </c>
      <c r="N40" s="20" t="s">
        <v>76</v>
      </c>
      <c r="O40" s="20" t="s">
        <v>76</v>
      </c>
      <c r="P40" s="26" t="s">
        <v>76</v>
      </c>
    </row>
    <row r="41" spans="1:16">
      <c r="A41" s="9" t="s">
        <v>200</v>
      </c>
      <c r="B41" s="15">
        <v>87.5</v>
      </c>
      <c r="C41" s="15">
        <v>87.5</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c r="A42" s="9" t="s">
        <v>201</v>
      </c>
      <c r="B42" s="15">
        <v>90</v>
      </c>
      <c r="C42" s="15">
        <v>90</v>
      </c>
      <c r="D42" s="26" t="s">
        <v>76</v>
      </c>
      <c r="E42" s="15">
        <v>93.3333333333333</v>
      </c>
      <c r="F42" s="15">
        <v>93.3333333333333</v>
      </c>
      <c r="G42" s="26" t="s">
        <v>76</v>
      </c>
      <c r="H42" s="15">
        <v>88</v>
      </c>
      <c r="I42" s="15">
        <v>88</v>
      </c>
      <c r="J42" s="26" t="s">
        <v>76</v>
      </c>
      <c r="K42" s="20" t="s">
        <v>76</v>
      </c>
      <c r="L42" s="20" t="s">
        <v>76</v>
      </c>
      <c r="M42" s="26" t="s">
        <v>76</v>
      </c>
      <c r="N42" s="20" t="s">
        <v>76</v>
      </c>
      <c r="O42" s="20" t="s">
        <v>76</v>
      </c>
      <c r="P42" s="26" t="s">
        <v>76</v>
      </c>
    </row>
    <row r="43" spans="1:16">
      <c r="A43" s="9" t="s">
        <v>202</v>
      </c>
      <c r="B43" s="15">
        <v>81.818181818181799</v>
      </c>
      <c r="C43" s="15">
        <v>81.818181818181799</v>
      </c>
      <c r="D43" s="26" t="s">
        <v>76</v>
      </c>
      <c r="E43" s="15">
        <v>79.487179487179503</v>
      </c>
      <c r="F43" s="15">
        <v>79.487179487179503</v>
      </c>
      <c r="G43" s="26" t="s">
        <v>76</v>
      </c>
      <c r="H43" s="15">
        <v>84.210526315789494</v>
      </c>
      <c r="I43" s="15">
        <v>84.210526315789494</v>
      </c>
      <c r="J43" s="26" t="s">
        <v>76</v>
      </c>
      <c r="K43" s="20" t="s">
        <v>76</v>
      </c>
      <c r="L43" s="20" t="s">
        <v>76</v>
      </c>
      <c r="M43" s="26" t="s">
        <v>76</v>
      </c>
      <c r="N43" s="20" t="s">
        <v>76</v>
      </c>
      <c r="O43" s="20" t="s">
        <v>76</v>
      </c>
      <c r="P43" s="26" t="s">
        <v>76</v>
      </c>
    </row>
    <row r="44" spans="1:16">
      <c r="A44" s="9" t="s">
        <v>203</v>
      </c>
      <c r="B44" s="15">
        <v>94.871794871794904</v>
      </c>
      <c r="C44" s="15">
        <v>94.871794871794904</v>
      </c>
      <c r="D44" s="26" t="s">
        <v>76</v>
      </c>
      <c r="E44" s="15">
        <v>94.4444444444444</v>
      </c>
      <c r="F44" s="15">
        <v>94.4444444444444</v>
      </c>
      <c r="G44" s="26" t="s">
        <v>76</v>
      </c>
      <c r="H44" s="15">
        <v>94.4444444444444</v>
      </c>
      <c r="I44" s="15">
        <v>94.4444444444444</v>
      </c>
      <c r="J44" s="26" t="s">
        <v>76</v>
      </c>
      <c r="K44" s="20" t="s">
        <v>76</v>
      </c>
      <c r="L44" s="20" t="s">
        <v>76</v>
      </c>
      <c r="M44" s="26" t="s">
        <v>76</v>
      </c>
      <c r="N44" s="20" t="s">
        <v>76</v>
      </c>
      <c r="O44" s="20" t="s">
        <v>76</v>
      </c>
      <c r="P44" s="26" t="s">
        <v>76</v>
      </c>
    </row>
    <row r="45" spans="1:16">
      <c r="A45" s="9" t="s">
        <v>204</v>
      </c>
      <c r="B45" s="15">
        <v>85.454545454545496</v>
      </c>
      <c r="C45" s="15">
        <v>85.454545454545496</v>
      </c>
      <c r="D45" s="26" t="s">
        <v>76</v>
      </c>
      <c r="E45" s="15">
        <v>91.428571428571402</v>
      </c>
      <c r="F45" s="15">
        <v>91.428571428571402</v>
      </c>
      <c r="G45" s="26" t="s">
        <v>76</v>
      </c>
      <c r="H45" s="15">
        <v>70.588235294117595</v>
      </c>
      <c r="I45" s="15">
        <v>70.588235294117595</v>
      </c>
      <c r="J45" s="26" t="s">
        <v>76</v>
      </c>
      <c r="K45" s="20" t="s">
        <v>76</v>
      </c>
      <c r="L45" s="20" t="s">
        <v>76</v>
      </c>
      <c r="M45" s="26" t="s">
        <v>76</v>
      </c>
      <c r="N45" s="20" t="s">
        <v>76</v>
      </c>
      <c r="O45" s="20" t="s">
        <v>76</v>
      </c>
      <c r="P45" s="26" t="s">
        <v>76</v>
      </c>
    </row>
    <row r="46" spans="1:16">
      <c r="A46" s="9" t="s">
        <v>205</v>
      </c>
      <c r="B46" s="15">
        <v>63.636363636363598</v>
      </c>
      <c r="C46" s="15">
        <v>63.636363636363598</v>
      </c>
      <c r="D46" s="26" t="s">
        <v>76</v>
      </c>
      <c r="E46" s="15">
        <v>62.5</v>
      </c>
      <c r="F46" s="15">
        <v>62.5</v>
      </c>
      <c r="G46" s="26" t="s">
        <v>76</v>
      </c>
      <c r="H46" s="20" t="s">
        <v>76</v>
      </c>
      <c r="I46" s="20" t="s">
        <v>76</v>
      </c>
      <c r="J46" s="26" t="s">
        <v>76</v>
      </c>
      <c r="K46" s="20" t="s">
        <v>76</v>
      </c>
      <c r="L46" s="20" t="s">
        <v>76</v>
      </c>
      <c r="M46" s="26" t="s">
        <v>76</v>
      </c>
      <c r="N46" s="20" t="s">
        <v>76</v>
      </c>
      <c r="O46" s="20" t="s">
        <v>76</v>
      </c>
      <c r="P46" s="26" t="s">
        <v>76</v>
      </c>
    </row>
    <row r="47" spans="1:16">
      <c r="A47" s="9" t="s">
        <v>206</v>
      </c>
      <c r="B47" s="15">
        <v>95.384615384615401</v>
      </c>
      <c r="C47" s="15">
        <v>95.384615384615401</v>
      </c>
      <c r="D47" s="26" t="s">
        <v>76</v>
      </c>
      <c r="E47" s="15">
        <v>97.058823529411796</v>
      </c>
      <c r="F47" s="15">
        <v>97.058823529411796</v>
      </c>
      <c r="G47" s="26" t="s">
        <v>76</v>
      </c>
      <c r="H47" s="15">
        <v>93.548387096774206</v>
      </c>
      <c r="I47" s="15">
        <v>93.548387096774206</v>
      </c>
      <c r="J47" s="26" t="s">
        <v>76</v>
      </c>
      <c r="K47" s="20" t="s">
        <v>76</v>
      </c>
      <c r="L47" s="20" t="s">
        <v>76</v>
      </c>
      <c r="M47" s="26" t="s">
        <v>76</v>
      </c>
      <c r="N47" s="20" t="s">
        <v>76</v>
      </c>
      <c r="O47" s="20" t="s">
        <v>76</v>
      </c>
      <c r="P47" s="26" t="s">
        <v>76</v>
      </c>
    </row>
    <row r="48" spans="1:16">
      <c r="A48" s="9" t="s">
        <v>207</v>
      </c>
      <c r="B48" s="15">
        <v>97.959183673469397</v>
      </c>
      <c r="C48" s="15">
        <v>97.959183673469397</v>
      </c>
      <c r="D48" s="26" t="s">
        <v>76</v>
      </c>
      <c r="E48" s="15">
        <v>94.4444444444444</v>
      </c>
      <c r="F48" s="15">
        <v>94.4444444444444</v>
      </c>
      <c r="G48" s="26" t="s">
        <v>76</v>
      </c>
      <c r="H48" s="15">
        <v>100</v>
      </c>
      <c r="I48" s="15">
        <v>100</v>
      </c>
      <c r="J48" s="26" t="s">
        <v>76</v>
      </c>
      <c r="K48" s="20" t="s">
        <v>76</v>
      </c>
      <c r="L48" s="20" t="s">
        <v>76</v>
      </c>
      <c r="M48" s="26" t="s">
        <v>76</v>
      </c>
      <c r="N48" s="20" t="s">
        <v>76</v>
      </c>
      <c r="O48" s="20" t="s">
        <v>76</v>
      </c>
      <c r="P48" s="26" t="s">
        <v>76</v>
      </c>
    </row>
    <row r="49" spans="1:16">
      <c r="A49" s="9" t="s">
        <v>208</v>
      </c>
      <c r="B49" s="15">
        <v>71.232876712328803</v>
      </c>
      <c r="C49" s="15">
        <v>71.232876712328803</v>
      </c>
      <c r="D49" s="26" t="s">
        <v>76</v>
      </c>
      <c r="E49" s="15">
        <v>74.285714285714306</v>
      </c>
      <c r="F49" s="15">
        <v>74.285714285714306</v>
      </c>
      <c r="G49" s="26" t="s">
        <v>76</v>
      </c>
      <c r="H49" s="15">
        <v>68.421052631578902</v>
      </c>
      <c r="I49" s="15">
        <v>68.421052631578902</v>
      </c>
      <c r="J49" s="26" t="s">
        <v>76</v>
      </c>
      <c r="K49" s="20" t="s">
        <v>76</v>
      </c>
      <c r="L49" s="20" t="s">
        <v>76</v>
      </c>
      <c r="M49" s="26" t="s">
        <v>76</v>
      </c>
      <c r="N49" s="20" t="s">
        <v>76</v>
      </c>
      <c r="O49" s="20" t="s">
        <v>76</v>
      </c>
      <c r="P49" s="26" t="s">
        <v>76</v>
      </c>
    </row>
    <row r="50" spans="1:16">
      <c r="A50" s="9" t="s">
        <v>209</v>
      </c>
      <c r="B50" s="15">
        <v>98.275862068965495</v>
      </c>
      <c r="C50" s="15">
        <v>98.275862068965495</v>
      </c>
      <c r="D50" s="26" t="s">
        <v>76</v>
      </c>
      <c r="E50" s="15">
        <v>98.039215686274503</v>
      </c>
      <c r="F50" s="15">
        <v>98.039215686274503</v>
      </c>
      <c r="G50" s="26" t="s">
        <v>76</v>
      </c>
      <c r="H50" s="15">
        <v>98.412698412698404</v>
      </c>
      <c r="I50" s="15">
        <v>98.412698412698404</v>
      </c>
      <c r="J50" s="26" t="s">
        <v>76</v>
      </c>
      <c r="K50" s="20" t="s">
        <v>76</v>
      </c>
      <c r="L50" s="20" t="s">
        <v>76</v>
      </c>
      <c r="M50" s="26" t="s">
        <v>76</v>
      </c>
      <c r="N50" s="20" t="s">
        <v>76</v>
      </c>
      <c r="O50" s="20" t="s">
        <v>76</v>
      </c>
      <c r="P50" s="26" t="s">
        <v>76</v>
      </c>
    </row>
    <row r="51" spans="1:16">
      <c r="A51" s="9" t="s">
        <v>210</v>
      </c>
      <c r="B51" s="15">
        <v>100</v>
      </c>
      <c r="C51" s="15">
        <v>100</v>
      </c>
      <c r="D51" s="26" t="s">
        <v>76</v>
      </c>
      <c r="E51" s="15">
        <v>100</v>
      </c>
      <c r="F51" s="15">
        <v>100</v>
      </c>
      <c r="G51" s="26" t="s">
        <v>76</v>
      </c>
      <c r="H51" s="15">
        <v>100</v>
      </c>
      <c r="I51" s="15">
        <v>100</v>
      </c>
      <c r="J51" s="26" t="s">
        <v>76</v>
      </c>
      <c r="K51" s="20" t="s">
        <v>76</v>
      </c>
      <c r="L51" s="20" t="s">
        <v>76</v>
      </c>
      <c r="M51" s="26" t="s">
        <v>76</v>
      </c>
      <c r="N51" s="20" t="s">
        <v>76</v>
      </c>
      <c r="O51" s="20" t="s">
        <v>76</v>
      </c>
      <c r="P51" s="26" t="s">
        <v>76</v>
      </c>
    </row>
    <row r="52" spans="1:16">
      <c r="A52" s="9" t="s">
        <v>211</v>
      </c>
      <c r="B52" s="15">
        <v>97.142857142857196</v>
      </c>
      <c r="C52" s="15">
        <v>97.142857142857196</v>
      </c>
      <c r="D52" s="26" t="s">
        <v>76</v>
      </c>
      <c r="E52" s="15">
        <v>92.857142857142804</v>
      </c>
      <c r="F52" s="15">
        <v>92.857142857142804</v>
      </c>
      <c r="G52" s="26" t="s">
        <v>76</v>
      </c>
      <c r="H52" s="15">
        <v>100</v>
      </c>
      <c r="I52" s="15">
        <v>100</v>
      </c>
      <c r="J52" s="26" t="s">
        <v>76</v>
      </c>
      <c r="K52" s="20" t="s">
        <v>76</v>
      </c>
      <c r="L52" s="20" t="s">
        <v>76</v>
      </c>
      <c r="M52" s="26" t="s">
        <v>76</v>
      </c>
      <c r="N52" s="20" t="s">
        <v>76</v>
      </c>
      <c r="O52" s="20" t="s">
        <v>76</v>
      </c>
      <c r="P52" s="26" t="s">
        <v>76</v>
      </c>
    </row>
    <row r="53" spans="1:16">
      <c r="A53" s="9" t="s">
        <v>212</v>
      </c>
      <c r="B53" s="15">
        <v>100</v>
      </c>
      <c r="C53" s="15">
        <v>100</v>
      </c>
      <c r="D53" s="26" t="s">
        <v>76</v>
      </c>
      <c r="E53" s="15">
        <v>100</v>
      </c>
      <c r="F53" s="15">
        <v>100</v>
      </c>
      <c r="G53" s="26" t="s">
        <v>76</v>
      </c>
      <c r="H53" s="15">
        <v>100</v>
      </c>
      <c r="I53" s="15">
        <v>100</v>
      </c>
      <c r="J53" s="26" t="s">
        <v>76</v>
      </c>
      <c r="K53" s="20" t="s">
        <v>76</v>
      </c>
      <c r="L53" s="20" t="s">
        <v>76</v>
      </c>
      <c r="M53" s="26" t="s">
        <v>76</v>
      </c>
      <c r="N53" s="20" t="s">
        <v>76</v>
      </c>
      <c r="O53" s="20" t="s">
        <v>76</v>
      </c>
      <c r="P53" s="26" t="s">
        <v>76</v>
      </c>
    </row>
    <row r="54" spans="1:16">
      <c r="A54" s="9" t="s">
        <v>213</v>
      </c>
      <c r="B54" s="15">
        <v>98.113207547169793</v>
      </c>
      <c r="C54" s="15">
        <v>98.113207547169793</v>
      </c>
      <c r="D54" s="26" t="s">
        <v>76</v>
      </c>
      <c r="E54" s="15">
        <v>95.8333333333333</v>
      </c>
      <c r="F54" s="15">
        <v>95.8333333333333</v>
      </c>
      <c r="G54" s="26" t="s">
        <v>76</v>
      </c>
      <c r="H54" s="15">
        <v>100</v>
      </c>
      <c r="I54" s="15">
        <v>100</v>
      </c>
      <c r="J54" s="26" t="s">
        <v>76</v>
      </c>
      <c r="K54" s="20" t="s">
        <v>76</v>
      </c>
      <c r="L54" s="20" t="s">
        <v>76</v>
      </c>
      <c r="M54" s="26" t="s">
        <v>76</v>
      </c>
      <c r="N54" s="20" t="s">
        <v>76</v>
      </c>
      <c r="O54" s="20" t="s">
        <v>76</v>
      </c>
      <c r="P54" s="26" t="s">
        <v>76</v>
      </c>
    </row>
    <row r="55" spans="1:16">
      <c r="A55" s="9" t="s">
        <v>214</v>
      </c>
      <c r="B55" s="15">
        <v>100</v>
      </c>
      <c r="C55" s="15">
        <v>100</v>
      </c>
      <c r="D55" s="26" t="s">
        <v>76</v>
      </c>
      <c r="E55" s="15">
        <v>100</v>
      </c>
      <c r="F55" s="15">
        <v>100</v>
      </c>
      <c r="G55" s="26" t="s">
        <v>76</v>
      </c>
      <c r="H55" s="15">
        <v>100</v>
      </c>
      <c r="I55" s="15">
        <v>100</v>
      </c>
      <c r="J55" s="26" t="s">
        <v>76</v>
      </c>
      <c r="K55" s="20" t="s">
        <v>76</v>
      </c>
      <c r="L55" s="20" t="s">
        <v>76</v>
      </c>
      <c r="M55" s="26" t="s">
        <v>76</v>
      </c>
      <c r="N55" s="20" t="s">
        <v>76</v>
      </c>
      <c r="O55" s="20" t="s">
        <v>76</v>
      </c>
      <c r="P55" s="26" t="s">
        <v>76</v>
      </c>
    </row>
    <row r="56" spans="1:16">
      <c r="A56" s="9" t="s">
        <v>215</v>
      </c>
      <c r="B56" s="15">
        <v>98.648648648648603</v>
      </c>
      <c r="C56" s="15">
        <v>98.648648648648603</v>
      </c>
      <c r="D56" s="26" t="s">
        <v>76</v>
      </c>
      <c r="E56" s="15">
        <v>100</v>
      </c>
      <c r="F56" s="15">
        <v>100</v>
      </c>
      <c r="G56" s="26" t="s">
        <v>76</v>
      </c>
      <c r="H56" s="15">
        <v>97.2222222222222</v>
      </c>
      <c r="I56" s="15">
        <v>97.2222222222222</v>
      </c>
      <c r="J56" s="26" t="s">
        <v>76</v>
      </c>
      <c r="K56" s="20" t="s">
        <v>76</v>
      </c>
      <c r="L56" s="20" t="s">
        <v>76</v>
      </c>
      <c r="M56" s="26" t="s">
        <v>76</v>
      </c>
      <c r="N56" s="20" t="s">
        <v>76</v>
      </c>
      <c r="O56" s="20" t="s">
        <v>76</v>
      </c>
      <c r="P56" s="26" t="s">
        <v>76</v>
      </c>
    </row>
    <row r="57" spans="1:16">
      <c r="A57" s="9" t="s">
        <v>216</v>
      </c>
      <c r="B57" s="15">
        <v>89.743589743589695</v>
      </c>
      <c r="C57" s="15">
        <v>89.743589743589695</v>
      </c>
      <c r="D57" s="26" t="s">
        <v>76</v>
      </c>
      <c r="E57" s="15">
        <v>89.473684210526301</v>
      </c>
      <c r="F57" s="15">
        <v>89.473684210526301</v>
      </c>
      <c r="G57" s="26" t="s">
        <v>76</v>
      </c>
      <c r="H57" s="15">
        <v>88.8888888888889</v>
      </c>
      <c r="I57" s="15">
        <v>88.8888888888889</v>
      </c>
      <c r="J57" s="26" t="s">
        <v>76</v>
      </c>
      <c r="K57" s="20" t="s">
        <v>76</v>
      </c>
      <c r="L57" s="20" t="s">
        <v>76</v>
      </c>
      <c r="M57" s="26" t="s">
        <v>76</v>
      </c>
      <c r="N57" s="20" t="s">
        <v>76</v>
      </c>
      <c r="O57" s="20" t="s">
        <v>76</v>
      </c>
      <c r="P57" s="26" t="s">
        <v>76</v>
      </c>
    </row>
    <row r="58" spans="1:16">
      <c r="A58" s="9" t="s">
        <v>217</v>
      </c>
      <c r="B58" s="15">
        <v>100</v>
      </c>
      <c r="C58" s="15">
        <v>100</v>
      </c>
      <c r="D58" s="26" t="s">
        <v>76</v>
      </c>
      <c r="E58" s="15">
        <v>100</v>
      </c>
      <c r="F58" s="15">
        <v>100</v>
      </c>
      <c r="G58" s="26" t="s">
        <v>76</v>
      </c>
      <c r="H58" s="15">
        <v>100</v>
      </c>
      <c r="I58" s="15">
        <v>100</v>
      </c>
      <c r="J58" s="26" t="s">
        <v>76</v>
      </c>
      <c r="K58" s="20" t="s">
        <v>76</v>
      </c>
      <c r="L58" s="20" t="s">
        <v>76</v>
      </c>
      <c r="M58" s="26" t="s">
        <v>76</v>
      </c>
      <c r="N58" s="20" t="s">
        <v>76</v>
      </c>
      <c r="O58" s="20" t="s">
        <v>76</v>
      </c>
      <c r="P58" s="26" t="s">
        <v>76</v>
      </c>
    </row>
    <row r="59" spans="1:16">
      <c r="A59" s="9" t="s">
        <v>218</v>
      </c>
      <c r="B59" s="15">
        <v>91.566265060240994</v>
      </c>
      <c r="C59" s="15">
        <v>91.566265060240994</v>
      </c>
      <c r="D59" s="26" t="s">
        <v>76</v>
      </c>
      <c r="E59" s="15">
        <v>93.3333333333333</v>
      </c>
      <c r="F59" s="15">
        <v>93.3333333333333</v>
      </c>
      <c r="G59" s="26" t="s">
        <v>76</v>
      </c>
      <c r="H59" s="15">
        <v>88.8888888888889</v>
      </c>
      <c r="I59" s="15">
        <v>88.8888888888889</v>
      </c>
      <c r="J59" s="26" t="s">
        <v>76</v>
      </c>
      <c r="K59" s="20" t="s">
        <v>76</v>
      </c>
      <c r="L59" s="20" t="s">
        <v>76</v>
      </c>
      <c r="M59" s="26" t="s">
        <v>76</v>
      </c>
      <c r="N59" s="20" t="s">
        <v>76</v>
      </c>
      <c r="O59" s="20" t="s">
        <v>76</v>
      </c>
      <c r="P59" s="26" t="s">
        <v>76</v>
      </c>
    </row>
    <row r="60" spans="1:16">
      <c r="A60" s="9" t="s">
        <v>219</v>
      </c>
      <c r="B60" s="15">
        <v>85.074626865671604</v>
      </c>
      <c r="C60" s="15">
        <v>85.074626865671604</v>
      </c>
      <c r="D60" s="26" t="s">
        <v>76</v>
      </c>
      <c r="E60" s="15">
        <v>81.25</v>
      </c>
      <c r="F60" s="15">
        <v>81.25</v>
      </c>
      <c r="G60" s="26" t="s">
        <v>76</v>
      </c>
      <c r="H60" s="15">
        <v>88.571428571428598</v>
      </c>
      <c r="I60" s="15">
        <v>88.571428571428598</v>
      </c>
      <c r="J60" s="26" t="s">
        <v>76</v>
      </c>
      <c r="K60" s="20" t="s">
        <v>76</v>
      </c>
      <c r="L60" s="20" t="s">
        <v>76</v>
      </c>
      <c r="M60" s="26" t="s">
        <v>76</v>
      </c>
      <c r="N60" s="20" t="s">
        <v>76</v>
      </c>
      <c r="O60" s="20" t="s">
        <v>76</v>
      </c>
      <c r="P60" s="26" t="s">
        <v>76</v>
      </c>
    </row>
    <row r="61" spans="1:16">
      <c r="A61" s="9" t="s">
        <v>220</v>
      </c>
      <c r="B61" s="15">
        <v>100</v>
      </c>
      <c r="C61" s="15">
        <v>100</v>
      </c>
      <c r="D61" s="26" t="s">
        <v>76</v>
      </c>
      <c r="E61" s="15">
        <v>100</v>
      </c>
      <c r="F61" s="15">
        <v>100</v>
      </c>
      <c r="G61" s="26" t="s">
        <v>76</v>
      </c>
      <c r="H61" s="15">
        <v>100</v>
      </c>
      <c r="I61" s="15">
        <v>100</v>
      </c>
      <c r="J61" s="26" t="s">
        <v>76</v>
      </c>
      <c r="K61" s="20" t="s">
        <v>76</v>
      </c>
      <c r="L61" s="20" t="s">
        <v>76</v>
      </c>
      <c r="M61" s="26" t="s">
        <v>76</v>
      </c>
      <c r="N61" s="20" t="s">
        <v>76</v>
      </c>
      <c r="O61" s="20" t="s">
        <v>76</v>
      </c>
      <c r="P61" s="26" t="s">
        <v>76</v>
      </c>
    </row>
    <row r="62" spans="1:16">
      <c r="A62" s="9" t="s">
        <v>221</v>
      </c>
      <c r="B62" s="15">
        <v>100</v>
      </c>
      <c r="C62" s="15">
        <v>100</v>
      </c>
      <c r="D62" s="26" t="s">
        <v>76</v>
      </c>
      <c r="E62" s="15">
        <v>100</v>
      </c>
      <c r="F62" s="15">
        <v>100</v>
      </c>
      <c r="G62" s="26" t="s">
        <v>76</v>
      </c>
      <c r="H62" s="15">
        <v>100</v>
      </c>
      <c r="I62" s="15">
        <v>100</v>
      </c>
      <c r="J62" s="26" t="s">
        <v>76</v>
      </c>
      <c r="K62" s="20" t="s">
        <v>76</v>
      </c>
      <c r="L62" s="20" t="s">
        <v>76</v>
      </c>
      <c r="M62" s="26" t="s">
        <v>76</v>
      </c>
      <c r="N62" s="20" t="s">
        <v>76</v>
      </c>
      <c r="O62" s="20" t="s">
        <v>76</v>
      </c>
      <c r="P62" s="26" t="s">
        <v>76</v>
      </c>
    </row>
    <row r="63" spans="1:16">
      <c r="A63" s="9" t="s">
        <v>222</v>
      </c>
      <c r="B63" s="15">
        <v>98.214285714285694</v>
      </c>
      <c r="C63" s="15">
        <v>98.214285714285694</v>
      </c>
      <c r="D63" s="26" t="s">
        <v>76</v>
      </c>
      <c r="E63" s="15">
        <v>100</v>
      </c>
      <c r="F63" s="15">
        <v>100</v>
      </c>
      <c r="G63" s="26" t="s">
        <v>76</v>
      </c>
      <c r="H63" s="15">
        <v>96.153846153846104</v>
      </c>
      <c r="I63" s="15">
        <v>96.153846153846104</v>
      </c>
      <c r="J63" s="26" t="s">
        <v>76</v>
      </c>
      <c r="K63" s="20" t="s">
        <v>76</v>
      </c>
      <c r="L63" s="20" t="s">
        <v>76</v>
      </c>
      <c r="M63" s="26" t="s">
        <v>76</v>
      </c>
      <c r="N63" s="20" t="s">
        <v>76</v>
      </c>
      <c r="O63" s="20" t="s">
        <v>76</v>
      </c>
      <c r="P63" s="26" t="s">
        <v>76</v>
      </c>
    </row>
    <row r="64" spans="1:16">
      <c r="A64" s="9" t="s">
        <v>223</v>
      </c>
      <c r="B64" s="15">
        <v>92.5</v>
      </c>
      <c r="C64" s="15">
        <v>92.5</v>
      </c>
      <c r="D64" s="26" t="s">
        <v>76</v>
      </c>
      <c r="E64" s="15">
        <v>100</v>
      </c>
      <c r="F64" s="15">
        <v>100</v>
      </c>
      <c r="G64" s="26" t="s">
        <v>76</v>
      </c>
      <c r="H64" s="15">
        <v>85.714285714285694</v>
      </c>
      <c r="I64" s="15">
        <v>85.714285714285694</v>
      </c>
      <c r="J64" s="26" t="s">
        <v>76</v>
      </c>
      <c r="K64" s="20" t="s">
        <v>76</v>
      </c>
      <c r="L64" s="20" t="s">
        <v>76</v>
      </c>
      <c r="M64" s="26" t="s">
        <v>76</v>
      </c>
      <c r="N64" s="20" t="s">
        <v>76</v>
      </c>
      <c r="O64" s="20" t="s">
        <v>76</v>
      </c>
      <c r="P64" s="26" t="s">
        <v>76</v>
      </c>
    </row>
    <row r="65" spans="1:16">
      <c r="A65" s="9" t="s">
        <v>224</v>
      </c>
      <c r="B65" s="15">
        <v>90.625</v>
      </c>
      <c r="C65" s="15">
        <v>90.625</v>
      </c>
      <c r="D65" s="26" t="s">
        <v>76</v>
      </c>
      <c r="E65" s="15">
        <v>90.163934426229503</v>
      </c>
      <c r="F65" s="15">
        <v>90.163934426229503</v>
      </c>
      <c r="G65" s="26" t="s">
        <v>76</v>
      </c>
      <c r="H65" s="15">
        <v>90.909090909090907</v>
      </c>
      <c r="I65" s="15">
        <v>90.909090909090907</v>
      </c>
      <c r="J65" s="26" t="s">
        <v>76</v>
      </c>
      <c r="K65" s="20" t="s">
        <v>76</v>
      </c>
      <c r="L65" s="20" t="s">
        <v>76</v>
      </c>
      <c r="M65" s="26" t="s">
        <v>76</v>
      </c>
      <c r="N65" s="20" t="s">
        <v>76</v>
      </c>
      <c r="O65" s="20" t="s">
        <v>76</v>
      </c>
      <c r="P65" s="26" t="s">
        <v>76</v>
      </c>
    </row>
    <row r="66" spans="1:16">
      <c r="A66" s="9" t="s">
        <v>225</v>
      </c>
      <c r="B66" s="15">
        <v>90.099009900990097</v>
      </c>
      <c r="C66" s="15">
        <v>90.099009900990097</v>
      </c>
      <c r="D66" s="26" t="s">
        <v>76</v>
      </c>
      <c r="E66" s="15">
        <v>88.679245283018901</v>
      </c>
      <c r="F66" s="15">
        <v>88.679245283018901</v>
      </c>
      <c r="G66" s="26" t="s">
        <v>76</v>
      </c>
      <c r="H66" s="15">
        <v>91.6666666666667</v>
      </c>
      <c r="I66" s="15">
        <v>91.6666666666667</v>
      </c>
      <c r="J66" s="26" t="s">
        <v>76</v>
      </c>
      <c r="K66" s="20" t="s">
        <v>76</v>
      </c>
      <c r="L66" s="20" t="s">
        <v>76</v>
      </c>
      <c r="M66" s="26" t="s">
        <v>76</v>
      </c>
      <c r="N66" s="20" t="s">
        <v>76</v>
      </c>
      <c r="O66" s="20" t="s">
        <v>76</v>
      </c>
      <c r="P66" s="26" t="s">
        <v>76</v>
      </c>
    </row>
    <row r="67" spans="1:16">
      <c r="A67" s="9" t="s">
        <v>226</v>
      </c>
      <c r="B67" s="15">
        <v>93.2773109243698</v>
      </c>
      <c r="C67" s="15">
        <v>93.2773109243698</v>
      </c>
      <c r="D67" s="26" t="s">
        <v>76</v>
      </c>
      <c r="E67" s="15">
        <v>96.875</v>
      </c>
      <c r="F67" s="15">
        <v>96.875</v>
      </c>
      <c r="G67" s="26" t="s">
        <v>76</v>
      </c>
      <c r="H67" s="15">
        <v>88.8888888888889</v>
      </c>
      <c r="I67" s="15">
        <v>88.8888888888889</v>
      </c>
      <c r="J67" s="26" t="s">
        <v>76</v>
      </c>
      <c r="K67" s="20" t="s">
        <v>76</v>
      </c>
      <c r="L67" s="20" t="s">
        <v>76</v>
      </c>
      <c r="M67" s="26" t="s">
        <v>76</v>
      </c>
      <c r="N67" s="20" t="s">
        <v>76</v>
      </c>
      <c r="O67" s="20" t="s">
        <v>76</v>
      </c>
      <c r="P67" s="26" t="s">
        <v>76</v>
      </c>
    </row>
    <row r="68" spans="1:16">
      <c r="A68" s="9" t="s">
        <v>227</v>
      </c>
      <c r="B68" s="15">
        <v>92.2222222222222</v>
      </c>
      <c r="C68" s="15">
        <v>92.2222222222222</v>
      </c>
      <c r="D68" s="26" t="s">
        <v>76</v>
      </c>
      <c r="E68" s="15">
        <v>92.105263157894697</v>
      </c>
      <c r="F68" s="15">
        <v>92.105263157894697</v>
      </c>
      <c r="G68" s="26" t="s">
        <v>76</v>
      </c>
      <c r="H68" s="15">
        <v>92.307692307692307</v>
      </c>
      <c r="I68" s="15">
        <v>92.307692307692307</v>
      </c>
      <c r="J68" s="26" t="s">
        <v>76</v>
      </c>
      <c r="K68" s="20" t="s">
        <v>76</v>
      </c>
      <c r="L68" s="20" t="s">
        <v>76</v>
      </c>
      <c r="M68" s="26" t="s">
        <v>76</v>
      </c>
      <c r="N68" s="20" t="s">
        <v>76</v>
      </c>
      <c r="O68" s="20" t="s">
        <v>76</v>
      </c>
      <c r="P68" s="26" t="s">
        <v>76</v>
      </c>
    </row>
    <row r="69" spans="1:16">
      <c r="A69" s="9" t="s">
        <v>228</v>
      </c>
      <c r="B69" s="15">
        <v>100</v>
      </c>
      <c r="C69" s="15">
        <v>100</v>
      </c>
      <c r="D69" s="26" t="s">
        <v>76</v>
      </c>
      <c r="E69" s="15">
        <v>100</v>
      </c>
      <c r="F69" s="15">
        <v>100</v>
      </c>
      <c r="G69" s="26" t="s">
        <v>76</v>
      </c>
      <c r="H69" s="15">
        <v>100</v>
      </c>
      <c r="I69" s="15">
        <v>100</v>
      </c>
      <c r="J69" s="26" t="s">
        <v>76</v>
      </c>
      <c r="K69" s="20" t="s">
        <v>76</v>
      </c>
      <c r="L69" s="20" t="s">
        <v>76</v>
      </c>
      <c r="M69" s="26" t="s">
        <v>76</v>
      </c>
      <c r="N69" s="20" t="s">
        <v>76</v>
      </c>
      <c r="O69" s="20" t="s">
        <v>76</v>
      </c>
      <c r="P69" s="26" t="s">
        <v>76</v>
      </c>
    </row>
    <row r="70" spans="1:16">
      <c r="A70" s="9" t="s">
        <v>229</v>
      </c>
      <c r="B70" s="15">
        <v>97.260273972602704</v>
      </c>
      <c r="C70" s="15">
        <v>97.260273972602704</v>
      </c>
      <c r="D70" s="26" t="s">
        <v>76</v>
      </c>
      <c r="E70" s="15">
        <v>95</v>
      </c>
      <c r="F70" s="15">
        <v>95</v>
      </c>
      <c r="G70" s="26" t="s">
        <v>76</v>
      </c>
      <c r="H70" s="15">
        <v>100</v>
      </c>
      <c r="I70" s="15">
        <v>100</v>
      </c>
      <c r="J70" s="26" t="s">
        <v>76</v>
      </c>
      <c r="K70" s="20" t="s">
        <v>76</v>
      </c>
      <c r="L70" s="20" t="s">
        <v>76</v>
      </c>
      <c r="M70" s="26" t="s">
        <v>76</v>
      </c>
      <c r="N70" s="20" t="s">
        <v>76</v>
      </c>
      <c r="O70" s="20" t="s">
        <v>76</v>
      </c>
      <c r="P70" s="26" t="s">
        <v>76</v>
      </c>
    </row>
    <row r="71" spans="1:16">
      <c r="A71" s="9" t="s">
        <v>230</v>
      </c>
      <c r="B71" s="15">
        <v>95</v>
      </c>
      <c r="C71" s="15">
        <v>95</v>
      </c>
      <c r="D71" s="26" t="s">
        <v>76</v>
      </c>
      <c r="E71" s="15">
        <v>95.8333333333333</v>
      </c>
      <c r="F71" s="15">
        <v>95.8333333333333</v>
      </c>
      <c r="G71" s="26" t="s">
        <v>76</v>
      </c>
      <c r="H71" s="15">
        <v>96.428571428571402</v>
      </c>
      <c r="I71" s="15">
        <v>96.428571428571402</v>
      </c>
      <c r="J71" s="26" t="s">
        <v>76</v>
      </c>
      <c r="K71" s="20" t="s">
        <v>76</v>
      </c>
      <c r="L71" s="20" t="s">
        <v>76</v>
      </c>
      <c r="M71" s="26" t="s">
        <v>76</v>
      </c>
      <c r="N71" s="15">
        <v>85.714285714285694</v>
      </c>
      <c r="O71" s="15">
        <v>85.714285714285694</v>
      </c>
      <c r="P71" s="26" t="s">
        <v>76</v>
      </c>
    </row>
    <row r="72" spans="1:16">
      <c r="A72" s="9" t="s">
        <v>231</v>
      </c>
      <c r="B72" s="15">
        <v>91.566265060240994</v>
      </c>
      <c r="C72" s="15">
        <v>91.566265060240994</v>
      </c>
      <c r="D72" s="26" t="s">
        <v>76</v>
      </c>
      <c r="E72" s="15">
        <v>90.476190476190496</v>
      </c>
      <c r="F72" s="15">
        <v>90.476190476190496</v>
      </c>
      <c r="G72" s="26" t="s">
        <v>76</v>
      </c>
      <c r="H72" s="15">
        <v>92.307692307692307</v>
      </c>
      <c r="I72" s="15">
        <v>92.307692307692307</v>
      </c>
      <c r="J72" s="26" t="s">
        <v>76</v>
      </c>
      <c r="K72" s="20" t="s">
        <v>76</v>
      </c>
      <c r="L72" s="20" t="s">
        <v>76</v>
      </c>
      <c r="M72" s="26" t="s">
        <v>76</v>
      </c>
      <c r="N72" s="20" t="s">
        <v>76</v>
      </c>
      <c r="O72" s="20" t="s">
        <v>76</v>
      </c>
      <c r="P72" s="26" t="s">
        <v>76</v>
      </c>
    </row>
    <row r="73" spans="1:16">
      <c r="A73" s="9" t="s">
        <v>232</v>
      </c>
      <c r="B73" s="15">
        <v>92.682926829268297</v>
      </c>
      <c r="C73" s="15">
        <v>92.682926829268297</v>
      </c>
      <c r="D73" s="26" t="s">
        <v>76</v>
      </c>
      <c r="E73" s="15">
        <v>92.105263157894697</v>
      </c>
      <c r="F73" s="15">
        <v>92.105263157894697</v>
      </c>
      <c r="G73" s="26" t="s">
        <v>76</v>
      </c>
      <c r="H73" s="15">
        <v>92.857142857142904</v>
      </c>
      <c r="I73" s="15">
        <v>92.857142857142904</v>
      </c>
      <c r="J73" s="26" t="s">
        <v>76</v>
      </c>
      <c r="K73" s="20" t="s">
        <v>76</v>
      </c>
      <c r="L73" s="20" t="s">
        <v>76</v>
      </c>
      <c r="M73" s="26" t="s">
        <v>76</v>
      </c>
      <c r="N73" s="20" t="s">
        <v>76</v>
      </c>
      <c r="O73" s="20" t="s">
        <v>76</v>
      </c>
      <c r="P73" s="26" t="s">
        <v>76</v>
      </c>
    </row>
    <row r="74" spans="1:16">
      <c r="A74" s="9" t="s">
        <v>233</v>
      </c>
      <c r="B74" s="15">
        <v>99.065420560747697</v>
      </c>
      <c r="C74" s="15">
        <v>99.065420560747697</v>
      </c>
      <c r="D74" s="26" t="s">
        <v>76</v>
      </c>
      <c r="E74" s="15">
        <v>98.412698412698404</v>
      </c>
      <c r="F74" s="15">
        <v>98.412698412698404</v>
      </c>
      <c r="G74" s="26" t="s">
        <v>76</v>
      </c>
      <c r="H74" s="15">
        <v>100</v>
      </c>
      <c r="I74" s="15">
        <v>100</v>
      </c>
      <c r="J74" s="26" t="s">
        <v>76</v>
      </c>
      <c r="K74" s="20" t="s">
        <v>76</v>
      </c>
      <c r="L74" s="20" t="s">
        <v>76</v>
      </c>
      <c r="M74" s="26" t="s">
        <v>76</v>
      </c>
      <c r="N74" s="20" t="s">
        <v>76</v>
      </c>
      <c r="O74" s="20" t="s">
        <v>76</v>
      </c>
      <c r="P74" s="26" t="s">
        <v>76</v>
      </c>
    </row>
    <row r="75" spans="1:16">
      <c r="A75" s="9" t="s">
        <v>234</v>
      </c>
      <c r="B75" s="15">
        <v>100</v>
      </c>
      <c r="C75" s="15">
        <v>100</v>
      </c>
      <c r="D75" s="26" t="s">
        <v>76</v>
      </c>
      <c r="E75" s="15">
        <v>100</v>
      </c>
      <c r="F75" s="15">
        <v>100</v>
      </c>
      <c r="G75" s="26" t="s">
        <v>76</v>
      </c>
      <c r="H75" s="15">
        <v>100</v>
      </c>
      <c r="I75" s="15">
        <v>100</v>
      </c>
      <c r="J75" s="26" t="s">
        <v>76</v>
      </c>
      <c r="K75" s="20" t="s">
        <v>76</v>
      </c>
      <c r="L75" s="20" t="s">
        <v>76</v>
      </c>
      <c r="M75" s="26" t="s">
        <v>76</v>
      </c>
      <c r="N75" s="20" t="s">
        <v>76</v>
      </c>
      <c r="O75" s="20" t="s">
        <v>76</v>
      </c>
      <c r="P75" s="26" t="s">
        <v>76</v>
      </c>
    </row>
    <row r="76" spans="1:16">
      <c r="A76" s="9" t="s">
        <v>235</v>
      </c>
      <c r="B76" s="15">
        <v>82.608695652173907</v>
      </c>
      <c r="C76" s="15">
        <v>82.608695652173907</v>
      </c>
      <c r="D76" s="26" t="s">
        <v>76</v>
      </c>
      <c r="E76" s="15">
        <v>90.909090909090907</v>
      </c>
      <c r="F76" s="15">
        <v>90.909090909090907</v>
      </c>
      <c r="G76" s="26" t="s">
        <v>76</v>
      </c>
      <c r="H76" s="15">
        <v>74.285714285714306</v>
      </c>
      <c r="I76" s="15">
        <v>74.285714285714306</v>
      </c>
      <c r="J76" s="26" t="s">
        <v>76</v>
      </c>
      <c r="K76" s="20" t="s">
        <v>76</v>
      </c>
      <c r="L76" s="20" t="s">
        <v>76</v>
      </c>
      <c r="M76" s="26" t="s">
        <v>76</v>
      </c>
      <c r="N76" s="20" t="s">
        <v>76</v>
      </c>
      <c r="O76" s="20" t="s">
        <v>76</v>
      </c>
      <c r="P76" s="26" t="s">
        <v>76</v>
      </c>
    </row>
    <row r="77" spans="1:16">
      <c r="A77" s="9" t="s">
        <v>236</v>
      </c>
      <c r="B77" s="15">
        <v>100</v>
      </c>
      <c r="C77" s="15">
        <v>100</v>
      </c>
      <c r="D77" s="26" t="s">
        <v>76</v>
      </c>
      <c r="E77" s="15">
        <v>100</v>
      </c>
      <c r="F77" s="15">
        <v>100</v>
      </c>
      <c r="G77" s="26" t="s">
        <v>76</v>
      </c>
      <c r="H77" s="20" t="s">
        <v>76</v>
      </c>
      <c r="I77" s="20" t="s">
        <v>76</v>
      </c>
      <c r="J77" s="26" t="s">
        <v>76</v>
      </c>
      <c r="K77" s="20" t="s">
        <v>76</v>
      </c>
      <c r="L77" s="20" t="s">
        <v>76</v>
      </c>
      <c r="M77" s="26" t="s">
        <v>76</v>
      </c>
      <c r="N77" s="20" t="s">
        <v>76</v>
      </c>
      <c r="O77" s="20" t="s">
        <v>76</v>
      </c>
      <c r="P77" s="26" t="s">
        <v>76</v>
      </c>
    </row>
    <row r="78" spans="1:16">
      <c r="A78" s="9" t="s">
        <v>237</v>
      </c>
      <c r="B78" s="15">
        <v>93.650793650793602</v>
      </c>
      <c r="C78" s="15">
        <v>93.650793650793602</v>
      </c>
      <c r="D78" s="26" t="s">
        <v>76</v>
      </c>
      <c r="E78" s="15">
        <v>96.153846153846104</v>
      </c>
      <c r="F78" s="15">
        <v>96.153846153846104</v>
      </c>
      <c r="G78" s="26" t="s">
        <v>76</v>
      </c>
      <c r="H78" s="15">
        <v>91.891891891891902</v>
      </c>
      <c r="I78" s="15">
        <v>91.891891891891902</v>
      </c>
      <c r="J78" s="26" t="s">
        <v>76</v>
      </c>
      <c r="K78" s="20" t="s">
        <v>76</v>
      </c>
      <c r="L78" s="20" t="s">
        <v>76</v>
      </c>
      <c r="M78" s="26" t="s">
        <v>76</v>
      </c>
      <c r="N78" s="20" t="s">
        <v>76</v>
      </c>
      <c r="O78" s="20" t="s">
        <v>76</v>
      </c>
      <c r="P78" s="26" t="s">
        <v>76</v>
      </c>
    </row>
    <row r="79" spans="1:16">
      <c r="A79" s="9" t="s">
        <v>238</v>
      </c>
      <c r="B79" s="15">
        <v>89.115646258503403</v>
      </c>
      <c r="C79" s="15">
        <v>89.115646258503403</v>
      </c>
      <c r="D79" s="26" t="s">
        <v>76</v>
      </c>
      <c r="E79" s="15">
        <v>90.909090909090907</v>
      </c>
      <c r="F79" s="15">
        <v>90.909090909090907</v>
      </c>
      <c r="G79" s="26" t="s">
        <v>76</v>
      </c>
      <c r="H79" s="15">
        <v>86.567164179104495</v>
      </c>
      <c r="I79" s="15">
        <v>86.567164179104495</v>
      </c>
      <c r="J79" s="26" t="s">
        <v>76</v>
      </c>
      <c r="K79" s="20" t="s">
        <v>76</v>
      </c>
      <c r="L79" s="20" t="s">
        <v>76</v>
      </c>
      <c r="M79" s="26" t="s">
        <v>76</v>
      </c>
      <c r="N79" s="20" t="s">
        <v>76</v>
      </c>
      <c r="O79" s="20" t="s">
        <v>76</v>
      </c>
      <c r="P79" s="26" t="s">
        <v>76</v>
      </c>
    </row>
    <row r="80" spans="1:16" ht="21.95" customHeight="1">
      <c r="A80" s="22" t="s">
        <v>239</v>
      </c>
      <c r="B80" s="15">
        <v>92.273348199014407</v>
      </c>
      <c r="C80" s="20" t="s">
        <v>76</v>
      </c>
      <c r="D80" s="24">
        <v>92.273348199014407</v>
      </c>
      <c r="E80" s="15">
        <v>92.140351144492101</v>
      </c>
      <c r="F80" s="20" t="s">
        <v>76</v>
      </c>
      <c r="G80" s="24">
        <v>92.140351144492101</v>
      </c>
      <c r="H80" s="15">
        <v>92.575950518627195</v>
      </c>
      <c r="I80" s="20" t="s">
        <v>76</v>
      </c>
      <c r="J80" s="24">
        <v>92.575950518627195</v>
      </c>
      <c r="K80" s="15">
        <v>89.670755313405294</v>
      </c>
      <c r="L80" s="20" t="s">
        <v>76</v>
      </c>
      <c r="M80" s="24">
        <v>89.670755313405294</v>
      </c>
      <c r="N80" s="15">
        <v>90.334223573027998</v>
      </c>
      <c r="O80" s="20" t="s">
        <v>76</v>
      </c>
      <c r="P80" s="24">
        <v>90.334223573027998</v>
      </c>
    </row>
    <row r="81" spans="1:16">
      <c r="A81" s="9" t="s">
        <v>240</v>
      </c>
      <c r="B81" s="15">
        <v>94.249201277955294</v>
      </c>
      <c r="C81" s="20" t="s">
        <v>76</v>
      </c>
      <c r="D81" s="24">
        <v>94.249201277955294</v>
      </c>
      <c r="E81" s="15">
        <v>92.899408284023707</v>
      </c>
      <c r="F81" s="20" t="s">
        <v>76</v>
      </c>
      <c r="G81" s="24">
        <v>92.899408284023707</v>
      </c>
      <c r="H81" s="15">
        <v>95.5555555555555</v>
      </c>
      <c r="I81" s="20" t="s">
        <v>76</v>
      </c>
      <c r="J81" s="24">
        <v>95.5555555555555</v>
      </c>
      <c r="K81" s="20" t="s">
        <v>76</v>
      </c>
      <c r="L81" s="20" t="s">
        <v>76</v>
      </c>
      <c r="M81" s="26" t="s">
        <v>76</v>
      </c>
      <c r="N81" s="15">
        <v>100</v>
      </c>
      <c r="O81" s="20" t="s">
        <v>76</v>
      </c>
      <c r="P81" s="24">
        <v>100</v>
      </c>
    </row>
    <row r="82" spans="1:16">
      <c r="A82" s="9" t="s">
        <v>241</v>
      </c>
      <c r="B82" s="15">
        <v>90.251572327044002</v>
      </c>
      <c r="C82" s="20" t="s">
        <v>76</v>
      </c>
      <c r="D82" s="24">
        <v>90.251572327044002</v>
      </c>
      <c r="E82" s="15">
        <v>91.719745222929902</v>
      </c>
      <c r="F82" s="20" t="s">
        <v>76</v>
      </c>
      <c r="G82" s="24">
        <v>91.719745222929902</v>
      </c>
      <c r="H82" s="15">
        <v>88.387096774193594</v>
      </c>
      <c r="I82" s="20" t="s">
        <v>76</v>
      </c>
      <c r="J82" s="24">
        <v>88.387096774193594</v>
      </c>
      <c r="K82" s="20" t="s">
        <v>76</v>
      </c>
      <c r="L82" s="20" t="s">
        <v>76</v>
      </c>
      <c r="M82" s="26" t="s">
        <v>76</v>
      </c>
      <c r="N82" s="15">
        <v>100</v>
      </c>
      <c r="O82" s="20" t="s">
        <v>76</v>
      </c>
      <c r="P82" s="24">
        <v>100</v>
      </c>
    </row>
    <row r="83" spans="1:16">
      <c r="A83" s="9" t="s">
        <v>242</v>
      </c>
      <c r="B83" s="15">
        <v>97.419354838709694</v>
      </c>
      <c r="C83" s="20" t="s">
        <v>76</v>
      </c>
      <c r="D83" s="24">
        <v>97.419354838709694</v>
      </c>
      <c r="E83" s="15">
        <v>98.901098901098905</v>
      </c>
      <c r="F83" s="20" t="s">
        <v>76</v>
      </c>
      <c r="G83" s="24">
        <v>98.901098901098905</v>
      </c>
      <c r="H83" s="15">
        <v>95.238095238095198</v>
      </c>
      <c r="I83" s="20" t="s">
        <v>76</v>
      </c>
      <c r="J83" s="24">
        <v>95.238095238095198</v>
      </c>
      <c r="K83" s="20" t="s">
        <v>76</v>
      </c>
      <c r="L83" s="20" t="s">
        <v>76</v>
      </c>
      <c r="M83" s="26" t="s">
        <v>76</v>
      </c>
      <c r="N83" s="20" t="s">
        <v>76</v>
      </c>
      <c r="O83" s="20" t="s">
        <v>76</v>
      </c>
      <c r="P83" s="26" t="s">
        <v>76</v>
      </c>
    </row>
    <row r="84" spans="1:16">
      <c r="A84" s="9" t="s">
        <v>243</v>
      </c>
      <c r="B84" s="15">
        <v>80</v>
      </c>
      <c r="C84" s="20" t="s">
        <v>76</v>
      </c>
      <c r="D84" s="24">
        <v>80</v>
      </c>
      <c r="E84" s="15">
        <v>87.5</v>
      </c>
      <c r="F84" s="20" t="s">
        <v>76</v>
      </c>
      <c r="G84" s="24">
        <v>87.5</v>
      </c>
      <c r="H84" s="20" t="s">
        <v>76</v>
      </c>
      <c r="I84" s="20" t="s">
        <v>76</v>
      </c>
      <c r="J84" s="26" t="s">
        <v>76</v>
      </c>
      <c r="K84" s="20" t="s">
        <v>76</v>
      </c>
      <c r="L84" s="20" t="s">
        <v>76</v>
      </c>
      <c r="M84" s="26" t="s">
        <v>76</v>
      </c>
      <c r="N84" s="20" t="s">
        <v>76</v>
      </c>
      <c r="O84" s="20" t="s">
        <v>76</v>
      </c>
      <c r="P84" s="26" t="s">
        <v>76</v>
      </c>
    </row>
    <row r="85" spans="1:16">
      <c r="A85" s="9" t="s">
        <v>244</v>
      </c>
      <c r="B85" s="15">
        <v>87.125748502994</v>
      </c>
      <c r="C85" s="20" t="s">
        <v>76</v>
      </c>
      <c r="D85" s="24">
        <v>87.125748502994</v>
      </c>
      <c r="E85" s="15">
        <v>86.503067484662594</v>
      </c>
      <c r="F85" s="20" t="s">
        <v>76</v>
      </c>
      <c r="G85" s="24">
        <v>86.503067484662594</v>
      </c>
      <c r="H85" s="15">
        <v>89.0322580645161</v>
      </c>
      <c r="I85" s="20" t="s">
        <v>76</v>
      </c>
      <c r="J85" s="24">
        <v>89.0322580645161</v>
      </c>
      <c r="K85" s="20" t="s">
        <v>76</v>
      </c>
      <c r="L85" s="20" t="s">
        <v>76</v>
      </c>
      <c r="M85" s="26" t="s">
        <v>76</v>
      </c>
      <c r="N85" s="15">
        <v>80</v>
      </c>
      <c r="O85" s="20" t="s">
        <v>76</v>
      </c>
      <c r="P85" s="24">
        <v>80</v>
      </c>
    </row>
    <row r="86" spans="1:16">
      <c r="A86" s="9" t="s">
        <v>245</v>
      </c>
      <c r="B86" s="15">
        <v>91.620111731843593</v>
      </c>
      <c r="C86" s="20" t="s">
        <v>76</v>
      </c>
      <c r="D86" s="24">
        <v>91.620111731843593</v>
      </c>
      <c r="E86" s="15">
        <v>88.75</v>
      </c>
      <c r="F86" s="20" t="s">
        <v>76</v>
      </c>
      <c r="G86" s="24">
        <v>88.75</v>
      </c>
      <c r="H86" s="15">
        <v>94.252873563218401</v>
      </c>
      <c r="I86" s="20" t="s">
        <v>76</v>
      </c>
      <c r="J86" s="24">
        <v>94.252873563218401</v>
      </c>
      <c r="K86" s="15">
        <v>83.3333333333333</v>
      </c>
      <c r="L86" s="20" t="s">
        <v>76</v>
      </c>
      <c r="M86" s="24">
        <v>83.3333333333333</v>
      </c>
      <c r="N86" s="15">
        <v>100</v>
      </c>
      <c r="O86" s="20" t="s">
        <v>76</v>
      </c>
      <c r="P86" s="24">
        <v>100</v>
      </c>
    </row>
    <row r="87" spans="1:16">
      <c r="A87" s="9" t="s">
        <v>246</v>
      </c>
      <c r="B87" s="15">
        <v>91.911764705882305</v>
      </c>
      <c r="C87" s="20" t="s">
        <v>76</v>
      </c>
      <c r="D87" s="24">
        <v>91.911764705882305</v>
      </c>
      <c r="E87" s="15">
        <v>90.357142857142904</v>
      </c>
      <c r="F87" s="20" t="s">
        <v>76</v>
      </c>
      <c r="G87" s="24">
        <v>90.357142857142904</v>
      </c>
      <c r="H87" s="15">
        <v>93.625498007968105</v>
      </c>
      <c r="I87" s="20" t="s">
        <v>76</v>
      </c>
      <c r="J87" s="24">
        <v>93.625498007968105</v>
      </c>
      <c r="K87" s="15">
        <v>100</v>
      </c>
      <c r="L87" s="20" t="s">
        <v>76</v>
      </c>
      <c r="M87" s="24">
        <v>100</v>
      </c>
      <c r="N87" s="15">
        <v>87.5</v>
      </c>
      <c r="O87" s="20" t="s">
        <v>76</v>
      </c>
      <c r="P87" s="24">
        <v>87.5</v>
      </c>
    </row>
    <row r="88" spans="1:16">
      <c r="A88" s="9" t="s">
        <v>247</v>
      </c>
      <c r="B88" s="15">
        <v>92.402464065708401</v>
      </c>
      <c r="C88" s="20" t="s">
        <v>76</v>
      </c>
      <c r="D88" s="24">
        <v>92.402464065708401</v>
      </c>
      <c r="E88" s="15">
        <v>92.015209125475295</v>
      </c>
      <c r="F88" s="20" t="s">
        <v>76</v>
      </c>
      <c r="G88" s="24">
        <v>92.015209125475295</v>
      </c>
      <c r="H88" s="15">
        <v>92.195121951219505</v>
      </c>
      <c r="I88" s="20" t="s">
        <v>76</v>
      </c>
      <c r="J88" s="24">
        <v>92.195121951219505</v>
      </c>
      <c r="K88" s="15">
        <v>100</v>
      </c>
      <c r="L88" s="20" t="s">
        <v>76</v>
      </c>
      <c r="M88" s="24">
        <v>100</v>
      </c>
      <c r="N88" s="15">
        <v>100</v>
      </c>
      <c r="O88" s="20" t="s">
        <v>76</v>
      </c>
      <c r="P88" s="24">
        <v>100</v>
      </c>
    </row>
    <row r="89" spans="1:16">
      <c r="A89" s="9" t="s">
        <v>248</v>
      </c>
      <c r="B89" s="15">
        <v>96.862745098039198</v>
      </c>
      <c r="C89" s="20" t="s">
        <v>76</v>
      </c>
      <c r="D89" s="24">
        <v>96.862745098039198</v>
      </c>
      <c r="E89" s="15">
        <v>97.520661157024804</v>
      </c>
      <c r="F89" s="20" t="s">
        <v>76</v>
      </c>
      <c r="G89" s="24">
        <v>97.520661157024804</v>
      </c>
      <c r="H89" s="15">
        <v>97.478991596638707</v>
      </c>
      <c r="I89" s="20" t="s">
        <v>76</v>
      </c>
      <c r="J89" s="24">
        <v>97.478991596638707</v>
      </c>
      <c r="K89" s="15">
        <v>80</v>
      </c>
      <c r="L89" s="20" t="s">
        <v>76</v>
      </c>
      <c r="M89" s="24">
        <v>80</v>
      </c>
      <c r="N89" s="15">
        <v>100</v>
      </c>
      <c r="O89" s="20" t="s">
        <v>76</v>
      </c>
      <c r="P89" s="24">
        <v>100</v>
      </c>
    </row>
    <row r="90" spans="1:16">
      <c r="A90" s="9" t="s">
        <v>249</v>
      </c>
      <c r="B90" s="15">
        <v>91.928251121076201</v>
      </c>
      <c r="C90" s="20" t="s">
        <v>76</v>
      </c>
      <c r="D90" s="24">
        <v>91.928251121076201</v>
      </c>
      <c r="E90" s="15">
        <v>95.283018867924497</v>
      </c>
      <c r="F90" s="20" t="s">
        <v>76</v>
      </c>
      <c r="G90" s="24">
        <v>95.283018867924497</v>
      </c>
      <c r="H90" s="15">
        <v>90.090090090090101</v>
      </c>
      <c r="I90" s="20" t="s">
        <v>76</v>
      </c>
      <c r="J90" s="24">
        <v>90.090090090090101</v>
      </c>
      <c r="K90" s="20" t="s">
        <v>76</v>
      </c>
      <c r="L90" s="20" t="s">
        <v>76</v>
      </c>
      <c r="M90" s="26" t="s">
        <v>76</v>
      </c>
      <c r="N90" s="20" t="s">
        <v>76</v>
      </c>
      <c r="O90" s="20" t="s">
        <v>76</v>
      </c>
      <c r="P90" s="26" t="s">
        <v>76</v>
      </c>
    </row>
    <row r="91" spans="1:16">
      <c r="A91" s="9" t="s">
        <v>250</v>
      </c>
      <c r="B91" s="15">
        <v>94.242424242424207</v>
      </c>
      <c r="C91" s="20" t="s">
        <v>76</v>
      </c>
      <c r="D91" s="24">
        <v>94.242424242424207</v>
      </c>
      <c r="E91" s="15">
        <v>95.439739413680797</v>
      </c>
      <c r="F91" s="20" t="s">
        <v>76</v>
      </c>
      <c r="G91" s="24">
        <v>95.439739413680797</v>
      </c>
      <c r="H91" s="15">
        <v>93.0599369085174</v>
      </c>
      <c r="I91" s="20" t="s">
        <v>76</v>
      </c>
      <c r="J91" s="24">
        <v>93.0599369085174</v>
      </c>
      <c r="K91" s="15">
        <v>94.4444444444444</v>
      </c>
      <c r="L91" s="20" t="s">
        <v>76</v>
      </c>
      <c r="M91" s="24">
        <v>94.4444444444444</v>
      </c>
      <c r="N91" s="15">
        <v>94.4444444444444</v>
      </c>
      <c r="O91" s="20" t="s">
        <v>76</v>
      </c>
      <c r="P91" s="24">
        <v>94.4444444444444</v>
      </c>
    </row>
    <row r="92" spans="1:16">
      <c r="A92" s="11" t="s">
        <v>251</v>
      </c>
      <c r="B92" s="16">
        <v>93.361884368308395</v>
      </c>
      <c r="C92" s="28" t="s">
        <v>76</v>
      </c>
      <c r="D92" s="25">
        <v>93.361884368308395</v>
      </c>
      <c r="E92" s="16">
        <v>91.139240506329102</v>
      </c>
      <c r="F92" s="28" t="s">
        <v>76</v>
      </c>
      <c r="G92" s="25">
        <v>91.139240506329102</v>
      </c>
      <c r="H92" s="16">
        <v>95.515695067264602</v>
      </c>
      <c r="I92" s="28" t="s">
        <v>76</v>
      </c>
      <c r="J92" s="25">
        <v>95.515695067264602</v>
      </c>
      <c r="K92" s="28" t="s">
        <v>76</v>
      </c>
      <c r="L92" s="28" t="s">
        <v>76</v>
      </c>
      <c r="M92" s="29" t="s">
        <v>76</v>
      </c>
      <c r="N92" s="28" t="s">
        <v>76</v>
      </c>
      <c r="O92" s="28" t="s">
        <v>76</v>
      </c>
      <c r="P92" s="29" t="s">
        <v>76</v>
      </c>
    </row>
    <row r="93" spans="1:16" ht="30" customHeight="1">
      <c r="A93" t="s">
        <v>252</v>
      </c>
    </row>
    <row r="94" spans="1:16">
      <c r="A94" t="s">
        <v>143</v>
      </c>
    </row>
    <row r="95" spans="1:16">
      <c r="A95" t="s">
        <v>144</v>
      </c>
    </row>
    <row r="96" spans="1:16">
      <c r="A96" t="s">
        <v>145</v>
      </c>
    </row>
    <row r="97" spans="1:1">
      <c r="A97" t="s">
        <v>146</v>
      </c>
    </row>
    <row r="98" spans="1:1">
      <c r="A98" t="s">
        <v>147</v>
      </c>
    </row>
    <row r="99" spans="1:1">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70"/>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328</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9" t="s">
        <v>258</v>
      </c>
      <c r="B3" s="15">
        <v>17.9236423010863</v>
      </c>
      <c r="C3" s="15">
        <v>20.460398290668898</v>
      </c>
      <c r="D3" s="24">
        <v>15.8750325767456</v>
      </c>
      <c r="E3" s="15">
        <v>19.290186905712599</v>
      </c>
      <c r="F3" s="15">
        <v>23.5387899224873</v>
      </c>
      <c r="G3" s="24">
        <v>15.8344648424967</v>
      </c>
      <c r="H3" s="15">
        <v>16.175869413665101</v>
      </c>
      <c r="I3" s="15">
        <v>16.942521707570901</v>
      </c>
      <c r="J3" s="24">
        <v>15.5432101183091</v>
      </c>
      <c r="K3" s="20" t="s">
        <v>76</v>
      </c>
      <c r="L3" s="20" t="s">
        <v>76</v>
      </c>
      <c r="M3" s="26" t="s">
        <v>76</v>
      </c>
      <c r="N3" s="15">
        <v>22.229636752826799</v>
      </c>
      <c r="O3" s="20" t="s">
        <v>76</v>
      </c>
      <c r="P3" s="26" t="s">
        <v>76</v>
      </c>
    </row>
    <row r="4" spans="1:16">
      <c r="A4" s="9" t="s">
        <v>259</v>
      </c>
      <c r="B4" s="15">
        <v>14.3446586472118</v>
      </c>
      <c r="C4" s="15">
        <v>13.4890872012896</v>
      </c>
      <c r="D4" s="24">
        <v>15.0355930497252</v>
      </c>
      <c r="E4" s="15">
        <v>15.832749719237</v>
      </c>
      <c r="F4" s="15">
        <v>14.006475989254699</v>
      </c>
      <c r="G4" s="24">
        <v>17.318201383526102</v>
      </c>
      <c r="H4" s="15">
        <v>13.012412680946699</v>
      </c>
      <c r="I4" s="15">
        <v>12.8658747932295</v>
      </c>
      <c r="J4" s="24">
        <v>13.133339152468601</v>
      </c>
      <c r="K4" s="20" t="s">
        <v>76</v>
      </c>
      <c r="L4" s="20" t="s">
        <v>76</v>
      </c>
      <c r="M4" s="26" t="s">
        <v>76</v>
      </c>
      <c r="N4" s="20" t="s">
        <v>76</v>
      </c>
      <c r="O4" s="20" t="s">
        <v>76</v>
      </c>
      <c r="P4" s="26" t="s">
        <v>76</v>
      </c>
    </row>
    <row r="5" spans="1:16">
      <c r="A5" s="9" t="s">
        <v>260</v>
      </c>
      <c r="B5" s="15">
        <v>21.536118090873401</v>
      </c>
      <c r="C5" s="15">
        <v>19.3429325066421</v>
      </c>
      <c r="D5" s="24">
        <v>23.307270434098701</v>
      </c>
      <c r="E5" s="15">
        <v>21.0268924680393</v>
      </c>
      <c r="F5" s="15">
        <v>20.542048688608201</v>
      </c>
      <c r="G5" s="24">
        <v>21.421253941487802</v>
      </c>
      <c r="H5" s="15">
        <v>22.050375099828202</v>
      </c>
      <c r="I5" s="15">
        <v>18.1544065222113</v>
      </c>
      <c r="J5" s="24">
        <v>25.265418939959599</v>
      </c>
      <c r="K5" s="20" t="s">
        <v>76</v>
      </c>
      <c r="L5" s="20" t="s">
        <v>76</v>
      </c>
      <c r="M5" s="26" t="s">
        <v>76</v>
      </c>
      <c r="N5" s="20" t="s">
        <v>76</v>
      </c>
      <c r="O5" s="20" t="s">
        <v>76</v>
      </c>
      <c r="P5" s="26" t="s">
        <v>76</v>
      </c>
    </row>
    <row r="6" spans="1:16">
      <c r="A6" s="9" t="s">
        <v>261</v>
      </c>
      <c r="B6" s="15">
        <v>35.5366175081042</v>
      </c>
      <c r="C6" s="15">
        <v>38.863730438786398</v>
      </c>
      <c r="D6" s="24">
        <v>32.849738702351701</v>
      </c>
      <c r="E6" s="15">
        <v>42.531981237647003</v>
      </c>
      <c r="F6" s="15">
        <v>44.0791307730791</v>
      </c>
      <c r="G6" s="24">
        <v>41.273563173267299</v>
      </c>
      <c r="H6" s="15">
        <v>28.106766999562399</v>
      </c>
      <c r="I6" s="15">
        <v>32.901873261992698</v>
      </c>
      <c r="J6" s="24">
        <v>24.149733839600099</v>
      </c>
      <c r="K6" s="20" t="s">
        <v>76</v>
      </c>
      <c r="L6" s="20" t="s">
        <v>76</v>
      </c>
      <c r="M6" s="26" t="s">
        <v>76</v>
      </c>
      <c r="N6" s="15">
        <v>39.517430863916402</v>
      </c>
      <c r="O6" s="15">
        <v>52.341759092404899</v>
      </c>
      <c r="P6" s="26" t="s">
        <v>76</v>
      </c>
    </row>
    <row r="7" spans="1:16">
      <c r="A7" s="9" t="s">
        <v>262</v>
      </c>
      <c r="B7" s="15">
        <v>21.193766317875401</v>
      </c>
      <c r="C7" s="15">
        <v>25.795062569784001</v>
      </c>
      <c r="D7" s="24">
        <v>17.477894438616001</v>
      </c>
      <c r="E7" s="15">
        <v>27.054806508493499</v>
      </c>
      <c r="F7" s="15">
        <v>31.666487394119201</v>
      </c>
      <c r="G7" s="24">
        <v>23.303764737340501</v>
      </c>
      <c r="H7" s="15">
        <v>15.001478643253201</v>
      </c>
      <c r="I7" s="15">
        <v>19.555338571207599</v>
      </c>
      <c r="J7" s="24">
        <v>11.2435275667724</v>
      </c>
      <c r="K7" s="20" t="s">
        <v>76</v>
      </c>
      <c r="L7" s="20" t="s">
        <v>76</v>
      </c>
      <c r="M7" s="26" t="s">
        <v>76</v>
      </c>
      <c r="N7" s="15">
        <v>21.051064379062598</v>
      </c>
      <c r="O7" s="20" t="s">
        <v>76</v>
      </c>
      <c r="P7" s="26" t="s">
        <v>76</v>
      </c>
    </row>
    <row r="8" spans="1:16">
      <c r="A8" s="9" t="s">
        <v>263</v>
      </c>
      <c r="B8" s="15">
        <v>0.96740077174809302</v>
      </c>
      <c r="C8" s="15">
        <v>1.3319921754558099</v>
      </c>
      <c r="D8" s="24">
        <v>0.67296744898709604</v>
      </c>
      <c r="E8" s="15">
        <v>1.31279541896964</v>
      </c>
      <c r="F8" s="15">
        <v>1.7340644882040701</v>
      </c>
      <c r="G8" s="26" t="s">
        <v>76</v>
      </c>
      <c r="H8" s="20" t="s">
        <v>76</v>
      </c>
      <c r="I8" s="20" t="s">
        <v>76</v>
      </c>
      <c r="J8" s="26" t="s">
        <v>76</v>
      </c>
      <c r="K8" s="20" t="s">
        <v>76</v>
      </c>
      <c r="L8" s="20" t="s">
        <v>76</v>
      </c>
      <c r="M8" s="26" t="s">
        <v>76</v>
      </c>
      <c r="N8" s="20" t="s">
        <v>76</v>
      </c>
      <c r="O8" s="20" t="s">
        <v>76</v>
      </c>
      <c r="P8" s="26" t="s">
        <v>76</v>
      </c>
    </row>
    <row r="9" spans="1:16">
      <c r="A9" s="9" t="s">
        <v>264</v>
      </c>
      <c r="B9" s="15">
        <v>13.4634464891361</v>
      </c>
      <c r="C9" s="15">
        <v>17.225985956247801</v>
      </c>
      <c r="D9" s="24">
        <v>10.424929985304299</v>
      </c>
      <c r="E9" s="15">
        <v>13.5184956686326</v>
      </c>
      <c r="F9" s="15">
        <v>18.284716553009599</v>
      </c>
      <c r="G9" s="24">
        <v>9.6417543954962408</v>
      </c>
      <c r="H9" s="15">
        <v>13.3490792425163</v>
      </c>
      <c r="I9" s="15">
        <v>15.8479228272555</v>
      </c>
      <c r="J9" s="24">
        <v>11.286975425580099</v>
      </c>
      <c r="K9" s="20" t="s">
        <v>76</v>
      </c>
      <c r="L9" s="20" t="s">
        <v>76</v>
      </c>
      <c r="M9" s="26" t="s">
        <v>76</v>
      </c>
      <c r="N9" s="20" t="s">
        <v>76</v>
      </c>
      <c r="O9" s="20" t="s">
        <v>76</v>
      </c>
      <c r="P9" s="26" t="s">
        <v>76</v>
      </c>
    </row>
    <row r="10" spans="1:16">
      <c r="A10" s="9" t="s">
        <v>265</v>
      </c>
      <c r="B10" s="15">
        <v>10.187517804943001</v>
      </c>
      <c r="C10" s="15">
        <v>10.106212852784999</v>
      </c>
      <c r="D10" s="24">
        <v>10.253177299317599</v>
      </c>
      <c r="E10" s="15">
        <v>13.603077937777099</v>
      </c>
      <c r="F10" s="15">
        <v>14.279429864820999</v>
      </c>
      <c r="G10" s="24">
        <v>13.052947867362001</v>
      </c>
      <c r="H10" s="15">
        <v>6.5578785804104101</v>
      </c>
      <c r="I10" s="15">
        <v>5.5328648632470498</v>
      </c>
      <c r="J10" s="24">
        <v>7.4037437283865097</v>
      </c>
      <c r="K10" s="20" t="s">
        <v>76</v>
      </c>
      <c r="L10" s="20" t="s">
        <v>76</v>
      </c>
      <c r="M10" s="26" t="s">
        <v>76</v>
      </c>
      <c r="N10" s="20" t="s">
        <v>76</v>
      </c>
      <c r="O10" s="20" t="s">
        <v>76</v>
      </c>
      <c r="P10" s="26" t="s">
        <v>76</v>
      </c>
    </row>
    <row r="11" spans="1:16">
      <c r="A11" s="9" t="s">
        <v>266</v>
      </c>
      <c r="B11" s="15">
        <v>17.288197538956801</v>
      </c>
      <c r="C11" s="15">
        <v>16.102149111806799</v>
      </c>
      <c r="D11" s="24">
        <v>18.2460154573441</v>
      </c>
      <c r="E11" s="15">
        <v>18.048719516584899</v>
      </c>
      <c r="F11" s="15">
        <v>16.756075734643201</v>
      </c>
      <c r="G11" s="24">
        <v>19.1001280900614</v>
      </c>
      <c r="H11" s="15">
        <v>16.4220012472048</v>
      </c>
      <c r="I11" s="15">
        <v>15.3380431233706</v>
      </c>
      <c r="J11" s="24">
        <v>17.316508689850799</v>
      </c>
      <c r="K11" s="20" t="s">
        <v>76</v>
      </c>
      <c r="L11" s="20" t="s">
        <v>76</v>
      </c>
      <c r="M11" s="26" t="s">
        <v>76</v>
      </c>
      <c r="N11" s="20" t="s">
        <v>76</v>
      </c>
      <c r="O11" s="20" t="s">
        <v>76</v>
      </c>
      <c r="P11" s="26" t="s">
        <v>76</v>
      </c>
    </row>
    <row r="12" spans="1:16">
      <c r="A12" s="9" t="s">
        <v>267</v>
      </c>
      <c r="B12" s="15">
        <v>5.6275141158094302</v>
      </c>
      <c r="C12" s="15">
        <v>6.6379381570898497</v>
      </c>
      <c r="D12" s="24">
        <v>4.8115252997091904</v>
      </c>
      <c r="E12" s="15">
        <v>6.2583601900099399</v>
      </c>
      <c r="F12" s="15">
        <v>7.0556167279424704</v>
      </c>
      <c r="G12" s="24">
        <v>5.6098889166763897</v>
      </c>
      <c r="H12" s="15">
        <v>4.6725437301930901</v>
      </c>
      <c r="I12" s="15">
        <v>5.9174089283408096</v>
      </c>
      <c r="J12" s="24">
        <v>3.6452520292043702</v>
      </c>
      <c r="K12" s="20" t="s">
        <v>76</v>
      </c>
      <c r="L12" s="20" t="s">
        <v>76</v>
      </c>
      <c r="M12" s="26" t="s">
        <v>76</v>
      </c>
      <c r="N12" s="20" t="s">
        <v>76</v>
      </c>
      <c r="O12" s="20" t="s">
        <v>76</v>
      </c>
      <c r="P12" s="26" t="s">
        <v>76</v>
      </c>
    </row>
    <row r="13" spans="1:16">
      <c r="A13" s="9" t="s">
        <v>268</v>
      </c>
      <c r="B13" s="15">
        <v>3.0798413920213101</v>
      </c>
      <c r="C13" s="15">
        <v>4.6940478412330799</v>
      </c>
      <c r="D13" s="24">
        <v>1.7762556145446</v>
      </c>
      <c r="E13" s="15">
        <v>1.2986061732305001</v>
      </c>
      <c r="F13" s="15">
        <v>1.4253413304904701</v>
      </c>
      <c r="G13" s="26" t="s">
        <v>76</v>
      </c>
      <c r="H13" s="15">
        <v>4.8380604750526999</v>
      </c>
      <c r="I13" s="15">
        <v>7.9928032621291996</v>
      </c>
      <c r="J13" s="24">
        <v>2.2346933886084202</v>
      </c>
      <c r="K13" s="20" t="s">
        <v>76</v>
      </c>
      <c r="L13" s="20" t="s">
        <v>76</v>
      </c>
      <c r="M13" s="26" t="s">
        <v>76</v>
      </c>
      <c r="N13" s="20" t="s">
        <v>76</v>
      </c>
      <c r="O13" s="20" t="s">
        <v>76</v>
      </c>
      <c r="P13" s="26" t="s">
        <v>76</v>
      </c>
    </row>
    <row r="14" spans="1:16">
      <c r="A14" s="9" t="s">
        <v>269</v>
      </c>
      <c r="B14" s="15">
        <v>23.423519314774602</v>
      </c>
      <c r="C14" s="15">
        <v>26.839732193492399</v>
      </c>
      <c r="D14" s="24">
        <v>20.664686004634</v>
      </c>
      <c r="E14" s="15">
        <v>24.192432406919998</v>
      </c>
      <c r="F14" s="15">
        <v>27.363077171746699</v>
      </c>
      <c r="G14" s="24">
        <v>21.613498337257202</v>
      </c>
      <c r="H14" s="15">
        <v>22.3198705539711</v>
      </c>
      <c r="I14" s="15">
        <v>25.971979940542099</v>
      </c>
      <c r="J14" s="24">
        <v>19.3060649873043</v>
      </c>
      <c r="K14" s="20" t="s">
        <v>76</v>
      </c>
      <c r="L14" s="20" t="s">
        <v>76</v>
      </c>
      <c r="M14" s="26" t="s">
        <v>76</v>
      </c>
      <c r="N14" s="15">
        <v>26.161696296970401</v>
      </c>
      <c r="O14" s="20" t="s">
        <v>76</v>
      </c>
      <c r="P14" s="26" t="s">
        <v>76</v>
      </c>
    </row>
    <row r="15" spans="1:16">
      <c r="A15" s="9" t="s">
        <v>270</v>
      </c>
      <c r="B15" s="15">
        <v>19.682171107442802</v>
      </c>
      <c r="C15" s="15">
        <v>22.566402904889301</v>
      </c>
      <c r="D15" s="24">
        <v>17.352950113477998</v>
      </c>
      <c r="E15" s="15">
        <v>23.796154762870099</v>
      </c>
      <c r="F15" s="15">
        <v>27.375058084413801</v>
      </c>
      <c r="G15" s="24">
        <v>20.885151988182901</v>
      </c>
      <c r="H15" s="15">
        <v>15.417999183763399</v>
      </c>
      <c r="I15" s="15">
        <v>17.1466265712492</v>
      </c>
      <c r="J15" s="24">
        <v>13.9914956780759</v>
      </c>
      <c r="K15" s="20" t="s">
        <v>76</v>
      </c>
      <c r="L15" s="20" t="s">
        <v>76</v>
      </c>
      <c r="M15" s="26" t="s">
        <v>76</v>
      </c>
      <c r="N15" s="15">
        <v>20.738074014867902</v>
      </c>
      <c r="O15" s="20" t="s">
        <v>76</v>
      </c>
      <c r="P15" s="26" t="s">
        <v>76</v>
      </c>
    </row>
    <row r="16" spans="1:16">
      <c r="A16" s="9" t="s">
        <v>271</v>
      </c>
      <c r="B16" s="15">
        <v>1.8270212928270799</v>
      </c>
      <c r="C16" s="15">
        <v>2.6360348585281401</v>
      </c>
      <c r="D16" s="24">
        <v>1.17368566865795</v>
      </c>
      <c r="E16" s="15">
        <v>2.1891153089727502</v>
      </c>
      <c r="F16" s="15">
        <v>3.3326814067166501</v>
      </c>
      <c r="G16" s="26" t="s">
        <v>76</v>
      </c>
      <c r="H16" s="15">
        <v>1.30302177905559</v>
      </c>
      <c r="I16" s="15">
        <v>1.7478515145753499</v>
      </c>
      <c r="J16" s="26" t="s">
        <v>76</v>
      </c>
      <c r="K16" s="20" t="s">
        <v>76</v>
      </c>
      <c r="L16" s="20" t="s">
        <v>76</v>
      </c>
      <c r="M16" s="26" t="s">
        <v>76</v>
      </c>
      <c r="N16" s="20" t="s">
        <v>76</v>
      </c>
      <c r="O16" s="20" t="s">
        <v>76</v>
      </c>
      <c r="P16" s="26" t="s">
        <v>76</v>
      </c>
    </row>
    <row r="17" spans="1:16">
      <c r="A17" s="9" t="s">
        <v>272</v>
      </c>
      <c r="B17" s="15">
        <v>61.040489649145897</v>
      </c>
      <c r="C17" s="15">
        <v>60.197432068853203</v>
      </c>
      <c r="D17" s="24">
        <v>61.721318220856901</v>
      </c>
      <c r="E17" s="15">
        <v>61.562559467904002</v>
      </c>
      <c r="F17" s="15">
        <v>60.3879238232701</v>
      </c>
      <c r="G17" s="24">
        <v>62.517982767603797</v>
      </c>
      <c r="H17" s="15">
        <v>60.601634519014901</v>
      </c>
      <c r="I17" s="15">
        <v>59.693869434792802</v>
      </c>
      <c r="J17" s="24">
        <v>61.3507433693999</v>
      </c>
      <c r="K17" s="15">
        <v>63.316199143778597</v>
      </c>
      <c r="L17" s="20" t="s">
        <v>76</v>
      </c>
      <c r="M17" s="24">
        <v>58.825387143913197</v>
      </c>
      <c r="N17" s="15">
        <v>56.806799026932602</v>
      </c>
      <c r="O17" s="15">
        <v>63.285452241159398</v>
      </c>
      <c r="P17" s="24">
        <v>52.357081153330597</v>
      </c>
    </row>
    <row r="18" spans="1:16">
      <c r="A18" s="9" t="s">
        <v>273</v>
      </c>
      <c r="B18" s="15">
        <v>24.003750129100499</v>
      </c>
      <c r="C18" s="15">
        <v>28.359810382606401</v>
      </c>
      <c r="D18" s="24">
        <v>20.485923648432699</v>
      </c>
      <c r="E18" s="15">
        <v>15.123993748412399</v>
      </c>
      <c r="F18" s="15">
        <v>22.327271023519199</v>
      </c>
      <c r="G18" s="24">
        <v>9.2650033676294008</v>
      </c>
      <c r="H18" s="15">
        <v>32.868006641353901</v>
      </c>
      <c r="I18" s="15">
        <v>34.496939108442099</v>
      </c>
      <c r="J18" s="24">
        <v>31.523773701593999</v>
      </c>
      <c r="K18" s="15">
        <v>35.751474147592504</v>
      </c>
      <c r="L18" s="20" t="s">
        <v>76</v>
      </c>
      <c r="M18" s="26" t="s">
        <v>76</v>
      </c>
      <c r="N18" s="15">
        <v>29.7112987197237</v>
      </c>
      <c r="O18" s="20" t="s">
        <v>76</v>
      </c>
      <c r="P18" s="26" t="s">
        <v>76</v>
      </c>
    </row>
    <row r="19" spans="1:16">
      <c r="A19" s="9" t="s">
        <v>274</v>
      </c>
      <c r="B19" s="15">
        <v>25.590463948244501</v>
      </c>
      <c r="C19" s="15">
        <v>27.477431426197601</v>
      </c>
      <c r="D19" s="24">
        <v>24.066604365090299</v>
      </c>
      <c r="E19" s="15">
        <v>27.4500404480371</v>
      </c>
      <c r="F19" s="15">
        <v>30.519299796123502</v>
      </c>
      <c r="G19" s="24">
        <v>24.953571089747701</v>
      </c>
      <c r="H19" s="15">
        <v>23.627348474898799</v>
      </c>
      <c r="I19" s="15">
        <v>24.2002741443297</v>
      </c>
      <c r="J19" s="24">
        <v>23.154556893637299</v>
      </c>
      <c r="K19" s="20" t="s">
        <v>76</v>
      </c>
      <c r="L19" s="20" t="s">
        <v>76</v>
      </c>
      <c r="M19" s="26" t="s">
        <v>76</v>
      </c>
      <c r="N19" s="15">
        <v>24.932715484801399</v>
      </c>
      <c r="O19" s="20" t="s">
        <v>76</v>
      </c>
      <c r="P19" s="26" t="s">
        <v>76</v>
      </c>
    </row>
    <row r="20" spans="1:16">
      <c r="A20" s="9" t="s">
        <v>275</v>
      </c>
      <c r="B20" s="15">
        <v>2.3123530442661302</v>
      </c>
      <c r="C20" s="15">
        <v>2.9944909303582801</v>
      </c>
      <c r="D20" s="24">
        <v>1.7614784971956701</v>
      </c>
      <c r="E20" s="15">
        <v>2.8855677889681099</v>
      </c>
      <c r="F20" s="15">
        <v>3.95158921483482</v>
      </c>
      <c r="G20" s="24">
        <v>2.0184889523049598</v>
      </c>
      <c r="H20" s="15">
        <v>1.5960920033967101</v>
      </c>
      <c r="I20" s="15">
        <v>1.89203401760631</v>
      </c>
      <c r="J20" s="26" t="s">
        <v>76</v>
      </c>
      <c r="K20" s="20" t="s">
        <v>76</v>
      </c>
      <c r="L20" s="20" t="s">
        <v>76</v>
      </c>
      <c r="M20" s="26" t="s">
        <v>76</v>
      </c>
      <c r="N20" s="20" t="s">
        <v>76</v>
      </c>
      <c r="O20" s="20" t="s">
        <v>76</v>
      </c>
      <c r="P20" s="26" t="s">
        <v>76</v>
      </c>
    </row>
    <row r="21" spans="1:16">
      <c r="A21" s="9" t="s">
        <v>276</v>
      </c>
      <c r="B21" s="15">
        <v>6.9286317738940397</v>
      </c>
      <c r="C21" s="15">
        <v>7.9421374103506599</v>
      </c>
      <c r="D21" s="24">
        <v>6.1101543519245798</v>
      </c>
      <c r="E21" s="15">
        <v>6.3633852904161303</v>
      </c>
      <c r="F21" s="15">
        <v>8.3642513087355894</v>
      </c>
      <c r="G21" s="24">
        <v>4.7359240242668701</v>
      </c>
      <c r="H21" s="15">
        <v>7.2884909421939197</v>
      </c>
      <c r="I21" s="15">
        <v>7.2179900597866897</v>
      </c>
      <c r="J21" s="24">
        <v>7.3466699092957999</v>
      </c>
      <c r="K21" s="20" t="s">
        <v>76</v>
      </c>
      <c r="L21" s="20" t="s">
        <v>76</v>
      </c>
      <c r="M21" s="26" t="s">
        <v>76</v>
      </c>
      <c r="N21" s="20" t="s">
        <v>76</v>
      </c>
      <c r="O21" s="20" t="s">
        <v>76</v>
      </c>
      <c r="P21" s="26" t="s">
        <v>76</v>
      </c>
    </row>
    <row r="22" spans="1:16">
      <c r="A22" s="9" t="s">
        <v>277</v>
      </c>
      <c r="B22" s="15">
        <v>16.221391327402198</v>
      </c>
      <c r="C22" s="15">
        <v>17.701511280168599</v>
      </c>
      <c r="D22" s="24">
        <v>15.026089871180099</v>
      </c>
      <c r="E22" s="15">
        <v>21.4385769499583</v>
      </c>
      <c r="F22" s="15">
        <v>21.562664560853399</v>
      </c>
      <c r="G22" s="24">
        <v>21.3376467634831</v>
      </c>
      <c r="H22" s="15">
        <v>10.847872382402899</v>
      </c>
      <c r="I22" s="15">
        <v>13.4982752665588</v>
      </c>
      <c r="J22" s="24">
        <v>8.6606983082773095</v>
      </c>
      <c r="K22" s="20" t="s">
        <v>76</v>
      </c>
      <c r="L22" s="20" t="s">
        <v>76</v>
      </c>
      <c r="M22" s="26" t="s">
        <v>76</v>
      </c>
      <c r="N22" s="20" t="s">
        <v>76</v>
      </c>
      <c r="O22" s="20" t="s">
        <v>76</v>
      </c>
      <c r="P22" s="26" t="s">
        <v>76</v>
      </c>
    </row>
    <row r="23" spans="1:16">
      <c r="A23" s="9" t="s">
        <v>278</v>
      </c>
      <c r="B23" s="15">
        <v>15.587318029970801</v>
      </c>
      <c r="C23" s="15">
        <v>14.2170621491983</v>
      </c>
      <c r="D23" s="24">
        <v>16.693896484387899</v>
      </c>
      <c r="E23" s="15">
        <v>11.018052387805101</v>
      </c>
      <c r="F23" s="15">
        <v>11.9333976180204</v>
      </c>
      <c r="G23" s="24">
        <v>10.2735303190157</v>
      </c>
      <c r="H23" s="15">
        <v>20.310294363980098</v>
      </c>
      <c r="I23" s="15">
        <v>16.3883501275916</v>
      </c>
      <c r="J23" s="24">
        <v>23.5467739215878</v>
      </c>
      <c r="K23" s="20" t="s">
        <v>76</v>
      </c>
      <c r="L23" s="20" t="s">
        <v>76</v>
      </c>
      <c r="M23" s="26" t="s">
        <v>76</v>
      </c>
      <c r="N23" s="20" t="s">
        <v>76</v>
      </c>
      <c r="O23" s="20" t="s">
        <v>76</v>
      </c>
      <c r="P23" s="26" t="s">
        <v>76</v>
      </c>
    </row>
    <row r="24" spans="1:16">
      <c r="A24" s="9" t="s">
        <v>279</v>
      </c>
      <c r="B24" s="15">
        <v>37.389076475220897</v>
      </c>
      <c r="C24" s="15">
        <v>38.507400469690602</v>
      </c>
      <c r="D24" s="24">
        <v>36.485950822047201</v>
      </c>
      <c r="E24" s="15">
        <v>43.163624011209002</v>
      </c>
      <c r="F24" s="15">
        <v>43.777022895439799</v>
      </c>
      <c r="G24" s="24">
        <v>42.664698588094801</v>
      </c>
      <c r="H24" s="15">
        <v>31.431266368944598</v>
      </c>
      <c r="I24" s="15">
        <v>32.769135700611798</v>
      </c>
      <c r="J24" s="24">
        <v>30.327225494901299</v>
      </c>
      <c r="K24" s="15">
        <v>37.459556656976503</v>
      </c>
      <c r="L24" s="20" t="s">
        <v>76</v>
      </c>
      <c r="M24" s="26" t="s">
        <v>76</v>
      </c>
      <c r="N24" s="15">
        <v>34.433946188494602</v>
      </c>
      <c r="O24" s="15">
        <v>44.763553370137402</v>
      </c>
      <c r="P24" s="26" t="s">
        <v>76</v>
      </c>
    </row>
    <row r="25" spans="1:16">
      <c r="A25" s="9" t="s">
        <v>280</v>
      </c>
      <c r="B25" s="15">
        <v>1.4210448488538701</v>
      </c>
      <c r="C25" s="15">
        <v>2.2290230956102302</v>
      </c>
      <c r="D25" s="24">
        <v>0.76854531789456104</v>
      </c>
      <c r="E25" s="15">
        <v>1.7245632241532101</v>
      </c>
      <c r="F25" s="15">
        <v>2.6643872536255899</v>
      </c>
      <c r="G25" s="26" t="s">
        <v>76</v>
      </c>
      <c r="H25" s="15">
        <v>0.94726703383229705</v>
      </c>
      <c r="I25" s="15">
        <v>1.53940611501062</v>
      </c>
      <c r="J25" s="26" t="s">
        <v>76</v>
      </c>
      <c r="K25" s="20" t="s">
        <v>76</v>
      </c>
      <c r="L25" s="20" t="s">
        <v>76</v>
      </c>
      <c r="M25" s="26" t="s">
        <v>76</v>
      </c>
      <c r="N25" s="20" t="s">
        <v>76</v>
      </c>
      <c r="O25" s="20" t="s">
        <v>76</v>
      </c>
      <c r="P25" s="26" t="s">
        <v>76</v>
      </c>
    </row>
    <row r="26" spans="1:16">
      <c r="A26" s="9" t="s">
        <v>281</v>
      </c>
      <c r="B26" s="15">
        <v>27.649037196385599</v>
      </c>
      <c r="C26" s="15">
        <v>30.487349708109399</v>
      </c>
      <c r="D26" s="24">
        <v>25.356899270580499</v>
      </c>
      <c r="E26" s="15">
        <v>30.900646840694801</v>
      </c>
      <c r="F26" s="15">
        <v>34.407484599422403</v>
      </c>
      <c r="G26" s="24">
        <v>28.048260640547099</v>
      </c>
      <c r="H26" s="15">
        <v>24.096815524600501</v>
      </c>
      <c r="I26" s="15">
        <v>26.192384092708501</v>
      </c>
      <c r="J26" s="24">
        <v>22.367503626353699</v>
      </c>
      <c r="K26" s="20" t="s">
        <v>76</v>
      </c>
      <c r="L26" s="20" t="s">
        <v>76</v>
      </c>
      <c r="M26" s="26" t="s">
        <v>76</v>
      </c>
      <c r="N26" s="15">
        <v>29.679278101566801</v>
      </c>
      <c r="O26" s="20" t="s">
        <v>76</v>
      </c>
      <c r="P26" s="26" t="s">
        <v>76</v>
      </c>
    </row>
    <row r="27" spans="1:16">
      <c r="A27" s="9" t="s">
        <v>282</v>
      </c>
      <c r="B27" s="15">
        <v>8.8084531706846008</v>
      </c>
      <c r="C27" s="15">
        <v>11.5033698427758</v>
      </c>
      <c r="D27" s="24">
        <v>6.6321175186133301</v>
      </c>
      <c r="E27" s="15">
        <v>3.5995562976916098</v>
      </c>
      <c r="F27" s="15">
        <v>4.1336546001959302</v>
      </c>
      <c r="G27" s="24">
        <v>3.1651322574593101</v>
      </c>
      <c r="H27" s="15">
        <v>14.049861392611399</v>
      </c>
      <c r="I27" s="15">
        <v>19.136268593837599</v>
      </c>
      <c r="J27" s="24">
        <v>9.8524399260593096</v>
      </c>
      <c r="K27" s="20" t="s">
        <v>76</v>
      </c>
      <c r="L27" s="20" t="s">
        <v>76</v>
      </c>
      <c r="M27" s="26" t="s">
        <v>76</v>
      </c>
      <c r="N27" s="20" t="s">
        <v>76</v>
      </c>
      <c r="O27" s="20" t="s">
        <v>76</v>
      </c>
      <c r="P27" s="26" t="s">
        <v>76</v>
      </c>
    </row>
    <row r="28" spans="1:16">
      <c r="A28" s="9" t="s">
        <v>283</v>
      </c>
      <c r="B28" s="15">
        <v>14.869259075076</v>
      </c>
      <c r="C28" s="15">
        <v>19.100072265810802</v>
      </c>
      <c r="D28" s="24">
        <v>11.4525784483224</v>
      </c>
      <c r="E28" s="15">
        <v>9.4372526982293401</v>
      </c>
      <c r="F28" s="15">
        <v>12.931233148933901</v>
      </c>
      <c r="G28" s="24">
        <v>6.5953243551310203</v>
      </c>
      <c r="H28" s="15">
        <v>20.2265946528222</v>
      </c>
      <c r="I28" s="15">
        <v>25.124862159882799</v>
      </c>
      <c r="J28" s="24">
        <v>16.184430435593601</v>
      </c>
      <c r="K28" s="20" t="s">
        <v>76</v>
      </c>
      <c r="L28" s="20" t="s">
        <v>76</v>
      </c>
      <c r="M28" s="26" t="s">
        <v>76</v>
      </c>
      <c r="N28" s="20" t="s">
        <v>76</v>
      </c>
      <c r="O28" s="20" t="s">
        <v>76</v>
      </c>
      <c r="P28" s="26" t="s">
        <v>76</v>
      </c>
    </row>
    <row r="29" spans="1:16">
      <c r="A29" s="9" t="s">
        <v>284</v>
      </c>
      <c r="B29" s="15">
        <v>1.7887328758941801</v>
      </c>
      <c r="C29" s="15">
        <v>2.4406902392320302</v>
      </c>
      <c r="D29" s="24">
        <v>1.2622312336888499</v>
      </c>
      <c r="E29" s="15">
        <v>2.2481631752704399</v>
      </c>
      <c r="F29" s="15">
        <v>3.1271965184969401</v>
      </c>
      <c r="G29" s="24">
        <v>1.53317641221053</v>
      </c>
      <c r="H29" s="15">
        <v>1.1591425548105501</v>
      </c>
      <c r="I29" s="15">
        <v>1.46992548275407</v>
      </c>
      <c r="J29" s="26" t="s">
        <v>76</v>
      </c>
      <c r="K29" s="20" t="s">
        <v>76</v>
      </c>
      <c r="L29" s="20" t="s">
        <v>76</v>
      </c>
      <c r="M29" s="26" t="s">
        <v>76</v>
      </c>
      <c r="N29" s="20" t="s">
        <v>76</v>
      </c>
      <c r="O29" s="20" t="s">
        <v>76</v>
      </c>
      <c r="P29" s="26" t="s">
        <v>76</v>
      </c>
    </row>
    <row r="30" spans="1:16">
      <c r="A30" s="9" t="s">
        <v>285</v>
      </c>
      <c r="B30" s="15">
        <v>3.0698349412307699</v>
      </c>
      <c r="C30" s="15">
        <v>4.3234744917899404</v>
      </c>
      <c r="D30" s="24">
        <v>2.0574324142868101</v>
      </c>
      <c r="E30" s="15">
        <v>4.0173599134464899</v>
      </c>
      <c r="F30" s="15">
        <v>6.1279478683534601</v>
      </c>
      <c r="G30" s="24">
        <v>2.3006531904759799</v>
      </c>
      <c r="H30" s="15">
        <v>1.8954137021511701</v>
      </c>
      <c r="I30" s="15">
        <v>2.3079568789263201</v>
      </c>
      <c r="J30" s="26" t="s">
        <v>76</v>
      </c>
      <c r="K30" s="20" t="s">
        <v>76</v>
      </c>
      <c r="L30" s="20" t="s">
        <v>76</v>
      </c>
      <c r="M30" s="26" t="s">
        <v>76</v>
      </c>
      <c r="N30" s="20" t="s">
        <v>76</v>
      </c>
      <c r="O30" s="20" t="s">
        <v>76</v>
      </c>
      <c r="P30" s="26" t="s">
        <v>76</v>
      </c>
    </row>
    <row r="31" spans="1:16">
      <c r="A31" s="9" t="s">
        <v>286</v>
      </c>
      <c r="B31" s="15">
        <v>4.98872482650237</v>
      </c>
      <c r="C31" s="15">
        <v>7.0042195353846504</v>
      </c>
      <c r="D31" s="24">
        <v>3.36107042184956</v>
      </c>
      <c r="E31" s="15">
        <v>6.1151787816096599</v>
      </c>
      <c r="F31" s="15">
        <v>9.2749373244848492</v>
      </c>
      <c r="G31" s="24">
        <v>3.5450993300965901</v>
      </c>
      <c r="H31" s="15">
        <v>3.6700958403130102</v>
      </c>
      <c r="I31" s="15">
        <v>4.5092611610595101</v>
      </c>
      <c r="J31" s="24">
        <v>2.9775971094921001</v>
      </c>
      <c r="K31" s="20" t="s">
        <v>76</v>
      </c>
      <c r="L31" s="20" t="s">
        <v>76</v>
      </c>
      <c r="M31" s="26" t="s">
        <v>76</v>
      </c>
      <c r="N31" s="20" t="s">
        <v>76</v>
      </c>
      <c r="O31" s="20" t="s">
        <v>76</v>
      </c>
      <c r="P31" s="26" t="s">
        <v>76</v>
      </c>
    </row>
    <row r="32" spans="1:16">
      <c r="A32" s="9" t="s">
        <v>287</v>
      </c>
      <c r="B32" s="15">
        <v>1.0583965404090001</v>
      </c>
      <c r="C32" s="15">
        <v>1.1458119771416799</v>
      </c>
      <c r="D32" s="24">
        <v>0.98780239793592095</v>
      </c>
      <c r="E32" s="15">
        <v>0.91644437707786197</v>
      </c>
      <c r="F32" s="20" t="s">
        <v>76</v>
      </c>
      <c r="G32" s="26" t="s">
        <v>76</v>
      </c>
      <c r="H32" s="15">
        <v>1.1228097310268299</v>
      </c>
      <c r="I32" s="20" t="s">
        <v>76</v>
      </c>
      <c r="J32" s="26" t="s">
        <v>76</v>
      </c>
      <c r="K32" s="20" t="s">
        <v>76</v>
      </c>
      <c r="L32" s="20" t="s">
        <v>76</v>
      </c>
      <c r="M32" s="26" t="s">
        <v>76</v>
      </c>
      <c r="N32" s="20" t="s">
        <v>76</v>
      </c>
      <c r="O32" s="20" t="s">
        <v>76</v>
      </c>
      <c r="P32" s="26" t="s">
        <v>76</v>
      </c>
    </row>
    <row r="33" spans="1:16">
      <c r="A33" s="9" t="s">
        <v>288</v>
      </c>
      <c r="B33" s="15">
        <v>4.1373503055228102</v>
      </c>
      <c r="C33" s="15">
        <v>6.1723212615941501</v>
      </c>
      <c r="D33" s="24">
        <v>2.4939674549536299</v>
      </c>
      <c r="E33" s="15">
        <v>4.1061712652831996</v>
      </c>
      <c r="F33" s="15">
        <v>6.0427312263745501</v>
      </c>
      <c r="G33" s="24">
        <v>2.5310151591793</v>
      </c>
      <c r="H33" s="15">
        <v>3.9513397897398002</v>
      </c>
      <c r="I33" s="15">
        <v>6.0523603822386303</v>
      </c>
      <c r="J33" s="24">
        <v>2.2175287542221001</v>
      </c>
      <c r="K33" s="20" t="s">
        <v>76</v>
      </c>
      <c r="L33" s="20" t="s">
        <v>76</v>
      </c>
      <c r="M33" s="26" t="s">
        <v>76</v>
      </c>
      <c r="N33" s="20" t="s">
        <v>76</v>
      </c>
      <c r="O33" s="20" t="s">
        <v>76</v>
      </c>
      <c r="P33" s="26" t="s">
        <v>76</v>
      </c>
    </row>
    <row r="34" spans="1:16">
      <c r="A34" s="9" t="s">
        <v>289</v>
      </c>
      <c r="B34" s="15">
        <v>20.941000779376001</v>
      </c>
      <c r="C34" s="15">
        <v>19.844127353883</v>
      </c>
      <c r="D34" s="24">
        <v>21.826803582272198</v>
      </c>
      <c r="E34" s="15">
        <v>27.039942712841199</v>
      </c>
      <c r="F34" s="15">
        <v>25.678983455575999</v>
      </c>
      <c r="G34" s="24">
        <v>28.146917620569699</v>
      </c>
      <c r="H34" s="15">
        <v>14.4771094668929</v>
      </c>
      <c r="I34" s="15">
        <v>13.5790032895416</v>
      </c>
      <c r="J34" s="24">
        <v>15.218247562786701</v>
      </c>
      <c r="K34" s="20" t="s">
        <v>76</v>
      </c>
      <c r="L34" s="20" t="s">
        <v>76</v>
      </c>
      <c r="M34" s="26" t="s">
        <v>76</v>
      </c>
      <c r="N34" s="15">
        <v>21.808792377485201</v>
      </c>
      <c r="O34" s="20" t="s">
        <v>76</v>
      </c>
      <c r="P34" s="26" t="s">
        <v>76</v>
      </c>
    </row>
    <row r="35" spans="1:16">
      <c r="A35" s="9" t="s">
        <v>290</v>
      </c>
      <c r="B35" s="15">
        <v>23.780112483781402</v>
      </c>
      <c r="C35" s="15">
        <v>20.972465606142201</v>
      </c>
      <c r="D35" s="24">
        <v>26.047485743041001</v>
      </c>
      <c r="E35" s="15">
        <v>31.642230841842</v>
      </c>
      <c r="F35" s="15">
        <v>25.7285483803354</v>
      </c>
      <c r="G35" s="24">
        <v>36.452292614239802</v>
      </c>
      <c r="H35" s="15">
        <v>15.8395707797709</v>
      </c>
      <c r="I35" s="15">
        <v>16.014046540023099</v>
      </c>
      <c r="J35" s="24">
        <v>15.695589326359199</v>
      </c>
      <c r="K35" s="20" t="s">
        <v>76</v>
      </c>
      <c r="L35" s="20" t="s">
        <v>76</v>
      </c>
      <c r="M35" s="26" t="s">
        <v>76</v>
      </c>
      <c r="N35" s="15">
        <v>19.508728273598699</v>
      </c>
      <c r="O35" s="20" t="s">
        <v>76</v>
      </c>
      <c r="P35" s="26" t="s">
        <v>76</v>
      </c>
    </row>
    <row r="36" spans="1:16">
      <c r="A36" s="9" t="s">
        <v>291</v>
      </c>
      <c r="B36" s="15">
        <v>12.9796948417994</v>
      </c>
      <c r="C36" s="15">
        <v>14.1246189020729</v>
      </c>
      <c r="D36" s="24">
        <v>12.055087755765101</v>
      </c>
      <c r="E36" s="15">
        <v>8.2212480805394108</v>
      </c>
      <c r="F36" s="15">
        <v>11.7504870674651</v>
      </c>
      <c r="G36" s="24">
        <v>5.3506412045080101</v>
      </c>
      <c r="H36" s="15">
        <v>17.736711487269599</v>
      </c>
      <c r="I36" s="15">
        <v>16.6141936772934</v>
      </c>
      <c r="J36" s="24">
        <v>18.663039279320099</v>
      </c>
      <c r="K36" s="20" t="s">
        <v>76</v>
      </c>
      <c r="L36" s="20" t="s">
        <v>76</v>
      </c>
      <c r="M36" s="26" t="s">
        <v>76</v>
      </c>
      <c r="N36" s="20" t="s">
        <v>76</v>
      </c>
      <c r="O36" s="20" t="s">
        <v>76</v>
      </c>
      <c r="P36" s="26" t="s">
        <v>76</v>
      </c>
    </row>
    <row r="37" spans="1:16">
      <c r="A37" s="9" t="s">
        <v>292</v>
      </c>
      <c r="B37" s="15">
        <v>20.303143416459701</v>
      </c>
      <c r="C37" s="15">
        <v>18.1479353721537</v>
      </c>
      <c r="D37" s="24">
        <v>22.043626212469299</v>
      </c>
      <c r="E37" s="15">
        <v>17.9222947693039</v>
      </c>
      <c r="F37" s="15">
        <v>16.477509700834901</v>
      </c>
      <c r="G37" s="24">
        <v>19.097451783974499</v>
      </c>
      <c r="H37" s="15">
        <v>22.8946098329377</v>
      </c>
      <c r="I37" s="15">
        <v>19.736768216892902</v>
      </c>
      <c r="J37" s="24">
        <v>25.5005341450854</v>
      </c>
      <c r="K37" s="20" t="s">
        <v>76</v>
      </c>
      <c r="L37" s="20" t="s">
        <v>76</v>
      </c>
      <c r="M37" s="26" t="s">
        <v>76</v>
      </c>
      <c r="N37" s="20" t="s">
        <v>76</v>
      </c>
      <c r="O37" s="20" t="s">
        <v>76</v>
      </c>
      <c r="P37" s="26" t="s">
        <v>76</v>
      </c>
    </row>
    <row r="38" spans="1:16">
      <c r="A38" s="9" t="s">
        <v>293</v>
      </c>
      <c r="B38" s="15">
        <v>19.710257089091201</v>
      </c>
      <c r="C38" s="15">
        <v>25.389211173177902</v>
      </c>
      <c r="D38" s="24">
        <v>15.124100356429301</v>
      </c>
      <c r="E38" s="15">
        <v>25.253619822675301</v>
      </c>
      <c r="F38" s="15">
        <v>30.7403021628649</v>
      </c>
      <c r="G38" s="24">
        <v>20.790870739743902</v>
      </c>
      <c r="H38" s="15">
        <v>13.620209780805199</v>
      </c>
      <c r="I38" s="15">
        <v>19.454577560622599</v>
      </c>
      <c r="J38" s="24">
        <v>8.8055538569023799</v>
      </c>
      <c r="K38" s="20" t="s">
        <v>76</v>
      </c>
      <c r="L38" s="20" t="s">
        <v>76</v>
      </c>
      <c r="M38" s="26" t="s">
        <v>76</v>
      </c>
      <c r="N38" s="15">
        <v>29.217333544138199</v>
      </c>
      <c r="O38" s="20" t="s">
        <v>76</v>
      </c>
      <c r="P38" s="26" t="s">
        <v>76</v>
      </c>
    </row>
    <row r="39" spans="1:16">
      <c r="A39" s="9" t="s">
        <v>294</v>
      </c>
      <c r="B39" s="15">
        <v>40.898538618988702</v>
      </c>
      <c r="C39" s="15">
        <v>36.261143413032698</v>
      </c>
      <c r="D39" s="24">
        <v>44.6435629546149</v>
      </c>
      <c r="E39" s="15">
        <v>48.523638073901097</v>
      </c>
      <c r="F39" s="15">
        <v>44.905520402487603</v>
      </c>
      <c r="G39" s="24">
        <v>51.466536955027202</v>
      </c>
      <c r="H39" s="15">
        <v>33.281663432367502</v>
      </c>
      <c r="I39" s="15">
        <v>27.056294592447198</v>
      </c>
      <c r="J39" s="24">
        <v>38.418982520698997</v>
      </c>
      <c r="K39" s="15">
        <v>36.543132203531997</v>
      </c>
      <c r="L39" s="20" t="s">
        <v>76</v>
      </c>
      <c r="M39" s="26" t="s">
        <v>76</v>
      </c>
      <c r="N39" s="15">
        <v>32.8526531695451</v>
      </c>
      <c r="O39" s="15">
        <v>39.607907446382796</v>
      </c>
      <c r="P39" s="26" t="s">
        <v>76</v>
      </c>
    </row>
    <row r="40" spans="1:16">
      <c r="A40" s="9" t="s">
        <v>295</v>
      </c>
      <c r="B40" s="15">
        <v>13.2331317547722</v>
      </c>
      <c r="C40" s="15">
        <v>16.1095864948215</v>
      </c>
      <c r="D40" s="24">
        <v>10.910191284230301</v>
      </c>
      <c r="E40" s="15">
        <v>6.6799376580407097</v>
      </c>
      <c r="F40" s="15">
        <v>9.1286705410075299</v>
      </c>
      <c r="G40" s="24">
        <v>4.6881911434381296</v>
      </c>
      <c r="H40" s="15">
        <v>19.576686972754199</v>
      </c>
      <c r="I40" s="15">
        <v>23.172468485213201</v>
      </c>
      <c r="J40" s="24">
        <v>16.6093644772631</v>
      </c>
      <c r="K40" s="20" t="s">
        <v>76</v>
      </c>
      <c r="L40" s="20" t="s">
        <v>76</v>
      </c>
      <c r="M40" s="26" t="s">
        <v>76</v>
      </c>
      <c r="N40" s="20" t="s">
        <v>76</v>
      </c>
      <c r="O40" s="20" t="s">
        <v>76</v>
      </c>
      <c r="P40" s="26" t="s">
        <v>76</v>
      </c>
    </row>
    <row r="41" spans="1:16">
      <c r="A41" s="9" t="s">
        <v>296</v>
      </c>
      <c r="B41" s="15">
        <v>22.627051671507299</v>
      </c>
      <c r="C41" s="15">
        <v>23.119372207044702</v>
      </c>
      <c r="D41" s="24">
        <v>22.229468048669201</v>
      </c>
      <c r="E41" s="15">
        <v>25.247640050120701</v>
      </c>
      <c r="F41" s="15">
        <v>25.7814406441322</v>
      </c>
      <c r="G41" s="24">
        <v>24.813458159555701</v>
      </c>
      <c r="H41" s="15">
        <v>20.117928222127901</v>
      </c>
      <c r="I41" s="15">
        <v>20.435511016355001</v>
      </c>
      <c r="J41" s="24">
        <v>19.85585151746</v>
      </c>
      <c r="K41" s="20" t="s">
        <v>76</v>
      </c>
      <c r="L41" s="20" t="s">
        <v>76</v>
      </c>
      <c r="M41" s="26" t="s">
        <v>76</v>
      </c>
      <c r="N41" s="20" t="s">
        <v>76</v>
      </c>
      <c r="O41" s="20" t="s">
        <v>76</v>
      </c>
      <c r="P41" s="26" t="s">
        <v>76</v>
      </c>
    </row>
    <row r="42" spans="1:16">
      <c r="A42" s="9" t="s">
        <v>297</v>
      </c>
      <c r="B42" s="15">
        <v>5.6552344445168599</v>
      </c>
      <c r="C42" s="15">
        <v>7.6683791125895402</v>
      </c>
      <c r="D42" s="24">
        <v>4.0294778638861199</v>
      </c>
      <c r="E42" s="15">
        <v>5.8475251345240098</v>
      </c>
      <c r="F42" s="15">
        <v>7.6462706149098896</v>
      </c>
      <c r="G42" s="24">
        <v>4.3844643547483697</v>
      </c>
      <c r="H42" s="15">
        <v>5.23820659946022</v>
      </c>
      <c r="I42" s="15">
        <v>7.4987177260741502</v>
      </c>
      <c r="J42" s="24">
        <v>3.37278026750199</v>
      </c>
      <c r="K42" s="20" t="s">
        <v>76</v>
      </c>
      <c r="L42" s="20" t="s">
        <v>76</v>
      </c>
      <c r="M42" s="26" t="s">
        <v>76</v>
      </c>
      <c r="N42" s="20" t="s">
        <v>76</v>
      </c>
      <c r="O42" s="20" t="s">
        <v>76</v>
      </c>
      <c r="P42" s="26" t="s">
        <v>76</v>
      </c>
    </row>
    <row r="43" spans="1:16">
      <c r="A43" s="9" t="s">
        <v>298</v>
      </c>
      <c r="B43" s="15">
        <v>22.7796630957783</v>
      </c>
      <c r="C43" s="15">
        <v>24.011539453167401</v>
      </c>
      <c r="D43" s="24">
        <v>21.78483588524</v>
      </c>
      <c r="E43" s="15">
        <v>28.582068019408801</v>
      </c>
      <c r="F43" s="15">
        <v>29.636565517078701</v>
      </c>
      <c r="G43" s="24">
        <v>27.724362497401501</v>
      </c>
      <c r="H43" s="15">
        <v>16.6528561525563</v>
      </c>
      <c r="I43" s="15">
        <v>17.5046344936003</v>
      </c>
      <c r="J43" s="24">
        <v>15.9499488641701</v>
      </c>
      <c r="K43" s="20" t="s">
        <v>76</v>
      </c>
      <c r="L43" s="20" t="s">
        <v>76</v>
      </c>
      <c r="M43" s="26" t="s">
        <v>76</v>
      </c>
      <c r="N43" s="15">
        <v>21.815152276385099</v>
      </c>
      <c r="O43" s="20" t="s">
        <v>76</v>
      </c>
      <c r="P43" s="26" t="s">
        <v>76</v>
      </c>
    </row>
    <row r="44" spans="1:16">
      <c r="A44" s="9" t="s">
        <v>299</v>
      </c>
      <c r="B44" s="15">
        <v>58.929030906636399</v>
      </c>
      <c r="C44" s="15">
        <v>54.812783533218401</v>
      </c>
      <c r="D44" s="24">
        <v>62.253191539982801</v>
      </c>
      <c r="E44" s="15">
        <v>60.491947890507497</v>
      </c>
      <c r="F44" s="15">
        <v>57.423231087823098</v>
      </c>
      <c r="G44" s="24">
        <v>62.987975954068197</v>
      </c>
      <c r="H44" s="15">
        <v>57.256183466624599</v>
      </c>
      <c r="I44" s="15">
        <v>51.580055255844997</v>
      </c>
      <c r="J44" s="24">
        <v>61.940256419549897</v>
      </c>
      <c r="K44" s="15">
        <v>63.107805623377999</v>
      </c>
      <c r="L44" s="20" t="s">
        <v>76</v>
      </c>
      <c r="M44" s="24">
        <v>62.030328585852402</v>
      </c>
      <c r="N44" s="15">
        <v>57.361489985261301</v>
      </c>
      <c r="O44" s="15">
        <v>66.677335001479804</v>
      </c>
      <c r="P44" s="24">
        <v>50.963110460124199</v>
      </c>
    </row>
    <row r="45" spans="1:16">
      <c r="A45" s="9" t="s">
        <v>300</v>
      </c>
      <c r="B45" s="15">
        <v>4.0164801396318497</v>
      </c>
      <c r="C45" s="15">
        <v>5.6170116080933701</v>
      </c>
      <c r="D45" s="24">
        <v>2.72393787546907</v>
      </c>
      <c r="E45" s="15">
        <v>4.3198751126406103</v>
      </c>
      <c r="F45" s="15">
        <v>6.5232645952690804</v>
      </c>
      <c r="G45" s="24">
        <v>2.5276856284939799</v>
      </c>
      <c r="H45" s="15">
        <v>3.56621562967897</v>
      </c>
      <c r="I45" s="15">
        <v>4.6671256192084103</v>
      </c>
      <c r="J45" s="24">
        <v>2.6577191133798799</v>
      </c>
      <c r="K45" s="20" t="s">
        <v>76</v>
      </c>
      <c r="L45" s="20" t="s">
        <v>76</v>
      </c>
      <c r="M45" s="26" t="s">
        <v>76</v>
      </c>
      <c r="N45" s="20" t="s">
        <v>76</v>
      </c>
      <c r="O45" s="20" t="s">
        <v>76</v>
      </c>
      <c r="P45" s="26" t="s">
        <v>76</v>
      </c>
    </row>
    <row r="46" spans="1:16">
      <c r="A46" s="9" t="s">
        <v>301</v>
      </c>
      <c r="B46" s="15">
        <v>19.775972552612</v>
      </c>
      <c r="C46" s="15">
        <v>21.5999558394719</v>
      </c>
      <c r="D46" s="24">
        <v>18.302977154615</v>
      </c>
      <c r="E46" s="15">
        <v>17.0151352578538</v>
      </c>
      <c r="F46" s="15">
        <v>20.9566484554495</v>
      </c>
      <c r="G46" s="24">
        <v>13.8091934304791</v>
      </c>
      <c r="H46" s="15">
        <v>22.051602475701898</v>
      </c>
      <c r="I46" s="15">
        <v>21.8353666136905</v>
      </c>
      <c r="J46" s="24">
        <v>22.2300453358854</v>
      </c>
      <c r="K46" s="20" t="s">
        <v>76</v>
      </c>
      <c r="L46" s="20" t="s">
        <v>76</v>
      </c>
      <c r="M46" s="26" t="s">
        <v>76</v>
      </c>
      <c r="N46" s="15">
        <v>27.353893401901299</v>
      </c>
      <c r="O46" s="20" t="s">
        <v>76</v>
      </c>
      <c r="P46" s="26" t="s">
        <v>76</v>
      </c>
    </row>
    <row r="47" spans="1:16">
      <c r="A47" s="9" t="s">
        <v>302</v>
      </c>
      <c r="B47" s="15">
        <v>7.9090681409807404</v>
      </c>
      <c r="C47" s="15">
        <v>7.4125576956096202</v>
      </c>
      <c r="D47" s="24">
        <v>8.3100354120943507</v>
      </c>
      <c r="E47" s="15">
        <v>8.4136783481448099</v>
      </c>
      <c r="F47" s="15">
        <v>8.1476614120757898</v>
      </c>
      <c r="G47" s="24">
        <v>8.6300507866930296</v>
      </c>
      <c r="H47" s="15">
        <v>7.2320633021779903</v>
      </c>
      <c r="I47" s="15">
        <v>6.4868634150468196</v>
      </c>
      <c r="J47" s="24">
        <v>7.8470195727578398</v>
      </c>
      <c r="K47" s="20" t="s">
        <v>76</v>
      </c>
      <c r="L47" s="20" t="s">
        <v>76</v>
      </c>
      <c r="M47" s="26" t="s">
        <v>76</v>
      </c>
      <c r="N47" s="20" t="s">
        <v>76</v>
      </c>
      <c r="O47" s="20" t="s">
        <v>76</v>
      </c>
      <c r="P47" s="26" t="s">
        <v>76</v>
      </c>
    </row>
    <row r="48" spans="1:16">
      <c r="A48" s="9" t="s">
        <v>303</v>
      </c>
      <c r="B48" s="15">
        <v>8.0170588851431397</v>
      </c>
      <c r="C48" s="15">
        <v>7.8508120196534499</v>
      </c>
      <c r="D48" s="24">
        <v>8.1513149770502604</v>
      </c>
      <c r="E48" s="15">
        <v>9.7160779189881694</v>
      </c>
      <c r="F48" s="15">
        <v>9.0970998466964108</v>
      </c>
      <c r="G48" s="24">
        <v>10.2195413333435</v>
      </c>
      <c r="H48" s="15">
        <v>6.1466742176429499</v>
      </c>
      <c r="I48" s="15">
        <v>6.4667198180957604</v>
      </c>
      <c r="J48" s="24">
        <v>5.8825651480245398</v>
      </c>
      <c r="K48" s="20" t="s">
        <v>76</v>
      </c>
      <c r="L48" s="20" t="s">
        <v>76</v>
      </c>
      <c r="M48" s="26" t="s">
        <v>76</v>
      </c>
      <c r="N48" s="20" t="s">
        <v>76</v>
      </c>
      <c r="O48" s="20" t="s">
        <v>76</v>
      </c>
      <c r="P48" s="26" t="s">
        <v>76</v>
      </c>
    </row>
    <row r="49" spans="1:16">
      <c r="A49" s="9" t="s">
        <v>304</v>
      </c>
      <c r="B49" s="15">
        <v>12.678341252075001</v>
      </c>
      <c r="C49" s="15">
        <v>12.423229086479999</v>
      </c>
      <c r="D49" s="24">
        <v>12.8843623535848</v>
      </c>
      <c r="E49" s="15">
        <v>13.1149776315417</v>
      </c>
      <c r="F49" s="15">
        <v>12.681931313424601</v>
      </c>
      <c r="G49" s="24">
        <v>13.4672081670856</v>
      </c>
      <c r="H49" s="15">
        <v>12.1309595502315</v>
      </c>
      <c r="I49" s="15">
        <v>12.0223290654971</v>
      </c>
      <c r="J49" s="24">
        <v>12.2206039515755</v>
      </c>
      <c r="K49" s="20" t="s">
        <v>76</v>
      </c>
      <c r="L49" s="20" t="s">
        <v>76</v>
      </c>
      <c r="M49" s="26" t="s">
        <v>76</v>
      </c>
      <c r="N49" s="20" t="s">
        <v>76</v>
      </c>
      <c r="O49" s="20" t="s">
        <v>76</v>
      </c>
      <c r="P49" s="26" t="s">
        <v>76</v>
      </c>
    </row>
    <row r="50" spans="1:16">
      <c r="A50" s="9" t="s">
        <v>305</v>
      </c>
      <c r="B50" s="15">
        <v>42.071551254828798</v>
      </c>
      <c r="C50" s="15">
        <v>41.4047892363253</v>
      </c>
      <c r="D50" s="24">
        <v>42.610008702268303</v>
      </c>
      <c r="E50" s="15">
        <v>41.975297803309999</v>
      </c>
      <c r="F50" s="15">
        <v>42.349003224545697</v>
      </c>
      <c r="G50" s="24">
        <v>41.671333873470402</v>
      </c>
      <c r="H50" s="15">
        <v>42.086375319694</v>
      </c>
      <c r="I50" s="15">
        <v>40.204778292779203</v>
      </c>
      <c r="J50" s="24">
        <v>43.639112927935301</v>
      </c>
      <c r="K50" s="15">
        <v>50.117749046193197</v>
      </c>
      <c r="L50" s="20" t="s">
        <v>76</v>
      </c>
      <c r="M50" s="24">
        <v>50.677064514883099</v>
      </c>
      <c r="N50" s="15">
        <v>39.7739172096882</v>
      </c>
      <c r="O50" s="15">
        <v>46.265468334602502</v>
      </c>
      <c r="P50" s="26" t="s">
        <v>76</v>
      </c>
    </row>
    <row r="51" spans="1:16">
      <c r="A51" s="9" t="s">
        <v>306</v>
      </c>
      <c r="B51" s="15">
        <v>30.937931420316101</v>
      </c>
      <c r="C51" s="15">
        <v>28.359766628642198</v>
      </c>
      <c r="D51" s="24">
        <v>33.019981678545697</v>
      </c>
      <c r="E51" s="15">
        <v>35.7108839813841</v>
      </c>
      <c r="F51" s="15">
        <v>34.31565720799</v>
      </c>
      <c r="G51" s="24">
        <v>36.845731347676299</v>
      </c>
      <c r="H51" s="15">
        <v>25.975187358221898</v>
      </c>
      <c r="I51" s="15">
        <v>22.1324700279295</v>
      </c>
      <c r="J51" s="24">
        <v>29.146287031125201</v>
      </c>
      <c r="K51" s="20" t="s">
        <v>76</v>
      </c>
      <c r="L51" s="20" t="s">
        <v>76</v>
      </c>
      <c r="M51" s="26" t="s">
        <v>76</v>
      </c>
      <c r="N51" s="15">
        <v>27.928149739017101</v>
      </c>
      <c r="O51" s="20" t="s">
        <v>76</v>
      </c>
      <c r="P51" s="26" t="s">
        <v>76</v>
      </c>
    </row>
    <row r="52" spans="1:16">
      <c r="A52" s="9" t="s">
        <v>307</v>
      </c>
      <c r="B52" s="15">
        <v>14.1228187747099</v>
      </c>
      <c r="C52" s="15">
        <v>14.115669697151199</v>
      </c>
      <c r="D52" s="24">
        <v>14.1285921600363</v>
      </c>
      <c r="E52" s="15">
        <v>18.0067322946432</v>
      </c>
      <c r="F52" s="15">
        <v>18.1060367328223</v>
      </c>
      <c r="G52" s="24">
        <v>17.925960206350599</v>
      </c>
      <c r="H52" s="15">
        <v>9.7523243504466404</v>
      </c>
      <c r="I52" s="15">
        <v>9.8239394467608996</v>
      </c>
      <c r="J52" s="24">
        <v>9.6932259081264505</v>
      </c>
      <c r="K52" s="20" t="s">
        <v>76</v>
      </c>
      <c r="L52" s="20" t="s">
        <v>76</v>
      </c>
      <c r="M52" s="26" t="s">
        <v>76</v>
      </c>
      <c r="N52" s="20" t="s">
        <v>76</v>
      </c>
      <c r="O52" s="20" t="s">
        <v>76</v>
      </c>
      <c r="P52" s="26" t="s">
        <v>76</v>
      </c>
    </row>
    <row r="53" spans="1:16">
      <c r="A53" s="9" t="s">
        <v>308</v>
      </c>
      <c r="B53" s="15">
        <v>28.0125086911547</v>
      </c>
      <c r="C53" s="15">
        <v>26.889684352205801</v>
      </c>
      <c r="D53" s="24">
        <v>28.919268690517299</v>
      </c>
      <c r="E53" s="15">
        <v>30.033237023677799</v>
      </c>
      <c r="F53" s="15">
        <v>29.811377936468901</v>
      </c>
      <c r="G53" s="24">
        <v>30.213692420326101</v>
      </c>
      <c r="H53" s="15">
        <v>25.822352997255301</v>
      </c>
      <c r="I53" s="15">
        <v>23.2997319751037</v>
      </c>
      <c r="J53" s="24">
        <v>27.904078508300199</v>
      </c>
      <c r="K53" s="20" t="s">
        <v>76</v>
      </c>
      <c r="L53" s="20" t="s">
        <v>76</v>
      </c>
      <c r="M53" s="26" t="s">
        <v>76</v>
      </c>
      <c r="N53" s="15">
        <v>29.0225754542017</v>
      </c>
      <c r="O53" s="20" t="s">
        <v>76</v>
      </c>
      <c r="P53" s="26" t="s">
        <v>76</v>
      </c>
    </row>
    <row r="54" spans="1:16">
      <c r="A54" s="9" t="s">
        <v>309</v>
      </c>
      <c r="B54" s="15">
        <v>37.2429165769882</v>
      </c>
      <c r="C54" s="15">
        <v>45.3879015674421</v>
      </c>
      <c r="D54" s="24">
        <v>30.665265622550599</v>
      </c>
      <c r="E54" s="15">
        <v>36.906110215730699</v>
      </c>
      <c r="F54" s="15">
        <v>46.002129861113303</v>
      </c>
      <c r="G54" s="24">
        <v>29.5076040121887</v>
      </c>
      <c r="H54" s="15">
        <v>37.548344546272098</v>
      </c>
      <c r="I54" s="15">
        <v>44.638616115996001</v>
      </c>
      <c r="J54" s="24">
        <v>31.6972876188462</v>
      </c>
      <c r="K54" s="15">
        <v>42.426164783762196</v>
      </c>
      <c r="L54" s="20" t="s">
        <v>76</v>
      </c>
      <c r="M54" s="26" t="s">
        <v>76</v>
      </c>
      <c r="N54" s="15">
        <v>35.571176644675802</v>
      </c>
      <c r="O54" s="15">
        <v>43.692215839217198</v>
      </c>
      <c r="P54" s="26" t="s">
        <v>76</v>
      </c>
    </row>
    <row r="55" spans="1:16">
      <c r="A55" s="9" t="s">
        <v>310</v>
      </c>
      <c r="B55" s="15">
        <v>4.2957325271944304</v>
      </c>
      <c r="C55" s="15">
        <v>6.0858032576373704</v>
      </c>
      <c r="D55" s="24">
        <v>2.8501239149737101</v>
      </c>
      <c r="E55" s="15">
        <v>5.0934445895282003</v>
      </c>
      <c r="F55" s="15">
        <v>7.2174552012959596</v>
      </c>
      <c r="G55" s="24">
        <v>3.36582016695673</v>
      </c>
      <c r="H55" s="15">
        <v>3.3385647620422301</v>
      </c>
      <c r="I55" s="15">
        <v>4.5914549471661799</v>
      </c>
      <c r="J55" s="24">
        <v>2.30465065524323</v>
      </c>
      <c r="K55" s="20" t="s">
        <v>76</v>
      </c>
      <c r="L55" s="20" t="s">
        <v>76</v>
      </c>
      <c r="M55" s="26" t="s">
        <v>76</v>
      </c>
      <c r="N55" s="20" t="s">
        <v>76</v>
      </c>
      <c r="O55" s="20" t="s">
        <v>76</v>
      </c>
      <c r="P55" s="26" t="s">
        <v>76</v>
      </c>
    </row>
    <row r="56" spans="1:16">
      <c r="A56" s="9" t="s">
        <v>311</v>
      </c>
      <c r="B56" s="15">
        <v>11.1296669217618</v>
      </c>
      <c r="C56" s="15">
        <v>11.7181225669906</v>
      </c>
      <c r="D56" s="24">
        <v>10.654447404350901</v>
      </c>
      <c r="E56" s="15">
        <v>10.894522372706</v>
      </c>
      <c r="F56" s="15">
        <v>13.3225119887553</v>
      </c>
      <c r="G56" s="24">
        <v>8.9196479840391198</v>
      </c>
      <c r="H56" s="15">
        <v>11.238846338936501</v>
      </c>
      <c r="I56" s="15">
        <v>10.0986534285754</v>
      </c>
      <c r="J56" s="24">
        <v>12.1797600347189</v>
      </c>
      <c r="K56" s="20" t="s">
        <v>76</v>
      </c>
      <c r="L56" s="20" t="s">
        <v>76</v>
      </c>
      <c r="M56" s="26" t="s">
        <v>76</v>
      </c>
      <c r="N56" s="20" t="s">
        <v>76</v>
      </c>
      <c r="O56" s="20" t="s">
        <v>76</v>
      </c>
      <c r="P56" s="26" t="s">
        <v>76</v>
      </c>
    </row>
    <row r="57" spans="1:16">
      <c r="A57" s="9" t="s">
        <v>312</v>
      </c>
      <c r="B57" s="15">
        <v>8.0113073633704293</v>
      </c>
      <c r="C57" s="15">
        <v>10.885351903789999</v>
      </c>
      <c r="D57" s="24">
        <v>5.6903132993490102</v>
      </c>
      <c r="E57" s="15">
        <v>7.8210071797274203</v>
      </c>
      <c r="F57" s="15">
        <v>10.227081330431499</v>
      </c>
      <c r="G57" s="24">
        <v>5.8639583579163599</v>
      </c>
      <c r="H57" s="15">
        <v>8.0816396867177893</v>
      </c>
      <c r="I57" s="15">
        <v>11.531474393488899</v>
      </c>
      <c r="J57" s="24">
        <v>5.2347558881169096</v>
      </c>
      <c r="K57" s="20" t="s">
        <v>76</v>
      </c>
      <c r="L57" s="20" t="s">
        <v>76</v>
      </c>
      <c r="M57" s="26" t="s">
        <v>76</v>
      </c>
      <c r="N57" s="20" t="s">
        <v>76</v>
      </c>
      <c r="O57" s="20" t="s">
        <v>76</v>
      </c>
      <c r="P57" s="26" t="s">
        <v>76</v>
      </c>
    </row>
    <row r="58" spans="1:16">
      <c r="A58" s="9" t="s">
        <v>313</v>
      </c>
      <c r="B58" s="15">
        <v>24.254273928226201</v>
      </c>
      <c r="C58" s="15">
        <v>20.554060867769898</v>
      </c>
      <c r="D58" s="24">
        <v>27.242457454317201</v>
      </c>
      <c r="E58" s="15">
        <v>33.043968647666098</v>
      </c>
      <c r="F58" s="15">
        <v>27.356783583376298</v>
      </c>
      <c r="G58" s="24">
        <v>37.669802322090803</v>
      </c>
      <c r="H58" s="15">
        <v>14.989548510634499</v>
      </c>
      <c r="I58" s="15">
        <v>12.898031177211401</v>
      </c>
      <c r="J58" s="24">
        <v>16.715517235839901</v>
      </c>
      <c r="K58" s="20" t="s">
        <v>76</v>
      </c>
      <c r="L58" s="20" t="s">
        <v>76</v>
      </c>
      <c r="M58" s="26" t="s">
        <v>76</v>
      </c>
      <c r="N58" s="15">
        <v>23.517613130158502</v>
      </c>
      <c r="O58" s="20" t="s">
        <v>76</v>
      </c>
      <c r="P58" s="26" t="s">
        <v>76</v>
      </c>
    </row>
    <row r="59" spans="1:16">
      <c r="A59" s="9" t="s">
        <v>314</v>
      </c>
      <c r="B59" s="15">
        <v>0.61569177130014996</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c r="A60" s="9" t="s">
        <v>315</v>
      </c>
      <c r="B60" s="15">
        <v>0.72008532363956002</v>
      </c>
      <c r="C60" s="20" t="s">
        <v>76</v>
      </c>
      <c r="D60" s="24">
        <v>0.81205184500518601</v>
      </c>
      <c r="E60" s="15">
        <v>0.955367352528812</v>
      </c>
      <c r="F60" s="20" t="s">
        <v>76</v>
      </c>
      <c r="G60" s="26" t="s">
        <v>76</v>
      </c>
      <c r="H60" s="20" t="s">
        <v>76</v>
      </c>
      <c r="I60" s="20" t="s">
        <v>76</v>
      </c>
      <c r="J60" s="26" t="s">
        <v>76</v>
      </c>
      <c r="K60" s="20" t="s">
        <v>76</v>
      </c>
      <c r="L60" s="20" t="s">
        <v>76</v>
      </c>
      <c r="M60" s="26" t="s">
        <v>76</v>
      </c>
      <c r="N60" s="20" t="s">
        <v>76</v>
      </c>
      <c r="O60" s="20" t="s">
        <v>76</v>
      </c>
      <c r="P60" s="26" t="s">
        <v>76</v>
      </c>
    </row>
    <row r="61" spans="1:16">
      <c r="A61" s="9" t="s">
        <v>316</v>
      </c>
      <c r="B61" s="15">
        <v>0.74097527392100204</v>
      </c>
      <c r="C61" s="20" t="s">
        <v>76</v>
      </c>
      <c r="D61" s="24">
        <v>0.84145738050698904</v>
      </c>
      <c r="E61" s="15">
        <v>0.98199165160630997</v>
      </c>
      <c r="F61" s="20" t="s">
        <v>76</v>
      </c>
      <c r="G61" s="26" t="s">
        <v>76</v>
      </c>
      <c r="H61" s="20" t="s">
        <v>76</v>
      </c>
      <c r="I61" s="20" t="s">
        <v>76</v>
      </c>
      <c r="J61" s="26" t="s">
        <v>76</v>
      </c>
      <c r="K61" s="20" t="s">
        <v>76</v>
      </c>
      <c r="L61" s="20" t="s">
        <v>76</v>
      </c>
      <c r="M61" s="26" t="s">
        <v>76</v>
      </c>
      <c r="N61" s="20" t="s">
        <v>76</v>
      </c>
      <c r="O61" s="20" t="s">
        <v>76</v>
      </c>
      <c r="P61" s="26" t="s">
        <v>76</v>
      </c>
    </row>
    <row r="62" spans="1:16">
      <c r="A62" s="9" t="s">
        <v>317</v>
      </c>
      <c r="B62" s="15">
        <v>1.91998294328131</v>
      </c>
      <c r="C62" s="15">
        <v>2.3542838548571399</v>
      </c>
      <c r="D62" s="24">
        <v>1.569254266815</v>
      </c>
      <c r="E62" s="15">
        <v>2.1259270674949202</v>
      </c>
      <c r="F62" s="15">
        <v>2.77283718877375</v>
      </c>
      <c r="G62" s="24">
        <v>1.5997443269106799</v>
      </c>
      <c r="H62" s="15">
        <v>1.5440683297870901</v>
      </c>
      <c r="I62" s="15">
        <v>1.8527063100604499</v>
      </c>
      <c r="J62" s="26" t="s">
        <v>76</v>
      </c>
      <c r="K62" s="20" t="s">
        <v>76</v>
      </c>
      <c r="L62" s="20" t="s">
        <v>76</v>
      </c>
      <c r="M62" s="26" t="s">
        <v>76</v>
      </c>
      <c r="N62" s="20" t="s">
        <v>76</v>
      </c>
      <c r="O62" s="20" t="s">
        <v>76</v>
      </c>
      <c r="P62" s="26" t="s">
        <v>76</v>
      </c>
    </row>
    <row r="63" spans="1:16">
      <c r="A63" s="9" t="s">
        <v>318</v>
      </c>
      <c r="B63" s="15">
        <v>8.3692867505214608</v>
      </c>
      <c r="C63" s="15">
        <v>11.227623512979701</v>
      </c>
      <c r="D63" s="24">
        <v>6.0609778272118602</v>
      </c>
      <c r="E63" s="15">
        <v>11.2866672079073</v>
      </c>
      <c r="F63" s="15">
        <v>16.007426195550199</v>
      </c>
      <c r="G63" s="24">
        <v>7.44690366108685</v>
      </c>
      <c r="H63" s="15">
        <v>5.0374077802076798</v>
      </c>
      <c r="I63" s="15">
        <v>5.8369670645790199</v>
      </c>
      <c r="J63" s="24">
        <v>4.3775928713281296</v>
      </c>
      <c r="K63" s="20" t="s">
        <v>76</v>
      </c>
      <c r="L63" s="20" t="s">
        <v>76</v>
      </c>
      <c r="M63" s="26" t="s">
        <v>76</v>
      </c>
      <c r="N63" s="20" t="s">
        <v>76</v>
      </c>
      <c r="O63" s="20" t="s">
        <v>76</v>
      </c>
      <c r="P63" s="26" t="s">
        <v>76</v>
      </c>
    </row>
    <row r="64" spans="1:16">
      <c r="A64" s="11" t="s">
        <v>319</v>
      </c>
      <c r="B64" s="16">
        <v>5.8492285759909297</v>
      </c>
      <c r="C64" s="16">
        <v>7.2077956183285101</v>
      </c>
      <c r="D64" s="25">
        <v>4.7520896846151199</v>
      </c>
      <c r="E64" s="16">
        <v>6.3968632897850597</v>
      </c>
      <c r="F64" s="16">
        <v>7.58567444334318</v>
      </c>
      <c r="G64" s="25">
        <v>5.42990993685288</v>
      </c>
      <c r="H64" s="16">
        <v>5.0388152214694397</v>
      </c>
      <c r="I64" s="16">
        <v>6.58848615765005</v>
      </c>
      <c r="J64" s="25">
        <v>3.75999073961348</v>
      </c>
      <c r="K64" s="28" t="s">
        <v>76</v>
      </c>
      <c r="L64" s="28" t="s">
        <v>76</v>
      </c>
      <c r="M64" s="29" t="s">
        <v>76</v>
      </c>
      <c r="N64" s="28" t="s">
        <v>76</v>
      </c>
      <c r="O64" s="28" t="s">
        <v>76</v>
      </c>
      <c r="P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71"/>
  <sheetViews>
    <sheetView zoomScale="55" workbookViewId="0"/>
  </sheetViews>
  <sheetFormatPr defaultColWidth="10.88671875" defaultRowHeight="15"/>
  <cols>
    <col min="1" max="1" width="51.6640625" customWidth="1"/>
    <col min="2" max="91" width="13.6640625" customWidth="1"/>
  </cols>
  <sheetData>
    <row r="1" spans="1:92" ht="39.950000000000003" customHeight="1">
      <c r="A1" s="10" t="s">
        <v>329</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0">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c r="A3" s="9" t="s">
        <v>258</v>
      </c>
      <c r="B3" s="35">
        <v>16.7394572593169</v>
      </c>
      <c r="C3" s="32">
        <v>18.4693664923496</v>
      </c>
      <c r="D3" s="32">
        <v>17.9236423010863</v>
      </c>
      <c r="E3" s="32">
        <v>20.460398290668898</v>
      </c>
      <c r="F3" s="15">
        <v>35.294117647058798</v>
      </c>
      <c r="G3" s="20" t="s">
        <v>76</v>
      </c>
      <c r="H3" s="20" t="s">
        <v>76</v>
      </c>
      <c r="I3" s="20" t="s">
        <v>76</v>
      </c>
      <c r="J3" s="15">
        <v>20.8333333333333</v>
      </c>
      <c r="K3" s="15">
        <v>17.948717948717899</v>
      </c>
      <c r="L3" s="15">
        <v>37.7049180327869</v>
      </c>
      <c r="M3" s="15">
        <v>10.526315789473699</v>
      </c>
      <c r="N3" s="15">
        <v>10.588235294117601</v>
      </c>
      <c r="O3" s="15">
        <v>18.604651162790699</v>
      </c>
      <c r="P3" s="15">
        <v>18.309859154929601</v>
      </c>
      <c r="Q3" s="15">
        <v>35.2112676056338</v>
      </c>
      <c r="R3" s="20" t="s">
        <v>76</v>
      </c>
      <c r="S3" s="15">
        <v>29.268292682926798</v>
      </c>
      <c r="T3" s="15">
        <v>20.8333333333333</v>
      </c>
      <c r="U3" s="15">
        <v>23.8095238095238</v>
      </c>
      <c r="V3" s="15">
        <v>26.470588235294102</v>
      </c>
      <c r="W3" s="15">
        <v>20.338983050847499</v>
      </c>
      <c r="X3" s="15">
        <v>38.461538461538503</v>
      </c>
      <c r="Y3" s="20" t="s">
        <v>76</v>
      </c>
      <c r="Z3" s="15">
        <v>32.051282051282101</v>
      </c>
      <c r="AA3" s="15">
        <v>24.7706422018349</v>
      </c>
      <c r="AB3" s="15">
        <v>26.470588235294102</v>
      </c>
      <c r="AC3" s="15">
        <v>25</v>
      </c>
      <c r="AD3" s="15">
        <v>50</v>
      </c>
      <c r="AE3" s="20" t="s">
        <v>76</v>
      </c>
      <c r="AF3" s="15">
        <v>50</v>
      </c>
      <c r="AG3" s="15">
        <v>10.476190476190499</v>
      </c>
      <c r="AH3" s="20" t="s">
        <v>76</v>
      </c>
      <c r="AI3" s="20" t="s">
        <v>76</v>
      </c>
      <c r="AJ3" s="15">
        <v>26.126126126126099</v>
      </c>
      <c r="AK3" s="15">
        <v>23.3333333333333</v>
      </c>
      <c r="AL3" s="15">
        <v>31.1111111111111</v>
      </c>
      <c r="AM3" s="15">
        <v>14.0625</v>
      </c>
      <c r="AN3" s="20" t="s">
        <v>76</v>
      </c>
      <c r="AO3" s="15">
        <v>12.5</v>
      </c>
      <c r="AP3" s="15">
        <v>15.5844155844156</v>
      </c>
      <c r="AQ3" s="15">
        <v>15.384615384615399</v>
      </c>
      <c r="AR3" s="15">
        <v>10.909090909090899</v>
      </c>
      <c r="AS3" s="20" t="s">
        <v>76</v>
      </c>
      <c r="AT3" s="15">
        <v>32.307692307692299</v>
      </c>
      <c r="AU3" s="15">
        <v>26.530612244897998</v>
      </c>
      <c r="AV3" s="15">
        <v>12.328767123287699</v>
      </c>
      <c r="AW3" s="15">
        <v>15.517241379310301</v>
      </c>
      <c r="AX3" s="15">
        <v>37.5</v>
      </c>
      <c r="AY3" s="15">
        <v>25.714285714285701</v>
      </c>
      <c r="AZ3" s="15">
        <v>30</v>
      </c>
      <c r="BA3" s="15">
        <v>16.981132075471699</v>
      </c>
      <c r="BB3" s="15">
        <v>22.388059701492502</v>
      </c>
      <c r="BC3" s="15">
        <v>10.8108108108108</v>
      </c>
      <c r="BD3" s="15">
        <v>19.230769230769202</v>
      </c>
      <c r="BE3" s="15">
        <v>24.137931034482801</v>
      </c>
      <c r="BF3" s="15">
        <v>12.048192771084301</v>
      </c>
      <c r="BG3" s="15">
        <v>20.8955223880597</v>
      </c>
      <c r="BH3" s="15">
        <v>20.8333333333333</v>
      </c>
      <c r="BI3" s="20" t="s">
        <v>76</v>
      </c>
      <c r="BJ3" s="15">
        <v>20.535714285714299</v>
      </c>
      <c r="BK3" s="15">
        <v>27.5</v>
      </c>
      <c r="BL3" s="15">
        <v>14.84375</v>
      </c>
      <c r="BM3" s="15">
        <v>20.7920792079208</v>
      </c>
      <c r="BN3" s="15">
        <v>29.411764705882401</v>
      </c>
      <c r="BO3" s="15">
        <v>16.6666666666667</v>
      </c>
      <c r="BP3" s="15">
        <v>33.3333333333333</v>
      </c>
      <c r="BQ3" s="15">
        <v>10.958904109589</v>
      </c>
      <c r="BR3" s="15">
        <v>21.6666666666667</v>
      </c>
      <c r="BS3" s="15">
        <v>25.3012048192771</v>
      </c>
      <c r="BT3" s="15">
        <v>18.292682926829301</v>
      </c>
      <c r="BU3" s="15">
        <v>15.887850467289701</v>
      </c>
      <c r="BV3" s="15">
        <v>38.383838383838402</v>
      </c>
      <c r="BW3" s="20" t="s">
        <v>76</v>
      </c>
      <c r="BX3" s="20" t="s">
        <v>76</v>
      </c>
      <c r="BY3" s="15">
        <v>31.746031746031701</v>
      </c>
      <c r="BZ3" s="15">
        <v>15.6462585034014</v>
      </c>
      <c r="CA3" s="32">
        <v>15.8750325767456</v>
      </c>
      <c r="CB3" s="15">
        <v>9.2651757188498394</v>
      </c>
      <c r="CC3" s="15">
        <v>16.352201257861601</v>
      </c>
      <c r="CD3" s="15">
        <v>14.8387096774194</v>
      </c>
      <c r="CE3" s="20" t="s">
        <v>76</v>
      </c>
      <c r="CF3" s="15">
        <v>15.2694610778443</v>
      </c>
      <c r="CG3" s="15">
        <v>18.435754189944099</v>
      </c>
      <c r="CH3" s="15">
        <v>16.911764705882401</v>
      </c>
      <c r="CI3" s="15">
        <v>20.1232032854209</v>
      </c>
      <c r="CJ3" s="15">
        <v>21.176470588235301</v>
      </c>
      <c r="CK3" s="15">
        <v>17.937219730941699</v>
      </c>
      <c r="CL3" s="15">
        <v>18.7878787878788</v>
      </c>
      <c r="CM3" s="24">
        <v>14.5610278372591</v>
      </c>
      <c r="CN3" s="37"/>
    </row>
    <row r="4" spans="1:92">
      <c r="A4" s="9" t="s">
        <v>259</v>
      </c>
      <c r="B4" s="35">
        <v>14.7652964548281</v>
      </c>
      <c r="C4" s="32">
        <v>14.770257436798699</v>
      </c>
      <c r="D4" s="32">
        <v>14.3446586472118</v>
      </c>
      <c r="E4" s="32">
        <v>13.4890872012896</v>
      </c>
      <c r="F4" s="20" t="s">
        <v>76</v>
      </c>
      <c r="G4" s="20" t="s">
        <v>76</v>
      </c>
      <c r="H4" s="15">
        <v>26.086956521739101</v>
      </c>
      <c r="I4" s="20" t="s">
        <v>76</v>
      </c>
      <c r="J4" s="15">
        <v>11.1111111111111</v>
      </c>
      <c r="K4" s="20" t="s">
        <v>76</v>
      </c>
      <c r="L4" s="15">
        <v>19.672131147540998</v>
      </c>
      <c r="M4" s="15">
        <v>9.2105263157894708</v>
      </c>
      <c r="N4" s="15">
        <v>8.2352941176470598</v>
      </c>
      <c r="O4" s="20" t="s">
        <v>76</v>
      </c>
      <c r="P4" s="15">
        <v>23.943661971830998</v>
      </c>
      <c r="Q4" s="15">
        <v>30.985915492957702</v>
      </c>
      <c r="R4" s="20" t="s">
        <v>76</v>
      </c>
      <c r="S4" s="15">
        <v>14.634146341463399</v>
      </c>
      <c r="T4" s="15">
        <v>20.8333333333333</v>
      </c>
      <c r="U4" s="20" t="s">
        <v>76</v>
      </c>
      <c r="V4" s="20" t="s">
        <v>76</v>
      </c>
      <c r="W4" s="15">
        <v>13.559322033898299</v>
      </c>
      <c r="X4" s="20" t="s">
        <v>76</v>
      </c>
      <c r="Y4" s="20" t="s">
        <v>76</v>
      </c>
      <c r="Z4" s="15">
        <v>7.6923076923076898</v>
      </c>
      <c r="AA4" s="15">
        <v>9.1743119266054993</v>
      </c>
      <c r="AB4" s="15">
        <v>13.235294117647101</v>
      </c>
      <c r="AC4" s="15">
        <v>12.8787878787879</v>
      </c>
      <c r="AD4" s="20" t="s">
        <v>76</v>
      </c>
      <c r="AE4" s="20" t="s">
        <v>76</v>
      </c>
      <c r="AF4" s="20" t="s">
        <v>76</v>
      </c>
      <c r="AG4" s="15">
        <v>10.476190476190499</v>
      </c>
      <c r="AH4" s="15">
        <v>10.714285714285699</v>
      </c>
      <c r="AI4" s="20" t="s">
        <v>76</v>
      </c>
      <c r="AJ4" s="15">
        <v>14.4144144144144</v>
      </c>
      <c r="AK4" s="20" t="s">
        <v>76</v>
      </c>
      <c r="AL4" s="15">
        <v>26.6666666666667</v>
      </c>
      <c r="AM4" s="15">
        <v>15.625</v>
      </c>
      <c r="AN4" s="20" t="s">
        <v>76</v>
      </c>
      <c r="AO4" s="20" t="s">
        <v>76</v>
      </c>
      <c r="AP4" s="15">
        <v>7.7922077922077904</v>
      </c>
      <c r="AQ4" s="20" t="s">
        <v>76</v>
      </c>
      <c r="AR4" s="15">
        <v>9.0909090909090899</v>
      </c>
      <c r="AS4" s="20" t="s">
        <v>76</v>
      </c>
      <c r="AT4" s="15">
        <v>10.7692307692308</v>
      </c>
      <c r="AU4" s="15">
        <v>16.326530612244898</v>
      </c>
      <c r="AV4" s="15">
        <v>8.2191780821917799</v>
      </c>
      <c r="AW4" s="15">
        <v>15.517241379310301</v>
      </c>
      <c r="AX4" s="15">
        <v>37.5</v>
      </c>
      <c r="AY4" s="20" t="s">
        <v>76</v>
      </c>
      <c r="AZ4" s="15">
        <v>24</v>
      </c>
      <c r="BA4" s="15">
        <v>24.528301886792502</v>
      </c>
      <c r="BB4" s="15">
        <v>17.910447761194</v>
      </c>
      <c r="BC4" s="15">
        <v>6.7567567567567597</v>
      </c>
      <c r="BD4" s="15">
        <v>12.8205128205128</v>
      </c>
      <c r="BE4" s="15">
        <v>15.517241379310301</v>
      </c>
      <c r="BF4" s="15">
        <v>16.867469879518101</v>
      </c>
      <c r="BG4" s="15">
        <v>7.4626865671641802</v>
      </c>
      <c r="BH4" s="20" t="s">
        <v>76</v>
      </c>
      <c r="BI4" s="20" t="s">
        <v>76</v>
      </c>
      <c r="BJ4" s="15">
        <v>16.071428571428601</v>
      </c>
      <c r="BK4" s="20" t="s">
        <v>76</v>
      </c>
      <c r="BL4" s="15">
        <v>9.375</v>
      </c>
      <c r="BM4" s="15">
        <v>9.9009900990098991</v>
      </c>
      <c r="BN4" s="15">
        <v>21.008403361344499</v>
      </c>
      <c r="BO4" s="15">
        <v>7.7777777777777803</v>
      </c>
      <c r="BP4" s="20" t="s">
        <v>76</v>
      </c>
      <c r="BQ4" s="15">
        <v>8.2191780821917799</v>
      </c>
      <c r="BR4" s="20" t="s">
        <v>76</v>
      </c>
      <c r="BS4" s="15">
        <v>8.4337349397590398</v>
      </c>
      <c r="BT4" s="15">
        <v>30.487804878048799</v>
      </c>
      <c r="BU4" s="15">
        <v>20.5607476635514</v>
      </c>
      <c r="BV4" s="15">
        <v>20.202020202020201</v>
      </c>
      <c r="BW4" s="15">
        <v>8.6956521739130395</v>
      </c>
      <c r="BX4" s="20" t="s">
        <v>76</v>
      </c>
      <c r="BY4" s="15">
        <v>7.9365079365079403</v>
      </c>
      <c r="BZ4" s="15">
        <v>20.408163265306101</v>
      </c>
      <c r="CA4" s="32">
        <v>15.0355930497252</v>
      </c>
      <c r="CB4" s="15">
        <v>14.6964856230032</v>
      </c>
      <c r="CC4" s="15">
        <v>14.150943396226401</v>
      </c>
      <c r="CD4" s="15">
        <v>22.580645161290299</v>
      </c>
      <c r="CE4" s="20" t="s">
        <v>76</v>
      </c>
      <c r="CF4" s="15">
        <v>14.6706586826347</v>
      </c>
      <c r="CG4" s="15">
        <v>14.525139664804501</v>
      </c>
      <c r="CH4" s="15">
        <v>11.213235294117601</v>
      </c>
      <c r="CI4" s="15">
        <v>14.9897330595483</v>
      </c>
      <c r="CJ4" s="15">
        <v>20.3921568627451</v>
      </c>
      <c r="CK4" s="15">
        <v>16.143497757847499</v>
      </c>
      <c r="CL4" s="15">
        <v>15.7575757575758</v>
      </c>
      <c r="CM4" s="24">
        <v>12.847965738758001</v>
      </c>
      <c r="CN4" s="37"/>
    </row>
    <row r="5" spans="1:92">
      <c r="A5" s="9" t="s">
        <v>260</v>
      </c>
      <c r="B5" s="35">
        <v>21.645741689917799</v>
      </c>
      <c r="C5" s="32">
        <v>21.242596158900501</v>
      </c>
      <c r="D5" s="32">
        <v>21.536118090873401</v>
      </c>
      <c r="E5" s="32">
        <v>19.3429325066421</v>
      </c>
      <c r="F5" s="15">
        <v>41.176470588235297</v>
      </c>
      <c r="G5" s="20" t="s">
        <v>76</v>
      </c>
      <c r="H5" s="15">
        <v>21.739130434782599</v>
      </c>
      <c r="I5" s="15">
        <v>50</v>
      </c>
      <c r="J5" s="15">
        <v>15.9722222222222</v>
      </c>
      <c r="K5" s="15">
        <v>25.6410256410256</v>
      </c>
      <c r="L5" s="15">
        <v>13.1147540983607</v>
      </c>
      <c r="M5" s="15">
        <v>7.8947368421052602</v>
      </c>
      <c r="N5" s="15">
        <v>15.294117647058799</v>
      </c>
      <c r="O5" s="15">
        <v>23.255813953488399</v>
      </c>
      <c r="P5" s="15">
        <v>18.309859154929601</v>
      </c>
      <c r="Q5" s="15">
        <v>11.2676056338028</v>
      </c>
      <c r="R5" s="20" t="s">
        <v>76</v>
      </c>
      <c r="S5" s="15">
        <v>29.268292682926798</v>
      </c>
      <c r="T5" s="15">
        <v>27.0833333333333</v>
      </c>
      <c r="U5" s="15">
        <v>23.8095238095238</v>
      </c>
      <c r="V5" s="15">
        <v>20.588235294117599</v>
      </c>
      <c r="W5" s="15">
        <v>18.644067796610202</v>
      </c>
      <c r="X5" s="20" t="s">
        <v>76</v>
      </c>
      <c r="Y5" s="20" t="s">
        <v>76</v>
      </c>
      <c r="Z5" s="15">
        <v>24.3589743589744</v>
      </c>
      <c r="AA5" s="15">
        <v>22.0183486238532</v>
      </c>
      <c r="AB5" s="15">
        <v>36.764705882352899</v>
      </c>
      <c r="AC5" s="15">
        <v>20.454545454545499</v>
      </c>
      <c r="AD5" s="15">
        <v>15.625</v>
      </c>
      <c r="AE5" s="20" t="s">
        <v>76</v>
      </c>
      <c r="AF5" s="20" t="s">
        <v>76</v>
      </c>
      <c r="AG5" s="15">
        <v>14.285714285714301</v>
      </c>
      <c r="AH5" s="15">
        <v>21.428571428571399</v>
      </c>
      <c r="AI5" s="20" t="s">
        <v>76</v>
      </c>
      <c r="AJ5" s="15">
        <v>19.819819819819799</v>
      </c>
      <c r="AK5" s="15">
        <v>30</v>
      </c>
      <c r="AL5" s="15">
        <v>28.8888888888889</v>
      </c>
      <c r="AM5" s="15">
        <v>20.3125</v>
      </c>
      <c r="AN5" s="20" t="s">
        <v>76</v>
      </c>
      <c r="AO5" s="20" t="s">
        <v>76</v>
      </c>
      <c r="AP5" s="15">
        <v>15.5844155844156</v>
      </c>
      <c r="AQ5" s="15">
        <v>25.6410256410256</v>
      </c>
      <c r="AR5" s="15">
        <v>9.0909090909090899</v>
      </c>
      <c r="AS5" s="20" t="s">
        <v>76</v>
      </c>
      <c r="AT5" s="15">
        <v>30.769230769230798</v>
      </c>
      <c r="AU5" s="20" t="s">
        <v>76</v>
      </c>
      <c r="AV5" s="15">
        <v>6.8493150684931496</v>
      </c>
      <c r="AW5" s="15">
        <v>17.241379310344801</v>
      </c>
      <c r="AX5" s="20" t="s">
        <v>76</v>
      </c>
      <c r="AY5" s="15">
        <v>17.1428571428571</v>
      </c>
      <c r="AZ5" s="15">
        <v>42</v>
      </c>
      <c r="BA5" s="15">
        <v>22.641509433962302</v>
      </c>
      <c r="BB5" s="15">
        <v>25.373134328358201</v>
      </c>
      <c r="BC5" s="15">
        <v>25.675675675675699</v>
      </c>
      <c r="BD5" s="15">
        <v>11.538461538461499</v>
      </c>
      <c r="BE5" s="15">
        <v>37.931034482758598</v>
      </c>
      <c r="BF5" s="15">
        <v>18.0722891566265</v>
      </c>
      <c r="BG5" s="15">
        <v>25.373134328358201</v>
      </c>
      <c r="BH5" s="20" t="s">
        <v>76</v>
      </c>
      <c r="BI5" s="20" t="s">
        <v>76</v>
      </c>
      <c r="BJ5" s="15">
        <v>16.964285714285701</v>
      </c>
      <c r="BK5" s="15">
        <v>12.5</v>
      </c>
      <c r="BL5" s="15">
        <v>14.84375</v>
      </c>
      <c r="BM5" s="15">
        <v>18.8118811881188</v>
      </c>
      <c r="BN5" s="15">
        <v>25.210084033613398</v>
      </c>
      <c r="BO5" s="15">
        <v>17.7777777777778</v>
      </c>
      <c r="BP5" s="20" t="s">
        <v>76</v>
      </c>
      <c r="BQ5" s="15">
        <v>17.808219178082201</v>
      </c>
      <c r="BR5" s="15">
        <v>13.3333333333333</v>
      </c>
      <c r="BS5" s="15">
        <v>24.096385542168701</v>
      </c>
      <c r="BT5" s="15">
        <v>14.634146341463399</v>
      </c>
      <c r="BU5" s="15">
        <v>31.775700934579401</v>
      </c>
      <c r="BV5" s="15">
        <v>30.303030303030301</v>
      </c>
      <c r="BW5" s="15">
        <v>7.2463768115942004</v>
      </c>
      <c r="BX5" s="20" t="s">
        <v>76</v>
      </c>
      <c r="BY5" s="20" t="s">
        <v>76</v>
      </c>
      <c r="BZ5" s="15">
        <v>19.047619047619001</v>
      </c>
      <c r="CA5" s="32">
        <v>23.307270434098701</v>
      </c>
      <c r="CB5" s="15">
        <v>24.281150159744399</v>
      </c>
      <c r="CC5" s="15">
        <v>24.842767295597501</v>
      </c>
      <c r="CD5" s="15">
        <v>21.935483870967701</v>
      </c>
      <c r="CE5" s="20" t="s">
        <v>76</v>
      </c>
      <c r="CF5" s="15">
        <v>22.1556886227545</v>
      </c>
      <c r="CG5" s="15">
        <v>32.960893854748598</v>
      </c>
      <c r="CH5" s="15">
        <v>27.022058823529399</v>
      </c>
      <c r="CI5" s="15">
        <v>25.0513347022587</v>
      </c>
      <c r="CJ5" s="15">
        <v>29.803921568627501</v>
      </c>
      <c r="CK5" s="15">
        <v>21.076233183856498</v>
      </c>
      <c r="CL5" s="15">
        <v>16.515151515151501</v>
      </c>
      <c r="CM5" s="24">
        <v>19.9143468950749</v>
      </c>
      <c r="CN5" s="37"/>
    </row>
    <row r="6" spans="1:92">
      <c r="A6" s="9" t="s">
        <v>261</v>
      </c>
      <c r="B6" s="35">
        <v>36.4037104077753</v>
      </c>
      <c r="C6" s="32">
        <v>35.776965511014502</v>
      </c>
      <c r="D6" s="32">
        <v>35.5366175081042</v>
      </c>
      <c r="E6" s="32">
        <v>38.863730438786398</v>
      </c>
      <c r="F6" s="15">
        <v>29.411764705882401</v>
      </c>
      <c r="G6" s="20" t="s">
        <v>76</v>
      </c>
      <c r="H6" s="15">
        <v>26.086956521739101</v>
      </c>
      <c r="I6" s="15">
        <v>70</v>
      </c>
      <c r="J6" s="15">
        <v>38.1944444444444</v>
      </c>
      <c r="K6" s="15">
        <v>33.3333333333333</v>
      </c>
      <c r="L6" s="15">
        <v>26.229508196721302</v>
      </c>
      <c r="M6" s="15">
        <v>38.157894736842103</v>
      </c>
      <c r="N6" s="15">
        <v>38.823529411764703</v>
      </c>
      <c r="O6" s="15">
        <v>30.232558139534898</v>
      </c>
      <c r="P6" s="15">
        <v>46.478873239436602</v>
      </c>
      <c r="Q6" s="15">
        <v>39.436619718309899</v>
      </c>
      <c r="R6" s="15">
        <v>19.230769230769202</v>
      </c>
      <c r="S6" s="15">
        <v>48.780487804878</v>
      </c>
      <c r="T6" s="15">
        <v>31.25</v>
      </c>
      <c r="U6" s="15">
        <v>23.8095238095238</v>
      </c>
      <c r="V6" s="15">
        <v>50</v>
      </c>
      <c r="W6" s="15">
        <v>52.542372881355902</v>
      </c>
      <c r="X6" s="15">
        <v>53.846153846153797</v>
      </c>
      <c r="Y6" s="20" t="s">
        <v>76</v>
      </c>
      <c r="Z6" s="15">
        <v>41.025641025641001</v>
      </c>
      <c r="AA6" s="15">
        <v>46.788990825688103</v>
      </c>
      <c r="AB6" s="15">
        <v>55.882352941176499</v>
      </c>
      <c r="AC6" s="15">
        <v>42.424242424242401</v>
      </c>
      <c r="AD6" s="15">
        <v>18.75</v>
      </c>
      <c r="AE6" s="15">
        <v>33.3333333333333</v>
      </c>
      <c r="AF6" s="15">
        <v>57.142857142857103</v>
      </c>
      <c r="AG6" s="15">
        <v>29.523809523809501</v>
      </c>
      <c r="AH6" s="15">
        <v>21.428571428571399</v>
      </c>
      <c r="AI6" s="20" t="s">
        <v>76</v>
      </c>
      <c r="AJ6" s="15">
        <v>34.234234234234201</v>
      </c>
      <c r="AK6" s="15">
        <v>36.6666666666667</v>
      </c>
      <c r="AL6" s="15">
        <v>46.6666666666667</v>
      </c>
      <c r="AM6" s="15">
        <v>35.9375</v>
      </c>
      <c r="AN6" s="20" t="s">
        <v>76</v>
      </c>
      <c r="AO6" s="15">
        <v>17.5</v>
      </c>
      <c r="AP6" s="15">
        <v>28.571428571428601</v>
      </c>
      <c r="AQ6" s="15">
        <v>33.3333333333333</v>
      </c>
      <c r="AR6" s="15">
        <v>21.818181818181799</v>
      </c>
      <c r="AS6" s="20" t="s">
        <v>76</v>
      </c>
      <c r="AT6" s="15">
        <v>32.307692307692299</v>
      </c>
      <c r="AU6" s="15">
        <v>53.061224489795897</v>
      </c>
      <c r="AV6" s="15">
        <v>30.136986301369902</v>
      </c>
      <c r="AW6" s="15">
        <v>37.068965517241402</v>
      </c>
      <c r="AX6" s="15">
        <v>43.75</v>
      </c>
      <c r="AY6" s="15">
        <v>40</v>
      </c>
      <c r="AZ6" s="15">
        <v>54</v>
      </c>
      <c r="BA6" s="15">
        <v>41.509433962264097</v>
      </c>
      <c r="BB6" s="15">
        <v>47.761194029850699</v>
      </c>
      <c r="BC6" s="15">
        <v>47.297297297297298</v>
      </c>
      <c r="BD6" s="15">
        <v>33.3333333333333</v>
      </c>
      <c r="BE6" s="15">
        <v>55.172413793103502</v>
      </c>
      <c r="BF6" s="15">
        <v>48.192771084337402</v>
      </c>
      <c r="BG6" s="15">
        <v>40.298507462686601</v>
      </c>
      <c r="BH6" s="15">
        <v>37.5</v>
      </c>
      <c r="BI6" s="15">
        <v>52.631578947368403</v>
      </c>
      <c r="BJ6" s="15">
        <v>39.285714285714299</v>
      </c>
      <c r="BK6" s="15">
        <v>17.5</v>
      </c>
      <c r="BL6" s="15">
        <v>37.5</v>
      </c>
      <c r="BM6" s="15">
        <v>27.722772277227701</v>
      </c>
      <c r="BN6" s="15">
        <v>36.134453781512597</v>
      </c>
      <c r="BO6" s="15">
        <v>34.4444444444444</v>
      </c>
      <c r="BP6" s="15">
        <v>33.3333333333333</v>
      </c>
      <c r="BQ6" s="15">
        <v>35.616438356164402</v>
      </c>
      <c r="BR6" s="15">
        <v>45</v>
      </c>
      <c r="BS6" s="15">
        <v>51.807228915662698</v>
      </c>
      <c r="BT6" s="15">
        <v>39.024390243902403</v>
      </c>
      <c r="BU6" s="15">
        <v>43.925233644859802</v>
      </c>
      <c r="BV6" s="15">
        <v>66.6666666666667</v>
      </c>
      <c r="BW6" s="15">
        <v>28.985507246376802</v>
      </c>
      <c r="BX6" s="20" t="s">
        <v>76</v>
      </c>
      <c r="BY6" s="15">
        <v>23.8095238095238</v>
      </c>
      <c r="BZ6" s="15">
        <v>36.054421768707499</v>
      </c>
      <c r="CA6" s="32">
        <v>32.849738702351701</v>
      </c>
      <c r="CB6" s="15">
        <v>26.517571884984001</v>
      </c>
      <c r="CC6" s="15">
        <v>35.2201257861635</v>
      </c>
      <c r="CD6" s="15">
        <v>34.838709677419402</v>
      </c>
      <c r="CE6" s="20" t="s">
        <v>76</v>
      </c>
      <c r="CF6" s="15">
        <v>34.131736526946099</v>
      </c>
      <c r="CG6" s="15">
        <v>36.871508379888297</v>
      </c>
      <c r="CH6" s="15">
        <v>30.698529411764699</v>
      </c>
      <c r="CI6" s="15">
        <v>41.2731006160164</v>
      </c>
      <c r="CJ6" s="15">
        <v>38.431372549019599</v>
      </c>
      <c r="CK6" s="15">
        <v>33.1838565022422</v>
      </c>
      <c r="CL6" s="15">
        <v>37.575757575757599</v>
      </c>
      <c r="CM6" s="24">
        <v>30.192719486081401</v>
      </c>
      <c r="CN6" s="37"/>
    </row>
    <row r="7" spans="1:92">
      <c r="A7" s="9" t="s">
        <v>262</v>
      </c>
      <c r="B7" s="35">
        <v>20.182452894325198</v>
      </c>
      <c r="C7" s="32">
        <v>20.531308704640502</v>
      </c>
      <c r="D7" s="32">
        <v>21.193766317875401</v>
      </c>
      <c r="E7" s="32">
        <v>25.795062569784001</v>
      </c>
      <c r="F7" s="20" t="s">
        <v>76</v>
      </c>
      <c r="G7" s="20" t="s">
        <v>76</v>
      </c>
      <c r="H7" s="15">
        <v>30.434782608695699</v>
      </c>
      <c r="I7" s="15">
        <v>50</v>
      </c>
      <c r="J7" s="15">
        <v>25.6944444444444</v>
      </c>
      <c r="K7" s="15">
        <v>28.205128205128201</v>
      </c>
      <c r="L7" s="15">
        <v>24.590163934426201</v>
      </c>
      <c r="M7" s="15">
        <v>31.578947368421101</v>
      </c>
      <c r="N7" s="15">
        <v>18.823529411764699</v>
      </c>
      <c r="O7" s="15">
        <v>20.930232558139501</v>
      </c>
      <c r="P7" s="15">
        <v>18.309859154929601</v>
      </c>
      <c r="Q7" s="15">
        <v>28.169014084507001</v>
      </c>
      <c r="R7" s="20" t="s">
        <v>76</v>
      </c>
      <c r="S7" s="15">
        <v>41.463414634146297</v>
      </c>
      <c r="T7" s="15">
        <v>33.3333333333333</v>
      </c>
      <c r="U7" s="20" t="s">
        <v>76</v>
      </c>
      <c r="V7" s="15">
        <v>35.294117647058798</v>
      </c>
      <c r="W7" s="15">
        <v>32.203389830508499</v>
      </c>
      <c r="X7" s="15">
        <v>38.461538461538503</v>
      </c>
      <c r="Y7" s="20" t="s">
        <v>76</v>
      </c>
      <c r="Z7" s="15">
        <v>28.205128205128201</v>
      </c>
      <c r="AA7" s="15">
        <v>23.853211009174299</v>
      </c>
      <c r="AB7" s="15">
        <v>35.294117647058798</v>
      </c>
      <c r="AC7" s="15">
        <v>26.515151515151501</v>
      </c>
      <c r="AD7" s="15">
        <v>21.875</v>
      </c>
      <c r="AE7" s="15">
        <v>29.629629629629601</v>
      </c>
      <c r="AF7" s="20" t="s">
        <v>76</v>
      </c>
      <c r="AG7" s="15">
        <v>21.904761904761902</v>
      </c>
      <c r="AH7" s="15">
        <v>10.714285714285699</v>
      </c>
      <c r="AI7" s="20" t="s">
        <v>76</v>
      </c>
      <c r="AJ7" s="15">
        <v>26.126126126126099</v>
      </c>
      <c r="AK7" s="15">
        <v>23.3333333333333</v>
      </c>
      <c r="AL7" s="15">
        <v>32.2222222222222</v>
      </c>
      <c r="AM7" s="15">
        <v>18.75</v>
      </c>
      <c r="AN7" s="20" t="s">
        <v>76</v>
      </c>
      <c r="AO7" s="15">
        <v>15</v>
      </c>
      <c r="AP7" s="15">
        <v>19.480519480519501</v>
      </c>
      <c r="AQ7" s="15">
        <v>30.769230769230798</v>
      </c>
      <c r="AR7" s="15">
        <v>29.090909090909101</v>
      </c>
      <c r="AS7" s="20" t="s">
        <v>76</v>
      </c>
      <c r="AT7" s="15">
        <v>26.153846153846199</v>
      </c>
      <c r="AU7" s="15">
        <v>24.4897959183673</v>
      </c>
      <c r="AV7" s="15">
        <v>30.136986301369902</v>
      </c>
      <c r="AW7" s="15">
        <v>29.310344827586199</v>
      </c>
      <c r="AX7" s="15">
        <v>50</v>
      </c>
      <c r="AY7" s="15">
        <v>37.142857142857103</v>
      </c>
      <c r="AZ7" s="15">
        <v>24</v>
      </c>
      <c r="BA7" s="15">
        <v>47.169811320754697</v>
      </c>
      <c r="BB7" s="15">
        <v>23.880597014925399</v>
      </c>
      <c r="BC7" s="15">
        <v>31.081081081081098</v>
      </c>
      <c r="BD7" s="15">
        <v>25.6410256410256</v>
      </c>
      <c r="BE7" s="15">
        <v>15.517241379310301</v>
      </c>
      <c r="BF7" s="15">
        <v>37.349397590361399</v>
      </c>
      <c r="BG7" s="15">
        <v>17.910447761194</v>
      </c>
      <c r="BH7" s="20" t="s">
        <v>76</v>
      </c>
      <c r="BI7" s="15">
        <v>36.842105263157897</v>
      </c>
      <c r="BJ7" s="15">
        <v>25</v>
      </c>
      <c r="BK7" s="15">
        <v>17.5</v>
      </c>
      <c r="BL7" s="15">
        <v>14.84375</v>
      </c>
      <c r="BM7" s="15">
        <v>21.782178217821802</v>
      </c>
      <c r="BN7" s="15">
        <v>17.647058823529399</v>
      </c>
      <c r="BO7" s="15">
        <v>22.2222222222222</v>
      </c>
      <c r="BP7" s="15">
        <v>33.3333333333333</v>
      </c>
      <c r="BQ7" s="15">
        <v>17.808219178082201</v>
      </c>
      <c r="BR7" s="15">
        <v>21.6666666666667</v>
      </c>
      <c r="BS7" s="15">
        <v>15.662650602409601</v>
      </c>
      <c r="BT7" s="15">
        <v>28.048780487804901</v>
      </c>
      <c r="BU7" s="15">
        <v>43.925233644859802</v>
      </c>
      <c r="BV7" s="15">
        <v>25.252525252525299</v>
      </c>
      <c r="BW7" s="15">
        <v>27.536231884058001</v>
      </c>
      <c r="BX7" s="20" t="s">
        <v>76</v>
      </c>
      <c r="BY7" s="15">
        <v>22.2222222222222</v>
      </c>
      <c r="BZ7" s="15">
        <v>27.210884353741498</v>
      </c>
      <c r="CA7" s="32">
        <v>17.477894438616001</v>
      </c>
      <c r="CB7" s="15">
        <v>16.613418530351399</v>
      </c>
      <c r="CC7" s="15">
        <v>19.811320754716998</v>
      </c>
      <c r="CD7" s="15">
        <v>19.354838709677399</v>
      </c>
      <c r="CE7" s="20" t="s">
        <v>76</v>
      </c>
      <c r="CF7" s="15">
        <v>20.359281437125698</v>
      </c>
      <c r="CG7" s="15">
        <v>19.553072625698299</v>
      </c>
      <c r="CH7" s="15">
        <v>15.257352941176499</v>
      </c>
      <c r="CI7" s="15">
        <v>25.462012320328501</v>
      </c>
      <c r="CJ7" s="15">
        <v>23.529411764705898</v>
      </c>
      <c r="CK7" s="15">
        <v>18.385650224215201</v>
      </c>
      <c r="CL7" s="15">
        <v>18.484848484848499</v>
      </c>
      <c r="CM7" s="24">
        <v>15.845824411134901</v>
      </c>
      <c r="CN7" s="37"/>
    </row>
    <row r="8" spans="1:92">
      <c r="A8" s="9" t="s">
        <v>263</v>
      </c>
      <c r="B8" s="35">
        <v>1.2677834979592399</v>
      </c>
      <c r="C8" s="32">
        <v>1.1819180645448899</v>
      </c>
      <c r="D8" s="32">
        <v>0.96740077174809302</v>
      </c>
      <c r="E8" s="32">
        <v>1.3319921754558099</v>
      </c>
      <c r="F8" s="20" t="s">
        <v>76</v>
      </c>
      <c r="G8" s="20" t="s">
        <v>76</v>
      </c>
      <c r="H8" s="20" t="s">
        <v>76</v>
      </c>
      <c r="I8" s="20" t="s">
        <v>76</v>
      </c>
      <c r="J8" s="20" t="s">
        <v>76</v>
      </c>
      <c r="K8" s="20" t="s">
        <v>76</v>
      </c>
      <c r="L8" s="20" t="s">
        <v>76</v>
      </c>
      <c r="M8" s="20" t="s">
        <v>76</v>
      </c>
      <c r="N8" s="15">
        <v>5.8823529411764701</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20" t="s">
        <v>76</v>
      </c>
      <c r="AH8" s="15">
        <v>8.9285714285714306</v>
      </c>
      <c r="AI8" s="20" t="s">
        <v>76</v>
      </c>
      <c r="AJ8" s="20" t="s">
        <v>76</v>
      </c>
      <c r="AK8" s="20" t="s">
        <v>76</v>
      </c>
      <c r="AL8" s="20" t="s">
        <v>76</v>
      </c>
      <c r="AM8" s="20" t="s">
        <v>76</v>
      </c>
      <c r="AN8" s="20" t="s">
        <v>76</v>
      </c>
      <c r="AO8" s="20" t="s">
        <v>76</v>
      </c>
      <c r="AP8" s="20" t="s">
        <v>76</v>
      </c>
      <c r="AQ8" s="20" t="s">
        <v>76</v>
      </c>
      <c r="AR8" s="20" t="s">
        <v>76</v>
      </c>
      <c r="AS8" s="20" t="s">
        <v>76</v>
      </c>
      <c r="AT8" s="20" t="s">
        <v>76</v>
      </c>
      <c r="AU8" s="20" t="s">
        <v>76</v>
      </c>
      <c r="AV8" s="20" t="s">
        <v>76</v>
      </c>
      <c r="AW8" s="20" t="s">
        <v>76</v>
      </c>
      <c r="AX8" s="20" t="s">
        <v>76</v>
      </c>
      <c r="AY8" s="20" t="s">
        <v>76</v>
      </c>
      <c r="AZ8" s="20" t="s">
        <v>76</v>
      </c>
      <c r="BA8" s="20" t="s">
        <v>76</v>
      </c>
      <c r="BB8" s="20" t="s">
        <v>76</v>
      </c>
      <c r="BC8" s="20" t="s">
        <v>76</v>
      </c>
      <c r="BD8" s="20" t="s">
        <v>76</v>
      </c>
      <c r="BE8" s="20" t="s">
        <v>76</v>
      </c>
      <c r="BF8" s="20" t="s">
        <v>76</v>
      </c>
      <c r="BG8" s="20" t="s">
        <v>76</v>
      </c>
      <c r="BH8" s="20" t="s">
        <v>76</v>
      </c>
      <c r="BI8" s="20" t="s">
        <v>76</v>
      </c>
      <c r="BJ8" s="20" t="s">
        <v>76</v>
      </c>
      <c r="BK8" s="20" t="s">
        <v>76</v>
      </c>
      <c r="BL8" s="20" t="s">
        <v>76</v>
      </c>
      <c r="BM8" s="20" t="s">
        <v>76</v>
      </c>
      <c r="BN8" s="20" t="s">
        <v>76</v>
      </c>
      <c r="BO8" s="20" t="s">
        <v>76</v>
      </c>
      <c r="BP8" s="20" t="s">
        <v>76</v>
      </c>
      <c r="BQ8" s="20" t="s">
        <v>76</v>
      </c>
      <c r="BR8" s="20" t="s">
        <v>76</v>
      </c>
      <c r="BS8" s="20" t="s">
        <v>76</v>
      </c>
      <c r="BT8" s="20" t="s">
        <v>76</v>
      </c>
      <c r="BU8" s="20" t="s">
        <v>76</v>
      </c>
      <c r="BV8" s="20" t="s">
        <v>76</v>
      </c>
      <c r="BW8" s="20" t="s">
        <v>76</v>
      </c>
      <c r="BX8" s="20" t="s">
        <v>76</v>
      </c>
      <c r="BY8" s="20" t="s">
        <v>76</v>
      </c>
      <c r="BZ8" s="20" t="s">
        <v>76</v>
      </c>
      <c r="CA8" s="32">
        <v>0.67296744898709604</v>
      </c>
      <c r="CB8" s="20" t="s">
        <v>76</v>
      </c>
      <c r="CC8" s="20" t="s">
        <v>76</v>
      </c>
      <c r="CD8" s="20" t="s">
        <v>76</v>
      </c>
      <c r="CE8" s="20" t="s">
        <v>76</v>
      </c>
      <c r="CF8" s="20" t="s">
        <v>76</v>
      </c>
      <c r="CG8" s="20" t="s">
        <v>76</v>
      </c>
      <c r="CH8" s="20" t="s">
        <v>76</v>
      </c>
      <c r="CI8" s="20" t="s">
        <v>76</v>
      </c>
      <c r="CJ8" s="20" t="s">
        <v>76</v>
      </c>
      <c r="CK8" s="20" t="s">
        <v>76</v>
      </c>
      <c r="CL8" s="15">
        <v>1.36363636363636</v>
      </c>
      <c r="CM8" s="26" t="s">
        <v>76</v>
      </c>
      <c r="CN8" s="37"/>
    </row>
    <row r="9" spans="1:92">
      <c r="A9" s="9" t="s">
        <v>264</v>
      </c>
      <c r="B9" s="35">
        <v>13.4054548643908</v>
      </c>
      <c r="C9" s="32">
        <v>13.051738325457199</v>
      </c>
      <c r="D9" s="32">
        <v>13.4634464891361</v>
      </c>
      <c r="E9" s="32">
        <v>17.225985956247801</v>
      </c>
      <c r="F9" s="20" t="s">
        <v>76</v>
      </c>
      <c r="G9" s="20" t="s">
        <v>76</v>
      </c>
      <c r="H9" s="15">
        <v>30.434782608695699</v>
      </c>
      <c r="I9" s="20" t="s">
        <v>76</v>
      </c>
      <c r="J9" s="15">
        <v>15.2777777777778</v>
      </c>
      <c r="K9" s="15">
        <v>12.8205128205128</v>
      </c>
      <c r="L9" s="15">
        <v>11.4754098360656</v>
      </c>
      <c r="M9" s="20" t="s">
        <v>76</v>
      </c>
      <c r="N9" s="15">
        <v>18.823529411764699</v>
      </c>
      <c r="O9" s="15">
        <v>20.930232558139501</v>
      </c>
      <c r="P9" s="15">
        <v>19.7183098591549</v>
      </c>
      <c r="Q9" s="15">
        <v>19.7183098591549</v>
      </c>
      <c r="R9" s="20" t="s">
        <v>76</v>
      </c>
      <c r="S9" s="15">
        <v>17.0731707317073</v>
      </c>
      <c r="T9" s="15">
        <v>25</v>
      </c>
      <c r="U9" s="15">
        <v>28.571428571428601</v>
      </c>
      <c r="V9" s="20" t="s">
        <v>76</v>
      </c>
      <c r="W9" s="15">
        <v>15.254237288135601</v>
      </c>
      <c r="X9" s="20" t="s">
        <v>76</v>
      </c>
      <c r="Y9" s="20" t="s">
        <v>76</v>
      </c>
      <c r="Z9" s="15">
        <v>14.1025641025641</v>
      </c>
      <c r="AA9" s="15">
        <v>27.5229357798165</v>
      </c>
      <c r="AB9" s="15">
        <v>26.470588235294102</v>
      </c>
      <c r="AC9" s="15">
        <v>12.1212121212121</v>
      </c>
      <c r="AD9" s="20" t="s">
        <v>76</v>
      </c>
      <c r="AE9" s="20" t="s">
        <v>76</v>
      </c>
      <c r="AF9" s="20" t="s">
        <v>76</v>
      </c>
      <c r="AG9" s="15">
        <v>7.6190476190476204</v>
      </c>
      <c r="AH9" s="15">
        <v>10.714285714285699</v>
      </c>
      <c r="AI9" s="20" t="s">
        <v>76</v>
      </c>
      <c r="AJ9" s="15">
        <v>18.018018018018001</v>
      </c>
      <c r="AK9" s="15">
        <v>30</v>
      </c>
      <c r="AL9" s="15">
        <v>24.4444444444444</v>
      </c>
      <c r="AM9" s="15">
        <v>18.75</v>
      </c>
      <c r="AN9" s="20" t="s">
        <v>76</v>
      </c>
      <c r="AO9" s="20" t="s">
        <v>76</v>
      </c>
      <c r="AP9" s="15">
        <v>9.0909090909090899</v>
      </c>
      <c r="AQ9" s="15">
        <v>17.948717948717899</v>
      </c>
      <c r="AR9" s="15">
        <v>12.7272727272727</v>
      </c>
      <c r="AS9" s="20" t="s">
        <v>76</v>
      </c>
      <c r="AT9" s="15">
        <v>16.923076923076898</v>
      </c>
      <c r="AU9" s="15">
        <v>26.530612244897998</v>
      </c>
      <c r="AV9" s="15">
        <v>12.328767123287699</v>
      </c>
      <c r="AW9" s="15">
        <v>12.0689655172414</v>
      </c>
      <c r="AX9" s="20" t="s">
        <v>76</v>
      </c>
      <c r="AY9" s="15">
        <v>20</v>
      </c>
      <c r="AZ9" s="15">
        <v>36</v>
      </c>
      <c r="BA9" s="15">
        <v>9.4339622641509404</v>
      </c>
      <c r="BB9" s="15">
        <v>29.8507462686567</v>
      </c>
      <c r="BC9" s="15">
        <v>13.5135135135135</v>
      </c>
      <c r="BD9" s="15">
        <v>14.1025641025641</v>
      </c>
      <c r="BE9" s="15">
        <v>24.137931034482801</v>
      </c>
      <c r="BF9" s="15">
        <v>15.662650602409601</v>
      </c>
      <c r="BG9" s="15">
        <v>17.910447761194</v>
      </c>
      <c r="BH9" s="20" t="s">
        <v>76</v>
      </c>
      <c r="BI9" s="20" t="s">
        <v>76</v>
      </c>
      <c r="BJ9" s="15">
        <v>20.535714285714299</v>
      </c>
      <c r="BK9" s="15">
        <v>12.5</v>
      </c>
      <c r="BL9" s="15">
        <v>17.96875</v>
      </c>
      <c r="BM9" s="15">
        <v>32.673267326732699</v>
      </c>
      <c r="BN9" s="15">
        <v>19.327731092436998</v>
      </c>
      <c r="BO9" s="15">
        <v>13.3333333333333</v>
      </c>
      <c r="BP9" s="20" t="s">
        <v>76</v>
      </c>
      <c r="BQ9" s="15">
        <v>10.958904109589</v>
      </c>
      <c r="BR9" s="15">
        <v>13.3333333333333</v>
      </c>
      <c r="BS9" s="15">
        <v>8.4337349397590398</v>
      </c>
      <c r="BT9" s="15">
        <v>15.853658536585399</v>
      </c>
      <c r="BU9" s="15">
        <v>21.495327102803699</v>
      </c>
      <c r="BV9" s="15">
        <v>31.313131313131301</v>
      </c>
      <c r="BW9" s="15">
        <v>14.492753623188401</v>
      </c>
      <c r="BX9" s="20" t="s">
        <v>76</v>
      </c>
      <c r="BY9" s="15">
        <v>14.285714285714301</v>
      </c>
      <c r="BZ9" s="15">
        <v>17.006802721088398</v>
      </c>
      <c r="CA9" s="32">
        <v>10.424929985304299</v>
      </c>
      <c r="CB9" s="15">
        <v>9.5846645367412204</v>
      </c>
      <c r="CC9" s="15">
        <v>8.8050314465408803</v>
      </c>
      <c r="CD9" s="15">
        <v>8.3870967741935498</v>
      </c>
      <c r="CE9" s="20" t="s">
        <v>76</v>
      </c>
      <c r="CF9" s="15">
        <v>9.5808383233532908</v>
      </c>
      <c r="CG9" s="15">
        <v>13.407821229050301</v>
      </c>
      <c r="CH9" s="15">
        <v>9.9264705882352899</v>
      </c>
      <c r="CI9" s="15">
        <v>13.7577002053388</v>
      </c>
      <c r="CJ9" s="15">
        <v>12.5490196078431</v>
      </c>
      <c r="CK9" s="15">
        <v>14.7982062780269</v>
      </c>
      <c r="CL9" s="15">
        <v>12.575757575757599</v>
      </c>
      <c r="CM9" s="24">
        <v>9.4218415417558905</v>
      </c>
      <c r="CN9" s="37"/>
    </row>
    <row r="10" spans="1:92">
      <c r="A10" s="9" t="s">
        <v>265</v>
      </c>
      <c r="B10" s="35">
        <v>10.881211770667299</v>
      </c>
      <c r="C10" s="32">
        <v>10.0548340543646</v>
      </c>
      <c r="D10" s="32">
        <v>10.187517804943001</v>
      </c>
      <c r="E10" s="32">
        <v>10.106212852784999</v>
      </c>
      <c r="F10" s="20" t="s">
        <v>76</v>
      </c>
      <c r="G10" s="20" t="s">
        <v>76</v>
      </c>
      <c r="H10" s="15">
        <v>21.739130434782599</v>
      </c>
      <c r="I10" s="20" t="s">
        <v>76</v>
      </c>
      <c r="J10" s="15">
        <v>9.0277777777777803</v>
      </c>
      <c r="K10" s="20" t="s">
        <v>76</v>
      </c>
      <c r="L10" s="15">
        <v>8.1967213114754092</v>
      </c>
      <c r="M10" s="20" t="s">
        <v>76</v>
      </c>
      <c r="N10" s="15">
        <v>7.0588235294117601</v>
      </c>
      <c r="O10" s="20" t="s">
        <v>76</v>
      </c>
      <c r="P10" s="15">
        <v>9.8591549295774694</v>
      </c>
      <c r="Q10" s="15">
        <v>9.8591549295774694</v>
      </c>
      <c r="R10" s="20" t="s">
        <v>76</v>
      </c>
      <c r="S10" s="20" t="s">
        <v>76</v>
      </c>
      <c r="T10" s="15">
        <v>14.5833333333333</v>
      </c>
      <c r="U10" s="20" t="s">
        <v>76</v>
      </c>
      <c r="V10" s="20" t="s">
        <v>76</v>
      </c>
      <c r="W10" s="15">
        <v>11.864406779661</v>
      </c>
      <c r="X10" s="20" t="s">
        <v>76</v>
      </c>
      <c r="Y10" s="20" t="s">
        <v>76</v>
      </c>
      <c r="Z10" s="15">
        <v>10.2564102564103</v>
      </c>
      <c r="AA10" s="15">
        <v>22.0183486238532</v>
      </c>
      <c r="AB10" s="15">
        <v>8.8235294117646994</v>
      </c>
      <c r="AC10" s="15">
        <v>13.636363636363599</v>
      </c>
      <c r="AD10" s="20" t="s">
        <v>76</v>
      </c>
      <c r="AE10" s="20" t="s">
        <v>76</v>
      </c>
      <c r="AF10" s="20" t="s">
        <v>76</v>
      </c>
      <c r="AG10" s="15">
        <v>6.6666666666666696</v>
      </c>
      <c r="AH10" s="20" t="s">
        <v>76</v>
      </c>
      <c r="AI10" s="20" t="s">
        <v>76</v>
      </c>
      <c r="AJ10" s="15">
        <v>12.612612612612599</v>
      </c>
      <c r="AK10" s="20" t="s">
        <v>76</v>
      </c>
      <c r="AL10" s="15">
        <v>14.4444444444444</v>
      </c>
      <c r="AM10" s="15">
        <v>9.375</v>
      </c>
      <c r="AN10" s="20" t="s">
        <v>76</v>
      </c>
      <c r="AO10" s="20" t="s">
        <v>76</v>
      </c>
      <c r="AP10" s="15">
        <v>15.5844155844156</v>
      </c>
      <c r="AQ10" s="15">
        <v>12.8205128205128</v>
      </c>
      <c r="AR10" s="20" t="s">
        <v>76</v>
      </c>
      <c r="AS10" s="20" t="s">
        <v>76</v>
      </c>
      <c r="AT10" s="20" t="s">
        <v>76</v>
      </c>
      <c r="AU10" s="15">
        <v>14.285714285714301</v>
      </c>
      <c r="AV10" s="15">
        <v>10.958904109589</v>
      </c>
      <c r="AW10" s="15">
        <v>6.0344827586206904</v>
      </c>
      <c r="AX10" s="20" t="s">
        <v>76</v>
      </c>
      <c r="AY10" s="15">
        <v>20</v>
      </c>
      <c r="AZ10" s="20" t="s">
        <v>76</v>
      </c>
      <c r="BA10" s="20" t="s">
        <v>76</v>
      </c>
      <c r="BB10" s="15">
        <v>13.4328358208955</v>
      </c>
      <c r="BC10" s="15">
        <v>12.1621621621622</v>
      </c>
      <c r="BD10" s="15">
        <v>19.230769230769202</v>
      </c>
      <c r="BE10" s="20" t="s">
        <v>76</v>
      </c>
      <c r="BF10" s="15">
        <v>13.253012048192801</v>
      </c>
      <c r="BG10" s="20" t="s">
        <v>76</v>
      </c>
      <c r="BH10" s="20" t="s">
        <v>76</v>
      </c>
      <c r="BI10" s="20" t="s">
        <v>76</v>
      </c>
      <c r="BJ10" s="15">
        <v>10.714285714285699</v>
      </c>
      <c r="BK10" s="20" t="s">
        <v>76</v>
      </c>
      <c r="BL10" s="15">
        <v>7.03125</v>
      </c>
      <c r="BM10" s="15">
        <v>9.9009900990098991</v>
      </c>
      <c r="BN10" s="15">
        <v>12.605042016806699</v>
      </c>
      <c r="BO10" s="15">
        <v>7.7777777777777803</v>
      </c>
      <c r="BP10" s="20" t="s">
        <v>76</v>
      </c>
      <c r="BQ10" s="15">
        <v>13.698630136986299</v>
      </c>
      <c r="BR10" s="15">
        <v>11.6666666666667</v>
      </c>
      <c r="BS10" s="15">
        <v>9.6385542168674707</v>
      </c>
      <c r="BT10" s="15">
        <v>10.975609756097599</v>
      </c>
      <c r="BU10" s="15">
        <v>10.2803738317757</v>
      </c>
      <c r="BV10" s="15">
        <v>16.161616161616202</v>
      </c>
      <c r="BW10" s="15">
        <v>10.144927536231901</v>
      </c>
      <c r="BX10" s="20" t="s">
        <v>76</v>
      </c>
      <c r="BY10" s="20" t="s">
        <v>76</v>
      </c>
      <c r="BZ10" s="15">
        <v>9.5238095238095202</v>
      </c>
      <c r="CA10" s="32">
        <v>10.253177299317599</v>
      </c>
      <c r="CB10" s="15">
        <v>6.0702875399360998</v>
      </c>
      <c r="CC10" s="15">
        <v>14.150943396226401</v>
      </c>
      <c r="CD10" s="15">
        <v>7.7419354838709697</v>
      </c>
      <c r="CE10" s="20" t="s">
        <v>76</v>
      </c>
      <c r="CF10" s="15">
        <v>10.7784431137725</v>
      </c>
      <c r="CG10" s="15">
        <v>11.731843575418999</v>
      </c>
      <c r="CH10" s="15">
        <v>10.110294117647101</v>
      </c>
      <c r="CI10" s="15">
        <v>10.6776180698152</v>
      </c>
      <c r="CJ10" s="15">
        <v>15.6862745098039</v>
      </c>
      <c r="CK10" s="15">
        <v>10.3139013452915</v>
      </c>
      <c r="CL10" s="15">
        <v>13.3333333333333</v>
      </c>
      <c r="CM10" s="24">
        <v>7.4946466809421803</v>
      </c>
      <c r="CN10" s="37"/>
    </row>
    <row r="11" spans="1:92">
      <c r="A11" s="9" t="s">
        <v>266</v>
      </c>
      <c r="B11" s="35">
        <v>17.162541479838499</v>
      </c>
      <c r="C11" s="32">
        <v>17.112331593807301</v>
      </c>
      <c r="D11" s="32">
        <v>17.288197538956801</v>
      </c>
      <c r="E11" s="32">
        <v>16.102149111806799</v>
      </c>
      <c r="F11" s="20" t="s">
        <v>76</v>
      </c>
      <c r="G11" s="20" t="s">
        <v>76</v>
      </c>
      <c r="H11" s="15">
        <v>26.086956521739101</v>
      </c>
      <c r="I11" s="20" t="s">
        <v>76</v>
      </c>
      <c r="J11" s="15">
        <v>10.4166666666667</v>
      </c>
      <c r="K11" s="15">
        <v>20.5128205128205</v>
      </c>
      <c r="L11" s="15">
        <v>29.508196721311499</v>
      </c>
      <c r="M11" s="15">
        <v>15.789473684210501</v>
      </c>
      <c r="N11" s="15">
        <v>14.117647058823501</v>
      </c>
      <c r="O11" s="20" t="s">
        <v>76</v>
      </c>
      <c r="P11" s="15">
        <v>26.760563380281699</v>
      </c>
      <c r="Q11" s="15">
        <v>11.2676056338028</v>
      </c>
      <c r="R11" s="20" t="s">
        <v>76</v>
      </c>
      <c r="S11" s="15">
        <v>19.512195121951201</v>
      </c>
      <c r="T11" s="15">
        <v>16.6666666666667</v>
      </c>
      <c r="U11" s="15">
        <v>28.571428571428601</v>
      </c>
      <c r="V11" s="15">
        <v>35.294117647058798</v>
      </c>
      <c r="W11" s="15">
        <v>10.1694915254237</v>
      </c>
      <c r="X11" s="20" t="s">
        <v>76</v>
      </c>
      <c r="Y11" s="20" t="s">
        <v>76</v>
      </c>
      <c r="Z11" s="15">
        <v>20.5128205128205</v>
      </c>
      <c r="AA11" s="15">
        <v>11.0091743119266</v>
      </c>
      <c r="AB11" s="15">
        <v>16.176470588235301</v>
      </c>
      <c r="AC11" s="15">
        <v>23.484848484848499</v>
      </c>
      <c r="AD11" s="15">
        <v>68.75</v>
      </c>
      <c r="AE11" s="20" t="s">
        <v>76</v>
      </c>
      <c r="AF11" s="20" t="s">
        <v>76</v>
      </c>
      <c r="AG11" s="15">
        <v>10.476190476190499</v>
      </c>
      <c r="AH11" s="15">
        <v>8.9285714285714306</v>
      </c>
      <c r="AI11" s="20" t="s">
        <v>76</v>
      </c>
      <c r="AJ11" s="15">
        <v>13.5135135135135</v>
      </c>
      <c r="AK11" s="15">
        <v>30</v>
      </c>
      <c r="AL11" s="15">
        <v>16.6666666666667</v>
      </c>
      <c r="AM11" s="15">
        <v>23.4375</v>
      </c>
      <c r="AN11" s="20" t="s">
        <v>76</v>
      </c>
      <c r="AO11" s="20" t="s">
        <v>76</v>
      </c>
      <c r="AP11" s="15">
        <v>9.0909090909090899</v>
      </c>
      <c r="AQ11" s="20" t="s">
        <v>76</v>
      </c>
      <c r="AR11" s="15">
        <v>12.7272727272727</v>
      </c>
      <c r="AS11" s="20" t="s">
        <v>76</v>
      </c>
      <c r="AT11" s="15">
        <v>18.461538461538499</v>
      </c>
      <c r="AU11" s="15">
        <v>14.285714285714301</v>
      </c>
      <c r="AV11" s="15">
        <v>6.8493150684931496</v>
      </c>
      <c r="AW11" s="15">
        <v>8.6206896551724093</v>
      </c>
      <c r="AX11" s="20" t="s">
        <v>76</v>
      </c>
      <c r="AY11" s="15">
        <v>14.285714285714301</v>
      </c>
      <c r="AZ11" s="15">
        <v>50</v>
      </c>
      <c r="BA11" s="15">
        <v>15.094339622641501</v>
      </c>
      <c r="BB11" s="15">
        <v>23.880597014925399</v>
      </c>
      <c r="BC11" s="15">
        <v>17.5675675675676</v>
      </c>
      <c r="BD11" s="15">
        <v>14.1025641025641</v>
      </c>
      <c r="BE11" s="15">
        <v>22.413793103448299</v>
      </c>
      <c r="BF11" s="15">
        <v>14.4578313253012</v>
      </c>
      <c r="BG11" s="15">
        <v>13.4328358208955</v>
      </c>
      <c r="BH11" s="20" t="s">
        <v>76</v>
      </c>
      <c r="BI11" s="20" t="s">
        <v>76</v>
      </c>
      <c r="BJ11" s="15">
        <v>9.8214285714285694</v>
      </c>
      <c r="BK11" s="15">
        <v>25</v>
      </c>
      <c r="BL11" s="15">
        <v>29.6875</v>
      </c>
      <c r="BM11" s="15">
        <v>9.9009900990098991</v>
      </c>
      <c r="BN11" s="15">
        <v>21.008403361344499</v>
      </c>
      <c r="BO11" s="15">
        <v>8.8888888888888893</v>
      </c>
      <c r="BP11" s="20" t="s">
        <v>76</v>
      </c>
      <c r="BQ11" s="15">
        <v>12.328767123287699</v>
      </c>
      <c r="BR11" s="20" t="s">
        <v>76</v>
      </c>
      <c r="BS11" s="15">
        <v>7.2289156626505999</v>
      </c>
      <c r="BT11" s="15">
        <v>17.0731707317073</v>
      </c>
      <c r="BU11" s="15">
        <v>20.5607476635514</v>
      </c>
      <c r="BV11" s="15">
        <v>47.474747474747502</v>
      </c>
      <c r="BW11" s="20" t="s">
        <v>76</v>
      </c>
      <c r="BX11" s="20" t="s">
        <v>76</v>
      </c>
      <c r="BY11" s="20" t="s">
        <v>76</v>
      </c>
      <c r="BZ11" s="15">
        <v>26.530612244897998</v>
      </c>
      <c r="CA11" s="32">
        <v>18.2460154573441</v>
      </c>
      <c r="CB11" s="15">
        <v>15.654952076677301</v>
      </c>
      <c r="CC11" s="15">
        <v>11.6352201257862</v>
      </c>
      <c r="CD11" s="15">
        <v>19.354838709677399</v>
      </c>
      <c r="CE11" s="20" t="s">
        <v>76</v>
      </c>
      <c r="CF11" s="15">
        <v>14.371257485029901</v>
      </c>
      <c r="CG11" s="15">
        <v>16.201117318435799</v>
      </c>
      <c r="CH11" s="15">
        <v>25.919117647058801</v>
      </c>
      <c r="CI11" s="15">
        <v>18.480492813141701</v>
      </c>
      <c r="CJ11" s="15">
        <v>21.960784313725501</v>
      </c>
      <c r="CK11" s="15">
        <v>17.937219730941699</v>
      </c>
      <c r="CL11" s="15">
        <v>19.2424242424242</v>
      </c>
      <c r="CM11" s="24">
        <v>19.4860813704497</v>
      </c>
      <c r="CN11" s="37"/>
    </row>
    <row r="12" spans="1:92">
      <c r="A12" s="9" t="s">
        <v>267</v>
      </c>
      <c r="B12" s="35">
        <v>6.6058484668144697</v>
      </c>
      <c r="C12" s="32">
        <v>5.5170846032503702</v>
      </c>
      <c r="D12" s="32">
        <v>5.6275141158094302</v>
      </c>
      <c r="E12" s="32">
        <v>6.6379381570898497</v>
      </c>
      <c r="F12" s="20" t="s">
        <v>76</v>
      </c>
      <c r="G12" s="20" t="s">
        <v>76</v>
      </c>
      <c r="H12" s="20" t="s">
        <v>76</v>
      </c>
      <c r="I12" s="20" t="s">
        <v>76</v>
      </c>
      <c r="J12" s="15">
        <v>6.9444444444444402</v>
      </c>
      <c r="K12" s="20" t="s">
        <v>76</v>
      </c>
      <c r="L12" s="20" t="s">
        <v>76</v>
      </c>
      <c r="M12" s="20" t="s">
        <v>76</v>
      </c>
      <c r="N12" s="15">
        <v>7.0588235294117601</v>
      </c>
      <c r="O12" s="20" t="s">
        <v>76</v>
      </c>
      <c r="P12" s="15">
        <v>8.4507042253521103</v>
      </c>
      <c r="Q12" s="15">
        <v>11.2676056338028</v>
      </c>
      <c r="R12" s="20" t="s">
        <v>76</v>
      </c>
      <c r="S12" s="20" t="s">
        <v>76</v>
      </c>
      <c r="T12" s="20" t="s">
        <v>76</v>
      </c>
      <c r="U12" s="20" t="s">
        <v>76</v>
      </c>
      <c r="V12" s="15">
        <v>14.705882352941201</v>
      </c>
      <c r="W12" s="20" t="s">
        <v>76</v>
      </c>
      <c r="X12" s="20" t="s">
        <v>76</v>
      </c>
      <c r="Y12" s="20" t="s">
        <v>76</v>
      </c>
      <c r="Z12" s="15">
        <v>11.538461538461499</v>
      </c>
      <c r="AA12" s="15">
        <v>10.0917431192661</v>
      </c>
      <c r="AB12" s="20" t="s">
        <v>76</v>
      </c>
      <c r="AC12" s="15">
        <v>6.8181818181818201</v>
      </c>
      <c r="AD12" s="20" t="s">
        <v>76</v>
      </c>
      <c r="AE12" s="20" t="s">
        <v>76</v>
      </c>
      <c r="AF12" s="20" t="s">
        <v>76</v>
      </c>
      <c r="AG12" s="20" t="s">
        <v>76</v>
      </c>
      <c r="AH12" s="20" t="s">
        <v>76</v>
      </c>
      <c r="AI12" s="20" t="s">
        <v>76</v>
      </c>
      <c r="AJ12" s="15">
        <v>4.5045045045045002</v>
      </c>
      <c r="AK12" s="20" t="s">
        <v>76</v>
      </c>
      <c r="AL12" s="15">
        <v>12.2222222222222</v>
      </c>
      <c r="AM12" s="15">
        <v>14.0625</v>
      </c>
      <c r="AN12" s="20" t="s">
        <v>76</v>
      </c>
      <c r="AO12" s="20" t="s">
        <v>76</v>
      </c>
      <c r="AP12" s="20" t="s">
        <v>76</v>
      </c>
      <c r="AQ12" s="15">
        <v>17.948717948717899</v>
      </c>
      <c r="AR12" s="20" t="s">
        <v>76</v>
      </c>
      <c r="AS12" s="20" t="s">
        <v>76</v>
      </c>
      <c r="AT12" s="20" t="s">
        <v>76</v>
      </c>
      <c r="AU12" s="20" t="s">
        <v>76</v>
      </c>
      <c r="AV12" s="20" t="s">
        <v>76</v>
      </c>
      <c r="AW12" s="15">
        <v>5.1724137931034502</v>
      </c>
      <c r="AX12" s="20" t="s">
        <v>76</v>
      </c>
      <c r="AY12" s="20" t="s">
        <v>76</v>
      </c>
      <c r="AZ12" s="20" t="s">
        <v>76</v>
      </c>
      <c r="BA12" s="15">
        <v>15.094339622641501</v>
      </c>
      <c r="BB12" s="15">
        <v>7.4626865671641802</v>
      </c>
      <c r="BC12" s="20" t="s">
        <v>76</v>
      </c>
      <c r="BD12" s="20" t="s">
        <v>76</v>
      </c>
      <c r="BE12" s="20" t="s">
        <v>76</v>
      </c>
      <c r="BF12" s="15">
        <v>10.8433734939759</v>
      </c>
      <c r="BG12" s="20" t="s">
        <v>76</v>
      </c>
      <c r="BH12" s="20" t="s">
        <v>76</v>
      </c>
      <c r="BI12" s="20" t="s">
        <v>76</v>
      </c>
      <c r="BJ12" s="15">
        <v>10.714285714285699</v>
      </c>
      <c r="BK12" s="20" t="s">
        <v>76</v>
      </c>
      <c r="BL12" s="15">
        <v>7.8125</v>
      </c>
      <c r="BM12" s="15">
        <v>13.8613861386139</v>
      </c>
      <c r="BN12" s="15">
        <v>7.5630252100840298</v>
      </c>
      <c r="BO12" s="15">
        <v>5.5555555555555598</v>
      </c>
      <c r="BP12" s="20" t="s">
        <v>76</v>
      </c>
      <c r="BQ12" s="15">
        <v>9.5890410958904102</v>
      </c>
      <c r="BR12" s="20" t="s">
        <v>76</v>
      </c>
      <c r="BS12" s="15">
        <v>6.0240963855421699</v>
      </c>
      <c r="BT12" s="15">
        <v>6.0975609756097597</v>
      </c>
      <c r="BU12" s="15">
        <v>11.214953271028</v>
      </c>
      <c r="BV12" s="15">
        <v>11.1111111111111</v>
      </c>
      <c r="BW12" s="20" t="s">
        <v>76</v>
      </c>
      <c r="BX12" s="20" t="s">
        <v>76</v>
      </c>
      <c r="BY12" s="20" t="s">
        <v>76</v>
      </c>
      <c r="BZ12" s="15">
        <v>8.1632653061224492</v>
      </c>
      <c r="CA12" s="32">
        <v>4.8115252997091904</v>
      </c>
      <c r="CB12" s="15">
        <v>2.8753993610223598</v>
      </c>
      <c r="CC12" s="15">
        <v>4.7169811320754702</v>
      </c>
      <c r="CD12" s="15">
        <v>5.1612903225806503</v>
      </c>
      <c r="CE12" s="20" t="s">
        <v>76</v>
      </c>
      <c r="CF12" s="15">
        <v>4.19161676646707</v>
      </c>
      <c r="CG12" s="15">
        <v>5.0279329608938497</v>
      </c>
      <c r="CH12" s="15">
        <v>6.8014705882352899</v>
      </c>
      <c r="CI12" s="15">
        <v>5.9548254620123204</v>
      </c>
      <c r="CJ12" s="15">
        <v>5.0980392156862804</v>
      </c>
      <c r="CK12" s="15">
        <v>4.03587443946188</v>
      </c>
      <c r="CL12" s="15">
        <v>6.2121212121212102</v>
      </c>
      <c r="CM12" s="24">
        <v>3.64025695931478</v>
      </c>
      <c r="CN12" s="37"/>
    </row>
    <row r="13" spans="1:92">
      <c r="A13" s="9" t="s">
        <v>268</v>
      </c>
      <c r="B13" s="35">
        <v>3.6226789776799802</v>
      </c>
      <c r="C13" s="32">
        <v>3.1365579341666798</v>
      </c>
      <c r="D13" s="32">
        <v>3.0798413920213101</v>
      </c>
      <c r="E13" s="32">
        <v>4.6940478412330799</v>
      </c>
      <c r="F13" s="20" t="s">
        <v>76</v>
      </c>
      <c r="G13" s="20" t="s">
        <v>76</v>
      </c>
      <c r="H13" s="20" t="s">
        <v>76</v>
      </c>
      <c r="I13" s="20" t="s">
        <v>76</v>
      </c>
      <c r="J13" s="15">
        <v>6.25</v>
      </c>
      <c r="K13" s="20" t="s">
        <v>76</v>
      </c>
      <c r="L13" s="20" t="s">
        <v>76</v>
      </c>
      <c r="M13" s="20" t="s">
        <v>76</v>
      </c>
      <c r="N13" s="20" t="s">
        <v>76</v>
      </c>
      <c r="O13" s="15">
        <v>11.6279069767442</v>
      </c>
      <c r="P13" s="20" t="s">
        <v>76</v>
      </c>
      <c r="Q13" s="20" t="s">
        <v>76</v>
      </c>
      <c r="R13" s="20" t="s">
        <v>76</v>
      </c>
      <c r="S13" s="20" t="s">
        <v>76</v>
      </c>
      <c r="T13" s="20" t="s">
        <v>76</v>
      </c>
      <c r="U13" s="20" t="s">
        <v>76</v>
      </c>
      <c r="V13" s="20" t="s">
        <v>76</v>
      </c>
      <c r="W13" s="20" t="s">
        <v>76</v>
      </c>
      <c r="X13" s="20" t="s">
        <v>76</v>
      </c>
      <c r="Y13" s="20" t="s">
        <v>76</v>
      </c>
      <c r="Z13" s="20" t="s">
        <v>76</v>
      </c>
      <c r="AA13" s="15">
        <v>6.4220183486238502</v>
      </c>
      <c r="AB13" s="15">
        <v>8.8235294117646994</v>
      </c>
      <c r="AC13" s="20" t="s">
        <v>76</v>
      </c>
      <c r="AD13" s="20" t="s">
        <v>76</v>
      </c>
      <c r="AE13" s="20" t="s">
        <v>76</v>
      </c>
      <c r="AF13" s="20" t="s">
        <v>76</v>
      </c>
      <c r="AG13" s="20" t="s">
        <v>76</v>
      </c>
      <c r="AH13" s="20" t="s">
        <v>76</v>
      </c>
      <c r="AI13" s="20" t="s">
        <v>76</v>
      </c>
      <c r="AJ13" s="15">
        <v>5.4054054054054097</v>
      </c>
      <c r="AK13" s="20" t="s">
        <v>76</v>
      </c>
      <c r="AL13" s="15">
        <v>6.6666666666666696</v>
      </c>
      <c r="AM13" s="20" t="s">
        <v>76</v>
      </c>
      <c r="AN13" s="20" t="s">
        <v>76</v>
      </c>
      <c r="AO13" s="20" t="s">
        <v>76</v>
      </c>
      <c r="AP13" s="20" t="s">
        <v>76</v>
      </c>
      <c r="AQ13" s="20" t="s">
        <v>76</v>
      </c>
      <c r="AR13" s="20" t="s">
        <v>76</v>
      </c>
      <c r="AS13" s="20" t="s">
        <v>76</v>
      </c>
      <c r="AT13" s="20" t="s">
        <v>76</v>
      </c>
      <c r="AU13" s="20" t="s">
        <v>76</v>
      </c>
      <c r="AV13" s="20" t="s">
        <v>76</v>
      </c>
      <c r="AW13" s="15">
        <v>6.0344827586206904</v>
      </c>
      <c r="AX13" s="20" t="s">
        <v>76</v>
      </c>
      <c r="AY13" s="20" t="s">
        <v>76</v>
      </c>
      <c r="AZ13" s="15">
        <v>12</v>
      </c>
      <c r="BA13" s="20" t="s">
        <v>76</v>
      </c>
      <c r="BB13" s="20" t="s">
        <v>76</v>
      </c>
      <c r="BC13" s="20" t="s">
        <v>76</v>
      </c>
      <c r="BD13" s="20" t="s">
        <v>76</v>
      </c>
      <c r="BE13" s="15">
        <v>13.7931034482759</v>
      </c>
      <c r="BF13" s="15">
        <v>7.2289156626505999</v>
      </c>
      <c r="BG13" s="20" t="s">
        <v>76</v>
      </c>
      <c r="BH13" s="20" t="s">
        <v>76</v>
      </c>
      <c r="BI13" s="20" t="s">
        <v>76</v>
      </c>
      <c r="BJ13" s="20" t="s">
        <v>76</v>
      </c>
      <c r="BK13" s="20" t="s">
        <v>76</v>
      </c>
      <c r="BL13" s="20" t="s">
        <v>76</v>
      </c>
      <c r="BM13" s="20" t="s">
        <v>76</v>
      </c>
      <c r="BN13" s="15">
        <v>4.2016806722689104</v>
      </c>
      <c r="BO13" s="20" t="s">
        <v>76</v>
      </c>
      <c r="BP13" s="20" t="s">
        <v>76</v>
      </c>
      <c r="BQ13" s="20" t="s">
        <v>76</v>
      </c>
      <c r="BR13" s="20" t="s">
        <v>76</v>
      </c>
      <c r="BS13" s="15">
        <v>7.2289156626505999</v>
      </c>
      <c r="BT13" s="15">
        <v>8.5365853658536608</v>
      </c>
      <c r="BU13" s="20" t="s">
        <v>76</v>
      </c>
      <c r="BV13" s="15">
        <v>15.1515151515152</v>
      </c>
      <c r="BW13" s="20" t="s">
        <v>76</v>
      </c>
      <c r="BX13" s="20" t="s">
        <v>76</v>
      </c>
      <c r="BY13" s="20" t="s">
        <v>76</v>
      </c>
      <c r="BZ13" s="15">
        <v>4.0816326530612201</v>
      </c>
      <c r="CA13" s="32">
        <v>1.7762556145446</v>
      </c>
      <c r="CB13" s="15">
        <v>1.59744408945687</v>
      </c>
      <c r="CC13" s="20" t="s">
        <v>76</v>
      </c>
      <c r="CD13" s="20" t="s">
        <v>76</v>
      </c>
      <c r="CE13" s="20" t="s">
        <v>76</v>
      </c>
      <c r="CF13" s="20" t="s">
        <v>76</v>
      </c>
      <c r="CG13" s="15">
        <v>2.7932960893854699</v>
      </c>
      <c r="CH13" s="15">
        <v>2.2058823529411802</v>
      </c>
      <c r="CI13" s="15">
        <v>1.4373716632443501</v>
      </c>
      <c r="CJ13" s="20" t="s">
        <v>76</v>
      </c>
      <c r="CK13" s="15">
        <v>3.5874439461883401</v>
      </c>
      <c r="CL13" s="15">
        <v>3.0303030303030298</v>
      </c>
      <c r="CM13" s="24">
        <v>2.1413276231263398</v>
      </c>
      <c r="CN13" s="37"/>
    </row>
    <row r="14" spans="1:92">
      <c r="A14" s="9" t="s">
        <v>269</v>
      </c>
      <c r="B14" s="35">
        <v>24.676383500216101</v>
      </c>
      <c r="C14" s="32">
        <v>24.792106251281002</v>
      </c>
      <c r="D14" s="32">
        <v>23.423519314774602</v>
      </c>
      <c r="E14" s="32">
        <v>26.839732193492399</v>
      </c>
      <c r="F14" s="20" t="s">
        <v>76</v>
      </c>
      <c r="G14" s="20" t="s">
        <v>76</v>
      </c>
      <c r="H14" s="15">
        <v>78.260869565217405</v>
      </c>
      <c r="I14" s="15">
        <v>70</v>
      </c>
      <c r="J14" s="15">
        <v>40.2777777777778</v>
      </c>
      <c r="K14" s="20" t="s">
        <v>76</v>
      </c>
      <c r="L14" s="15">
        <v>36.065573770491802</v>
      </c>
      <c r="M14" s="15">
        <v>40.789473684210499</v>
      </c>
      <c r="N14" s="15">
        <v>29.411764705882401</v>
      </c>
      <c r="O14" s="15">
        <v>16.2790697674419</v>
      </c>
      <c r="P14" s="15">
        <v>29.577464788732399</v>
      </c>
      <c r="Q14" s="15">
        <v>42.253521126760603</v>
      </c>
      <c r="R14" s="20" t="s">
        <v>76</v>
      </c>
      <c r="S14" s="15">
        <v>29.268292682926798</v>
      </c>
      <c r="T14" s="15">
        <v>22.9166666666667</v>
      </c>
      <c r="U14" s="15">
        <v>23.8095238095238</v>
      </c>
      <c r="V14" s="15">
        <v>20.588235294117599</v>
      </c>
      <c r="W14" s="15">
        <v>20.338983050847499</v>
      </c>
      <c r="X14" s="20" t="s">
        <v>76</v>
      </c>
      <c r="Y14" s="20" t="s">
        <v>76</v>
      </c>
      <c r="Z14" s="15">
        <v>28.205128205128201</v>
      </c>
      <c r="AA14" s="15">
        <v>28.440366972477101</v>
      </c>
      <c r="AB14" s="15">
        <v>20.588235294117599</v>
      </c>
      <c r="AC14" s="15">
        <v>27.272727272727298</v>
      </c>
      <c r="AD14" s="15">
        <v>56.25</v>
      </c>
      <c r="AE14" s="15">
        <v>22.2222222222222</v>
      </c>
      <c r="AF14" s="20" t="s">
        <v>76</v>
      </c>
      <c r="AG14" s="15">
        <v>24.761904761904798</v>
      </c>
      <c r="AH14" s="15">
        <v>21.428571428571399</v>
      </c>
      <c r="AI14" s="20" t="s">
        <v>76</v>
      </c>
      <c r="AJ14" s="15">
        <v>33.3333333333333</v>
      </c>
      <c r="AK14" s="15">
        <v>36.6666666666667</v>
      </c>
      <c r="AL14" s="15">
        <v>37.7777777777778</v>
      </c>
      <c r="AM14" s="15">
        <v>28.125</v>
      </c>
      <c r="AN14" s="20" t="s">
        <v>76</v>
      </c>
      <c r="AO14" s="15">
        <v>27.5</v>
      </c>
      <c r="AP14" s="15">
        <v>20.7792207792208</v>
      </c>
      <c r="AQ14" s="15">
        <v>35.897435897435898</v>
      </c>
      <c r="AR14" s="15">
        <v>10.909090909090899</v>
      </c>
      <c r="AS14" s="20" t="s">
        <v>76</v>
      </c>
      <c r="AT14" s="15">
        <v>13.846153846153801</v>
      </c>
      <c r="AU14" s="15">
        <v>32.653061224489797</v>
      </c>
      <c r="AV14" s="15">
        <v>12.328767123287699</v>
      </c>
      <c r="AW14" s="15">
        <v>25.862068965517199</v>
      </c>
      <c r="AX14" s="15">
        <v>43.75</v>
      </c>
      <c r="AY14" s="15">
        <v>42.857142857142897</v>
      </c>
      <c r="AZ14" s="15">
        <v>24</v>
      </c>
      <c r="BA14" s="15">
        <v>33.962264150943398</v>
      </c>
      <c r="BB14" s="15">
        <v>28.358208955223901</v>
      </c>
      <c r="BC14" s="15">
        <v>25.675675675675699</v>
      </c>
      <c r="BD14" s="15">
        <v>24.3589743589744</v>
      </c>
      <c r="BE14" s="15">
        <v>24.137931034482801</v>
      </c>
      <c r="BF14" s="15">
        <v>24.096385542168701</v>
      </c>
      <c r="BG14" s="15">
        <v>14.9253731343284</v>
      </c>
      <c r="BH14" s="20" t="s">
        <v>76</v>
      </c>
      <c r="BI14" s="20" t="s">
        <v>76</v>
      </c>
      <c r="BJ14" s="15">
        <v>23.214285714285701</v>
      </c>
      <c r="BK14" s="15">
        <v>27.5</v>
      </c>
      <c r="BL14" s="15">
        <v>24.21875</v>
      </c>
      <c r="BM14" s="15">
        <v>24.752475247524799</v>
      </c>
      <c r="BN14" s="15">
        <v>42.857142857142897</v>
      </c>
      <c r="BO14" s="15">
        <v>20</v>
      </c>
      <c r="BP14" s="15">
        <v>46.6666666666667</v>
      </c>
      <c r="BQ14" s="15">
        <v>12.328767123287699</v>
      </c>
      <c r="BR14" s="15">
        <v>10</v>
      </c>
      <c r="BS14" s="15">
        <v>22.891566265060199</v>
      </c>
      <c r="BT14" s="15">
        <v>28.048780487804901</v>
      </c>
      <c r="BU14" s="15">
        <v>37.383177570093501</v>
      </c>
      <c r="BV14" s="15">
        <v>54.545454545454497</v>
      </c>
      <c r="BW14" s="15">
        <v>11.5942028985507</v>
      </c>
      <c r="BX14" s="20" t="s">
        <v>76</v>
      </c>
      <c r="BY14" s="15">
        <v>20.634920634920601</v>
      </c>
      <c r="BZ14" s="15">
        <v>28.571428571428601</v>
      </c>
      <c r="CA14" s="32">
        <v>20.664686004634</v>
      </c>
      <c r="CB14" s="15">
        <v>17.571884984025601</v>
      </c>
      <c r="CC14" s="15">
        <v>15.094339622641501</v>
      </c>
      <c r="CD14" s="15">
        <v>29.0322580645161</v>
      </c>
      <c r="CE14" s="20" t="s">
        <v>76</v>
      </c>
      <c r="CF14" s="15">
        <v>19.161676646706599</v>
      </c>
      <c r="CG14" s="15">
        <v>28.491620111731802</v>
      </c>
      <c r="CH14" s="15">
        <v>25</v>
      </c>
      <c r="CI14" s="15">
        <v>26.078028747433301</v>
      </c>
      <c r="CJ14" s="15">
        <v>23.921568627450998</v>
      </c>
      <c r="CK14" s="15">
        <v>18.385650224215201</v>
      </c>
      <c r="CL14" s="15">
        <v>23.636363636363601</v>
      </c>
      <c r="CM14" s="24">
        <v>18.201284796573901</v>
      </c>
      <c r="CN14" s="37"/>
    </row>
    <row r="15" spans="1:92">
      <c r="A15" s="9" t="s">
        <v>270</v>
      </c>
      <c r="B15" s="35">
        <v>18.4701805575185</v>
      </c>
      <c r="C15" s="32">
        <v>19.831296480338001</v>
      </c>
      <c r="D15" s="32">
        <v>19.682171107442802</v>
      </c>
      <c r="E15" s="32">
        <v>22.566402904889301</v>
      </c>
      <c r="F15" s="20" t="s">
        <v>76</v>
      </c>
      <c r="G15" s="15">
        <v>35.294117647058798</v>
      </c>
      <c r="H15" s="15">
        <v>30.434782608695699</v>
      </c>
      <c r="I15" s="15">
        <v>50</v>
      </c>
      <c r="J15" s="15">
        <v>22.2222222222222</v>
      </c>
      <c r="K15" s="15">
        <v>20.5128205128205</v>
      </c>
      <c r="L15" s="15">
        <v>21.311475409836099</v>
      </c>
      <c r="M15" s="20" t="s">
        <v>76</v>
      </c>
      <c r="N15" s="15">
        <v>27.0588235294118</v>
      </c>
      <c r="O15" s="15">
        <v>18.604651162790699</v>
      </c>
      <c r="P15" s="15">
        <v>33.802816901408498</v>
      </c>
      <c r="Q15" s="15">
        <v>29.577464788732399</v>
      </c>
      <c r="R15" s="20" t="s">
        <v>76</v>
      </c>
      <c r="S15" s="15">
        <v>39.024390243902403</v>
      </c>
      <c r="T15" s="15">
        <v>35.4166666666667</v>
      </c>
      <c r="U15" s="20" t="s">
        <v>76</v>
      </c>
      <c r="V15" s="15">
        <v>38.235294117647101</v>
      </c>
      <c r="W15" s="15">
        <v>28.8135593220339</v>
      </c>
      <c r="X15" s="20" t="s">
        <v>76</v>
      </c>
      <c r="Y15" s="20" t="s">
        <v>76</v>
      </c>
      <c r="Z15" s="15">
        <v>17.948717948717899</v>
      </c>
      <c r="AA15" s="15">
        <v>20.183486238532101</v>
      </c>
      <c r="AB15" s="15">
        <v>30.882352941176499</v>
      </c>
      <c r="AC15" s="15">
        <v>23.484848484848499</v>
      </c>
      <c r="AD15" s="15">
        <v>15.625</v>
      </c>
      <c r="AE15" s="15">
        <v>37.037037037037003</v>
      </c>
      <c r="AF15" s="15">
        <v>57.142857142857103</v>
      </c>
      <c r="AG15" s="15">
        <v>15.2380952380952</v>
      </c>
      <c r="AH15" s="15">
        <v>14.285714285714301</v>
      </c>
      <c r="AI15" s="20" t="s">
        <v>76</v>
      </c>
      <c r="AJ15" s="15">
        <v>14.4144144144144</v>
      </c>
      <c r="AK15" s="15">
        <v>30</v>
      </c>
      <c r="AL15" s="15">
        <v>31.1111111111111</v>
      </c>
      <c r="AM15" s="15">
        <v>25</v>
      </c>
      <c r="AN15" s="20" t="s">
        <v>76</v>
      </c>
      <c r="AO15" s="15">
        <v>15</v>
      </c>
      <c r="AP15" s="15">
        <v>12.987012987012999</v>
      </c>
      <c r="AQ15" s="15">
        <v>33.3333333333333</v>
      </c>
      <c r="AR15" s="15">
        <v>18.181818181818201</v>
      </c>
      <c r="AS15" s="20" t="s">
        <v>76</v>
      </c>
      <c r="AT15" s="15">
        <v>21.538461538461501</v>
      </c>
      <c r="AU15" s="15">
        <v>32.653061224489797</v>
      </c>
      <c r="AV15" s="15">
        <v>20.5479452054795</v>
      </c>
      <c r="AW15" s="15">
        <v>17.241379310344801</v>
      </c>
      <c r="AX15" s="20" t="s">
        <v>76</v>
      </c>
      <c r="AY15" s="15">
        <v>22.8571428571429</v>
      </c>
      <c r="AZ15" s="15">
        <v>34</v>
      </c>
      <c r="BA15" s="15">
        <v>16.981132075471699</v>
      </c>
      <c r="BB15" s="15">
        <v>32.835820895522403</v>
      </c>
      <c r="BC15" s="15">
        <v>29.729729729729701</v>
      </c>
      <c r="BD15" s="15">
        <v>20.5128205128205</v>
      </c>
      <c r="BE15" s="15">
        <v>37.931034482758598</v>
      </c>
      <c r="BF15" s="15">
        <v>21.6867469879518</v>
      </c>
      <c r="BG15" s="15">
        <v>19.402985074626901</v>
      </c>
      <c r="BH15" s="15">
        <v>25</v>
      </c>
      <c r="BI15" s="15">
        <v>26.315789473684202</v>
      </c>
      <c r="BJ15" s="15">
        <v>22.321428571428601</v>
      </c>
      <c r="BK15" s="15">
        <v>20</v>
      </c>
      <c r="BL15" s="15">
        <v>19.53125</v>
      </c>
      <c r="BM15" s="15">
        <v>24.752475247524799</v>
      </c>
      <c r="BN15" s="15">
        <v>22.689075630252098</v>
      </c>
      <c r="BO15" s="15">
        <v>14.4444444444444</v>
      </c>
      <c r="BP15" s="15">
        <v>33.3333333333333</v>
      </c>
      <c r="BQ15" s="15">
        <v>27.397260273972599</v>
      </c>
      <c r="BR15" s="15">
        <v>23.3333333333333</v>
      </c>
      <c r="BS15" s="15">
        <v>21.6867469879518</v>
      </c>
      <c r="BT15" s="15">
        <v>21.951219512195099</v>
      </c>
      <c r="BU15" s="15">
        <v>20.5607476635514</v>
      </c>
      <c r="BV15" s="15">
        <v>45.454545454545503</v>
      </c>
      <c r="BW15" s="15">
        <v>11.5942028985507</v>
      </c>
      <c r="BX15" s="20" t="s">
        <v>76</v>
      </c>
      <c r="BY15" s="15">
        <v>22.2222222222222</v>
      </c>
      <c r="BZ15" s="15">
        <v>23.8095238095238</v>
      </c>
      <c r="CA15" s="32">
        <v>17.352950113477998</v>
      </c>
      <c r="CB15" s="15">
        <v>15.3354632587859</v>
      </c>
      <c r="CC15" s="15">
        <v>18.867924528301899</v>
      </c>
      <c r="CD15" s="15">
        <v>17.419354838709701</v>
      </c>
      <c r="CE15" s="20" t="s">
        <v>76</v>
      </c>
      <c r="CF15" s="15">
        <v>12.5748502994012</v>
      </c>
      <c r="CG15" s="15">
        <v>19.553072625698299</v>
      </c>
      <c r="CH15" s="15">
        <v>21.6911764705882</v>
      </c>
      <c r="CI15" s="15">
        <v>22.176591375769998</v>
      </c>
      <c r="CJ15" s="15">
        <v>16.862745098039198</v>
      </c>
      <c r="CK15" s="15">
        <v>18.385650224215201</v>
      </c>
      <c r="CL15" s="15">
        <v>19.545454545454501</v>
      </c>
      <c r="CM15" s="24">
        <v>17.130620985010701</v>
      </c>
      <c r="CN15" s="37"/>
    </row>
    <row r="16" spans="1:92">
      <c r="A16" s="9" t="s">
        <v>271</v>
      </c>
      <c r="B16" s="35">
        <v>1.6866524320885701</v>
      </c>
      <c r="C16" s="32">
        <v>2.06324217835295</v>
      </c>
      <c r="D16" s="32">
        <v>1.8270212928270799</v>
      </c>
      <c r="E16" s="32">
        <v>2.6360348585281401</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15">
        <v>5.3030303030303001</v>
      </c>
      <c r="AD16" s="20" t="s">
        <v>76</v>
      </c>
      <c r="AE16" s="20" t="s">
        <v>76</v>
      </c>
      <c r="AF16" s="20" t="s">
        <v>76</v>
      </c>
      <c r="AG16" s="15">
        <v>4.7619047619047601</v>
      </c>
      <c r="AH16" s="20" t="s">
        <v>76</v>
      </c>
      <c r="AI16" s="20" t="s">
        <v>76</v>
      </c>
      <c r="AJ16" s="20" t="s">
        <v>76</v>
      </c>
      <c r="AK16" s="20" t="s">
        <v>76</v>
      </c>
      <c r="AL16" s="20" t="s">
        <v>76</v>
      </c>
      <c r="AM16" s="20" t="s">
        <v>76</v>
      </c>
      <c r="AN16" s="20" t="s">
        <v>76</v>
      </c>
      <c r="AO16" s="20" t="s">
        <v>76</v>
      </c>
      <c r="AP16" s="20" t="s">
        <v>76</v>
      </c>
      <c r="AQ16" s="20" t="s">
        <v>76</v>
      </c>
      <c r="AR16" s="20" t="s">
        <v>76</v>
      </c>
      <c r="AS16" s="20" t="s">
        <v>76</v>
      </c>
      <c r="AT16" s="20" t="s">
        <v>76</v>
      </c>
      <c r="AU16" s="20" t="s">
        <v>76</v>
      </c>
      <c r="AV16" s="20" t="s">
        <v>76</v>
      </c>
      <c r="AW16" s="20" t="s">
        <v>76</v>
      </c>
      <c r="AX16" s="20" t="s">
        <v>76</v>
      </c>
      <c r="AY16" s="20" t="s">
        <v>76</v>
      </c>
      <c r="AZ16" s="20" t="s">
        <v>76</v>
      </c>
      <c r="BA16" s="20" t="s">
        <v>76</v>
      </c>
      <c r="BB16" s="20" t="s">
        <v>76</v>
      </c>
      <c r="BC16" s="20" t="s">
        <v>76</v>
      </c>
      <c r="BD16" s="20" t="s">
        <v>76</v>
      </c>
      <c r="BE16" s="20" t="s">
        <v>76</v>
      </c>
      <c r="BF16" s="20" t="s">
        <v>76</v>
      </c>
      <c r="BG16" s="20" t="s">
        <v>76</v>
      </c>
      <c r="BH16" s="20" t="s">
        <v>76</v>
      </c>
      <c r="BI16" s="20" t="s">
        <v>76</v>
      </c>
      <c r="BJ16" s="20" t="s">
        <v>76</v>
      </c>
      <c r="BK16" s="20" t="s">
        <v>76</v>
      </c>
      <c r="BL16" s="20" t="s">
        <v>76</v>
      </c>
      <c r="BM16" s="20" t="s">
        <v>76</v>
      </c>
      <c r="BN16" s="20" t="s">
        <v>76</v>
      </c>
      <c r="BO16" s="20" t="s">
        <v>76</v>
      </c>
      <c r="BP16" s="20" t="s">
        <v>76</v>
      </c>
      <c r="BQ16" s="20" t="s">
        <v>76</v>
      </c>
      <c r="BR16" s="20" t="s">
        <v>76</v>
      </c>
      <c r="BS16" s="20" t="s">
        <v>76</v>
      </c>
      <c r="BT16" s="20" t="s">
        <v>76</v>
      </c>
      <c r="BU16" s="20" t="s">
        <v>76</v>
      </c>
      <c r="BV16" s="20" t="s">
        <v>76</v>
      </c>
      <c r="BW16" s="20" t="s">
        <v>76</v>
      </c>
      <c r="BX16" s="20" t="s">
        <v>76</v>
      </c>
      <c r="BY16" s="20" t="s">
        <v>76</v>
      </c>
      <c r="BZ16" s="15">
        <v>4.7619047619047601</v>
      </c>
      <c r="CA16" s="32">
        <v>1.17368566865795</v>
      </c>
      <c r="CB16" s="20" t="s">
        <v>76</v>
      </c>
      <c r="CC16" s="20" t="s">
        <v>76</v>
      </c>
      <c r="CD16" s="20" t="s">
        <v>76</v>
      </c>
      <c r="CE16" s="20" t="s">
        <v>76</v>
      </c>
      <c r="CF16" s="20" t="s">
        <v>76</v>
      </c>
      <c r="CG16" s="20" t="s">
        <v>76</v>
      </c>
      <c r="CH16" s="15">
        <v>1.1029411764705901</v>
      </c>
      <c r="CI16" s="15">
        <v>1.4373716632443501</v>
      </c>
      <c r="CJ16" s="20" t="s">
        <v>76</v>
      </c>
      <c r="CK16" s="15">
        <v>2.2421524663677102</v>
      </c>
      <c r="CL16" s="15">
        <v>1.6666666666666701</v>
      </c>
      <c r="CM16" s="24">
        <v>1.4989293361884399</v>
      </c>
      <c r="CN16" s="37"/>
    </row>
    <row r="17" spans="1:92">
      <c r="A17" s="9" t="s">
        <v>272</v>
      </c>
      <c r="B17" s="35">
        <v>54.353001172593103</v>
      </c>
      <c r="C17" s="32">
        <v>57.308634093257702</v>
      </c>
      <c r="D17" s="32">
        <v>61.040489649145897</v>
      </c>
      <c r="E17" s="32">
        <v>60.197432068853203</v>
      </c>
      <c r="F17" s="15">
        <v>70.588235294117595</v>
      </c>
      <c r="G17" s="15">
        <v>52.941176470588204</v>
      </c>
      <c r="H17" s="15">
        <v>69.565217391304301</v>
      </c>
      <c r="I17" s="15">
        <v>90</v>
      </c>
      <c r="J17" s="15">
        <v>46.5277777777778</v>
      </c>
      <c r="K17" s="15">
        <v>66.6666666666667</v>
      </c>
      <c r="L17" s="15">
        <v>39.344262295081997</v>
      </c>
      <c r="M17" s="15">
        <v>51.315789473684198</v>
      </c>
      <c r="N17" s="15">
        <v>45.882352941176499</v>
      </c>
      <c r="O17" s="15">
        <v>48.837209302325597</v>
      </c>
      <c r="P17" s="15">
        <v>49.295774647887299</v>
      </c>
      <c r="Q17" s="15">
        <v>67.605633802816897</v>
      </c>
      <c r="R17" s="15">
        <v>57.692307692307701</v>
      </c>
      <c r="S17" s="15">
        <v>65.853658536585399</v>
      </c>
      <c r="T17" s="15">
        <v>54.1666666666667</v>
      </c>
      <c r="U17" s="15">
        <v>61.904761904761898</v>
      </c>
      <c r="V17" s="15">
        <v>79.411764705882305</v>
      </c>
      <c r="W17" s="15">
        <v>32.203389830508499</v>
      </c>
      <c r="X17" s="15">
        <v>69.230769230769198</v>
      </c>
      <c r="Y17" s="15">
        <v>75</v>
      </c>
      <c r="Z17" s="15">
        <v>61.538461538461497</v>
      </c>
      <c r="AA17" s="15">
        <v>66.9724770642202</v>
      </c>
      <c r="AB17" s="15">
        <v>75</v>
      </c>
      <c r="AC17" s="15">
        <v>76.515151515151501</v>
      </c>
      <c r="AD17" s="15">
        <v>53.125</v>
      </c>
      <c r="AE17" s="15">
        <v>62.962962962962997</v>
      </c>
      <c r="AF17" s="15">
        <v>50</v>
      </c>
      <c r="AG17" s="15">
        <v>42.857142857142897</v>
      </c>
      <c r="AH17" s="15">
        <v>41.071428571428598</v>
      </c>
      <c r="AI17" s="20" t="s">
        <v>76</v>
      </c>
      <c r="AJ17" s="15">
        <v>50.450450450450397</v>
      </c>
      <c r="AK17" s="15">
        <v>80</v>
      </c>
      <c r="AL17" s="15">
        <v>62.2222222222222</v>
      </c>
      <c r="AM17" s="15">
        <v>54.6875</v>
      </c>
      <c r="AN17" s="20" t="s">
        <v>76</v>
      </c>
      <c r="AO17" s="15">
        <v>47.5</v>
      </c>
      <c r="AP17" s="15">
        <v>48.051948051948102</v>
      </c>
      <c r="AQ17" s="15">
        <v>74.358974358974393</v>
      </c>
      <c r="AR17" s="15">
        <v>41.818181818181799</v>
      </c>
      <c r="AS17" s="20" t="s">
        <v>76</v>
      </c>
      <c r="AT17" s="15">
        <v>72.307692307692307</v>
      </c>
      <c r="AU17" s="15">
        <v>79.591836734693899</v>
      </c>
      <c r="AV17" s="15">
        <v>46.575342465753401</v>
      </c>
      <c r="AW17" s="15">
        <v>75</v>
      </c>
      <c r="AX17" s="15">
        <v>68.75</v>
      </c>
      <c r="AY17" s="15">
        <v>51.428571428571402</v>
      </c>
      <c r="AZ17" s="15">
        <v>80</v>
      </c>
      <c r="BA17" s="15">
        <v>62.264150943396203</v>
      </c>
      <c r="BB17" s="15">
        <v>83.582089552238799</v>
      </c>
      <c r="BC17" s="15">
        <v>72.972972972972997</v>
      </c>
      <c r="BD17" s="15">
        <v>50</v>
      </c>
      <c r="BE17" s="15">
        <v>67.241379310344797</v>
      </c>
      <c r="BF17" s="15">
        <v>62.650602409638601</v>
      </c>
      <c r="BG17" s="15">
        <v>56.716417910447802</v>
      </c>
      <c r="BH17" s="15">
        <v>50</v>
      </c>
      <c r="BI17" s="15">
        <v>73.684210526315795</v>
      </c>
      <c r="BJ17" s="15">
        <v>70.535714285714306</v>
      </c>
      <c r="BK17" s="15">
        <v>70</v>
      </c>
      <c r="BL17" s="15">
        <v>64.0625</v>
      </c>
      <c r="BM17" s="15">
        <v>56.435643564356397</v>
      </c>
      <c r="BN17" s="15">
        <v>72.268907563025195</v>
      </c>
      <c r="BO17" s="15">
        <v>57.7777777777778</v>
      </c>
      <c r="BP17" s="15">
        <v>86.6666666666667</v>
      </c>
      <c r="BQ17" s="15">
        <v>76.712328767123296</v>
      </c>
      <c r="BR17" s="15">
        <v>60</v>
      </c>
      <c r="BS17" s="15">
        <v>56.6265060240964</v>
      </c>
      <c r="BT17" s="15">
        <v>62.195121951219498</v>
      </c>
      <c r="BU17" s="15">
        <v>67.289719626168207</v>
      </c>
      <c r="BV17" s="15">
        <v>76.767676767676804</v>
      </c>
      <c r="BW17" s="15">
        <v>42.028985507246396</v>
      </c>
      <c r="BX17" s="15">
        <v>77.7777777777778</v>
      </c>
      <c r="BY17" s="15">
        <v>55.5555555555556</v>
      </c>
      <c r="BZ17" s="15">
        <v>65.986394557823104</v>
      </c>
      <c r="CA17" s="32">
        <v>61.721318220856901</v>
      </c>
      <c r="CB17" s="15">
        <v>58.466453674121396</v>
      </c>
      <c r="CC17" s="15">
        <v>54.716981132075503</v>
      </c>
      <c r="CD17" s="15">
        <v>74.193548387096797</v>
      </c>
      <c r="CE17" s="20" t="s">
        <v>76</v>
      </c>
      <c r="CF17" s="15">
        <v>52.395209580838298</v>
      </c>
      <c r="CG17" s="15">
        <v>62.011173184357503</v>
      </c>
      <c r="CH17" s="15">
        <v>62.132352941176499</v>
      </c>
      <c r="CI17" s="15">
        <v>64.681724845995902</v>
      </c>
      <c r="CJ17" s="15">
        <v>65.490196078431396</v>
      </c>
      <c r="CK17" s="15">
        <v>60.089686098654703</v>
      </c>
      <c r="CL17" s="15">
        <v>66.060606060606105</v>
      </c>
      <c r="CM17" s="24">
        <v>66.595289079229104</v>
      </c>
      <c r="CN17" s="37"/>
    </row>
    <row r="18" spans="1:92">
      <c r="A18" s="9" t="s">
        <v>273</v>
      </c>
      <c r="B18" s="35">
        <v>22.860249201432602</v>
      </c>
      <c r="C18" s="32">
        <v>21.804512654604299</v>
      </c>
      <c r="D18" s="32">
        <v>24.003750129100499</v>
      </c>
      <c r="E18" s="32">
        <v>28.359810382606401</v>
      </c>
      <c r="F18" s="15">
        <v>29.411764705882401</v>
      </c>
      <c r="G18" s="15">
        <v>29.411764705882401</v>
      </c>
      <c r="H18" s="15">
        <v>34.7826086956522</v>
      </c>
      <c r="I18" s="15">
        <v>50</v>
      </c>
      <c r="J18" s="15">
        <v>22.9166666666667</v>
      </c>
      <c r="K18" s="15">
        <v>23.076923076923102</v>
      </c>
      <c r="L18" s="15">
        <v>24.590163934426201</v>
      </c>
      <c r="M18" s="15">
        <v>32.894736842105303</v>
      </c>
      <c r="N18" s="15">
        <v>25.882352941176499</v>
      </c>
      <c r="O18" s="15">
        <v>34.883720930232599</v>
      </c>
      <c r="P18" s="15">
        <v>32.394366197183103</v>
      </c>
      <c r="Q18" s="15">
        <v>36.619718309859202</v>
      </c>
      <c r="R18" s="20" t="s">
        <v>76</v>
      </c>
      <c r="S18" s="15">
        <v>29.268292682926798</v>
      </c>
      <c r="T18" s="15">
        <v>12.5</v>
      </c>
      <c r="U18" s="15">
        <v>23.8095238095238</v>
      </c>
      <c r="V18" s="15">
        <v>26.470588235294102</v>
      </c>
      <c r="W18" s="15">
        <v>32.203389830508499</v>
      </c>
      <c r="X18" s="20" t="s">
        <v>76</v>
      </c>
      <c r="Y18" s="20" t="s">
        <v>76</v>
      </c>
      <c r="Z18" s="15">
        <v>24.3589743589744</v>
      </c>
      <c r="AA18" s="15">
        <v>29.357798165137599</v>
      </c>
      <c r="AB18" s="15">
        <v>23.529411764705898</v>
      </c>
      <c r="AC18" s="15">
        <v>29.545454545454501</v>
      </c>
      <c r="AD18" s="15">
        <v>18.75</v>
      </c>
      <c r="AE18" s="15">
        <v>18.518518518518501</v>
      </c>
      <c r="AF18" s="15">
        <v>50</v>
      </c>
      <c r="AG18" s="15">
        <v>33.3333333333333</v>
      </c>
      <c r="AH18" s="15">
        <v>19.6428571428571</v>
      </c>
      <c r="AI18" s="20" t="s">
        <v>76</v>
      </c>
      <c r="AJ18" s="15">
        <v>31.531531531531499</v>
      </c>
      <c r="AK18" s="15">
        <v>20</v>
      </c>
      <c r="AL18" s="15">
        <v>21.1111111111111</v>
      </c>
      <c r="AM18" s="15">
        <v>32.8125</v>
      </c>
      <c r="AN18" s="20" t="s">
        <v>76</v>
      </c>
      <c r="AO18" s="15">
        <v>17.5</v>
      </c>
      <c r="AP18" s="15">
        <v>24.675324675324699</v>
      </c>
      <c r="AQ18" s="15">
        <v>33.3333333333333</v>
      </c>
      <c r="AR18" s="15">
        <v>9.0909090909090899</v>
      </c>
      <c r="AS18" s="20" t="s">
        <v>76</v>
      </c>
      <c r="AT18" s="15">
        <v>24.615384615384599</v>
      </c>
      <c r="AU18" s="15">
        <v>38.775510204081598</v>
      </c>
      <c r="AV18" s="15">
        <v>15.068493150684899</v>
      </c>
      <c r="AW18" s="15">
        <v>34.482758620689701</v>
      </c>
      <c r="AX18" s="15">
        <v>31.25</v>
      </c>
      <c r="AY18" s="15">
        <v>31.428571428571399</v>
      </c>
      <c r="AZ18" s="15">
        <v>56</v>
      </c>
      <c r="BA18" s="15">
        <v>32.075471698113198</v>
      </c>
      <c r="BB18" s="15">
        <v>41.791044776119399</v>
      </c>
      <c r="BC18" s="15">
        <v>29.729729729729701</v>
      </c>
      <c r="BD18" s="15">
        <v>30.769230769230798</v>
      </c>
      <c r="BE18" s="15">
        <v>29.310344827586199</v>
      </c>
      <c r="BF18" s="15">
        <v>45.783132530120497</v>
      </c>
      <c r="BG18" s="15">
        <v>14.9253731343284</v>
      </c>
      <c r="BH18" s="15">
        <v>29.1666666666667</v>
      </c>
      <c r="BI18" s="15">
        <v>36.842105263157897</v>
      </c>
      <c r="BJ18" s="15">
        <v>45.535714285714299</v>
      </c>
      <c r="BK18" s="15">
        <v>20</v>
      </c>
      <c r="BL18" s="15">
        <v>21.875</v>
      </c>
      <c r="BM18" s="15">
        <v>28.712871287128699</v>
      </c>
      <c r="BN18" s="15">
        <v>26.890756302521002</v>
      </c>
      <c r="BO18" s="15">
        <v>27.7777777777778</v>
      </c>
      <c r="BP18" s="15">
        <v>46.6666666666667</v>
      </c>
      <c r="BQ18" s="15">
        <v>23.287671232876701</v>
      </c>
      <c r="BR18" s="15">
        <v>21.6666666666667</v>
      </c>
      <c r="BS18" s="15">
        <v>28.9156626506024</v>
      </c>
      <c r="BT18" s="15">
        <v>30.487804878048799</v>
      </c>
      <c r="BU18" s="15">
        <v>26.1682242990654</v>
      </c>
      <c r="BV18" s="15">
        <v>35.353535353535399</v>
      </c>
      <c r="BW18" s="15">
        <v>28.985507246376802</v>
      </c>
      <c r="BX18" s="15">
        <v>77.7777777777778</v>
      </c>
      <c r="BY18" s="15">
        <v>33.3333333333333</v>
      </c>
      <c r="BZ18" s="15">
        <v>21.7687074829932</v>
      </c>
      <c r="CA18" s="32">
        <v>20.485923648432699</v>
      </c>
      <c r="CB18" s="15">
        <v>16.9329073482428</v>
      </c>
      <c r="CC18" s="15">
        <v>17.295597484276701</v>
      </c>
      <c r="CD18" s="15">
        <v>23.870967741935502</v>
      </c>
      <c r="CE18" s="20" t="s">
        <v>76</v>
      </c>
      <c r="CF18" s="15">
        <v>21.556886227544901</v>
      </c>
      <c r="CG18" s="15">
        <v>28.491620111731802</v>
      </c>
      <c r="CH18" s="15">
        <v>16.544117647058801</v>
      </c>
      <c r="CI18" s="15">
        <v>24.640657084188899</v>
      </c>
      <c r="CJ18" s="15">
        <v>24.313725490196099</v>
      </c>
      <c r="CK18" s="15">
        <v>21.52466367713</v>
      </c>
      <c r="CL18" s="15">
        <v>24.696969696969699</v>
      </c>
      <c r="CM18" s="24">
        <v>16.702355460385402</v>
      </c>
      <c r="CN18" s="37"/>
    </row>
    <row r="19" spans="1:92">
      <c r="A19" s="9" t="s">
        <v>274</v>
      </c>
      <c r="B19" s="35">
        <v>25.444695926044702</v>
      </c>
      <c r="C19" s="32">
        <v>25.244485769623601</v>
      </c>
      <c r="D19" s="32">
        <v>25.590463948244501</v>
      </c>
      <c r="E19" s="32">
        <v>27.477431426197601</v>
      </c>
      <c r="F19" s="20" t="s">
        <v>76</v>
      </c>
      <c r="G19" s="20" t="s">
        <v>76</v>
      </c>
      <c r="H19" s="15">
        <v>26.086956521739101</v>
      </c>
      <c r="I19" s="15">
        <v>70</v>
      </c>
      <c r="J19" s="15">
        <v>25</v>
      </c>
      <c r="K19" s="15">
        <v>25.6410256410256</v>
      </c>
      <c r="L19" s="15">
        <v>29.508196721311499</v>
      </c>
      <c r="M19" s="15">
        <v>22.3684210526316</v>
      </c>
      <c r="N19" s="15">
        <v>28.235294117647101</v>
      </c>
      <c r="O19" s="15">
        <v>25.581395348837201</v>
      </c>
      <c r="P19" s="15">
        <v>40.845070422535201</v>
      </c>
      <c r="Q19" s="15">
        <v>47.887323943661997</v>
      </c>
      <c r="R19" s="15">
        <v>19.230769230769202</v>
      </c>
      <c r="S19" s="15">
        <v>19.512195121951201</v>
      </c>
      <c r="T19" s="15">
        <v>22.9166666666667</v>
      </c>
      <c r="U19" s="20" t="s">
        <v>76</v>
      </c>
      <c r="V19" s="15">
        <v>26.470588235294102</v>
      </c>
      <c r="W19" s="15">
        <v>30.508474576271201</v>
      </c>
      <c r="X19" s="15">
        <v>38.461538461538503</v>
      </c>
      <c r="Y19" s="20" t="s">
        <v>76</v>
      </c>
      <c r="Z19" s="15">
        <v>33.3333333333333</v>
      </c>
      <c r="AA19" s="15">
        <v>23.853211009174299</v>
      </c>
      <c r="AB19" s="15">
        <v>23.529411764705898</v>
      </c>
      <c r="AC19" s="15">
        <v>28.030303030302999</v>
      </c>
      <c r="AD19" s="15">
        <v>18.75</v>
      </c>
      <c r="AE19" s="15">
        <v>25.925925925925899</v>
      </c>
      <c r="AF19" s="20" t="s">
        <v>76</v>
      </c>
      <c r="AG19" s="15">
        <v>28.571428571428601</v>
      </c>
      <c r="AH19" s="15">
        <v>28.571428571428601</v>
      </c>
      <c r="AI19" s="20" t="s">
        <v>76</v>
      </c>
      <c r="AJ19" s="15">
        <v>22.5225225225225</v>
      </c>
      <c r="AK19" s="15">
        <v>26.6666666666667</v>
      </c>
      <c r="AL19" s="15">
        <v>35.5555555555556</v>
      </c>
      <c r="AM19" s="15">
        <v>34.375</v>
      </c>
      <c r="AN19" s="20" t="s">
        <v>76</v>
      </c>
      <c r="AO19" s="15">
        <v>15</v>
      </c>
      <c r="AP19" s="15">
        <v>14.285714285714301</v>
      </c>
      <c r="AQ19" s="15">
        <v>30.769230769230798</v>
      </c>
      <c r="AR19" s="15">
        <v>9.0909090909090899</v>
      </c>
      <c r="AS19" s="20" t="s">
        <v>76</v>
      </c>
      <c r="AT19" s="15">
        <v>16.923076923076898</v>
      </c>
      <c r="AU19" s="15">
        <v>38.775510204081598</v>
      </c>
      <c r="AV19" s="15">
        <v>19.178082191780799</v>
      </c>
      <c r="AW19" s="15">
        <v>29.310344827586199</v>
      </c>
      <c r="AX19" s="20" t="s">
        <v>76</v>
      </c>
      <c r="AY19" s="15">
        <v>42.857142857142897</v>
      </c>
      <c r="AZ19" s="15">
        <v>24</v>
      </c>
      <c r="BA19" s="15">
        <v>41.509433962264097</v>
      </c>
      <c r="BB19" s="15">
        <v>19.402985074626901</v>
      </c>
      <c r="BC19" s="15">
        <v>45.945945945945901</v>
      </c>
      <c r="BD19" s="15">
        <v>21.794871794871799</v>
      </c>
      <c r="BE19" s="15">
        <v>18.965517241379299</v>
      </c>
      <c r="BF19" s="15">
        <v>36.144578313253</v>
      </c>
      <c r="BG19" s="15">
        <v>19.402985074626901</v>
      </c>
      <c r="BH19" s="15">
        <v>25</v>
      </c>
      <c r="BI19" s="15">
        <v>26.315789473684202</v>
      </c>
      <c r="BJ19" s="15">
        <v>33.035714285714299</v>
      </c>
      <c r="BK19" s="15">
        <v>22.5</v>
      </c>
      <c r="BL19" s="15">
        <v>12.5</v>
      </c>
      <c r="BM19" s="15">
        <v>24.752475247524799</v>
      </c>
      <c r="BN19" s="15">
        <v>29.411764705882401</v>
      </c>
      <c r="BO19" s="15">
        <v>22.2222222222222</v>
      </c>
      <c r="BP19" s="15">
        <v>33.3333333333333</v>
      </c>
      <c r="BQ19" s="15">
        <v>19.178082191780799</v>
      </c>
      <c r="BR19" s="15">
        <v>25</v>
      </c>
      <c r="BS19" s="15">
        <v>33.734939759036102</v>
      </c>
      <c r="BT19" s="15">
        <v>30.487804878048799</v>
      </c>
      <c r="BU19" s="15">
        <v>47.663551401869199</v>
      </c>
      <c r="BV19" s="15">
        <v>53.535353535353501</v>
      </c>
      <c r="BW19" s="15">
        <v>20.289855072463801</v>
      </c>
      <c r="BX19" s="20" t="s">
        <v>76</v>
      </c>
      <c r="BY19" s="15">
        <v>22.2222222222222</v>
      </c>
      <c r="BZ19" s="15">
        <v>19.047619047619001</v>
      </c>
      <c r="CA19" s="32">
        <v>24.066604365090299</v>
      </c>
      <c r="CB19" s="15">
        <v>24.281150159744399</v>
      </c>
      <c r="CC19" s="15">
        <v>29.559748427673</v>
      </c>
      <c r="CD19" s="15">
        <v>33.548387096774199</v>
      </c>
      <c r="CE19" s="20" t="s">
        <v>76</v>
      </c>
      <c r="CF19" s="15">
        <v>22.754491017964099</v>
      </c>
      <c r="CG19" s="15">
        <v>24.022346368715102</v>
      </c>
      <c r="CH19" s="15">
        <v>23.529411764705898</v>
      </c>
      <c r="CI19" s="15">
        <v>32.032854209445603</v>
      </c>
      <c r="CJ19" s="15">
        <v>29.803921568627501</v>
      </c>
      <c r="CK19" s="15">
        <v>26.457399103139</v>
      </c>
      <c r="CL19" s="15">
        <v>24.090909090909101</v>
      </c>
      <c r="CM19" s="24">
        <v>20.9850107066381</v>
      </c>
      <c r="CN19" s="37"/>
    </row>
    <row r="20" spans="1:92">
      <c r="A20" s="9" t="s">
        <v>275</v>
      </c>
      <c r="B20" s="35">
        <v>2.71024829182105</v>
      </c>
      <c r="C20" s="32">
        <v>2.4046879731034401</v>
      </c>
      <c r="D20" s="32">
        <v>2.3123530442661302</v>
      </c>
      <c r="E20" s="32">
        <v>2.9944909303582801</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20" t="s">
        <v>76</v>
      </c>
      <c r="T20" s="20" t="s">
        <v>76</v>
      </c>
      <c r="U20" s="20" t="s">
        <v>76</v>
      </c>
      <c r="V20" s="20" t="s">
        <v>76</v>
      </c>
      <c r="W20" s="20" t="s">
        <v>76</v>
      </c>
      <c r="X20" s="20" t="s">
        <v>76</v>
      </c>
      <c r="Y20" s="20" t="s">
        <v>76</v>
      </c>
      <c r="Z20" s="20" t="s">
        <v>76</v>
      </c>
      <c r="AA20" s="15">
        <v>12.8440366972477</v>
      </c>
      <c r="AB20" s="15">
        <v>7.3529411764705896</v>
      </c>
      <c r="AC20" s="15">
        <v>3.7878787878787898</v>
      </c>
      <c r="AD20" s="20" t="s">
        <v>76</v>
      </c>
      <c r="AE20" s="20" t="s">
        <v>76</v>
      </c>
      <c r="AF20" s="20" t="s">
        <v>76</v>
      </c>
      <c r="AG20" s="20" t="s">
        <v>76</v>
      </c>
      <c r="AH20" s="20" t="s">
        <v>76</v>
      </c>
      <c r="AI20" s="20" t="s">
        <v>76</v>
      </c>
      <c r="AJ20" s="20" t="s">
        <v>76</v>
      </c>
      <c r="AK20" s="20" t="s">
        <v>76</v>
      </c>
      <c r="AL20" s="15">
        <v>5.5555555555555598</v>
      </c>
      <c r="AM20" s="20" t="s">
        <v>76</v>
      </c>
      <c r="AN20" s="20" t="s">
        <v>76</v>
      </c>
      <c r="AO20" s="20" t="s">
        <v>76</v>
      </c>
      <c r="AP20" s="20" t="s">
        <v>76</v>
      </c>
      <c r="AQ20" s="20" t="s">
        <v>76</v>
      </c>
      <c r="AR20" s="20" t="s">
        <v>76</v>
      </c>
      <c r="AS20" s="20" t="s">
        <v>76</v>
      </c>
      <c r="AT20" s="20" t="s">
        <v>76</v>
      </c>
      <c r="AU20" s="20" t="s">
        <v>76</v>
      </c>
      <c r="AV20" s="20" t="s">
        <v>76</v>
      </c>
      <c r="AW20" s="20" t="s">
        <v>76</v>
      </c>
      <c r="AX20" s="20" t="s">
        <v>76</v>
      </c>
      <c r="AY20" s="20" t="s">
        <v>76</v>
      </c>
      <c r="AZ20" s="20" t="s">
        <v>76</v>
      </c>
      <c r="BA20" s="20" t="s">
        <v>76</v>
      </c>
      <c r="BB20" s="20" t="s">
        <v>76</v>
      </c>
      <c r="BC20" s="20" t="s">
        <v>76</v>
      </c>
      <c r="BD20" s="20" t="s">
        <v>76</v>
      </c>
      <c r="BE20" s="20" t="s">
        <v>76</v>
      </c>
      <c r="BF20" s="20" t="s">
        <v>76</v>
      </c>
      <c r="BG20" s="20" t="s">
        <v>76</v>
      </c>
      <c r="BH20" s="20" t="s">
        <v>76</v>
      </c>
      <c r="BI20" s="20" t="s">
        <v>76</v>
      </c>
      <c r="BJ20" s="20" t="s">
        <v>76</v>
      </c>
      <c r="BK20" s="15">
        <v>22.5</v>
      </c>
      <c r="BL20" s="20" t="s">
        <v>76</v>
      </c>
      <c r="BM20" s="20" t="s">
        <v>76</v>
      </c>
      <c r="BN20" s="15">
        <v>7.5630252100840298</v>
      </c>
      <c r="BO20" s="20" t="s">
        <v>76</v>
      </c>
      <c r="BP20" s="20" t="s">
        <v>76</v>
      </c>
      <c r="BQ20" s="20" t="s">
        <v>76</v>
      </c>
      <c r="BR20" s="20" t="s">
        <v>76</v>
      </c>
      <c r="BS20" s="20" t="s">
        <v>76</v>
      </c>
      <c r="BT20" s="20" t="s">
        <v>76</v>
      </c>
      <c r="BU20" s="20" t="s">
        <v>76</v>
      </c>
      <c r="BV20" s="20" t="s">
        <v>76</v>
      </c>
      <c r="BW20" s="20" t="s">
        <v>76</v>
      </c>
      <c r="BX20" s="20" t="s">
        <v>76</v>
      </c>
      <c r="BY20" s="20" t="s">
        <v>76</v>
      </c>
      <c r="BZ20" s="20" t="s">
        <v>76</v>
      </c>
      <c r="CA20" s="32">
        <v>1.7614784971956701</v>
      </c>
      <c r="CB20" s="15">
        <v>2.5559105431309899</v>
      </c>
      <c r="CC20" s="15">
        <v>1.57232704402516</v>
      </c>
      <c r="CD20" s="20" t="s">
        <v>76</v>
      </c>
      <c r="CE20" s="20" t="s">
        <v>76</v>
      </c>
      <c r="CF20" s="20" t="s">
        <v>76</v>
      </c>
      <c r="CG20" s="20" t="s">
        <v>76</v>
      </c>
      <c r="CH20" s="15">
        <v>2.7573529411764701</v>
      </c>
      <c r="CI20" s="15">
        <v>1.4373716632443501</v>
      </c>
      <c r="CJ20" s="15">
        <v>1.9607843137254899</v>
      </c>
      <c r="CK20" s="20" t="s">
        <v>76</v>
      </c>
      <c r="CL20" s="15">
        <v>3.3333333333333299</v>
      </c>
      <c r="CM20" s="24">
        <v>1.4989293361884399</v>
      </c>
      <c r="CN20" s="37"/>
    </row>
    <row r="21" spans="1:92">
      <c r="A21" s="9" t="s">
        <v>276</v>
      </c>
      <c r="B21" s="35">
        <v>6.0287988889083897</v>
      </c>
      <c r="C21" s="32">
        <v>5.8035632848865601</v>
      </c>
      <c r="D21" s="32">
        <v>6.9286317738940397</v>
      </c>
      <c r="E21" s="32">
        <v>7.9421374103506599</v>
      </c>
      <c r="F21" s="20" t="s">
        <v>76</v>
      </c>
      <c r="G21" s="20" t="s">
        <v>76</v>
      </c>
      <c r="H21" s="20" t="s">
        <v>76</v>
      </c>
      <c r="I21" s="20" t="s">
        <v>76</v>
      </c>
      <c r="J21" s="15">
        <v>3.4722222222222201</v>
      </c>
      <c r="K21" s="20" t="s">
        <v>76</v>
      </c>
      <c r="L21" s="15">
        <v>8.1967213114754092</v>
      </c>
      <c r="M21" s="15">
        <v>10.526315789473699</v>
      </c>
      <c r="N21" s="15">
        <v>11.764705882352899</v>
      </c>
      <c r="O21" s="20" t="s">
        <v>76</v>
      </c>
      <c r="P21" s="15">
        <v>9.8591549295774694</v>
      </c>
      <c r="Q21" s="20" t="s">
        <v>76</v>
      </c>
      <c r="R21" s="20" t="s">
        <v>76</v>
      </c>
      <c r="S21" s="20" t="s">
        <v>76</v>
      </c>
      <c r="T21" s="20" t="s">
        <v>76</v>
      </c>
      <c r="U21" s="20" t="s">
        <v>76</v>
      </c>
      <c r="V21" s="20" t="s">
        <v>76</v>
      </c>
      <c r="W21" s="20" t="s">
        <v>76</v>
      </c>
      <c r="X21" s="20" t="s">
        <v>76</v>
      </c>
      <c r="Y21" s="20" t="s">
        <v>76</v>
      </c>
      <c r="Z21" s="15">
        <v>15.384615384615399</v>
      </c>
      <c r="AA21" s="15">
        <v>9.1743119266054993</v>
      </c>
      <c r="AB21" s="15">
        <v>16.176470588235301</v>
      </c>
      <c r="AC21" s="15">
        <v>9.8484848484848495</v>
      </c>
      <c r="AD21" s="20" t="s">
        <v>76</v>
      </c>
      <c r="AE21" s="20" t="s">
        <v>76</v>
      </c>
      <c r="AF21" s="15">
        <v>42.857142857142897</v>
      </c>
      <c r="AG21" s="15">
        <v>12.380952380952399</v>
      </c>
      <c r="AH21" s="20" t="s">
        <v>76</v>
      </c>
      <c r="AI21" s="20" t="s">
        <v>76</v>
      </c>
      <c r="AJ21" s="15">
        <v>4.5045045045045002</v>
      </c>
      <c r="AK21" s="15">
        <v>23.3333333333333</v>
      </c>
      <c r="AL21" s="15">
        <v>21.1111111111111</v>
      </c>
      <c r="AM21" s="15">
        <v>10.9375</v>
      </c>
      <c r="AN21" s="20" t="s">
        <v>76</v>
      </c>
      <c r="AO21" s="20" t="s">
        <v>76</v>
      </c>
      <c r="AP21" s="20" t="s">
        <v>76</v>
      </c>
      <c r="AQ21" s="20" t="s">
        <v>76</v>
      </c>
      <c r="AR21" s="20" t="s">
        <v>76</v>
      </c>
      <c r="AS21" s="20" t="s">
        <v>76</v>
      </c>
      <c r="AT21" s="20" t="s">
        <v>76</v>
      </c>
      <c r="AU21" s="15">
        <v>16.326530612244898</v>
      </c>
      <c r="AV21" s="15">
        <v>6.8493150684931496</v>
      </c>
      <c r="AW21" s="20" t="s">
        <v>76</v>
      </c>
      <c r="AX21" s="20" t="s">
        <v>76</v>
      </c>
      <c r="AY21" s="20" t="s">
        <v>76</v>
      </c>
      <c r="AZ21" s="15">
        <v>10</v>
      </c>
      <c r="BA21" s="20" t="s">
        <v>76</v>
      </c>
      <c r="BB21" s="20" t="s">
        <v>76</v>
      </c>
      <c r="BC21" s="15">
        <v>13.5135135135135</v>
      </c>
      <c r="BD21" s="15">
        <v>10.2564102564103</v>
      </c>
      <c r="BE21" s="15">
        <v>10.3448275862069</v>
      </c>
      <c r="BF21" s="15">
        <v>13.253012048192801</v>
      </c>
      <c r="BG21" s="20" t="s">
        <v>76</v>
      </c>
      <c r="BH21" s="20" t="s">
        <v>76</v>
      </c>
      <c r="BI21" s="20" t="s">
        <v>76</v>
      </c>
      <c r="BJ21" s="15">
        <v>12.5</v>
      </c>
      <c r="BK21" s="20" t="s">
        <v>76</v>
      </c>
      <c r="BL21" s="15">
        <v>4.6875</v>
      </c>
      <c r="BM21" s="15">
        <v>5.9405940594059397</v>
      </c>
      <c r="BN21" s="15">
        <v>4.2016806722689104</v>
      </c>
      <c r="BO21" s="15">
        <v>10</v>
      </c>
      <c r="BP21" s="20" t="s">
        <v>76</v>
      </c>
      <c r="BQ21" s="15">
        <v>8.2191780821917799</v>
      </c>
      <c r="BR21" s="20" t="s">
        <v>76</v>
      </c>
      <c r="BS21" s="20" t="s">
        <v>76</v>
      </c>
      <c r="BT21" s="15">
        <v>6.0975609756097597</v>
      </c>
      <c r="BU21" s="15">
        <v>6.5420560747663501</v>
      </c>
      <c r="BV21" s="15">
        <v>15.1515151515152</v>
      </c>
      <c r="BW21" s="20" t="s">
        <v>76</v>
      </c>
      <c r="BX21" s="20" t="s">
        <v>76</v>
      </c>
      <c r="BY21" s="15">
        <v>9.5238095238095202</v>
      </c>
      <c r="BZ21" s="15">
        <v>4.7619047619047601</v>
      </c>
      <c r="CA21" s="32">
        <v>6.1101543519245798</v>
      </c>
      <c r="CB21" s="15">
        <v>6.7092651757188504</v>
      </c>
      <c r="CC21" s="15">
        <v>3.45911949685535</v>
      </c>
      <c r="CD21" s="15">
        <v>5.1612903225806503</v>
      </c>
      <c r="CE21" s="20" t="s">
        <v>76</v>
      </c>
      <c r="CF21" s="15">
        <v>7.7844311377245496</v>
      </c>
      <c r="CG21" s="15">
        <v>11.731843575418999</v>
      </c>
      <c r="CH21" s="15">
        <v>7.5367647058823497</v>
      </c>
      <c r="CI21" s="15">
        <v>5.5441478439424996</v>
      </c>
      <c r="CJ21" s="15">
        <v>6.6666666666666696</v>
      </c>
      <c r="CK21" s="15">
        <v>6.7264573991031398</v>
      </c>
      <c r="CL21" s="15">
        <v>8.1818181818181799</v>
      </c>
      <c r="CM21" s="24">
        <v>2.9978586723768701</v>
      </c>
      <c r="CN21" s="37"/>
    </row>
    <row r="22" spans="1:92">
      <c r="A22" s="9" t="s">
        <v>277</v>
      </c>
      <c r="B22" s="35">
        <v>14.2278025667599</v>
      </c>
      <c r="C22" s="32">
        <v>15.4839471483485</v>
      </c>
      <c r="D22" s="32">
        <v>16.221391327402198</v>
      </c>
      <c r="E22" s="32">
        <v>17.701511280168599</v>
      </c>
      <c r="F22" s="20" t="s">
        <v>76</v>
      </c>
      <c r="G22" s="20" t="s">
        <v>76</v>
      </c>
      <c r="H22" s="15">
        <v>21.739130434782599</v>
      </c>
      <c r="I22" s="20" t="s">
        <v>76</v>
      </c>
      <c r="J22" s="15">
        <v>16.6666666666667</v>
      </c>
      <c r="K22" s="15">
        <v>23.076923076923102</v>
      </c>
      <c r="L22" s="15">
        <v>8.1967213114754092</v>
      </c>
      <c r="M22" s="15">
        <v>13.157894736842101</v>
      </c>
      <c r="N22" s="15">
        <v>14.117647058823501</v>
      </c>
      <c r="O22" s="15">
        <v>18.604651162790699</v>
      </c>
      <c r="P22" s="15">
        <v>21.126760563380302</v>
      </c>
      <c r="Q22" s="15">
        <v>14.084507042253501</v>
      </c>
      <c r="R22" s="20" t="s">
        <v>76</v>
      </c>
      <c r="S22" s="15">
        <v>31.707317073170699</v>
      </c>
      <c r="T22" s="15">
        <v>20.8333333333333</v>
      </c>
      <c r="U22" s="20" t="s">
        <v>76</v>
      </c>
      <c r="V22" s="15">
        <v>26.470588235294102</v>
      </c>
      <c r="W22" s="15">
        <v>8.4745762711864394</v>
      </c>
      <c r="X22" s="20" t="s">
        <v>76</v>
      </c>
      <c r="Y22" s="20" t="s">
        <v>76</v>
      </c>
      <c r="Z22" s="15">
        <v>19.230769230769202</v>
      </c>
      <c r="AA22" s="15">
        <v>19.2660550458716</v>
      </c>
      <c r="AB22" s="15">
        <v>33.823529411764703</v>
      </c>
      <c r="AC22" s="15">
        <v>30.303030303030301</v>
      </c>
      <c r="AD22" s="20" t="s">
        <v>76</v>
      </c>
      <c r="AE22" s="15">
        <v>29.629629629629601</v>
      </c>
      <c r="AF22" s="20" t="s">
        <v>76</v>
      </c>
      <c r="AG22" s="15">
        <v>10.476190476190499</v>
      </c>
      <c r="AH22" s="15">
        <v>8.9285714285714306</v>
      </c>
      <c r="AI22" s="20" t="s">
        <v>76</v>
      </c>
      <c r="AJ22" s="15">
        <v>15.315315315315299</v>
      </c>
      <c r="AK22" s="15">
        <v>26.6666666666667</v>
      </c>
      <c r="AL22" s="15">
        <v>20</v>
      </c>
      <c r="AM22" s="15">
        <v>15.625</v>
      </c>
      <c r="AN22" s="20" t="s">
        <v>76</v>
      </c>
      <c r="AO22" s="15">
        <v>12.5</v>
      </c>
      <c r="AP22" s="15">
        <v>9.0909090909090899</v>
      </c>
      <c r="AQ22" s="15">
        <v>20.5128205128205</v>
      </c>
      <c r="AR22" s="15">
        <v>18.181818181818201</v>
      </c>
      <c r="AS22" s="20" t="s">
        <v>76</v>
      </c>
      <c r="AT22" s="15">
        <v>12.307692307692299</v>
      </c>
      <c r="AU22" s="15">
        <v>10.2040816326531</v>
      </c>
      <c r="AV22" s="15">
        <v>20.5479452054795</v>
      </c>
      <c r="AW22" s="15">
        <v>10.3448275862069</v>
      </c>
      <c r="AX22" s="20" t="s">
        <v>76</v>
      </c>
      <c r="AY22" s="15">
        <v>20</v>
      </c>
      <c r="AZ22" s="15">
        <v>14</v>
      </c>
      <c r="BA22" s="15">
        <v>11.320754716981099</v>
      </c>
      <c r="BB22" s="15">
        <v>29.8507462686567</v>
      </c>
      <c r="BC22" s="15">
        <v>20.270270270270299</v>
      </c>
      <c r="BD22" s="15">
        <v>33.3333333333333</v>
      </c>
      <c r="BE22" s="15">
        <v>12.0689655172414</v>
      </c>
      <c r="BF22" s="15">
        <v>18.0722891566265</v>
      </c>
      <c r="BG22" s="15">
        <v>10.4477611940298</v>
      </c>
      <c r="BH22" s="15">
        <v>29.1666666666667</v>
      </c>
      <c r="BI22" s="15">
        <v>26.315789473684202</v>
      </c>
      <c r="BJ22" s="15">
        <v>16.964285714285701</v>
      </c>
      <c r="BK22" s="15">
        <v>17.5</v>
      </c>
      <c r="BL22" s="15">
        <v>16.40625</v>
      </c>
      <c r="BM22" s="15">
        <v>17.821782178217799</v>
      </c>
      <c r="BN22" s="15">
        <v>18.487394957983199</v>
      </c>
      <c r="BO22" s="15">
        <v>17.7777777777778</v>
      </c>
      <c r="BP22" s="20" t="s">
        <v>76</v>
      </c>
      <c r="BQ22" s="15">
        <v>12.328767123287699</v>
      </c>
      <c r="BR22" s="15">
        <v>16.6666666666667</v>
      </c>
      <c r="BS22" s="15">
        <v>20.481927710843401</v>
      </c>
      <c r="BT22" s="15">
        <v>13.4146341463415</v>
      </c>
      <c r="BU22" s="15">
        <v>16.822429906542101</v>
      </c>
      <c r="BV22" s="15">
        <v>18.181818181818201</v>
      </c>
      <c r="BW22" s="15">
        <v>15.9420289855072</v>
      </c>
      <c r="BX22" s="20" t="s">
        <v>76</v>
      </c>
      <c r="BY22" s="15">
        <v>22.2222222222222</v>
      </c>
      <c r="BZ22" s="15">
        <v>19.727891156462601</v>
      </c>
      <c r="CA22" s="32">
        <v>15.026089871180099</v>
      </c>
      <c r="CB22" s="15">
        <v>12.1405750798722</v>
      </c>
      <c r="CC22" s="15">
        <v>14.4654088050314</v>
      </c>
      <c r="CD22" s="15">
        <v>15.4838709677419</v>
      </c>
      <c r="CE22" s="20" t="s">
        <v>76</v>
      </c>
      <c r="CF22" s="15">
        <v>15.568862275449099</v>
      </c>
      <c r="CG22" s="15">
        <v>10.055865921787699</v>
      </c>
      <c r="CH22" s="15">
        <v>12.867647058823501</v>
      </c>
      <c r="CI22" s="15">
        <v>19.712525667351098</v>
      </c>
      <c r="CJ22" s="15">
        <v>15.294117647058799</v>
      </c>
      <c r="CK22" s="15">
        <v>15.2466367713004</v>
      </c>
      <c r="CL22" s="15">
        <v>18.7878787878788</v>
      </c>
      <c r="CM22" s="24">
        <v>16.702355460385402</v>
      </c>
      <c r="CN22" s="37"/>
    </row>
    <row r="23" spans="1:92">
      <c r="A23" s="9" t="s">
        <v>278</v>
      </c>
      <c r="B23" s="35">
        <v>14.969153866626</v>
      </c>
      <c r="C23" s="32">
        <v>15.0521258004863</v>
      </c>
      <c r="D23" s="32">
        <v>15.587318029970801</v>
      </c>
      <c r="E23" s="32">
        <v>14.2170621491983</v>
      </c>
      <c r="F23" s="20" t="s">
        <v>76</v>
      </c>
      <c r="G23" s="20" t="s">
        <v>76</v>
      </c>
      <c r="H23" s="15">
        <v>21.739130434782599</v>
      </c>
      <c r="I23" s="20" t="s">
        <v>76</v>
      </c>
      <c r="J23" s="15">
        <v>11.1111111111111</v>
      </c>
      <c r="K23" s="20" t="s">
        <v>76</v>
      </c>
      <c r="L23" s="15">
        <v>19.672131147540998</v>
      </c>
      <c r="M23" s="15">
        <v>18.421052631578899</v>
      </c>
      <c r="N23" s="15">
        <v>27.0588235294118</v>
      </c>
      <c r="O23" s="15">
        <v>16.2790697674419</v>
      </c>
      <c r="P23" s="15">
        <v>19.7183098591549</v>
      </c>
      <c r="Q23" s="15">
        <v>22.5352112676056</v>
      </c>
      <c r="R23" s="20" t="s">
        <v>76</v>
      </c>
      <c r="S23" s="15">
        <v>19.512195121951201</v>
      </c>
      <c r="T23" s="15">
        <v>12.5</v>
      </c>
      <c r="U23" s="20" t="s">
        <v>76</v>
      </c>
      <c r="V23" s="20" t="s">
        <v>76</v>
      </c>
      <c r="W23" s="15">
        <v>11.864406779661</v>
      </c>
      <c r="X23" s="20" t="s">
        <v>76</v>
      </c>
      <c r="Y23" s="20" t="s">
        <v>76</v>
      </c>
      <c r="Z23" s="15">
        <v>12.8205128205128</v>
      </c>
      <c r="AA23" s="15">
        <v>13.7614678899083</v>
      </c>
      <c r="AB23" s="15">
        <v>19.117647058823501</v>
      </c>
      <c r="AC23" s="15">
        <v>12.8787878787879</v>
      </c>
      <c r="AD23" s="15">
        <v>18.75</v>
      </c>
      <c r="AE23" s="20" t="s">
        <v>76</v>
      </c>
      <c r="AF23" s="15">
        <v>35.714285714285701</v>
      </c>
      <c r="AG23" s="15">
        <v>22.8571428571429</v>
      </c>
      <c r="AH23" s="15">
        <v>8.9285714285714306</v>
      </c>
      <c r="AI23" s="20" t="s">
        <v>76</v>
      </c>
      <c r="AJ23" s="15">
        <v>10.8108108108108</v>
      </c>
      <c r="AK23" s="15">
        <v>23.3333333333333</v>
      </c>
      <c r="AL23" s="15">
        <v>11.1111111111111</v>
      </c>
      <c r="AM23" s="15">
        <v>7.8125</v>
      </c>
      <c r="AN23" s="20" t="s">
        <v>76</v>
      </c>
      <c r="AO23" s="20" t="s">
        <v>76</v>
      </c>
      <c r="AP23" s="15">
        <v>6.4935064935064899</v>
      </c>
      <c r="AQ23" s="15">
        <v>12.8205128205128</v>
      </c>
      <c r="AR23" s="20" t="s">
        <v>76</v>
      </c>
      <c r="AS23" s="20" t="s">
        <v>76</v>
      </c>
      <c r="AT23" s="15">
        <v>7.6923076923076898</v>
      </c>
      <c r="AU23" s="15">
        <v>18.367346938775501</v>
      </c>
      <c r="AV23" s="15">
        <v>6.8493150684931496</v>
      </c>
      <c r="AW23" s="15">
        <v>12.9310344827586</v>
      </c>
      <c r="AX23" s="20" t="s">
        <v>76</v>
      </c>
      <c r="AY23" s="20" t="s">
        <v>76</v>
      </c>
      <c r="AZ23" s="15">
        <v>14</v>
      </c>
      <c r="BA23" s="15">
        <v>26.415094339622598</v>
      </c>
      <c r="BB23" s="15">
        <v>25.373134328358201</v>
      </c>
      <c r="BC23" s="15">
        <v>12.1621621621622</v>
      </c>
      <c r="BD23" s="15">
        <v>15.384615384615399</v>
      </c>
      <c r="BE23" s="15">
        <v>18.965517241379299</v>
      </c>
      <c r="BF23" s="15">
        <v>10.8433734939759</v>
      </c>
      <c r="BG23" s="15">
        <v>13.4328358208955</v>
      </c>
      <c r="BH23" s="20" t="s">
        <v>76</v>
      </c>
      <c r="BI23" s="20" t="s">
        <v>76</v>
      </c>
      <c r="BJ23" s="15">
        <v>16.071428571428601</v>
      </c>
      <c r="BK23" s="20" t="s">
        <v>76</v>
      </c>
      <c r="BL23" s="15">
        <v>10.9375</v>
      </c>
      <c r="BM23" s="15">
        <v>13.8613861386139</v>
      </c>
      <c r="BN23" s="15">
        <v>25.210084033613398</v>
      </c>
      <c r="BO23" s="15">
        <v>11.1111111111111</v>
      </c>
      <c r="BP23" s="20" t="s">
        <v>76</v>
      </c>
      <c r="BQ23" s="20" t="s">
        <v>76</v>
      </c>
      <c r="BR23" s="15">
        <v>8.3333333333333304</v>
      </c>
      <c r="BS23" s="15">
        <v>14.4578313253012</v>
      </c>
      <c r="BT23" s="15">
        <v>15.853658536585399</v>
      </c>
      <c r="BU23" s="15">
        <v>14.018691588785</v>
      </c>
      <c r="BV23" s="15">
        <v>18.181818181818201</v>
      </c>
      <c r="BW23" s="20" t="s">
        <v>76</v>
      </c>
      <c r="BX23" s="20" t="s">
        <v>76</v>
      </c>
      <c r="BY23" s="15">
        <v>12.698412698412699</v>
      </c>
      <c r="BZ23" s="15">
        <v>17.687074829932001</v>
      </c>
      <c r="CA23" s="32">
        <v>16.693896484387899</v>
      </c>
      <c r="CB23" s="15">
        <v>15.015974440894601</v>
      </c>
      <c r="CC23" s="15">
        <v>13.8364779874214</v>
      </c>
      <c r="CD23" s="15">
        <v>16.129032258064498</v>
      </c>
      <c r="CE23" s="20" t="s">
        <v>76</v>
      </c>
      <c r="CF23" s="15">
        <v>15.868263473053901</v>
      </c>
      <c r="CG23" s="15">
        <v>24.581005586592202</v>
      </c>
      <c r="CH23" s="15">
        <v>13.786764705882399</v>
      </c>
      <c r="CI23" s="15">
        <v>17.864476386037001</v>
      </c>
      <c r="CJ23" s="15">
        <v>15.294117647058799</v>
      </c>
      <c r="CK23" s="15">
        <v>18.385650224215201</v>
      </c>
      <c r="CL23" s="15">
        <v>15</v>
      </c>
      <c r="CM23" s="24">
        <v>15.845824411134901</v>
      </c>
      <c r="CN23" s="37"/>
    </row>
    <row r="24" spans="1:92">
      <c r="A24" s="9" t="s">
        <v>279</v>
      </c>
      <c r="B24" s="35">
        <v>38.703748554106397</v>
      </c>
      <c r="C24" s="32">
        <v>37.563451749334803</v>
      </c>
      <c r="D24" s="32">
        <v>37.389076475220897</v>
      </c>
      <c r="E24" s="32">
        <v>38.507400469690602</v>
      </c>
      <c r="F24" s="15">
        <v>41.176470588235297</v>
      </c>
      <c r="G24" s="15">
        <v>29.411764705882401</v>
      </c>
      <c r="H24" s="20" t="s">
        <v>76</v>
      </c>
      <c r="I24" s="15">
        <v>70</v>
      </c>
      <c r="J24" s="15">
        <v>29.8611111111111</v>
      </c>
      <c r="K24" s="15">
        <v>35.897435897435898</v>
      </c>
      <c r="L24" s="15">
        <v>34.426229508196698</v>
      </c>
      <c r="M24" s="15">
        <v>28.947368421052602</v>
      </c>
      <c r="N24" s="15">
        <v>44.705882352941202</v>
      </c>
      <c r="O24" s="15">
        <v>32.558139534883701</v>
      </c>
      <c r="P24" s="15">
        <v>47.887323943661997</v>
      </c>
      <c r="Q24" s="15">
        <v>46.478873239436602</v>
      </c>
      <c r="R24" s="15">
        <v>23.076923076923102</v>
      </c>
      <c r="S24" s="15">
        <v>36.585365853658502</v>
      </c>
      <c r="T24" s="15">
        <v>39.5833333333333</v>
      </c>
      <c r="U24" s="15">
        <v>23.8095238095238</v>
      </c>
      <c r="V24" s="15">
        <v>41.176470588235297</v>
      </c>
      <c r="W24" s="15">
        <v>45.762711864406803</v>
      </c>
      <c r="X24" s="15">
        <v>46.153846153846203</v>
      </c>
      <c r="Y24" s="20" t="s">
        <v>76</v>
      </c>
      <c r="Z24" s="15">
        <v>42.307692307692299</v>
      </c>
      <c r="AA24" s="15">
        <v>44.954128440367001</v>
      </c>
      <c r="AB24" s="15">
        <v>50</v>
      </c>
      <c r="AC24" s="15">
        <v>37.878787878787897</v>
      </c>
      <c r="AD24" s="15">
        <v>15.625</v>
      </c>
      <c r="AE24" s="15">
        <v>33.3333333333333</v>
      </c>
      <c r="AF24" s="15">
        <v>42.857142857142897</v>
      </c>
      <c r="AG24" s="15">
        <v>36.190476190476197</v>
      </c>
      <c r="AH24" s="15">
        <v>35.714285714285701</v>
      </c>
      <c r="AI24" s="20" t="s">
        <v>76</v>
      </c>
      <c r="AJ24" s="15">
        <v>34.234234234234201</v>
      </c>
      <c r="AK24" s="15">
        <v>33.3333333333333</v>
      </c>
      <c r="AL24" s="15">
        <v>44.4444444444444</v>
      </c>
      <c r="AM24" s="15">
        <v>34.375</v>
      </c>
      <c r="AN24" s="20" t="s">
        <v>76</v>
      </c>
      <c r="AO24" s="15">
        <v>30</v>
      </c>
      <c r="AP24" s="15">
        <v>29.870129870129901</v>
      </c>
      <c r="AQ24" s="15">
        <v>38.461538461538503</v>
      </c>
      <c r="AR24" s="15">
        <v>20</v>
      </c>
      <c r="AS24" s="20" t="s">
        <v>76</v>
      </c>
      <c r="AT24" s="15">
        <v>24.615384615384599</v>
      </c>
      <c r="AU24" s="15">
        <v>44.8979591836735</v>
      </c>
      <c r="AV24" s="15">
        <v>27.397260273972599</v>
      </c>
      <c r="AW24" s="15">
        <v>45.689655172413801</v>
      </c>
      <c r="AX24" s="15">
        <v>56.25</v>
      </c>
      <c r="AY24" s="15">
        <v>45.714285714285701</v>
      </c>
      <c r="AZ24" s="15">
        <v>52</v>
      </c>
      <c r="BA24" s="15">
        <v>41.509433962264097</v>
      </c>
      <c r="BB24" s="15">
        <v>41.791044776119399</v>
      </c>
      <c r="BC24" s="15">
        <v>55.405405405405403</v>
      </c>
      <c r="BD24" s="15">
        <v>25.6410256410256</v>
      </c>
      <c r="BE24" s="15">
        <v>44.827586206896598</v>
      </c>
      <c r="BF24" s="15">
        <v>46.987951807228903</v>
      </c>
      <c r="BG24" s="15">
        <v>35.820895522388099</v>
      </c>
      <c r="BH24" s="15">
        <v>41.6666666666667</v>
      </c>
      <c r="BI24" s="15">
        <v>42.105263157894697</v>
      </c>
      <c r="BJ24" s="15">
        <v>39.285714285714299</v>
      </c>
      <c r="BK24" s="15">
        <v>35</v>
      </c>
      <c r="BL24" s="15">
        <v>25</v>
      </c>
      <c r="BM24" s="15">
        <v>43.564356435643603</v>
      </c>
      <c r="BN24" s="15">
        <v>31.092436974789901</v>
      </c>
      <c r="BO24" s="15">
        <v>32.2222222222222</v>
      </c>
      <c r="BP24" s="15">
        <v>40</v>
      </c>
      <c r="BQ24" s="15">
        <v>32.876712328767098</v>
      </c>
      <c r="BR24" s="15">
        <v>41.6666666666667</v>
      </c>
      <c r="BS24" s="15">
        <v>48.192771084337402</v>
      </c>
      <c r="BT24" s="15">
        <v>48.780487804878</v>
      </c>
      <c r="BU24" s="15">
        <v>45.7943925233645</v>
      </c>
      <c r="BV24" s="15">
        <v>53.535353535353501</v>
      </c>
      <c r="BW24" s="15">
        <v>31.884057971014499</v>
      </c>
      <c r="BX24" s="15">
        <v>55.5555555555556</v>
      </c>
      <c r="BY24" s="15">
        <v>26.984126984126998</v>
      </c>
      <c r="BZ24" s="15">
        <v>35.374149659863903</v>
      </c>
      <c r="CA24" s="32">
        <v>36.485950822047201</v>
      </c>
      <c r="CB24" s="15">
        <v>31.309904153354601</v>
      </c>
      <c r="CC24" s="15">
        <v>44.654088050314499</v>
      </c>
      <c r="CD24" s="15">
        <v>42.580645161290299</v>
      </c>
      <c r="CE24" s="20" t="s">
        <v>76</v>
      </c>
      <c r="CF24" s="15">
        <v>33.233532934131702</v>
      </c>
      <c r="CG24" s="15">
        <v>38.547486033519597</v>
      </c>
      <c r="CH24" s="15">
        <v>35.661764705882298</v>
      </c>
      <c r="CI24" s="15">
        <v>43.942505133470199</v>
      </c>
      <c r="CJ24" s="15">
        <v>49.803921568627501</v>
      </c>
      <c r="CK24" s="15">
        <v>30.941704035874402</v>
      </c>
      <c r="CL24" s="15">
        <v>37.121212121212103</v>
      </c>
      <c r="CM24" s="24">
        <v>28.693790149892902</v>
      </c>
      <c r="CN24" s="37"/>
    </row>
    <row r="25" spans="1:92">
      <c r="A25" s="9" t="s">
        <v>280</v>
      </c>
      <c r="B25" s="35">
        <v>1.6835804805271199</v>
      </c>
      <c r="C25" s="32">
        <v>1.4707121690420299</v>
      </c>
      <c r="D25" s="32">
        <v>1.4210448488538701</v>
      </c>
      <c r="E25" s="32">
        <v>2.2290230956102302</v>
      </c>
      <c r="F25" s="20" t="s">
        <v>76</v>
      </c>
      <c r="G25" s="20" t="s">
        <v>76</v>
      </c>
      <c r="H25" s="20" t="s">
        <v>76</v>
      </c>
      <c r="I25" s="20" t="s">
        <v>76</v>
      </c>
      <c r="J25" s="20" t="s">
        <v>76</v>
      </c>
      <c r="K25" s="20" t="s">
        <v>76</v>
      </c>
      <c r="L25" s="20" t="s">
        <v>76</v>
      </c>
      <c r="M25" s="20" t="s">
        <v>76</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20" t="s">
        <v>76</v>
      </c>
      <c r="AH25" s="20" t="s">
        <v>76</v>
      </c>
      <c r="AI25" s="20" t="s">
        <v>76</v>
      </c>
      <c r="AJ25" s="20" t="s">
        <v>76</v>
      </c>
      <c r="AK25" s="20" t="s">
        <v>76</v>
      </c>
      <c r="AL25" s="20" t="s">
        <v>76</v>
      </c>
      <c r="AM25" s="20" t="s">
        <v>76</v>
      </c>
      <c r="AN25" s="20" t="s">
        <v>76</v>
      </c>
      <c r="AO25" s="20" t="s">
        <v>76</v>
      </c>
      <c r="AP25" s="20" t="s">
        <v>76</v>
      </c>
      <c r="AQ25" s="20" t="s">
        <v>76</v>
      </c>
      <c r="AR25" s="20" t="s">
        <v>76</v>
      </c>
      <c r="AS25" s="20" t="s">
        <v>76</v>
      </c>
      <c r="AT25" s="20" t="s">
        <v>76</v>
      </c>
      <c r="AU25" s="20" t="s">
        <v>76</v>
      </c>
      <c r="AV25" s="20" t="s">
        <v>76</v>
      </c>
      <c r="AW25" s="20" t="s">
        <v>76</v>
      </c>
      <c r="AX25" s="20" t="s">
        <v>76</v>
      </c>
      <c r="AY25" s="20" t="s">
        <v>76</v>
      </c>
      <c r="AZ25" s="20" t="s">
        <v>76</v>
      </c>
      <c r="BA25" s="20" t="s">
        <v>76</v>
      </c>
      <c r="BB25" s="20" t="s">
        <v>76</v>
      </c>
      <c r="BC25" s="20" t="s">
        <v>76</v>
      </c>
      <c r="BD25" s="20" t="s">
        <v>76</v>
      </c>
      <c r="BE25" s="20" t="s">
        <v>76</v>
      </c>
      <c r="BF25" s="20" t="s">
        <v>76</v>
      </c>
      <c r="BG25" s="20" t="s">
        <v>76</v>
      </c>
      <c r="BH25" s="20" t="s">
        <v>76</v>
      </c>
      <c r="BI25" s="20" t="s">
        <v>76</v>
      </c>
      <c r="BJ25" s="15">
        <v>4.46428571428571</v>
      </c>
      <c r="BK25" s="20" t="s">
        <v>76</v>
      </c>
      <c r="BL25" s="20" t="s">
        <v>76</v>
      </c>
      <c r="BM25" s="20" t="s">
        <v>76</v>
      </c>
      <c r="BN25" s="20" t="s">
        <v>76</v>
      </c>
      <c r="BO25" s="20" t="s">
        <v>76</v>
      </c>
      <c r="BP25" s="20" t="s">
        <v>76</v>
      </c>
      <c r="BQ25" s="20" t="s">
        <v>76</v>
      </c>
      <c r="BR25" s="20" t="s">
        <v>76</v>
      </c>
      <c r="BS25" s="20" t="s">
        <v>76</v>
      </c>
      <c r="BT25" s="20" t="s">
        <v>76</v>
      </c>
      <c r="BU25" s="20" t="s">
        <v>76</v>
      </c>
      <c r="BV25" s="20" t="s">
        <v>76</v>
      </c>
      <c r="BW25" s="20" t="s">
        <v>76</v>
      </c>
      <c r="BX25" s="20" t="s">
        <v>76</v>
      </c>
      <c r="BY25" s="20" t="s">
        <v>76</v>
      </c>
      <c r="BZ25" s="20" t="s">
        <v>76</v>
      </c>
      <c r="CA25" s="32">
        <v>0.76854531789456104</v>
      </c>
      <c r="CB25" s="20" t="s">
        <v>76</v>
      </c>
      <c r="CC25" s="20" t="s">
        <v>76</v>
      </c>
      <c r="CD25" s="20" t="s">
        <v>76</v>
      </c>
      <c r="CE25" s="20" t="s">
        <v>76</v>
      </c>
      <c r="CF25" s="20" t="s">
        <v>76</v>
      </c>
      <c r="CG25" s="20" t="s">
        <v>76</v>
      </c>
      <c r="CH25" s="20" t="s">
        <v>76</v>
      </c>
      <c r="CI25" s="15">
        <v>1.2320328542094501</v>
      </c>
      <c r="CJ25" s="20" t="s">
        <v>76</v>
      </c>
      <c r="CK25" s="20" t="s">
        <v>76</v>
      </c>
      <c r="CL25" s="15">
        <v>1.8181818181818199</v>
      </c>
      <c r="CM25" s="26" t="s">
        <v>76</v>
      </c>
      <c r="CN25" s="37"/>
    </row>
    <row r="26" spans="1:92">
      <c r="A26" s="9" t="s">
        <v>281</v>
      </c>
      <c r="B26" s="35">
        <v>26.8901762290342</v>
      </c>
      <c r="C26" s="32">
        <v>27.6411307496349</v>
      </c>
      <c r="D26" s="32">
        <v>27.649037196385599</v>
      </c>
      <c r="E26" s="32">
        <v>30.487349708109399</v>
      </c>
      <c r="F26" s="15">
        <v>29.411764705882401</v>
      </c>
      <c r="G26" s="15">
        <v>29.411764705882401</v>
      </c>
      <c r="H26" s="15">
        <v>30.434782608695699</v>
      </c>
      <c r="I26" s="15">
        <v>70</v>
      </c>
      <c r="J26" s="15">
        <v>25.6944444444444</v>
      </c>
      <c r="K26" s="15">
        <v>15.384615384615399</v>
      </c>
      <c r="L26" s="15">
        <v>34.426229508196698</v>
      </c>
      <c r="M26" s="15">
        <v>10.526315789473699</v>
      </c>
      <c r="N26" s="15">
        <v>25.882352941176499</v>
      </c>
      <c r="O26" s="15">
        <v>41.860465116279101</v>
      </c>
      <c r="P26" s="15">
        <v>28.169014084507001</v>
      </c>
      <c r="Q26" s="15">
        <v>30.985915492957702</v>
      </c>
      <c r="R26" s="20" t="s">
        <v>76</v>
      </c>
      <c r="S26" s="15">
        <v>24.390243902439</v>
      </c>
      <c r="T26" s="15">
        <v>37.5</v>
      </c>
      <c r="U26" s="20" t="s">
        <v>76</v>
      </c>
      <c r="V26" s="15">
        <v>26.470588235294102</v>
      </c>
      <c r="W26" s="15">
        <v>20.338983050847499</v>
      </c>
      <c r="X26" s="15">
        <v>46.153846153846203</v>
      </c>
      <c r="Y26" s="20" t="s">
        <v>76</v>
      </c>
      <c r="Z26" s="15">
        <v>33.3333333333333</v>
      </c>
      <c r="AA26" s="15">
        <v>42.201834862385297</v>
      </c>
      <c r="AB26" s="15">
        <v>48.529411764705898</v>
      </c>
      <c r="AC26" s="15">
        <v>37.121212121212103</v>
      </c>
      <c r="AD26" s="15">
        <v>31.25</v>
      </c>
      <c r="AE26" s="15">
        <v>22.2222222222222</v>
      </c>
      <c r="AF26" s="15">
        <v>42.857142857142897</v>
      </c>
      <c r="AG26" s="15">
        <v>21.904761904761902</v>
      </c>
      <c r="AH26" s="15">
        <v>23.214285714285701</v>
      </c>
      <c r="AI26" s="20" t="s">
        <v>76</v>
      </c>
      <c r="AJ26" s="15">
        <v>19.819819819819799</v>
      </c>
      <c r="AK26" s="15">
        <v>36.6666666666667</v>
      </c>
      <c r="AL26" s="15">
        <v>26.6666666666667</v>
      </c>
      <c r="AM26" s="15">
        <v>32.8125</v>
      </c>
      <c r="AN26" s="20" t="s">
        <v>76</v>
      </c>
      <c r="AO26" s="15">
        <v>30</v>
      </c>
      <c r="AP26" s="15">
        <v>22.0779220779221</v>
      </c>
      <c r="AQ26" s="15">
        <v>41.025641025641001</v>
      </c>
      <c r="AR26" s="15">
        <v>14.545454545454501</v>
      </c>
      <c r="AS26" s="20" t="s">
        <v>76</v>
      </c>
      <c r="AT26" s="15">
        <v>33.846153846153797</v>
      </c>
      <c r="AU26" s="15">
        <v>46.938775510204103</v>
      </c>
      <c r="AV26" s="15">
        <v>24.657534246575299</v>
      </c>
      <c r="AW26" s="15">
        <v>25.862068965517199</v>
      </c>
      <c r="AX26" s="15">
        <v>43.75</v>
      </c>
      <c r="AY26" s="15">
        <v>25.714285714285701</v>
      </c>
      <c r="AZ26" s="15">
        <v>30</v>
      </c>
      <c r="BA26" s="15">
        <v>24.528301886792502</v>
      </c>
      <c r="BB26" s="15">
        <v>50.746268656716403</v>
      </c>
      <c r="BC26" s="15">
        <v>28.3783783783784</v>
      </c>
      <c r="BD26" s="15">
        <v>38.461538461538503</v>
      </c>
      <c r="BE26" s="15">
        <v>48.275862068965502</v>
      </c>
      <c r="BF26" s="15">
        <v>36.144578313253</v>
      </c>
      <c r="BG26" s="15">
        <v>23.880597014925399</v>
      </c>
      <c r="BH26" s="15">
        <v>20.8333333333333</v>
      </c>
      <c r="BI26" s="15">
        <v>31.578947368421101</v>
      </c>
      <c r="BJ26" s="15">
        <v>37.5</v>
      </c>
      <c r="BK26" s="15">
        <v>25</v>
      </c>
      <c r="BL26" s="15">
        <v>25</v>
      </c>
      <c r="BM26" s="15">
        <v>25.742574257425701</v>
      </c>
      <c r="BN26" s="15">
        <v>35.294117647058798</v>
      </c>
      <c r="BO26" s="15">
        <v>18.8888888888889</v>
      </c>
      <c r="BP26" s="20" t="s">
        <v>76</v>
      </c>
      <c r="BQ26" s="15">
        <v>24.657534246575299</v>
      </c>
      <c r="BR26" s="15">
        <v>31.6666666666667</v>
      </c>
      <c r="BS26" s="15">
        <v>40.963855421686802</v>
      </c>
      <c r="BT26" s="15">
        <v>26.829268292682901</v>
      </c>
      <c r="BU26" s="15">
        <v>36.448598130841098</v>
      </c>
      <c r="BV26" s="15">
        <v>50.505050505050498</v>
      </c>
      <c r="BW26" s="15">
        <v>14.492753623188401</v>
      </c>
      <c r="BX26" s="15">
        <v>77.7777777777778</v>
      </c>
      <c r="BY26" s="15">
        <v>44.4444444444444</v>
      </c>
      <c r="BZ26" s="15">
        <v>37.414965986394598</v>
      </c>
      <c r="CA26" s="32">
        <v>25.356899270580499</v>
      </c>
      <c r="CB26" s="15">
        <v>22.364217252396202</v>
      </c>
      <c r="CC26" s="15">
        <v>25.7861635220126</v>
      </c>
      <c r="CD26" s="15">
        <v>27.096774193548399</v>
      </c>
      <c r="CE26" s="20" t="s">
        <v>76</v>
      </c>
      <c r="CF26" s="15">
        <v>18.562874251497</v>
      </c>
      <c r="CG26" s="15">
        <v>33.519553072625698</v>
      </c>
      <c r="CH26" s="15">
        <v>21.323529411764699</v>
      </c>
      <c r="CI26" s="15">
        <v>30.800821355236099</v>
      </c>
      <c r="CJ26" s="15">
        <v>21.960784313725501</v>
      </c>
      <c r="CK26" s="15">
        <v>23.766816143497799</v>
      </c>
      <c r="CL26" s="15">
        <v>32.121212121212103</v>
      </c>
      <c r="CM26" s="24">
        <v>28.693790149892902</v>
      </c>
      <c r="CN26" s="37"/>
    </row>
    <row r="27" spans="1:92">
      <c r="A27" s="9" t="s">
        <v>282</v>
      </c>
      <c r="B27" s="35">
        <v>9.3840595734084999</v>
      </c>
      <c r="C27" s="32">
        <v>8.8122586033816805</v>
      </c>
      <c r="D27" s="32">
        <v>8.8084531706846008</v>
      </c>
      <c r="E27" s="32">
        <v>11.5033698427758</v>
      </c>
      <c r="F27" s="20" t="s">
        <v>76</v>
      </c>
      <c r="G27" s="20" t="s">
        <v>76</v>
      </c>
      <c r="H27" s="20" t="s">
        <v>76</v>
      </c>
      <c r="I27" s="20" t="s">
        <v>76</v>
      </c>
      <c r="J27" s="15">
        <v>9.7222222222222197</v>
      </c>
      <c r="K27" s="15">
        <v>12.8205128205128</v>
      </c>
      <c r="L27" s="15">
        <v>13.1147540983607</v>
      </c>
      <c r="M27" s="15">
        <v>11.842105263157899</v>
      </c>
      <c r="N27" s="15">
        <v>10.588235294117601</v>
      </c>
      <c r="O27" s="15">
        <v>13.953488372093</v>
      </c>
      <c r="P27" s="15">
        <v>18.309859154929601</v>
      </c>
      <c r="Q27" s="15">
        <v>21.126760563380302</v>
      </c>
      <c r="R27" s="20" t="s">
        <v>76</v>
      </c>
      <c r="S27" s="15">
        <v>14.634146341463399</v>
      </c>
      <c r="T27" s="20" t="s">
        <v>76</v>
      </c>
      <c r="U27" s="20" t="s">
        <v>76</v>
      </c>
      <c r="V27" s="20" t="s">
        <v>76</v>
      </c>
      <c r="W27" s="15">
        <v>10.1694915254237</v>
      </c>
      <c r="X27" s="20" t="s">
        <v>76</v>
      </c>
      <c r="Y27" s="20" t="s">
        <v>76</v>
      </c>
      <c r="Z27" s="15">
        <v>10.2564102564103</v>
      </c>
      <c r="AA27" s="15">
        <v>14.678899082568799</v>
      </c>
      <c r="AB27" s="15">
        <v>14.705882352941201</v>
      </c>
      <c r="AC27" s="15">
        <v>18.181818181818201</v>
      </c>
      <c r="AD27" s="20" t="s">
        <v>76</v>
      </c>
      <c r="AE27" s="20" t="s">
        <v>76</v>
      </c>
      <c r="AF27" s="20" t="s">
        <v>76</v>
      </c>
      <c r="AG27" s="15">
        <v>18.095238095238098</v>
      </c>
      <c r="AH27" s="15">
        <v>8.9285714285714306</v>
      </c>
      <c r="AI27" s="20" t="s">
        <v>76</v>
      </c>
      <c r="AJ27" s="15">
        <v>10.8108108108108</v>
      </c>
      <c r="AK27" s="20" t="s">
        <v>76</v>
      </c>
      <c r="AL27" s="15">
        <v>10</v>
      </c>
      <c r="AM27" s="20" t="s">
        <v>76</v>
      </c>
      <c r="AN27" s="20" t="s">
        <v>76</v>
      </c>
      <c r="AO27" s="20" t="s">
        <v>76</v>
      </c>
      <c r="AP27" s="15">
        <v>10.3896103896104</v>
      </c>
      <c r="AQ27" s="15">
        <v>17.948717948717899</v>
      </c>
      <c r="AR27" s="20" t="s">
        <v>76</v>
      </c>
      <c r="AS27" s="20" t="s">
        <v>76</v>
      </c>
      <c r="AT27" s="15">
        <v>10.7692307692308</v>
      </c>
      <c r="AU27" s="15">
        <v>16.326530612244898</v>
      </c>
      <c r="AV27" s="15">
        <v>8.2191780821917799</v>
      </c>
      <c r="AW27" s="15">
        <v>13.7931034482759</v>
      </c>
      <c r="AX27" s="20" t="s">
        <v>76</v>
      </c>
      <c r="AY27" s="15">
        <v>20</v>
      </c>
      <c r="AZ27" s="15">
        <v>14</v>
      </c>
      <c r="BA27" s="20" t="s">
        <v>76</v>
      </c>
      <c r="BB27" s="15">
        <v>17.910447761194</v>
      </c>
      <c r="BC27" s="15">
        <v>12.1621621621622</v>
      </c>
      <c r="BD27" s="15">
        <v>19.230769230769202</v>
      </c>
      <c r="BE27" s="15">
        <v>25.862068965517199</v>
      </c>
      <c r="BF27" s="20" t="s">
        <v>76</v>
      </c>
      <c r="BG27" s="20" t="s">
        <v>76</v>
      </c>
      <c r="BH27" s="20" t="s">
        <v>76</v>
      </c>
      <c r="BI27" s="20" t="s">
        <v>76</v>
      </c>
      <c r="BJ27" s="15">
        <v>11.6071428571429</v>
      </c>
      <c r="BK27" s="20" t="s">
        <v>76</v>
      </c>
      <c r="BL27" s="15">
        <v>15.625</v>
      </c>
      <c r="BM27" s="15">
        <v>4.9504950495049496</v>
      </c>
      <c r="BN27" s="15">
        <v>8.4033613445378208</v>
      </c>
      <c r="BO27" s="15">
        <v>13.3333333333333</v>
      </c>
      <c r="BP27" s="20" t="s">
        <v>76</v>
      </c>
      <c r="BQ27" s="15">
        <v>12.328767123287699</v>
      </c>
      <c r="BR27" s="20" t="s">
        <v>76</v>
      </c>
      <c r="BS27" s="20" t="s">
        <v>76</v>
      </c>
      <c r="BT27" s="15">
        <v>13.4146341463415</v>
      </c>
      <c r="BU27" s="15">
        <v>5.6074766355140202</v>
      </c>
      <c r="BV27" s="15">
        <v>14.141414141414099</v>
      </c>
      <c r="BW27" s="15">
        <v>14.492753623188401</v>
      </c>
      <c r="BX27" s="20" t="s">
        <v>76</v>
      </c>
      <c r="BY27" s="15">
        <v>11.1111111111111</v>
      </c>
      <c r="BZ27" s="15">
        <v>13.605442176870699</v>
      </c>
      <c r="CA27" s="32">
        <v>6.6321175186133301</v>
      </c>
      <c r="CB27" s="15">
        <v>6.38977635782748</v>
      </c>
      <c r="CC27" s="15">
        <v>7.8616352201257902</v>
      </c>
      <c r="CD27" s="15">
        <v>3.87096774193548</v>
      </c>
      <c r="CE27" s="20" t="s">
        <v>76</v>
      </c>
      <c r="CF27" s="15">
        <v>8.3832335329341294</v>
      </c>
      <c r="CG27" s="15">
        <v>10.055865921787699</v>
      </c>
      <c r="CH27" s="15">
        <v>4.5955882352941204</v>
      </c>
      <c r="CI27" s="15">
        <v>10.0616016427105</v>
      </c>
      <c r="CJ27" s="15">
        <v>5.8823529411764701</v>
      </c>
      <c r="CK27" s="15">
        <v>7.6233183856502196</v>
      </c>
      <c r="CL27" s="15">
        <v>7.2727272727272698</v>
      </c>
      <c r="CM27" s="24">
        <v>4.2826552462526797</v>
      </c>
      <c r="CN27" s="37"/>
    </row>
    <row r="28" spans="1:92">
      <c r="A28" s="9" t="s">
        <v>283</v>
      </c>
      <c r="B28" s="35">
        <v>12.666648330600699</v>
      </c>
      <c r="C28" s="32">
        <v>12.751245155438999</v>
      </c>
      <c r="D28" s="32">
        <v>14.869259075076</v>
      </c>
      <c r="E28" s="32">
        <v>19.100072265810802</v>
      </c>
      <c r="F28" s="20" t="s">
        <v>76</v>
      </c>
      <c r="G28" s="15">
        <v>29.411764705882401</v>
      </c>
      <c r="H28" s="15">
        <v>21.739130434782599</v>
      </c>
      <c r="I28" s="20" t="s">
        <v>76</v>
      </c>
      <c r="J28" s="15">
        <v>13.8888888888889</v>
      </c>
      <c r="K28" s="15">
        <v>17.948717948717899</v>
      </c>
      <c r="L28" s="15">
        <v>9.8360655737704903</v>
      </c>
      <c r="M28" s="15">
        <v>10.526315789473699</v>
      </c>
      <c r="N28" s="15">
        <v>10.588235294117601</v>
      </c>
      <c r="O28" s="15">
        <v>11.6279069767442</v>
      </c>
      <c r="P28" s="15">
        <v>22.5352112676056</v>
      </c>
      <c r="Q28" s="15">
        <v>45.0704225352113</v>
      </c>
      <c r="R28" s="20" t="s">
        <v>76</v>
      </c>
      <c r="S28" s="15">
        <v>26.829268292682901</v>
      </c>
      <c r="T28" s="15">
        <v>16.6666666666667</v>
      </c>
      <c r="U28" s="15">
        <v>28.571428571428601</v>
      </c>
      <c r="V28" s="15">
        <v>20.588235294117599</v>
      </c>
      <c r="W28" s="15">
        <v>13.559322033898299</v>
      </c>
      <c r="X28" s="20" t="s">
        <v>76</v>
      </c>
      <c r="Y28" s="20" t="s">
        <v>76</v>
      </c>
      <c r="Z28" s="15">
        <v>28.205128205128201</v>
      </c>
      <c r="AA28" s="15">
        <v>18.348623853210999</v>
      </c>
      <c r="AB28" s="15">
        <v>29.411764705882401</v>
      </c>
      <c r="AC28" s="15">
        <v>23.484848484848499</v>
      </c>
      <c r="AD28" s="15">
        <v>21.875</v>
      </c>
      <c r="AE28" s="20" t="s">
        <v>76</v>
      </c>
      <c r="AF28" s="20" t="s">
        <v>76</v>
      </c>
      <c r="AG28" s="15">
        <v>18.095238095238098</v>
      </c>
      <c r="AH28" s="15">
        <v>16.071428571428601</v>
      </c>
      <c r="AI28" s="20" t="s">
        <v>76</v>
      </c>
      <c r="AJ28" s="15">
        <v>15.315315315315299</v>
      </c>
      <c r="AK28" s="15">
        <v>16.6666666666667</v>
      </c>
      <c r="AL28" s="15">
        <v>25.5555555555556</v>
      </c>
      <c r="AM28" s="15">
        <v>7.8125</v>
      </c>
      <c r="AN28" s="20" t="s">
        <v>76</v>
      </c>
      <c r="AO28" s="15">
        <v>30</v>
      </c>
      <c r="AP28" s="15">
        <v>19.480519480519501</v>
      </c>
      <c r="AQ28" s="15">
        <v>23.076923076923102</v>
      </c>
      <c r="AR28" s="15">
        <v>18.181818181818201</v>
      </c>
      <c r="AS28" s="20" t="s">
        <v>76</v>
      </c>
      <c r="AT28" s="15">
        <v>10.7692307692308</v>
      </c>
      <c r="AU28" s="15">
        <v>20.408163265306101</v>
      </c>
      <c r="AV28" s="15">
        <v>6.8493150684931496</v>
      </c>
      <c r="AW28" s="15">
        <v>17.241379310344801</v>
      </c>
      <c r="AX28" s="20" t="s">
        <v>76</v>
      </c>
      <c r="AY28" s="15">
        <v>22.8571428571429</v>
      </c>
      <c r="AZ28" s="15">
        <v>24</v>
      </c>
      <c r="BA28" s="15">
        <v>26.415094339622598</v>
      </c>
      <c r="BB28" s="15">
        <v>32.835820895522403</v>
      </c>
      <c r="BC28" s="15">
        <v>18.918918918918902</v>
      </c>
      <c r="BD28" s="15">
        <v>24.3589743589744</v>
      </c>
      <c r="BE28" s="15">
        <v>15.517241379310301</v>
      </c>
      <c r="BF28" s="15">
        <v>12.048192771084301</v>
      </c>
      <c r="BG28" s="15">
        <v>31.343283582089601</v>
      </c>
      <c r="BH28" s="20" t="s">
        <v>76</v>
      </c>
      <c r="BI28" s="20" t="s">
        <v>76</v>
      </c>
      <c r="BJ28" s="15">
        <v>28.571428571428601</v>
      </c>
      <c r="BK28" s="15">
        <v>12.5</v>
      </c>
      <c r="BL28" s="15">
        <v>11.71875</v>
      </c>
      <c r="BM28" s="15">
        <v>23.762376237623801</v>
      </c>
      <c r="BN28" s="15">
        <v>16.806722689075599</v>
      </c>
      <c r="BO28" s="15">
        <v>8.8888888888888893</v>
      </c>
      <c r="BP28" s="15">
        <v>40</v>
      </c>
      <c r="BQ28" s="15">
        <v>19.178082191780799</v>
      </c>
      <c r="BR28" s="15">
        <v>15</v>
      </c>
      <c r="BS28" s="15">
        <v>13.253012048192801</v>
      </c>
      <c r="BT28" s="15">
        <v>8.5365853658536608</v>
      </c>
      <c r="BU28" s="15">
        <v>22.429906542056099</v>
      </c>
      <c r="BV28" s="15">
        <v>28.282828282828302</v>
      </c>
      <c r="BW28" s="15">
        <v>24.6376811594203</v>
      </c>
      <c r="BX28" s="20" t="s">
        <v>76</v>
      </c>
      <c r="BY28" s="15">
        <v>23.8095238095238</v>
      </c>
      <c r="BZ28" s="15">
        <v>19.727891156462601</v>
      </c>
      <c r="CA28" s="32">
        <v>11.4525784483224</v>
      </c>
      <c r="CB28" s="15">
        <v>10.8626198083067</v>
      </c>
      <c r="CC28" s="15">
        <v>6.6037735849056602</v>
      </c>
      <c r="CD28" s="15">
        <v>12.9032258064516</v>
      </c>
      <c r="CE28" s="20" t="s">
        <v>76</v>
      </c>
      <c r="CF28" s="15">
        <v>11.6766467065868</v>
      </c>
      <c r="CG28" s="15">
        <v>11.173184357541899</v>
      </c>
      <c r="CH28" s="15">
        <v>19.852941176470601</v>
      </c>
      <c r="CI28" s="15">
        <v>14.1683778234086</v>
      </c>
      <c r="CJ28" s="15">
        <v>15.6862745098039</v>
      </c>
      <c r="CK28" s="15">
        <v>9.8654708520179408</v>
      </c>
      <c r="CL28" s="15">
        <v>12.575757575757599</v>
      </c>
      <c r="CM28" s="24">
        <v>8.7794432548179895</v>
      </c>
      <c r="CN28" s="37"/>
    </row>
    <row r="29" spans="1:92">
      <c r="A29" s="9" t="s">
        <v>284</v>
      </c>
      <c r="B29" s="35">
        <v>2.0841519456041402</v>
      </c>
      <c r="C29" s="32">
        <v>1.7804978082656999</v>
      </c>
      <c r="D29" s="32">
        <v>1.7887328758941801</v>
      </c>
      <c r="E29" s="32">
        <v>2.4406902392320302</v>
      </c>
      <c r="F29" s="20" t="s">
        <v>76</v>
      </c>
      <c r="G29" s="20" t="s">
        <v>76</v>
      </c>
      <c r="H29" s="20" t="s">
        <v>76</v>
      </c>
      <c r="I29" s="20" t="s">
        <v>76</v>
      </c>
      <c r="J29" s="15">
        <v>3.4722222222222201</v>
      </c>
      <c r="K29" s="20" t="s">
        <v>76</v>
      </c>
      <c r="L29" s="20" t="s">
        <v>76</v>
      </c>
      <c r="M29" s="20" t="s">
        <v>76</v>
      </c>
      <c r="N29" s="20" t="s">
        <v>76</v>
      </c>
      <c r="O29" s="20" t="s">
        <v>76</v>
      </c>
      <c r="P29" s="20" t="s">
        <v>76</v>
      </c>
      <c r="Q29" s="20" t="s">
        <v>76</v>
      </c>
      <c r="R29" s="20" t="s">
        <v>76</v>
      </c>
      <c r="S29" s="20" t="s">
        <v>76</v>
      </c>
      <c r="T29" s="20" t="s">
        <v>76</v>
      </c>
      <c r="U29" s="20" t="s">
        <v>76</v>
      </c>
      <c r="V29" s="20" t="s">
        <v>76</v>
      </c>
      <c r="W29" s="20" t="s">
        <v>76</v>
      </c>
      <c r="X29" s="20" t="s">
        <v>76</v>
      </c>
      <c r="Y29" s="20" t="s">
        <v>76</v>
      </c>
      <c r="Z29" s="20" t="s">
        <v>76</v>
      </c>
      <c r="AA29" s="20" t="s">
        <v>76</v>
      </c>
      <c r="AB29" s="20" t="s">
        <v>76</v>
      </c>
      <c r="AC29" s="15">
        <v>4.5454545454545396</v>
      </c>
      <c r="AD29" s="20" t="s">
        <v>76</v>
      </c>
      <c r="AE29" s="20" t="s">
        <v>76</v>
      </c>
      <c r="AF29" s="20" t="s">
        <v>76</v>
      </c>
      <c r="AG29" s="20" t="s">
        <v>76</v>
      </c>
      <c r="AH29" s="20" t="s">
        <v>76</v>
      </c>
      <c r="AI29" s="20" t="s">
        <v>76</v>
      </c>
      <c r="AJ29" s="20" t="s">
        <v>76</v>
      </c>
      <c r="AK29" s="20" t="s">
        <v>76</v>
      </c>
      <c r="AL29" s="20" t="s">
        <v>76</v>
      </c>
      <c r="AM29" s="20" t="s">
        <v>76</v>
      </c>
      <c r="AN29" s="20" t="s">
        <v>76</v>
      </c>
      <c r="AO29" s="20" t="s">
        <v>76</v>
      </c>
      <c r="AP29" s="20" t="s">
        <v>76</v>
      </c>
      <c r="AQ29" s="20" t="s">
        <v>76</v>
      </c>
      <c r="AR29" s="20" t="s">
        <v>76</v>
      </c>
      <c r="AS29" s="20" t="s">
        <v>76</v>
      </c>
      <c r="AT29" s="20" t="s">
        <v>76</v>
      </c>
      <c r="AU29" s="20" t="s">
        <v>76</v>
      </c>
      <c r="AV29" s="20" t="s">
        <v>76</v>
      </c>
      <c r="AW29" s="20" t="s">
        <v>76</v>
      </c>
      <c r="AX29" s="20" t="s">
        <v>76</v>
      </c>
      <c r="AY29" s="20" t="s">
        <v>76</v>
      </c>
      <c r="AZ29" s="20" t="s">
        <v>76</v>
      </c>
      <c r="BA29" s="20" t="s">
        <v>76</v>
      </c>
      <c r="BB29" s="20" t="s">
        <v>76</v>
      </c>
      <c r="BC29" s="20" t="s">
        <v>76</v>
      </c>
      <c r="BD29" s="20" t="s">
        <v>76</v>
      </c>
      <c r="BE29" s="20" t="s">
        <v>76</v>
      </c>
      <c r="BF29" s="20" t="s">
        <v>76</v>
      </c>
      <c r="BG29" s="20" t="s">
        <v>76</v>
      </c>
      <c r="BH29" s="20" t="s">
        <v>76</v>
      </c>
      <c r="BI29" s="20" t="s">
        <v>76</v>
      </c>
      <c r="BJ29" s="20" t="s">
        <v>76</v>
      </c>
      <c r="BK29" s="20" t="s">
        <v>76</v>
      </c>
      <c r="BL29" s="20" t="s">
        <v>76</v>
      </c>
      <c r="BM29" s="20" t="s">
        <v>76</v>
      </c>
      <c r="BN29" s="20" t="s">
        <v>76</v>
      </c>
      <c r="BO29" s="20" t="s">
        <v>76</v>
      </c>
      <c r="BP29" s="20" t="s">
        <v>76</v>
      </c>
      <c r="BQ29" s="20" t="s">
        <v>76</v>
      </c>
      <c r="BR29" s="20" t="s">
        <v>76</v>
      </c>
      <c r="BS29" s="20" t="s">
        <v>76</v>
      </c>
      <c r="BT29" s="20" t="s">
        <v>76</v>
      </c>
      <c r="BU29" s="20" t="s">
        <v>76</v>
      </c>
      <c r="BV29" s="20" t="s">
        <v>76</v>
      </c>
      <c r="BW29" s="20" t="s">
        <v>76</v>
      </c>
      <c r="BX29" s="20" t="s">
        <v>76</v>
      </c>
      <c r="BY29" s="20" t="s">
        <v>76</v>
      </c>
      <c r="BZ29" s="15">
        <v>4.7619047619047601</v>
      </c>
      <c r="CA29" s="32">
        <v>1.2622312336888499</v>
      </c>
      <c r="CB29" s="20" t="s">
        <v>76</v>
      </c>
      <c r="CC29" s="20" t="s">
        <v>76</v>
      </c>
      <c r="CD29" s="20" t="s">
        <v>76</v>
      </c>
      <c r="CE29" s="20" t="s">
        <v>76</v>
      </c>
      <c r="CF29" s="20" t="s">
        <v>76</v>
      </c>
      <c r="CG29" s="20" t="s">
        <v>76</v>
      </c>
      <c r="CH29" s="15">
        <v>1.2867647058823499</v>
      </c>
      <c r="CI29" s="15">
        <v>1.4373716632443501</v>
      </c>
      <c r="CJ29" s="20" t="s">
        <v>76</v>
      </c>
      <c r="CK29" s="15">
        <v>2.2421524663677102</v>
      </c>
      <c r="CL29" s="15">
        <v>2.1212121212121202</v>
      </c>
      <c r="CM29" s="24">
        <v>1.0706638115631699</v>
      </c>
      <c r="CN29" s="37"/>
    </row>
    <row r="30" spans="1:92">
      <c r="A30" s="9" t="s">
        <v>285</v>
      </c>
      <c r="B30" s="35">
        <v>2.9661267219526999</v>
      </c>
      <c r="C30" s="32">
        <v>3.0133304247783901</v>
      </c>
      <c r="D30" s="32">
        <v>3.0698349412307699</v>
      </c>
      <c r="E30" s="32">
        <v>4.3234744917899404</v>
      </c>
      <c r="F30" s="20" t="s">
        <v>76</v>
      </c>
      <c r="G30" s="20" t="s">
        <v>76</v>
      </c>
      <c r="H30" s="20" t="s">
        <v>76</v>
      </c>
      <c r="I30" s="20" t="s">
        <v>76</v>
      </c>
      <c r="J30" s="20" t="s">
        <v>76</v>
      </c>
      <c r="K30" s="20" t="s">
        <v>76</v>
      </c>
      <c r="L30" s="20" t="s">
        <v>76</v>
      </c>
      <c r="M30" s="20" t="s">
        <v>76</v>
      </c>
      <c r="N30" s="20" t="s">
        <v>76</v>
      </c>
      <c r="O30" s="20" t="s">
        <v>76</v>
      </c>
      <c r="P30" s="20" t="s">
        <v>76</v>
      </c>
      <c r="Q30" s="20" t="s">
        <v>76</v>
      </c>
      <c r="R30" s="20" t="s">
        <v>76</v>
      </c>
      <c r="S30" s="20" t="s">
        <v>76</v>
      </c>
      <c r="T30" s="20" t="s">
        <v>76</v>
      </c>
      <c r="U30" s="20" t="s">
        <v>76</v>
      </c>
      <c r="V30" s="20" t="s">
        <v>76</v>
      </c>
      <c r="W30" s="20" t="s">
        <v>76</v>
      </c>
      <c r="X30" s="20" t="s">
        <v>76</v>
      </c>
      <c r="Y30" s="20" t="s">
        <v>76</v>
      </c>
      <c r="Z30" s="20" t="s">
        <v>76</v>
      </c>
      <c r="AA30" s="15">
        <v>8.2568807339449499</v>
      </c>
      <c r="AB30" s="15">
        <v>10.294117647058799</v>
      </c>
      <c r="AC30" s="15">
        <v>4.5454545454545396</v>
      </c>
      <c r="AD30" s="20" t="s">
        <v>76</v>
      </c>
      <c r="AE30" s="20" t="s">
        <v>76</v>
      </c>
      <c r="AF30" s="20" t="s">
        <v>76</v>
      </c>
      <c r="AG30" s="20" t="s">
        <v>76</v>
      </c>
      <c r="AH30" s="20" t="s">
        <v>76</v>
      </c>
      <c r="AI30" s="20" t="s">
        <v>76</v>
      </c>
      <c r="AJ30" s="15">
        <v>8.1081081081081106</v>
      </c>
      <c r="AK30" s="20" t="s">
        <v>76</v>
      </c>
      <c r="AL30" s="15">
        <v>5.5555555555555598</v>
      </c>
      <c r="AM30" s="20" t="s">
        <v>76</v>
      </c>
      <c r="AN30" s="20" t="s">
        <v>76</v>
      </c>
      <c r="AO30" s="20" t="s">
        <v>76</v>
      </c>
      <c r="AP30" s="15">
        <v>6.4935064935064899</v>
      </c>
      <c r="AQ30" s="20" t="s">
        <v>76</v>
      </c>
      <c r="AR30" s="20" t="s">
        <v>76</v>
      </c>
      <c r="AS30" s="20" t="s">
        <v>76</v>
      </c>
      <c r="AT30" s="20" t="s">
        <v>76</v>
      </c>
      <c r="AU30" s="20" t="s">
        <v>76</v>
      </c>
      <c r="AV30" s="15">
        <v>8.2191780821917799</v>
      </c>
      <c r="AW30" s="20" t="s">
        <v>76</v>
      </c>
      <c r="AX30" s="20" t="s">
        <v>76</v>
      </c>
      <c r="AY30" s="20" t="s">
        <v>76</v>
      </c>
      <c r="AZ30" s="20" t="s">
        <v>76</v>
      </c>
      <c r="BA30" s="20" t="s">
        <v>76</v>
      </c>
      <c r="BB30" s="20" t="s">
        <v>76</v>
      </c>
      <c r="BC30" s="20" t="s">
        <v>76</v>
      </c>
      <c r="BD30" s="15">
        <v>7.6923076923076898</v>
      </c>
      <c r="BE30" s="20" t="s">
        <v>76</v>
      </c>
      <c r="BF30" s="15">
        <v>7.2289156626505999</v>
      </c>
      <c r="BG30" s="20" t="s">
        <v>76</v>
      </c>
      <c r="BH30" s="20" t="s">
        <v>76</v>
      </c>
      <c r="BI30" s="20" t="s">
        <v>76</v>
      </c>
      <c r="BJ30" s="20" t="s">
        <v>76</v>
      </c>
      <c r="BK30" s="20" t="s">
        <v>76</v>
      </c>
      <c r="BL30" s="15">
        <v>3.90625</v>
      </c>
      <c r="BM30" s="20" t="s">
        <v>76</v>
      </c>
      <c r="BN30" s="15">
        <v>5.8823529411764701</v>
      </c>
      <c r="BO30" s="20" t="s">
        <v>76</v>
      </c>
      <c r="BP30" s="20" t="s">
        <v>76</v>
      </c>
      <c r="BQ30" s="20" t="s">
        <v>76</v>
      </c>
      <c r="BR30" s="20" t="s">
        <v>76</v>
      </c>
      <c r="BS30" s="20" t="s">
        <v>76</v>
      </c>
      <c r="BT30" s="15">
        <v>6.0975609756097597</v>
      </c>
      <c r="BU30" s="15">
        <v>4.6728971962616797</v>
      </c>
      <c r="BV30" s="15">
        <v>5.0505050505050502</v>
      </c>
      <c r="BW30" s="20" t="s">
        <v>76</v>
      </c>
      <c r="BX30" s="20" t="s">
        <v>76</v>
      </c>
      <c r="BY30" s="20" t="s">
        <v>76</v>
      </c>
      <c r="BZ30" s="15">
        <v>4.0816326530612201</v>
      </c>
      <c r="CA30" s="32">
        <v>2.0574324142868101</v>
      </c>
      <c r="CB30" s="15">
        <v>1.91693290734824</v>
      </c>
      <c r="CC30" s="15">
        <v>3.45911949685535</v>
      </c>
      <c r="CD30" s="20" t="s">
        <v>76</v>
      </c>
      <c r="CE30" s="20" t="s">
        <v>76</v>
      </c>
      <c r="CF30" s="15">
        <v>2.0958083832335301</v>
      </c>
      <c r="CG30" s="15">
        <v>2.7932960893854699</v>
      </c>
      <c r="CH30" s="15">
        <v>1.1029411764705901</v>
      </c>
      <c r="CI30" s="15">
        <v>1.64271047227926</v>
      </c>
      <c r="CJ30" s="15">
        <v>1.9607843137254899</v>
      </c>
      <c r="CK30" s="20" t="s">
        <v>76</v>
      </c>
      <c r="CL30" s="15">
        <v>4.5454545454545503</v>
      </c>
      <c r="CM30" s="24">
        <v>1.4989293361884399</v>
      </c>
      <c r="CN30" s="37"/>
    </row>
    <row r="31" spans="1:92">
      <c r="A31" s="9" t="s">
        <v>286</v>
      </c>
      <c r="B31" s="35">
        <v>5.7900077464085502</v>
      </c>
      <c r="C31" s="32">
        <v>5.1661630708722397</v>
      </c>
      <c r="D31" s="32">
        <v>4.98872482650237</v>
      </c>
      <c r="E31" s="32">
        <v>7.0042195353846504</v>
      </c>
      <c r="F31" s="20" t="s">
        <v>76</v>
      </c>
      <c r="G31" s="20" t="s">
        <v>76</v>
      </c>
      <c r="H31" s="20" t="s">
        <v>76</v>
      </c>
      <c r="I31" s="20" t="s">
        <v>76</v>
      </c>
      <c r="J31" s="15">
        <v>6.25</v>
      </c>
      <c r="K31" s="15">
        <v>12.8205128205128</v>
      </c>
      <c r="L31" s="20" t="s">
        <v>76</v>
      </c>
      <c r="M31" s="20" t="s">
        <v>76</v>
      </c>
      <c r="N31" s="15">
        <v>7.0588235294117601</v>
      </c>
      <c r="O31" s="20" t="s">
        <v>76</v>
      </c>
      <c r="P31" s="15">
        <v>11.2676056338028</v>
      </c>
      <c r="Q31" s="15">
        <v>7.0422535211267601</v>
      </c>
      <c r="R31" s="20" t="s">
        <v>76</v>
      </c>
      <c r="S31" s="20" t="s">
        <v>76</v>
      </c>
      <c r="T31" s="20" t="s">
        <v>76</v>
      </c>
      <c r="U31" s="20" t="s">
        <v>76</v>
      </c>
      <c r="V31" s="20" t="s">
        <v>76</v>
      </c>
      <c r="W31" s="20" t="s">
        <v>76</v>
      </c>
      <c r="X31" s="20" t="s">
        <v>76</v>
      </c>
      <c r="Y31" s="20" t="s">
        <v>76</v>
      </c>
      <c r="Z31" s="15">
        <v>6.4102564102564097</v>
      </c>
      <c r="AA31" s="15">
        <v>8.2568807339449499</v>
      </c>
      <c r="AB31" s="15">
        <v>10.294117647058799</v>
      </c>
      <c r="AC31" s="15">
        <v>6.0606060606060597</v>
      </c>
      <c r="AD31" s="20" t="s">
        <v>76</v>
      </c>
      <c r="AE31" s="20" t="s">
        <v>76</v>
      </c>
      <c r="AF31" s="20" t="s">
        <v>76</v>
      </c>
      <c r="AG31" s="15">
        <v>7.6190476190476204</v>
      </c>
      <c r="AH31" s="20" t="s">
        <v>76</v>
      </c>
      <c r="AI31" s="20" t="s">
        <v>76</v>
      </c>
      <c r="AJ31" s="15">
        <v>9.0090090090090094</v>
      </c>
      <c r="AK31" s="20" t="s">
        <v>76</v>
      </c>
      <c r="AL31" s="15">
        <v>14.4444444444444</v>
      </c>
      <c r="AM31" s="20" t="s">
        <v>76</v>
      </c>
      <c r="AN31" s="20" t="s">
        <v>76</v>
      </c>
      <c r="AO31" s="20" t="s">
        <v>76</v>
      </c>
      <c r="AP31" s="15">
        <v>6.4935064935064899</v>
      </c>
      <c r="AQ31" s="15">
        <v>12.8205128205128</v>
      </c>
      <c r="AR31" s="20" t="s">
        <v>76</v>
      </c>
      <c r="AS31" s="20" t="s">
        <v>76</v>
      </c>
      <c r="AT31" s="20" t="s">
        <v>76</v>
      </c>
      <c r="AU31" s="20" t="s">
        <v>76</v>
      </c>
      <c r="AV31" s="20" t="s">
        <v>76</v>
      </c>
      <c r="AW31" s="15">
        <v>7.7586206896551699</v>
      </c>
      <c r="AX31" s="20" t="s">
        <v>76</v>
      </c>
      <c r="AY31" s="20" t="s">
        <v>76</v>
      </c>
      <c r="AZ31" s="20" t="s">
        <v>76</v>
      </c>
      <c r="BA31" s="20" t="s">
        <v>76</v>
      </c>
      <c r="BB31" s="20" t="s">
        <v>76</v>
      </c>
      <c r="BC31" s="15">
        <v>9.4594594594594597</v>
      </c>
      <c r="BD31" s="15">
        <v>11.538461538461499</v>
      </c>
      <c r="BE31" s="20" t="s">
        <v>76</v>
      </c>
      <c r="BF31" s="15">
        <v>8.4337349397590398</v>
      </c>
      <c r="BG31" s="20" t="s">
        <v>76</v>
      </c>
      <c r="BH31" s="20" t="s">
        <v>76</v>
      </c>
      <c r="BI31" s="20" t="s">
        <v>76</v>
      </c>
      <c r="BJ31" s="15">
        <v>9.8214285714285694</v>
      </c>
      <c r="BK31" s="20" t="s">
        <v>76</v>
      </c>
      <c r="BL31" s="15">
        <v>7.8125</v>
      </c>
      <c r="BM31" s="15">
        <v>6.9306930693069297</v>
      </c>
      <c r="BN31" s="15">
        <v>6.7226890756302504</v>
      </c>
      <c r="BO31" s="15">
        <v>5.5555555555555598</v>
      </c>
      <c r="BP31" s="20" t="s">
        <v>76</v>
      </c>
      <c r="BQ31" s="15">
        <v>9.5890410958904102</v>
      </c>
      <c r="BR31" s="20" t="s">
        <v>76</v>
      </c>
      <c r="BS31" s="20" t="s">
        <v>76</v>
      </c>
      <c r="BT31" s="15">
        <v>6.0975609756097597</v>
      </c>
      <c r="BU31" s="20" t="s">
        <v>76</v>
      </c>
      <c r="BV31" s="15">
        <v>9.0909090909090899</v>
      </c>
      <c r="BW31" s="15">
        <v>11.5942028985507</v>
      </c>
      <c r="BX31" s="20" t="s">
        <v>76</v>
      </c>
      <c r="BY31" s="20" t="s">
        <v>76</v>
      </c>
      <c r="BZ31" s="15">
        <v>6.8027210884353702</v>
      </c>
      <c r="CA31" s="32">
        <v>3.36107042184956</v>
      </c>
      <c r="CB31" s="15">
        <v>3.8338658146964901</v>
      </c>
      <c r="CC31" s="15">
        <v>4.4025157232704402</v>
      </c>
      <c r="CD31" s="20" t="s">
        <v>76</v>
      </c>
      <c r="CE31" s="20" t="s">
        <v>76</v>
      </c>
      <c r="CF31" s="15">
        <v>3.5928143712574898</v>
      </c>
      <c r="CG31" s="20" t="s">
        <v>76</v>
      </c>
      <c r="CH31" s="15">
        <v>2.5735294117647101</v>
      </c>
      <c r="CI31" s="15">
        <v>4.3121149897330602</v>
      </c>
      <c r="CJ31" s="15">
        <v>5.4901960784313699</v>
      </c>
      <c r="CK31" s="20" t="s">
        <v>76</v>
      </c>
      <c r="CL31" s="15">
        <v>3.7878787878787898</v>
      </c>
      <c r="CM31" s="24">
        <v>4.2826552462526797</v>
      </c>
      <c r="CN31" s="37"/>
    </row>
    <row r="32" spans="1:92">
      <c r="A32" s="9" t="s">
        <v>287</v>
      </c>
      <c r="B32" s="35">
        <v>1.08573133382922</v>
      </c>
      <c r="C32" s="32">
        <v>1.0276189935089699</v>
      </c>
      <c r="D32" s="32">
        <v>1.0583965404090001</v>
      </c>
      <c r="E32" s="32">
        <v>1.1458119771416799</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15">
        <v>3.7878787878787898</v>
      </c>
      <c r="AD32" s="20" t="s">
        <v>76</v>
      </c>
      <c r="AE32" s="20" t="s">
        <v>76</v>
      </c>
      <c r="AF32" s="20" t="s">
        <v>76</v>
      </c>
      <c r="AG32" s="20" t="s">
        <v>76</v>
      </c>
      <c r="AH32" s="20" t="s">
        <v>76</v>
      </c>
      <c r="AI32" s="20" t="s">
        <v>76</v>
      </c>
      <c r="AJ32" s="20" t="s">
        <v>76</v>
      </c>
      <c r="AK32" s="20" t="s">
        <v>76</v>
      </c>
      <c r="AL32" s="20" t="s">
        <v>76</v>
      </c>
      <c r="AM32" s="20" t="s">
        <v>76</v>
      </c>
      <c r="AN32" s="20" t="s">
        <v>76</v>
      </c>
      <c r="AO32" s="20" t="s">
        <v>76</v>
      </c>
      <c r="AP32" s="20" t="s">
        <v>76</v>
      </c>
      <c r="AQ32" s="20" t="s">
        <v>76</v>
      </c>
      <c r="AR32" s="20" t="s">
        <v>76</v>
      </c>
      <c r="AS32" s="20" t="s">
        <v>76</v>
      </c>
      <c r="AT32" s="20" t="s">
        <v>76</v>
      </c>
      <c r="AU32" s="20" t="s">
        <v>76</v>
      </c>
      <c r="AV32" s="20" t="s">
        <v>76</v>
      </c>
      <c r="AW32" s="20" t="s">
        <v>76</v>
      </c>
      <c r="AX32" s="20" t="s">
        <v>76</v>
      </c>
      <c r="AY32" s="20" t="s">
        <v>76</v>
      </c>
      <c r="AZ32" s="20" t="s">
        <v>76</v>
      </c>
      <c r="BA32" s="20" t="s">
        <v>76</v>
      </c>
      <c r="BB32" s="20" t="s">
        <v>76</v>
      </c>
      <c r="BC32" s="20" t="s">
        <v>76</v>
      </c>
      <c r="BD32" s="20" t="s">
        <v>76</v>
      </c>
      <c r="BE32" s="20" t="s">
        <v>76</v>
      </c>
      <c r="BF32" s="20" t="s">
        <v>76</v>
      </c>
      <c r="BG32" s="20" t="s">
        <v>76</v>
      </c>
      <c r="BH32" s="20" t="s">
        <v>76</v>
      </c>
      <c r="BI32" s="20" t="s">
        <v>76</v>
      </c>
      <c r="BJ32" s="20" t="s">
        <v>76</v>
      </c>
      <c r="BK32" s="20" t="s">
        <v>76</v>
      </c>
      <c r="BL32" s="20" t="s">
        <v>76</v>
      </c>
      <c r="BM32" s="20" t="s">
        <v>76</v>
      </c>
      <c r="BN32" s="20" t="s">
        <v>76</v>
      </c>
      <c r="BO32" s="20" t="s">
        <v>76</v>
      </c>
      <c r="BP32" s="20" t="s">
        <v>76</v>
      </c>
      <c r="BQ32" s="20" t="s">
        <v>76</v>
      </c>
      <c r="BR32" s="20" t="s">
        <v>76</v>
      </c>
      <c r="BS32" s="20" t="s">
        <v>76</v>
      </c>
      <c r="BT32" s="20" t="s">
        <v>76</v>
      </c>
      <c r="BU32" s="20" t="s">
        <v>76</v>
      </c>
      <c r="BV32" s="20" t="s">
        <v>76</v>
      </c>
      <c r="BW32" s="20" t="s">
        <v>76</v>
      </c>
      <c r="BX32" s="20" t="s">
        <v>76</v>
      </c>
      <c r="BY32" s="20" t="s">
        <v>76</v>
      </c>
      <c r="BZ32" s="20" t="s">
        <v>76</v>
      </c>
      <c r="CA32" s="32">
        <v>0.98780239793592095</v>
      </c>
      <c r="CB32" s="20" t="s">
        <v>76</v>
      </c>
      <c r="CC32" s="20" t="s">
        <v>76</v>
      </c>
      <c r="CD32" s="20" t="s">
        <v>76</v>
      </c>
      <c r="CE32" s="20" t="s">
        <v>76</v>
      </c>
      <c r="CF32" s="20" t="s">
        <v>76</v>
      </c>
      <c r="CG32" s="20" t="s">
        <v>76</v>
      </c>
      <c r="CH32" s="15">
        <v>1.2867647058823499</v>
      </c>
      <c r="CI32" s="20" t="s">
        <v>76</v>
      </c>
      <c r="CJ32" s="15">
        <v>2.7450980392156898</v>
      </c>
      <c r="CK32" s="20" t="s">
        <v>76</v>
      </c>
      <c r="CL32" s="15">
        <v>1.2121212121212099</v>
      </c>
      <c r="CM32" s="26" t="s">
        <v>76</v>
      </c>
      <c r="CN32" s="37"/>
    </row>
    <row r="33" spans="1:92">
      <c r="A33" s="9" t="s">
        <v>288</v>
      </c>
      <c r="B33" s="35">
        <v>4.7659278100644897</v>
      </c>
      <c r="C33" s="32">
        <v>4.4965901960281904</v>
      </c>
      <c r="D33" s="32">
        <v>4.1373503055228102</v>
      </c>
      <c r="E33" s="32">
        <v>6.1723212615941501</v>
      </c>
      <c r="F33" s="20" t="s">
        <v>76</v>
      </c>
      <c r="G33" s="20" t="s">
        <v>76</v>
      </c>
      <c r="H33" s="20" t="s">
        <v>76</v>
      </c>
      <c r="I33" s="20" t="s">
        <v>76</v>
      </c>
      <c r="J33" s="20" t="s">
        <v>76</v>
      </c>
      <c r="K33" s="15">
        <v>12.8205128205128</v>
      </c>
      <c r="L33" s="15">
        <v>8.1967213114754092</v>
      </c>
      <c r="M33" s="20" t="s">
        <v>76</v>
      </c>
      <c r="N33" s="15">
        <v>8.2352941176470598</v>
      </c>
      <c r="O33" s="20" t="s">
        <v>76</v>
      </c>
      <c r="P33" s="15">
        <v>7.0422535211267601</v>
      </c>
      <c r="Q33" s="15">
        <v>9.8591549295774694</v>
      </c>
      <c r="R33" s="20" t="s">
        <v>76</v>
      </c>
      <c r="S33" s="15">
        <v>12.1951219512195</v>
      </c>
      <c r="T33" s="15">
        <v>10.4166666666667</v>
      </c>
      <c r="U33" s="20" t="s">
        <v>76</v>
      </c>
      <c r="V33" s="20" t="s">
        <v>76</v>
      </c>
      <c r="W33" s="20" t="s">
        <v>76</v>
      </c>
      <c r="X33" s="20" t="s">
        <v>76</v>
      </c>
      <c r="Y33" s="20" t="s">
        <v>76</v>
      </c>
      <c r="Z33" s="15">
        <v>8.9743589743589691</v>
      </c>
      <c r="AA33" s="20" t="s">
        <v>76</v>
      </c>
      <c r="AB33" s="15">
        <v>7.3529411764705896</v>
      </c>
      <c r="AC33" s="15">
        <v>7.5757575757575797</v>
      </c>
      <c r="AD33" s="20" t="s">
        <v>76</v>
      </c>
      <c r="AE33" s="20" t="s">
        <v>76</v>
      </c>
      <c r="AF33" s="20" t="s">
        <v>76</v>
      </c>
      <c r="AG33" s="15">
        <v>4.7619047619047601</v>
      </c>
      <c r="AH33" s="20" t="s">
        <v>76</v>
      </c>
      <c r="AI33" s="20" t="s">
        <v>76</v>
      </c>
      <c r="AJ33" s="15">
        <v>5.4054054054054097</v>
      </c>
      <c r="AK33" s="20" t="s">
        <v>76</v>
      </c>
      <c r="AL33" s="15">
        <v>7.7777777777777803</v>
      </c>
      <c r="AM33" s="20" t="s">
        <v>76</v>
      </c>
      <c r="AN33" s="20" t="s">
        <v>76</v>
      </c>
      <c r="AO33" s="20" t="s">
        <v>76</v>
      </c>
      <c r="AP33" s="15">
        <v>7.7922077922077904</v>
      </c>
      <c r="AQ33" s="20" t="s">
        <v>76</v>
      </c>
      <c r="AR33" s="15">
        <v>9.0909090909090899</v>
      </c>
      <c r="AS33" s="20" t="s">
        <v>76</v>
      </c>
      <c r="AT33" s="15">
        <v>9.2307692307692299</v>
      </c>
      <c r="AU33" s="20" t="s">
        <v>76</v>
      </c>
      <c r="AV33" s="20" t="s">
        <v>76</v>
      </c>
      <c r="AW33" s="15">
        <v>7.7586206896551699</v>
      </c>
      <c r="AX33" s="20" t="s">
        <v>76</v>
      </c>
      <c r="AY33" s="20" t="s">
        <v>76</v>
      </c>
      <c r="AZ33" s="15">
        <v>20</v>
      </c>
      <c r="BA33" s="20" t="s">
        <v>76</v>
      </c>
      <c r="BB33" s="15">
        <v>7.4626865671641802</v>
      </c>
      <c r="BC33" s="20" t="s">
        <v>76</v>
      </c>
      <c r="BD33" s="20" t="s">
        <v>76</v>
      </c>
      <c r="BE33" s="20" t="s">
        <v>76</v>
      </c>
      <c r="BF33" s="15">
        <v>6.0240963855421699</v>
      </c>
      <c r="BG33" s="20" t="s">
        <v>76</v>
      </c>
      <c r="BH33" s="20" t="s">
        <v>76</v>
      </c>
      <c r="BI33" s="20" t="s">
        <v>76</v>
      </c>
      <c r="BJ33" s="15">
        <v>8.9285714285714306</v>
      </c>
      <c r="BK33" s="20" t="s">
        <v>76</v>
      </c>
      <c r="BL33" s="15">
        <v>5.46875</v>
      </c>
      <c r="BM33" s="20" t="s">
        <v>76</v>
      </c>
      <c r="BN33" s="15">
        <v>7.5630252100840298</v>
      </c>
      <c r="BO33" s="15">
        <v>5.5555555555555598</v>
      </c>
      <c r="BP33" s="20" t="s">
        <v>76</v>
      </c>
      <c r="BQ33" s="20" t="s">
        <v>76</v>
      </c>
      <c r="BR33" s="20" t="s">
        <v>76</v>
      </c>
      <c r="BS33" s="15">
        <v>6.0240963855421699</v>
      </c>
      <c r="BT33" s="20" t="s">
        <v>76</v>
      </c>
      <c r="BU33" s="20" t="s">
        <v>76</v>
      </c>
      <c r="BV33" s="15">
        <v>9.0909090909090899</v>
      </c>
      <c r="BW33" s="20" t="s">
        <v>76</v>
      </c>
      <c r="BX33" s="20" t="s">
        <v>76</v>
      </c>
      <c r="BY33" s="15">
        <v>17.460317460317501</v>
      </c>
      <c r="BZ33" s="15">
        <v>3.40136054421769</v>
      </c>
      <c r="CA33" s="32">
        <v>2.4939674549536299</v>
      </c>
      <c r="CB33" s="20" t="s">
        <v>76</v>
      </c>
      <c r="CC33" s="15">
        <v>2.5157232704402501</v>
      </c>
      <c r="CD33" s="20" t="s">
        <v>76</v>
      </c>
      <c r="CE33" s="20" t="s">
        <v>76</v>
      </c>
      <c r="CF33" s="15">
        <v>3.8922155688622802</v>
      </c>
      <c r="CG33" s="20" t="s">
        <v>76</v>
      </c>
      <c r="CH33" s="15">
        <v>3.4926470588235299</v>
      </c>
      <c r="CI33" s="15">
        <v>2.8747433264887099</v>
      </c>
      <c r="CJ33" s="15">
        <v>3.52941176470588</v>
      </c>
      <c r="CK33" s="15">
        <v>3.1390134529148002</v>
      </c>
      <c r="CL33" s="15">
        <v>2.2727272727272698</v>
      </c>
      <c r="CM33" s="24">
        <v>1.7130620985010701</v>
      </c>
      <c r="CN33" s="37"/>
    </row>
    <row r="34" spans="1:92">
      <c r="A34" s="9" t="s">
        <v>289</v>
      </c>
      <c r="B34" s="35">
        <v>17.146766662270899</v>
      </c>
      <c r="C34" s="32">
        <v>19.4774923735446</v>
      </c>
      <c r="D34" s="32">
        <v>20.941000779376001</v>
      </c>
      <c r="E34" s="32">
        <v>19.844127353883</v>
      </c>
      <c r="F34" s="20" t="s">
        <v>76</v>
      </c>
      <c r="G34" s="20" t="s">
        <v>76</v>
      </c>
      <c r="H34" s="15">
        <v>26.086956521739101</v>
      </c>
      <c r="I34" s="20" t="s">
        <v>76</v>
      </c>
      <c r="J34" s="15">
        <v>20.8333333333333</v>
      </c>
      <c r="K34" s="15">
        <v>15.384615384615399</v>
      </c>
      <c r="L34" s="15">
        <v>26.229508196721302</v>
      </c>
      <c r="M34" s="15">
        <v>10.526315789473699</v>
      </c>
      <c r="N34" s="15">
        <v>21.176470588235301</v>
      </c>
      <c r="O34" s="20" t="s">
        <v>76</v>
      </c>
      <c r="P34" s="15">
        <v>16.901408450704199</v>
      </c>
      <c r="Q34" s="15">
        <v>36.619718309859202</v>
      </c>
      <c r="R34" s="20" t="s">
        <v>76</v>
      </c>
      <c r="S34" s="15">
        <v>31.707317073170699</v>
      </c>
      <c r="T34" s="15">
        <v>22.9166666666667</v>
      </c>
      <c r="U34" s="20" t="s">
        <v>76</v>
      </c>
      <c r="V34" s="15">
        <v>26.470588235294102</v>
      </c>
      <c r="W34" s="15">
        <v>11.864406779661</v>
      </c>
      <c r="X34" s="20" t="s">
        <v>76</v>
      </c>
      <c r="Y34" s="20" t="s">
        <v>76</v>
      </c>
      <c r="Z34" s="15">
        <v>29.4871794871795</v>
      </c>
      <c r="AA34" s="15">
        <v>29.357798165137599</v>
      </c>
      <c r="AB34" s="15">
        <v>32.352941176470601</v>
      </c>
      <c r="AC34" s="15">
        <v>31.818181818181799</v>
      </c>
      <c r="AD34" s="15">
        <v>25</v>
      </c>
      <c r="AE34" s="15">
        <v>18.518518518518501</v>
      </c>
      <c r="AF34" s="20" t="s">
        <v>76</v>
      </c>
      <c r="AG34" s="15">
        <v>10.476190476190499</v>
      </c>
      <c r="AH34" s="15">
        <v>10.714285714285699</v>
      </c>
      <c r="AI34" s="20" t="s">
        <v>76</v>
      </c>
      <c r="AJ34" s="15">
        <v>27.027027027027</v>
      </c>
      <c r="AK34" s="15">
        <v>30</v>
      </c>
      <c r="AL34" s="15">
        <v>20</v>
      </c>
      <c r="AM34" s="15">
        <v>12.5</v>
      </c>
      <c r="AN34" s="20" t="s">
        <v>76</v>
      </c>
      <c r="AO34" s="15">
        <v>17.5</v>
      </c>
      <c r="AP34" s="15">
        <v>11.6883116883117</v>
      </c>
      <c r="AQ34" s="15">
        <v>35.897435897435898</v>
      </c>
      <c r="AR34" s="15">
        <v>10.909090909090899</v>
      </c>
      <c r="AS34" s="20" t="s">
        <v>76</v>
      </c>
      <c r="AT34" s="15">
        <v>26.153846153846199</v>
      </c>
      <c r="AU34" s="15">
        <v>20.408163265306101</v>
      </c>
      <c r="AV34" s="15">
        <v>17.808219178082201</v>
      </c>
      <c r="AW34" s="15">
        <v>9.4827586206896601</v>
      </c>
      <c r="AX34" s="15">
        <v>37.5</v>
      </c>
      <c r="AY34" s="15">
        <v>17.1428571428571</v>
      </c>
      <c r="AZ34" s="15">
        <v>28</v>
      </c>
      <c r="BA34" s="20" t="s">
        <v>76</v>
      </c>
      <c r="BB34" s="15">
        <v>37.313432835820898</v>
      </c>
      <c r="BC34" s="15">
        <v>10.8108108108108</v>
      </c>
      <c r="BD34" s="15">
        <v>19.230769230769202</v>
      </c>
      <c r="BE34" s="15">
        <v>10.3448275862069</v>
      </c>
      <c r="BF34" s="15">
        <v>15.662650602409601</v>
      </c>
      <c r="BG34" s="15">
        <v>11.9402985074627</v>
      </c>
      <c r="BH34" s="15">
        <v>20.8333333333333</v>
      </c>
      <c r="BI34" s="20" t="s">
        <v>76</v>
      </c>
      <c r="BJ34" s="15">
        <v>25</v>
      </c>
      <c r="BK34" s="15">
        <v>20</v>
      </c>
      <c r="BL34" s="15">
        <v>18.75</v>
      </c>
      <c r="BM34" s="15">
        <v>13.8613861386139</v>
      </c>
      <c r="BN34" s="15">
        <v>36.974789915966397</v>
      </c>
      <c r="BO34" s="15">
        <v>14.4444444444444</v>
      </c>
      <c r="BP34" s="20" t="s">
        <v>76</v>
      </c>
      <c r="BQ34" s="15">
        <v>20.5479452054795</v>
      </c>
      <c r="BR34" s="15">
        <v>15</v>
      </c>
      <c r="BS34" s="15">
        <v>27.710843373494001</v>
      </c>
      <c r="BT34" s="15">
        <v>18.292682926829301</v>
      </c>
      <c r="BU34" s="15">
        <v>11.214953271028</v>
      </c>
      <c r="BV34" s="15">
        <v>31.313131313131301</v>
      </c>
      <c r="BW34" s="15">
        <v>8.6956521739130395</v>
      </c>
      <c r="BX34" s="20" t="s">
        <v>76</v>
      </c>
      <c r="BY34" s="15">
        <v>22.2222222222222</v>
      </c>
      <c r="BZ34" s="15">
        <v>20.408163265306101</v>
      </c>
      <c r="CA34" s="32">
        <v>21.826803582272198</v>
      </c>
      <c r="CB34" s="15">
        <v>14.3769968051118</v>
      </c>
      <c r="CC34" s="15">
        <v>17.6100628930818</v>
      </c>
      <c r="CD34" s="15">
        <v>21.935483870967701</v>
      </c>
      <c r="CE34" s="20" t="s">
        <v>76</v>
      </c>
      <c r="CF34" s="15">
        <v>19.161676646706599</v>
      </c>
      <c r="CG34" s="15">
        <v>21.229050279329599</v>
      </c>
      <c r="CH34" s="15">
        <v>30.330882352941199</v>
      </c>
      <c r="CI34" s="15">
        <v>21.1498973305955</v>
      </c>
      <c r="CJ34" s="15">
        <v>25.490196078431399</v>
      </c>
      <c r="CK34" s="15">
        <v>25.5605381165919</v>
      </c>
      <c r="CL34" s="15">
        <v>25.606060606060598</v>
      </c>
      <c r="CM34" s="24">
        <v>22.0556745182013</v>
      </c>
      <c r="CN34" s="37"/>
    </row>
    <row r="35" spans="1:92">
      <c r="A35" s="9" t="s">
        <v>290</v>
      </c>
      <c r="B35" s="35">
        <v>22.264245126520599</v>
      </c>
      <c r="C35" s="32">
        <v>22.478800562749701</v>
      </c>
      <c r="D35" s="32">
        <v>23.780112483781402</v>
      </c>
      <c r="E35" s="32">
        <v>20.972465606142201</v>
      </c>
      <c r="F35" s="20" t="s">
        <v>76</v>
      </c>
      <c r="G35" s="20" t="s">
        <v>76</v>
      </c>
      <c r="H35" s="15">
        <v>26.086956521739101</v>
      </c>
      <c r="I35" s="20" t="s">
        <v>76</v>
      </c>
      <c r="J35" s="15">
        <v>15.9722222222222</v>
      </c>
      <c r="K35" s="15">
        <v>25.6410256410256</v>
      </c>
      <c r="L35" s="15">
        <v>21.311475409836099</v>
      </c>
      <c r="M35" s="15">
        <v>7.8947368421052602</v>
      </c>
      <c r="N35" s="15">
        <v>23.529411764705898</v>
      </c>
      <c r="O35" s="20" t="s">
        <v>76</v>
      </c>
      <c r="P35" s="15">
        <v>12.6760563380282</v>
      </c>
      <c r="Q35" s="15">
        <v>14.084507042253501</v>
      </c>
      <c r="R35" s="20" t="s">
        <v>76</v>
      </c>
      <c r="S35" s="15">
        <v>34.146341463414601</v>
      </c>
      <c r="T35" s="15">
        <v>14.5833333333333</v>
      </c>
      <c r="U35" s="15">
        <v>28.571428571428601</v>
      </c>
      <c r="V35" s="15">
        <v>14.705882352941201</v>
      </c>
      <c r="W35" s="15">
        <v>11.864406779661</v>
      </c>
      <c r="X35" s="20" t="s">
        <v>76</v>
      </c>
      <c r="Y35" s="20" t="s">
        <v>76</v>
      </c>
      <c r="Z35" s="15">
        <v>23.076923076923102</v>
      </c>
      <c r="AA35" s="15">
        <v>26.605504587155998</v>
      </c>
      <c r="AB35" s="15">
        <v>27.9411764705882</v>
      </c>
      <c r="AC35" s="15">
        <v>31.060606060606101</v>
      </c>
      <c r="AD35" s="15">
        <v>15.625</v>
      </c>
      <c r="AE35" s="15">
        <v>25.925925925925899</v>
      </c>
      <c r="AF35" s="15">
        <v>35.714285714285701</v>
      </c>
      <c r="AG35" s="15">
        <v>11.4285714285714</v>
      </c>
      <c r="AH35" s="15">
        <v>10.714285714285699</v>
      </c>
      <c r="AI35" s="20" t="s">
        <v>76</v>
      </c>
      <c r="AJ35" s="15">
        <v>18.018018018018001</v>
      </c>
      <c r="AK35" s="15">
        <v>46.6666666666667</v>
      </c>
      <c r="AL35" s="15">
        <v>36.6666666666667</v>
      </c>
      <c r="AM35" s="15">
        <v>20.3125</v>
      </c>
      <c r="AN35" s="20" t="s">
        <v>76</v>
      </c>
      <c r="AO35" s="15">
        <v>22.5</v>
      </c>
      <c r="AP35" s="15">
        <v>11.6883116883117</v>
      </c>
      <c r="AQ35" s="15">
        <v>17.948717948717899</v>
      </c>
      <c r="AR35" s="15">
        <v>32.727272727272698</v>
      </c>
      <c r="AS35" s="20" t="s">
        <v>76</v>
      </c>
      <c r="AT35" s="15">
        <v>26.153846153846199</v>
      </c>
      <c r="AU35" s="15">
        <v>24.4897959183673</v>
      </c>
      <c r="AV35" s="15">
        <v>15.068493150684899</v>
      </c>
      <c r="AW35" s="15">
        <v>15.517241379310301</v>
      </c>
      <c r="AX35" s="15">
        <v>31.25</v>
      </c>
      <c r="AY35" s="15">
        <v>14.285714285714301</v>
      </c>
      <c r="AZ35" s="15">
        <v>34</v>
      </c>
      <c r="BA35" s="15">
        <v>20.754716981132098</v>
      </c>
      <c r="BB35" s="15">
        <v>28.358208955223901</v>
      </c>
      <c r="BC35" s="15">
        <v>13.5135135135135</v>
      </c>
      <c r="BD35" s="15">
        <v>26.923076923076898</v>
      </c>
      <c r="BE35" s="20" t="s">
        <v>76</v>
      </c>
      <c r="BF35" s="15">
        <v>22.891566265060199</v>
      </c>
      <c r="BG35" s="15">
        <v>17.910447761194</v>
      </c>
      <c r="BH35" s="20" t="s">
        <v>76</v>
      </c>
      <c r="BI35" s="20" t="s">
        <v>76</v>
      </c>
      <c r="BJ35" s="15">
        <v>25</v>
      </c>
      <c r="BK35" s="15">
        <v>32.5</v>
      </c>
      <c r="BL35" s="15">
        <v>20.3125</v>
      </c>
      <c r="BM35" s="15">
        <v>25.742574257425701</v>
      </c>
      <c r="BN35" s="15">
        <v>29.411764705882401</v>
      </c>
      <c r="BO35" s="15">
        <v>8.8888888888888893</v>
      </c>
      <c r="BP35" s="15">
        <v>40</v>
      </c>
      <c r="BQ35" s="15">
        <v>19.178082191780799</v>
      </c>
      <c r="BR35" s="15">
        <v>23.3333333333333</v>
      </c>
      <c r="BS35" s="15">
        <v>16.867469879518101</v>
      </c>
      <c r="BT35" s="15">
        <v>28.048780487804901</v>
      </c>
      <c r="BU35" s="15">
        <v>24.299065420560702</v>
      </c>
      <c r="BV35" s="15">
        <v>28.282828282828302</v>
      </c>
      <c r="BW35" s="15">
        <v>14.492753623188401</v>
      </c>
      <c r="BX35" s="20" t="s">
        <v>76</v>
      </c>
      <c r="BY35" s="15">
        <v>12.698412698412699</v>
      </c>
      <c r="BZ35" s="15">
        <v>38.775510204081598</v>
      </c>
      <c r="CA35" s="32">
        <v>26.047485743041001</v>
      </c>
      <c r="CB35" s="15">
        <v>19.808306709265199</v>
      </c>
      <c r="CC35" s="15">
        <v>22.3270440251572</v>
      </c>
      <c r="CD35" s="15">
        <v>33.548387096774199</v>
      </c>
      <c r="CE35" s="20" t="s">
        <v>76</v>
      </c>
      <c r="CF35" s="15">
        <v>21.856287425149699</v>
      </c>
      <c r="CG35" s="15">
        <v>19.553072625698299</v>
      </c>
      <c r="CH35" s="15">
        <v>28.125</v>
      </c>
      <c r="CI35" s="15">
        <v>27.5154004106776</v>
      </c>
      <c r="CJ35" s="15">
        <v>31.372549019607799</v>
      </c>
      <c r="CK35" s="15">
        <v>32.286995515695097</v>
      </c>
      <c r="CL35" s="15">
        <v>26.6666666666667</v>
      </c>
      <c r="CM35" s="24">
        <v>30.620985010706601</v>
      </c>
      <c r="CN35" s="37"/>
    </row>
    <row r="36" spans="1:92">
      <c r="A36" s="9" t="s">
        <v>291</v>
      </c>
      <c r="B36" s="35">
        <v>12.500004811256201</v>
      </c>
      <c r="C36" s="32">
        <v>12.991485360659899</v>
      </c>
      <c r="D36" s="32">
        <v>12.9796948417994</v>
      </c>
      <c r="E36" s="32">
        <v>14.1246189020729</v>
      </c>
      <c r="F36" s="20" t="s">
        <v>76</v>
      </c>
      <c r="G36" s="20" t="s">
        <v>76</v>
      </c>
      <c r="H36" s="15">
        <v>26.086956521739101</v>
      </c>
      <c r="I36" s="15">
        <v>60</v>
      </c>
      <c r="J36" s="15">
        <v>11.1111111111111</v>
      </c>
      <c r="K36" s="20" t="s">
        <v>76</v>
      </c>
      <c r="L36" s="15">
        <v>13.1147540983607</v>
      </c>
      <c r="M36" s="15">
        <v>19.7368421052632</v>
      </c>
      <c r="N36" s="15">
        <v>12.9411764705882</v>
      </c>
      <c r="O36" s="15">
        <v>13.953488372093</v>
      </c>
      <c r="P36" s="15">
        <v>19.7183098591549</v>
      </c>
      <c r="Q36" s="15">
        <v>19.7183098591549</v>
      </c>
      <c r="R36" s="20" t="s">
        <v>76</v>
      </c>
      <c r="S36" s="20" t="s">
        <v>76</v>
      </c>
      <c r="T36" s="15">
        <v>20.8333333333333</v>
      </c>
      <c r="U36" s="20" t="s">
        <v>76</v>
      </c>
      <c r="V36" s="15">
        <v>14.705882352941201</v>
      </c>
      <c r="W36" s="15">
        <v>11.864406779661</v>
      </c>
      <c r="X36" s="20" t="s">
        <v>76</v>
      </c>
      <c r="Y36" s="20" t="s">
        <v>76</v>
      </c>
      <c r="Z36" s="15">
        <v>16.6666666666667</v>
      </c>
      <c r="AA36" s="15">
        <v>12.8440366972477</v>
      </c>
      <c r="AB36" s="15">
        <v>11.764705882352899</v>
      </c>
      <c r="AC36" s="15">
        <v>7.5757575757575797</v>
      </c>
      <c r="AD36" s="20" t="s">
        <v>76</v>
      </c>
      <c r="AE36" s="20" t="s">
        <v>76</v>
      </c>
      <c r="AF36" s="15">
        <v>35.714285714285701</v>
      </c>
      <c r="AG36" s="15">
        <v>9.5238095238095202</v>
      </c>
      <c r="AH36" s="15">
        <v>10.714285714285699</v>
      </c>
      <c r="AI36" s="20" t="s">
        <v>76</v>
      </c>
      <c r="AJ36" s="15">
        <v>13.5135135135135</v>
      </c>
      <c r="AK36" s="20" t="s">
        <v>76</v>
      </c>
      <c r="AL36" s="15">
        <v>23.3333333333333</v>
      </c>
      <c r="AM36" s="15">
        <v>18.75</v>
      </c>
      <c r="AN36" s="20" t="s">
        <v>76</v>
      </c>
      <c r="AO36" s="20" t="s">
        <v>76</v>
      </c>
      <c r="AP36" s="15">
        <v>15.5844155844156</v>
      </c>
      <c r="AQ36" s="15">
        <v>17.948717948717899</v>
      </c>
      <c r="AR36" s="20" t="s">
        <v>76</v>
      </c>
      <c r="AS36" s="20" t="s">
        <v>76</v>
      </c>
      <c r="AT36" s="15">
        <v>7.6923076923076898</v>
      </c>
      <c r="AU36" s="15">
        <v>16.326530612244898</v>
      </c>
      <c r="AV36" s="15">
        <v>8.2191780821917799</v>
      </c>
      <c r="AW36" s="15">
        <v>11.2068965517241</v>
      </c>
      <c r="AX36" s="20" t="s">
        <v>76</v>
      </c>
      <c r="AY36" s="20" t="s">
        <v>76</v>
      </c>
      <c r="AZ36" s="15">
        <v>32</v>
      </c>
      <c r="BA36" s="15">
        <v>20.754716981132098</v>
      </c>
      <c r="BB36" s="15">
        <v>14.9253731343284</v>
      </c>
      <c r="BC36" s="15">
        <v>16.2162162162162</v>
      </c>
      <c r="BD36" s="15">
        <v>23.076923076923102</v>
      </c>
      <c r="BE36" s="15">
        <v>17.241379310344801</v>
      </c>
      <c r="BF36" s="15">
        <v>19.277108433734899</v>
      </c>
      <c r="BG36" s="15">
        <v>10.4477611940298</v>
      </c>
      <c r="BH36" s="20" t="s">
        <v>76</v>
      </c>
      <c r="BI36" s="20" t="s">
        <v>76</v>
      </c>
      <c r="BJ36" s="15">
        <v>10.714285714285699</v>
      </c>
      <c r="BK36" s="15">
        <v>15</v>
      </c>
      <c r="BL36" s="15">
        <v>12.5</v>
      </c>
      <c r="BM36" s="15">
        <v>12.8712871287129</v>
      </c>
      <c r="BN36" s="15">
        <v>9.2436974789915993</v>
      </c>
      <c r="BO36" s="15">
        <v>14.4444444444444</v>
      </c>
      <c r="BP36" s="20" t="s">
        <v>76</v>
      </c>
      <c r="BQ36" s="15">
        <v>12.328767123287699</v>
      </c>
      <c r="BR36" s="15">
        <v>16.6666666666667</v>
      </c>
      <c r="BS36" s="15">
        <v>13.253012048192801</v>
      </c>
      <c r="BT36" s="15">
        <v>7.3170731707317103</v>
      </c>
      <c r="BU36" s="15">
        <v>13.0841121495327</v>
      </c>
      <c r="BV36" s="15">
        <v>28.282828282828302</v>
      </c>
      <c r="BW36" s="15">
        <v>7.2463768115942004</v>
      </c>
      <c r="BX36" s="20" t="s">
        <v>76</v>
      </c>
      <c r="BY36" s="15">
        <v>12.698412698412699</v>
      </c>
      <c r="BZ36" s="15">
        <v>12.925170068027199</v>
      </c>
      <c r="CA36" s="32">
        <v>12.055087755765101</v>
      </c>
      <c r="CB36" s="15">
        <v>13.418530351437701</v>
      </c>
      <c r="CC36" s="15">
        <v>14.7798742138365</v>
      </c>
      <c r="CD36" s="15">
        <v>12.9032258064516</v>
      </c>
      <c r="CE36" s="20" t="s">
        <v>76</v>
      </c>
      <c r="CF36" s="15">
        <v>10.4790419161677</v>
      </c>
      <c r="CG36" s="15">
        <v>16.201117318435799</v>
      </c>
      <c r="CH36" s="15">
        <v>12.5</v>
      </c>
      <c r="CI36" s="15">
        <v>13.347022587269</v>
      </c>
      <c r="CJ36" s="15">
        <v>12.9411764705882</v>
      </c>
      <c r="CK36" s="15">
        <v>17.4887892376682</v>
      </c>
      <c r="CL36" s="15">
        <v>11.0606060606061</v>
      </c>
      <c r="CM36" s="24">
        <v>11.134903640257001</v>
      </c>
      <c r="CN36" s="37"/>
    </row>
    <row r="37" spans="1:92">
      <c r="A37" s="9" t="s">
        <v>292</v>
      </c>
      <c r="B37" s="35">
        <v>17.716620358467399</v>
      </c>
      <c r="C37" s="32">
        <v>21.201431722856501</v>
      </c>
      <c r="D37" s="32">
        <v>20.303143416459701</v>
      </c>
      <c r="E37" s="32">
        <v>18.1479353721537</v>
      </c>
      <c r="F37" s="20" t="s">
        <v>76</v>
      </c>
      <c r="G37" s="20" t="s">
        <v>76</v>
      </c>
      <c r="H37" s="20" t="s">
        <v>76</v>
      </c>
      <c r="I37" s="20" t="s">
        <v>76</v>
      </c>
      <c r="J37" s="15">
        <v>15.2777777777778</v>
      </c>
      <c r="K37" s="20" t="s">
        <v>76</v>
      </c>
      <c r="L37" s="15">
        <v>26.229508196721302</v>
      </c>
      <c r="M37" s="15">
        <v>17.105263157894701</v>
      </c>
      <c r="N37" s="15">
        <v>14.117647058823501</v>
      </c>
      <c r="O37" s="15">
        <v>13.953488372093</v>
      </c>
      <c r="P37" s="15">
        <v>15.492957746478901</v>
      </c>
      <c r="Q37" s="15">
        <v>18.309859154929601</v>
      </c>
      <c r="R37" s="20" t="s">
        <v>76</v>
      </c>
      <c r="S37" s="15">
        <v>19.512195121951201</v>
      </c>
      <c r="T37" s="20" t="s">
        <v>76</v>
      </c>
      <c r="U37" s="15">
        <v>28.571428571428601</v>
      </c>
      <c r="V37" s="15">
        <v>17.647058823529399</v>
      </c>
      <c r="W37" s="15">
        <v>15.254237288135601</v>
      </c>
      <c r="X37" s="20" t="s">
        <v>76</v>
      </c>
      <c r="Y37" s="20" t="s">
        <v>76</v>
      </c>
      <c r="Z37" s="15">
        <v>23.076923076923102</v>
      </c>
      <c r="AA37" s="15">
        <v>25.688073394495401</v>
      </c>
      <c r="AB37" s="15">
        <v>25</v>
      </c>
      <c r="AC37" s="15">
        <v>24.2424242424242</v>
      </c>
      <c r="AD37" s="20" t="s">
        <v>76</v>
      </c>
      <c r="AE37" s="20" t="s">
        <v>76</v>
      </c>
      <c r="AF37" s="20" t="s">
        <v>76</v>
      </c>
      <c r="AG37" s="15">
        <v>13.3333333333333</v>
      </c>
      <c r="AH37" s="15">
        <v>17.8571428571429</v>
      </c>
      <c r="AI37" s="20" t="s">
        <v>76</v>
      </c>
      <c r="AJ37" s="15">
        <v>18.018018018018001</v>
      </c>
      <c r="AK37" s="15">
        <v>36.6666666666667</v>
      </c>
      <c r="AL37" s="15">
        <v>18.8888888888889</v>
      </c>
      <c r="AM37" s="15">
        <v>21.875</v>
      </c>
      <c r="AN37" s="20" t="s">
        <v>76</v>
      </c>
      <c r="AO37" s="20" t="s">
        <v>76</v>
      </c>
      <c r="AP37" s="15">
        <v>9.0909090909090899</v>
      </c>
      <c r="AQ37" s="15">
        <v>20.5128205128205</v>
      </c>
      <c r="AR37" s="15">
        <v>12.7272727272727</v>
      </c>
      <c r="AS37" s="20" t="s">
        <v>76</v>
      </c>
      <c r="AT37" s="15">
        <v>23.076923076923102</v>
      </c>
      <c r="AU37" s="15">
        <v>28.571428571428601</v>
      </c>
      <c r="AV37" s="15">
        <v>13.698630136986299</v>
      </c>
      <c r="AW37" s="15">
        <v>18.1034482758621</v>
      </c>
      <c r="AX37" s="20" t="s">
        <v>76</v>
      </c>
      <c r="AY37" s="15">
        <v>14.285714285714301</v>
      </c>
      <c r="AZ37" s="15">
        <v>46</v>
      </c>
      <c r="BA37" s="15">
        <v>18.867924528301899</v>
      </c>
      <c r="BB37" s="15">
        <v>32.835820895522403</v>
      </c>
      <c r="BC37" s="15">
        <v>18.918918918918902</v>
      </c>
      <c r="BD37" s="15">
        <v>15.384615384615399</v>
      </c>
      <c r="BE37" s="15">
        <v>10.3448275862069</v>
      </c>
      <c r="BF37" s="15">
        <v>9.6385542168674707</v>
      </c>
      <c r="BG37" s="15">
        <v>16.417910447761201</v>
      </c>
      <c r="BH37" s="20" t="s">
        <v>76</v>
      </c>
      <c r="BI37" s="20" t="s">
        <v>76</v>
      </c>
      <c r="BJ37" s="15">
        <v>11.6071428571429</v>
      </c>
      <c r="BK37" s="20" t="s">
        <v>76</v>
      </c>
      <c r="BL37" s="15">
        <v>19.53125</v>
      </c>
      <c r="BM37" s="15">
        <v>9.9009900990098991</v>
      </c>
      <c r="BN37" s="15">
        <v>37.815126050420197</v>
      </c>
      <c r="BO37" s="15">
        <v>14.4444444444444</v>
      </c>
      <c r="BP37" s="20" t="s">
        <v>76</v>
      </c>
      <c r="BQ37" s="15">
        <v>12.328767123287699</v>
      </c>
      <c r="BR37" s="15">
        <v>13.3333333333333</v>
      </c>
      <c r="BS37" s="15">
        <v>10.8433734939759</v>
      </c>
      <c r="BT37" s="15">
        <v>20.731707317073202</v>
      </c>
      <c r="BU37" s="15">
        <v>18.691588785046701</v>
      </c>
      <c r="BV37" s="15">
        <v>41.414141414141397</v>
      </c>
      <c r="BW37" s="20" t="s">
        <v>76</v>
      </c>
      <c r="BX37" s="20" t="s">
        <v>76</v>
      </c>
      <c r="BY37" s="15">
        <v>9.5238095238095202</v>
      </c>
      <c r="BZ37" s="15">
        <v>31.9727891156463</v>
      </c>
      <c r="CA37" s="32">
        <v>22.043626212469299</v>
      </c>
      <c r="CB37" s="15">
        <v>21.725239616613401</v>
      </c>
      <c r="CC37" s="15">
        <v>13.8364779874214</v>
      </c>
      <c r="CD37" s="15">
        <v>23.870967741935502</v>
      </c>
      <c r="CE37" s="20" t="s">
        <v>76</v>
      </c>
      <c r="CF37" s="15">
        <v>16.766467065868301</v>
      </c>
      <c r="CG37" s="15">
        <v>20.670391061452499</v>
      </c>
      <c r="CH37" s="15">
        <v>24.080882352941199</v>
      </c>
      <c r="CI37" s="15">
        <v>19.507186858316199</v>
      </c>
      <c r="CJ37" s="15">
        <v>20</v>
      </c>
      <c r="CK37" s="15">
        <v>21.52466367713</v>
      </c>
      <c r="CL37" s="15">
        <v>28.939393939393899</v>
      </c>
      <c r="CM37" s="24">
        <v>26.124197002141301</v>
      </c>
      <c r="CN37" s="37"/>
    </row>
    <row r="38" spans="1:92">
      <c r="A38" s="9" t="s">
        <v>293</v>
      </c>
      <c r="B38" s="35">
        <v>20.203475727794299</v>
      </c>
      <c r="C38" s="32">
        <v>19.798753201118899</v>
      </c>
      <c r="D38" s="32">
        <v>19.710257089091201</v>
      </c>
      <c r="E38" s="32">
        <v>25.389211173177902</v>
      </c>
      <c r="F38" s="15">
        <v>29.411764705882401</v>
      </c>
      <c r="G38" s="20" t="s">
        <v>76</v>
      </c>
      <c r="H38" s="15">
        <v>56.521739130434803</v>
      </c>
      <c r="I38" s="20" t="s">
        <v>76</v>
      </c>
      <c r="J38" s="15">
        <v>25</v>
      </c>
      <c r="K38" s="20" t="s">
        <v>76</v>
      </c>
      <c r="L38" s="15">
        <v>18.032786885245901</v>
      </c>
      <c r="M38" s="15">
        <v>28.947368421052602</v>
      </c>
      <c r="N38" s="15">
        <v>29.411764705882401</v>
      </c>
      <c r="O38" s="15">
        <v>11.6279069767442</v>
      </c>
      <c r="P38" s="15">
        <v>32.394366197183103</v>
      </c>
      <c r="Q38" s="15">
        <v>25.352112676056301</v>
      </c>
      <c r="R38" s="20" t="s">
        <v>76</v>
      </c>
      <c r="S38" s="15">
        <v>41.463414634146297</v>
      </c>
      <c r="T38" s="15">
        <v>50</v>
      </c>
      <c r="U38" s="20" t="s">
        <v>76</v>
      </c>
      <c r="V38" s="20" t="s">
        <v>76</v>
      </c>
      <c r="W38" s="15">
        <v>25.4237288135593</v>
      </c>
      <c r="X38" s="20" t="s">
        <v>76</v>
      </c>
      <c r="Y38" s="20" t="s">
        <v>76</v>
      </c>
      <c r="Z38" s="15">
        <v>15.384615384615399</v>
      </c>
      <c r="AA38" s="15">
        <v>36.697247706421997</v>
      </c>
      <c r="AB38" s="15">
        <v>30.882352941176499</v>
      </c>
      <c r="AC38" s="15">
        <v>20.454545454545499</v>
      </c>
      <c r="AD38" s="15">
        <v>15.625</v>
      </c>
      <c r="AE38" s="15">
        <v>18.518518518518501</v>
      </c>
      <c r="AF38" s="20" t="s">
        <v>76</v>
      </c>
      <c r="AG38" s="15">
        <v>23.8095238095238</v>
      </c>
      <c r="AH38" s="15">
        <v>8.9285714285714306</v>
      </c>
      <c r="AI38" s="20" t="s">
        <v>76</v>
      </c>
      <c r="AJ38" s="15">
        <v>24.324324324324301</v>
      </c>
      <c r="AK38" s="15">
        <v>20</v>
      </c>
      <c r="AL38" s="15">
        <v>20</v>
      </c>
      <c r="AM38" s="15">
        <v>32.8125</v>
      </c>
      <c r="AN38" s="20" t="s">
        <v>76</v>
      </c>
      <c r="AO38" s="20" t="s">
        <v>76</v>
      </c>
      <c r="AP38" s="15">
        <v>15.5844155844156</v>
      </c>
      <c r="AQ38" s="15">
        <v>35.897435897435898</v>
      </c>
      <c r="AR38" s="15">
        <v>14.545454545454501</v>
      </c>
      <c r="AS38" s="20" t="s">
        <v>76</v>
      </c>
      <c r="AT38" s="15">
        <v>21.538461538461501</v>
      </c>
      <c r="AU38" s="15">
        <v>22.4489795918367</v>
      </c>
      <c r="AV38" s="15">
        <v>20.5479452054795</v>
      </c>
      <c r="AW38" s="15">
        <v>25</v>
      </c>
      <c r="AX38" s="15">
        <v>31.25</v>
      </c>
      <c r="AY38" s="15">
        <v>28.571428571428601</v>
      </c>
      <c r="AZ38" s="15">
        <v>30</v>
      </c>
      <c r="BA38" s="15">
        <v>39.622641509433997</v>
      </c>
      <c r="BB38" s="15">
        <v>35.820895522388099</v>
      </c>
      <c r="BC38" s="15">
        <v>28.3783783783784</v>
      </c>
      <c r="BD38" s="15">
        <v>23.076923076923102</v>
      </c>
      <c r="BE38" s="15">
        <v>18.965517241379299</v>
      </c>
      <c r="BF38" s="15">
        <v>32.530120481927703</v>
      </c>
      <c r="BG38" s="15">
        <v>20.8955223880597</v>
      </c>
      <c r="BH38" s="15">
        <v>20.8333333333333</v>
      </c>
      <c r="BI38" s="20" t="s">
        <v>76</v>
      </c>
      <c r="BJ38" s="15">
        <v>41.071428571428598</v>
      </c>
      <c r="BK38" s="20" t="s">
        <v>76</v>
      </c>
      <c r="BL38" s="15">
        <v>20.3125</v>
      </c>
      <c r="BM38" s="15">
        <v>22.7722772277228</v>
      </c>
      <c r="BN38" s="15">
        <v>31.932773109243701</v>
      </c>
      <c r="BO38" s="15">
        <v>14.4444444444444</v>
      </c>
      <c r="BP38" s="20" t="s">
        <v>76</v>
      </c>
      <c r="BQ38" s="15">
        <v>12.328767123287699</v>
      </c>
      <c r="BR38" s="15">
        <v>25</v>
      </c>
      <c r="BS38" s="15">
        <v>27.710843373494001</v>
      </c>
      <c r="BT38" s="15">
        <v>25.609756097561</v>
      </c>
      <c r="BU38" s="15">
        <v>45.7943925233645</v>
      </c>
      <c r="BV38" s="15">
        <v>36.363636363636402</v>
      </c>
      <c r="BW38" s="15">
        <v>30.434782608695699</v>
      </c>
      <c r="BX38" s="20" t="s">
        <v>76</v>
      </c>
      <c r="BY38" s="15">
        <v>26.984126984126998</v>
      </c>
      <c r="BZ38" s="15">
        <v>27.891156462584998</v>
      </c>
      <c r="CA38" s="32">
        <v>15.124100356429301</v>
      </c>
      <c r="CB38" s="15">
        <v>14.3769968051118</v>
      </c>
      <c r="CC38" s="15">
        <v>16.981132075471699</v>
      </c>
      <c r="CD38" s="15">
        <v>16.7741935483871</v>
      </c>
      <c r="CE38" s="20" t="s">
        <v>76</v>
      </c>
      <c r="CF38" s="15">
        <v>12.5748502994012</v>
      </c>
      <c r="CG38" s="15">
        <v>17.877094972066999</v>
      </c>
      <c r="CH38" s="15">
        <v>13.786764705882399</v>
      </c>
      <c r="CI38" s="15">
        <v>19.712525667351098</v>
      </c>
      <c r="CJ38" s="15">
        <v>20.7843137254902</v>
      </c>
      <c r="CK38" s="15">
        <v>16.5919282511211</v>
      </c>
      <c r="CL38" s="15">
        <v>19.696969696969699</v>
      </c>
      <c r="CM38" s="24">
        <v>14.5610278372591</v>
      </c>
      <c r="CN38" s="37"/>
    </row>
    <row r="39" spans="1:92">
      <c r="A39" s="9" t="s">
        <v>294</v>
      </c>
      <c r="B39" s="35">
        <v>36.763378806544999</v>
      </c>
      <c r="C39" s="32">
        <v>38.527532598466202</v>
      </c>
      <c r="D39" s="32">
        <v>40.898538618988702</v>
      </c>
      <c r="E39" s="32">
        <v>36.261143413032698</v>
      </c>
      <c r="F39" s="15">
        <v>35.294117647058798</v>
      </c>
      <c r="G39" s="15">
        <v>35.294117647058798</v>
      </c>
      <c r="H39" s="15">
        <v>47.826086956521699</v>
      </c>
      <c r="I39" s="15">
        <v>70</v>
      </c>
      <c r="J39" s="15">
        <v>34.0277777777778</v>
      </c>
      <c r="K39" s="15">
        <v>33.3333333333333</v>
      </c>
      <c r="L39" s="15">
        <v>26.229508196721302</v>
      </c>
      <c r="M39" s="15">
        <v>18.421052631578899</v>
      </c>
      <c r="N39" s="15">
        <v>34.117647058823501</v>
      </c>
      <c r="O39" s="15">
        <v>37.209302325581397</v>
      </c>
      <c r="P39" s="15">
        <v>30.985915492957702</v>
      </c>
      <c r="Q39" s="15">
        <v>43.661971830985898</v>
      </c>
      <c r="R39" s="20" t="s">
        <v>76</v>
      </c>
      <c r="S39" s="15">
        <v>41.463414634146297</v>
      </c>
      <c r="T39" s="15">
        <v>35.4166666666667</v>
      </c>
      <c r="U39" s="15">
        <v>38.095238095238102</v>
      </c>
      <c r="V39" s="15">
        <v>35.294117647058798</v>
      </c>
      <c r="W39" s="15">
        <v>25.4237288135593</v>
      </c>
      <c r="X39" s="15">
        <v>46.153846153846203</v>
      </c>
      <c r="Y39" s="20" t="s">
        <v>76</v>
      </c>
      <c r="Z39" s="15">
        <v>44.871794871794897</v>
      </c>
      <c r="AA39" s="15">
        <v>44.954128440367001</v>
      </c>
      <c r="AB39" s="15">
        <v>51.470588235294102</v>
      </c>
      <c r="AC39" s="15">
        <v>37.878787878787897</v>
      </c>
      <c r="AD39" s="15">
        <v>34.375</v>
      </c>
      <c r="AE39" s="15">
        <v>48.148148148148103</v>
      </c>
      <c r="AF39" s="20" t="s">
        <v>76</v>
      </c>
      <c r="AG39" s="15">
        <v>26.6666666666667</v>
      </c>
      <c r="AH39" s="15">
        <v>25</v>
      </c>
      <c r="AI39" s="20" t="s">
        <v>76</v>
      </c>
      <c r="AJ39" s="15">
        <v>34.234234234234201</v>
      </c>
      <c r="AK39" s="15">
        <v>50</v>
      </c>
      <c r="AL39" s="15">
        <v>36.6666666666667</v>
      </c>
      <c r="AM39" s="15">
        <v>31.25</v>
      </c>
      <c r="AN39" s="20" t="s">
        <v>76</v>
      </c>
      <c r="AO39" s="15">
        <v>37.5</v>
      </c>
      <c r="AP39" s="15">
        <v>22.0779220779221</v>
      </c>
      <c r="AQ39" s="15">
        <v>51.282051282051299</v>
      </c>
      <c r="AR39" s="15">
        <v>27.272727272727298</v>
      </c>
      <c r="AS39" s="20" t="s">
        <v>76</v>
      </c>
      <c r="AT39" s="15">
        <v>36.923076923076898</v>
      </c>
      <c r="AU39" s="15">
        <v>36.734693877551003</v>
      </c>
      <c r="AV39" s="15">
        <v>28.7671232876712</v>
      </c>
      <c r="AW39" s="15">
        <v>36.2068965517241</v>
      </c>
      <c r="AX39" s="15">
        <v>56.25</v>
      </c>
      <c r="AY39" s="15">
        <v>25.714285714285701</v>
      </c>
      <c r="AZ39" s="15">
        <v>64</v>
      </c>
      <c r="BA39" s="15">
        <v>35.849056603773597</v>
      </c>
      <c r="BB39" s="15">
        <v>40.298507462686601</v>
      </c>
      <c r="BC39" s="15">
        <v>35.135135135135101</v>
      </c>
      <c r="BD39" s="15">
        <v>32.051282051282101</v>
      </c>
      <c r="BE39" s="15">
        <v>58.620689655172399</v>
      </c>
      <c r="BF39" s="15">
        <v>32.530120481927703</v>
      </c>
      <c r="BG39" s="15">
        <v>31.343283582089601</v>
      </c>
      <c r="BH39" s="15">
        <v>41.6666666666667</v>
      </c>
      <c r="BI39" s="15">
        <v>26.315789473684202</v>
      </c>
      <c r="BJ39" s="15">
        <v>42.857142857142897</v>
      </c>
      <c r="BK39" s="15">
        <v>32.5</v>
      </c>
      <c r="BL39" s="15">
        <v>31.25</v>
      </c>
      <c r="BM39" s="15">
        <v>33.6633663366337</v>
      </c>
      <c r="BN39" s="15">
        <v>44.537815126050397</v>
      </c>
      <c r="BO39" s="15">
        <v>26.6666666666667</v>
      </c>
      <c r="BP39" s="15">
        <v>53.3333333333333</v>
      </c>
      <c r="BQ39" s="15">
        <v>34.246575342465803</v>
      </c>
      <c r="BR39" s="15">
        <v>41.6666666666667</v>
      </c>
      <c r="BS39" s="15">
        <v>27.710843373494001</v>
      </c>
      <c r="BT39" s="15">
        <v>32.9268292682927</v>
      </c>
      <c r="BU39" s="15">
        <v>51.401869158878498</v>
      </c>
      <c r="BV39" s="15">
        <v>53.535353535353501</v>
      </c>
      <c r="BW39" s="15">
        <v>17.3913043478261</v>
      </c>
      <c r="BX39" s="15">
        <v>55.5555555555556</v>
      </c>
      <c r="BY39" s="15">
        <v>39.682539682539698</v>
      </c>
      <c r="BZ39" s="15">
        <v>41.496598639455797</v>
      </c>
      <c r="CA39" s="32">
        <v>44.6435629546149</v>
      </c>
      <c r="CB39" s="15">
        <v>36.421725239616599</v>
      </c>
      <c r="CC39" s="15">
        <v>42.138364779874202</v>
      </c>
      <c r="CD39" s="15">
        <v>43.870967741935502</v>
      </c>
      <c r="CE39" s="20" t="s">
        <v>76</v>
      </c>
      <c r="CF39" s="15">
        <v>38.922155688622802</v>
      </c>
      <c r="CG39" s="15">
        <v>48.603351955307303</v>
      </c>
      <c r="CH39" s="15">
        <v>45.588235294117602</v>
      </c>
      <c r="CI39" s="15">
        <v>47.638603696098599</v>
      </c>
      <c r="CJ39" s="15">
        <v>46.6666666666667</v>
      </c>
      <c r="CK39" s="15">
        <v>43.497757847533599</v>
      </c>
      <c r="CL39" s="15">
        <v>50.606060606060602</v>
      </c>
      <c r="CM39" s="24">
        <v>43.254817987152002</v>
      </c>
      <c r="CN39" s="37"/>
    </row>
    <row r="40" spans="1:92">
      <c r="A40" s="9" t="s">
        <v>295</v>
      </c>
      <c r="B40" s="35">
        <v>13.0698739094644</v>
      </c>
      <c r="C40" s="32">
        <v>13.159116124280301</v>
      </c>
      <c r="D40" s="32">
        <v>13.2331317547722</v>
      </c>
      <c r="E40" s="32">
        <v>16.1095864948215</v>
      </c>
      <c r="F40" s="15">
        <v>29.411764705882401</v>
      </c>
      <c r="G40" s="20" t="s">
        <v>76</v>
      </c>
      <c r="H40" s="15">
        <v>21.739130434782599</v>
      </c>
      <c r="I40" s="20" t="s">
        <v>76</v>
      </c>
      <c r="J40" s="15">
        <v>16.6666666666667</v>
      </c>
      <c r="K40" s="15">
        <v>15.384615384615399</v>
      </c>
      <c r="L40" s="15">
        <v>14.7540983606557</v>
      </c>
      <c r="M40" s="15">
        <v>6.5789473684210504</v>
      </c>
      <c r="N40" s="15">
        <v>10.588235294117601</v>
      </c>
      <c r="O40" s="15">
        <v>11.6279069767442</v>
      </c>
      <c r="P40" s="15">
        <v>19.7183098591549</v>
      </c>
      <c r="Q40" s="15">
        <v>16.901408450704199</v>
      </c>
      <c r="R40" s="20" t="s">
        <v>76</v>
      </c>
      <c r="S40" s="15">
        <v>21.951219512195099</v>
      </c>
      <c r="T40" s="15">
        <v>18.75</v>
      </c>
      <c r="U40" s="20" t="s">
        <v>76</v>
      </c>
      <c r="V40" s="15">
        <v>32.352941176470601</v>
      </c>
      <c r="W40" s="15">
        <v>13.559322033898299</v>
      </c>
      <c r="X40" s="20" t="s">
        <v>76</v>
      </c>
      <c r="Y40" s="20" t="s">
        <v>76</v>
      </c>
      <c r="Z40" s="15">
        <v>14.1025641025641</v>
      </c>
      <c r="AA40" s="15">
        <v>18.348623853210999</v>
      </c>
      <c r="AB40" s="15">
        <v>26.470588235294102</v>
      </c>
      <c r="AC40" s="15">
        <v>23.484848484848499</v>
      </c>
      <c r="AD40" s="20" t="s">
        <v>76</v>
      </c>
      <c r="AE40" s="15">
        <v>18.518518518518501</v>
      </c>
      <c r="AF40" s="20" t="s">
        <v>76</v>
      </c>
      <c r="AG40" s="15">
        <v>8.5714285714285694</v>
      </c>
      <c r="AH40" s="15">
        <v>8.9285714285714306</v>
      </c>
      <c r="AI40" s="20" t="s">
        <v>76</v>
      </c>
      <c r="AJ40" s="15">
        <v>25.225225225225198</v>
      </c>
      <c r="AK40" s="15">
        <v>23.3333333333333</v>
      </c>
      <c r="AL40" s="15">
        <v>16.6666666666667</v>
      </c>
      <c r="AM40" s="15">
        <v>10.9375</v>
      </c>
      <c r="AN40" s="20" t="s">
        <v>76</v>
      </c>
      <c r="AO40" s="15">
        <v>12.5</v>
      </c>
      <c r="AP40" s="15">
        <v>10.3896103896104</v>
      </c>
      <c r="AQ40" s="15">
        <v>30.769230769230798</v>
      </c>
      <c r="AR40" s="15">
        <v>14.545454545454501</v>
      </c>
      <c r="AS40" s="20" t="s">
        <v>76</v>
      </c>
      <c r="AT40" s="15">
        <v>23.076923076923102</v>
      </c>
      <c r="AU40" s="20" t="s">
        <v>76</v>
      </c>
      <c r="AV40" s="15">
        <v>9.5890410958904102</v>
      </c>
      <c r="AW40" s="15">
        <v>25.862068965517199</v>
      </c>
      <c r="AX40" s="20" t="s">
        <v>76</v>
      </c>
      <c r="AY40" s="15">
        <v>20</v>
      </c>
      <c r="AZ40" s="15">
        <v>18</v>
      </c>
      <c r="BA40" s="15">
        <v>26.415094339622598</v>
      </c>
      <c r="BB40" s="15">
        <v>19.402985074626901</v>
      </c>
      <c r="BC40" s="15">
        <v>14.8648648648649</v>
      </c>
      <c r="BD40" s="15">
        <v>10.2564102564103</v>
      </c>
      <c r="BE40" s="15">
        <v>8.6206896551724093</v>
      </c>
      <c r="BF40" s="15">
        <v>12.048192771084301</v>
      </c>
      <c r="BG40" s="15">
        <v>22.388059701492502</v>
      </c>
      <c r="BH40" s="20" t="s">
        <v>76</v>
      </c>
      <c r="BI40" s="20" t="s">
        <v>76</v>
      </c>
      <c r="BJ40" s="15">
        <v>28.571428571428601</v>
      </c>
      <c r="BK40" s="20" t="s">
        <v>76</v>
      </c>
      <c r="BL40" s="15">
        <v>7.8125</v>
      </c>
      <c r="BM40" s="15">
        <v>7.9207920792079198</v>
      </c>
      <c r="BN40" s="15">
        <v>21.848739495798299</v>
      </c>
      <c r="BO40" s="15">
        <v>16.6666666666667</v>
      </c>
      <c r="BP40" s="20" t="s">
        <v>76</v>
      </c>
      <c r="BQ40" s="15">
        <v>12.328767123287699</v>
      </c>
      <c r="BR40" s="15">
        <v>15</v>
      </c>
      <c r="BS40" s="15">
        <v>27.710843373494001</v>
      </c>
      <c r="BT40" s="15">
        <v>13.4146341463415</v>
      </c>
      <c r="BU40" s="15">
        <v>15.887850467289701</v>
      </c>
      <c r="BV40" s="15">
        <v>20.202020202020201</v>
      </c>
      <c r="BW40" s="15">
        <v>8.6956521739130395</v>
      </c>
      <c r="BX40" s="20" t="s">
        <v>76</v>
      </c>
      <c r="BY40" s="15">
        <v>17.460317460317501</v>
      </c>
      <c r="BZ40" s="15">
        <v>14.285714285714301</v>
      </c>
      <c r="CA40" s="32">
        <v>10.910191284230301</v>
      </c>
      <c r="CB40" s="15">
        <v>9.5846645367412204</v>
      </c>
      <c r="CC40" s="15">
        <v>8.4905660377358494</v>
      </c>
      <c r="CD40" s="15">
        <v>5.1612903225806503</v>
      </c>
      <c r="CE40" s="20" t="s">
        <v>76</v>
      </c>
      <c r="CF40" s="15">
        <v>10.4790419161677</v>
      </c>
      <c r="CG40" s="15">
        <v>13.966480446927401</v>
      </c>
      <c r="CH40" s="15">
        <v>10.294117647058799</v>
      </c>
      <c r="CI40" s="15">
        <v>13.1416837782341</v>
      </c>
      <c r="CJ40" s="15">
        <v>20</v>
      </c>
      <c r="CK40" s="15">
        <v>9.8654708520179408</v>
      </c>
      <c r="CL40" s="15">
        <v>11.0606060606061</v>
      </c>
      <c r="CM40" s="24">
        <v>11.7773019271949</v>
      </c>
      <c r="CN40" s="37"/>
    </row>
    <row r="41" spans="1:92">
      <c r="A41" s="9" t="s">
        <v>296</v>
      </c>
      <c r="B41" s="35">
        <v>20.718278780622001</v>
      </c>
      <c r="C41" s="32">
        <v>21.4215543817485</v>
      </c>
      <c r="D41" s="32">
        <v>22.627051671507299</v>
      </c>
      <c r="E41" s="32">
        <v>23.119372207044702</v>
      </c>
      <c r="F41" s="20" t="s">
        <v>76</v>
      </c>
      <c r="G41" s="20" t="s">
        <v>76</v>
      </c>
      <c r="H41" s="20" t="s">
        <v>76</v>
      </c>
      <c r="I41" s="15">
        <v>60</v>
      </c>
      <c r="J41" s="15">
        <v>20.8333333333333</v>
      </c>
      <c r="K41" s="15">
        <v>20.5128205128205</v>
      </c>
      <c r="L41" s="15">
        <v>29.508196721311499</v>
      </c>
      <c r="M41" s="15">
        <v>21.052631578947398</v>
      </c>
      <c r="N41" s="15">
        <v>21.176470588235301</v>
      </c>
      <c r="O41" s="15">
        <v>13.953488372093</v>
      </c>
      <c r="P41" s="15">
        <v>33.802816901408498</v>
      </c>
      <c r="Q41" s="15">
        <v>43.661971830985898</v>
      </c>
      <c r="R41" s="20" t="s">
        <v>76</v>
      </c>
      <c r="S41" s="15">
        <v>24.390243902439</v>
      </c>
      <c r="T41" s="15">
        <v>25</v>
      </c>
      <c r="U41" s="20" t="s">
        <v>76</v>
      </c>
      <c r="V41" s="15">
        <v>32.352941176470601</v>
      </c>
      <c r="W41" s="15">
        <v>20.338983050847499</v>
      </c>
      <c r="X41" s="20" t="s">
        <v>76</v>
      </c>
      <c r="Y41" s="20" t="s">
        <v>76</v>
      </c>
      <c r="Z41" s="15">
        <v>29.4871794871795</v>
      </c>
      <c r="AA41" s="15">
        <v>19.2660550458716</v>
      </c>
      <c r="AB41" s="15">
        <v>14.705882352941201</v>
      </c>
      <c r="AC41" s="15">
        <v>22.727272727272702</v>
      </c>
      <c r="AD41" s="20" t="s">
        <v>76</v>
      </c>
      <c r="AE41" s="15">
        <v>29.629629629629601</v>
      </c>
      <c r="AF41" s="20" t="s">
        <v>76</v>
      </c>
      <c r="AG41" s="15">
        <v>19.047619047619001</v>
      </c>
      <c r="AH41" s="15">
        <v>8.9285714285714306</v>
      </c>
      <c r="AI41" s="20" t="s">
        <v>76</v>
      </c>
      <c r="AJ41" s="15">
        <v>22.5225225225225</v>
      </c>
      <c r="AK41" s="15">
        <v>23.3333333333333</v>
      </c>
      <c r="AL41" s="15">
        <v>38.8888888888889</v>
      </c>
      <c r="AM41" s="15">
        <v>31.25</v>
      </c>
      <c r="AN41" s="20" t="s">
        <v>76</v>
      </c>
      <c r="AO41" s="15">
        <v>22.5</v>
      </c>
      <c r="AP41" s="15">
        <v>19.480519480519501</v>
      </c>
      <c r="AQ41" s="15">
        <v>28.205128205128201</v>
      </c>
      <c r="AR41" s="20" t="s">
        <v>76</v>
      </c>
      <c r="AS41" s="20" t="s">
        <v>76</v>
      </c>
      <c r="AT41" s="15">
        <v>24.615384615384599</v>
      </c>
      <c r="AU41" s="15">
        <v>30.612244897959201</v>
      </c>
      <c r="AV41" s="15">
        <v>9.5890410958904102</v>
      </c>
      <c r="AW41" s="15">
        <v>20.689655172413801</v>
      </c>
      <c r="AX41" s="20" t="s">
        <v>76</v>
      </c>
      <c r="AY41" s="15">
        <v>28.571428571428601</v>
      </c>
      <c r="AZ41" s="15">
        <v>34</v>
      </c>
      <c r="BA41" s="15">
        <v>15.094339622641501</v>
      </c>
      <c r="BB41" s="15">
        <v>34.328358208955201</v>
      </c>
      <c r="BC41" s="15">
        <v>36.486486486486498</v>
      </c>
      <c r="BD41" s="15">
        <v>30.769230769230798</v>
      </c>
      <c r="BE41" s="15">
        <v>24.137931034482801</v>
      </c>
      <c r="BF41" s="15">
        <v>22.891566265060199</v>
      </c>
      <c r="BG41" s="15">
        <v>20.8955223880597</v>
      </c>
      <c r="BH41" s="15">
        <v>20.8333333333333</v>
      </c>
      <c r="BI41" s="15">
        <v>36.842105263157897</v>
      </c>
      <c r="BJ41" s="15">
        <v>29.464285714285701</v>
      </c>
      <c r="BK41" s="15">
        <v>15</v>
      </c>
      <c r="BL41" s="15">
        <v>13.28125</v>
      </c>
      <c r="BM41" s="15">
        <v>25.742574257425701</v>
      </c>
      <c r="BN41" s="15">
        <v>36.134453781512597</v>
      </c>
      <c r="BO41" s="15">
        <v>16.6666666666667</v>
      </c>
      <c r="BP41" s="20" t="s">
        <v>76</v>
      </c>
      <c r="BQ41" s="15">
        <v>20.5479452054795</v>
      </c>
      <c r="BR41" s="15">
        <v>11.6666666666667</v>
      </c>
      <c r="BS41" s="15">
        <v>26.506024096385499</v>
      </c>
      <c r="BT41" s="15">
        <v>31.707317073170699</v>
      </c>
      <c r="BU41" s="15">
        <v>26.1682242990654</v>
      </c>
      <c r="BV41" s="15">
        <v>38.383838383838402</v>
      </c>
      <c r="BW41" s="15">
        <v>11.5942028985507</v>
      </c>
      <c r="BX41" s="20" t="s">
        <v>76</v>
      </c>
      <c r="BY41" s="15">
        <v>23.8095238095238</v>
      </c>
      <c r="BZ41" s="15">
        <v>16.326530612244898</v>
      </c>
      <c r="CA41" s="32">
        <v>22.229468048669201</v>
      </c>
      <c r="CB41" s="15">
        <v>22.364217252396202</v>
      </c>
      <c r="CC41" s="15">
        <v>24.2138364779874</v>
      </c>
      <c r="CD41" s="15">
        <v>27.741935483871</v>
      </c>
      <c r="CE41" s="20" t="s">
        <v>76</v>
      </c>
      <c r="CF41" s="15">
        <v>21.257485029940099</v>
      </c>
      <c r="CG41" s="15">
        <v>25.698324022346402</v>
      </c>
      <c r="CH41" s="15">
        <v>22.242647058823501</v>
      </c>
      <c r="CI41" s="15">
        <v>28.336755646817199</v>
      </c>
      <c r="CJ41" s="15">
        <v>21.960784313725501</v>
      </c>
      <c r="CK41" s="15">
        <v>30.941704035874402</v>
      </c>
      <c r="CL41" s="15">
        <v>22.1212121212121</v>
      </c>
      <c r="CM41" s="24">
        <v>19.700214132762301</v>
      </c>
      <c r="CN41" s="37"/>
    </row>
    <row r="42" spans="1:92">
      <c r="A42" s="9" t="s">
        <v>297</v>
      </c>
      <c r="B42" s="35">
        <v>5.9903219742511196</v>
      </c>
      <c r="C42" s="32">
        <v>5.7050324431383803</v>
      </c>
      <c r="D42" s="32">
        <v>5.6552344445168599</v>
      </c>
      <c r="E42" s="32">
        <v>7.6683791125895402</v>
      </c>
      <c r="F42" s="20" t="s">
        <v>76</v>
      </c>
      <c r="G42" s="20" t="s">
        <v>76</v>
      </c>
      <c r="H42" s="20" t="s">
        <v>76</v>
      </c>
      <c r="I42" s="20" t="s">
        <v>76</v>
      </c>
      <c r="J42" s="15">
        <v>6.25</v>
      </c>
      <c r="K42" s="15">
        <v>17.948717948717899</v>
      </c>
      <c r="L42" s="15">
        <v>11.4754098360656</v>
      </c>
      <c r="M42" s="20" t="s">
        <v>76</v>
      </c>
      <c r="N42" s="15">
        <v>7.0588235294117601</v>
      </c>
      <c r="O42" s="20" t="s">
        <v>76</v>
      </c>
      <c r="P42" s="15">
        <v>7.0422535211267601</v>
      </c>
      <c r="Q42" s="20" t="s">
        <v>76</v>
      </c>
      <c r="R42" s="20" t="s">
        <v>76</v>
      </c>
      <c r="S42" s="15">
        <v>12.1951219512195</v>
      </c>
      <c r="T42" s="15">
        <v>12.5</v>
      </c>
      <c r="U42" s="20" t="s">
        <v>76</v>
      </c>
      <c r="V42" s="20" t="s">
        <v>76</v>
      </c>
      <c r="W42" s="20" t="s">
        <v>76</v>
      </c>
      <c r="X42" s="20" t="s">
        <v>76</v>
      </c>
      <c r="Y42" s="20" t="s">
        <v>76</v>
      </c>
      <c r="Z42" s="20" t="s">
        <v>76</v>
      </c>
      <c r="AA42" s="15">
        <v>8.2568807339449499</v>
      </c>
      <c r="AB42" s="20" t="s">
        <v>76</v>
      </c>
      <c r="AC42" s="15">
        <v>15.909090909090899</v>
      </c>
      <c r="AD42" s="20" t="s">
        <v>76</v>
      </c>
      <c r="AE42" s="20" t="s">
        <v>76</v>
      </c>
      <c r="AF42" s="20" t="s">
        <v>76</v>
      </c>
      <c r="AG42" s="20" t="s">
        <v>76</v>
      </c>
      <c r="AH42" s="20" t="s">
        <v>76</v>
      </c>
      <c r="AI42" s="20" t="s">
        <v>76</v>
      </c>
      <c r="AJ42" s="20" t="s">
        <v>76</v>
      </c>
      <c r="AK42" s="15">
        <v>26.6666666666667</v>
      </c>
      <c r="AL42" s="15">
        <v>10</v>
      </c>
      <c r="AM42" s="15">
        <v>9.375</v>
      </c>
      <c r="AN42" s="20" t="s">
        <v>76</v>
      </c>
      <c r="AO42" s="20" t="s">
        <v>76</v>
      </c>
      <c r="AP42" s="20" t="s">
        <v>76</v>
      </c>
      <c r="AQ42" s="20" t="s">
        <v>76</v>
      </c>
      <c r="AR42" s="20" t="s">
        <v>76</v>
      </c>
      <c r="AS42" s="20" t="s">
        <v>76</v>
      </c>
      <c r="AT42" s="15">
        <v>9.2307692307692299</v>
      </c>
      <c r="AU42" s="20" t="s">
        <v>76</v>
      </c>
      <c r="AV42" s="20" t="s">
        <v>76</v>
      </c>
      <c r="AW42" s="15">
        <v>6.0344827586206904</v>
      </c>
      <c r="AX42" s="20" t="s">
        <v>76</v>
      </c>
      <c r="AY42" s="15">
        <v>14.285714285714301</v>
      </c>
      <c r="AZ42" s="15">
        <v>28</v>
      </c>
      <c r="BA42" s="20" t="s">
        <v>76</v>
      </c>
      <c r="BB42" s="15">
        <v>11.9402985074627</v>
      </c>
      <c r="BC42" s="20" t="s">
        <v>76</v>
      </c>
      <c r="BD42" s="15">
        <v>6.4102564102564097</v>
      </c>
      <c r="BE42" s="15">
        <v>12.0689655172414</v>
      </c>
      <c r="BF42" s="15">
        <v>7.2289156626505999</v>
      </c>
      <c r="BG42" s="20" t="s">
        <v>76</v>
      </c>
      <c r="BH42" s="20" t="s">
        <v>76</v>
      </c>
      <c r="BI42" s="20" t="s">
        <v>76</v>
      </c>
      <c r="BJ42" s="15">
        <v>4.46428571428571</v>
      </c>
      <c r="BK42" s="15">
        <v>12.5</v>
      </c>
      <c r="BL42" s="15">
        <v>3.90625</v>
      </c>
      <c r="BM42" s="20" t="s">
        <v>76</v>
      </c>
      <c r="BN42" s="15">
        <v>6.7226890756302504</v>
      </c>
      <c r="BO42" s="15">
        <v>11.1111111111111</v>
      </c>
      <c r="BP42" s="20" t="s">
        <v>76</v>
      </c>
      <c r="BQ42" s="20" t="s">
        <v>76</v>
      </c>
      <c r="BR42" s="20" t="s">
        <v>76</v>
      </c>
      <c r="BS42" s="20" t="s">
        <v>76</v>
      </c>
      <c r="BT42" s="15">
        <v>10.975609756097599</v>
      </c>
      <c r="BU42" s="15">
        <v>13.0841121495327</v>
      </c>
      <c r="BV42" s="15">
        <v>23.2323232323232</v>
      </c>
      <c r="BW42" s="20" t="s">
        <v>76</v>
      </c>
      <c r="BX42" s="20" t="s">
        <v>76</v>
      </c>
      <c r="BY42" s="20" t="s">
        <v>76</v>
      </c>
      <c r="BZ42" s="15">
        <v>14.965986394557801</v>
      </c>
      <c r="CA42" s="32">
        <v>4.0294778638861199</v>
      </c>
      <c r="CB42" s="15">
        <v>4.47284345047923</v>
      </c>
      <c r="CC42" s="15">
        <v>4.4025157232704402</v>
      </c>
      <c r="CD42" s="15">
        <v>3.87096774193548</v>
      </c>
      <c r="CE42" s="20" t="s">
        <v>76</v>
      </c>
      <c r="CF42" s="15">
        <v>3.2934131736526902</v>
      </c>
      <c r="CG42" s="15">
        <v>6.7039106145251397</v>
      </c>
      <c r="CH42" s="15">
        <v>4.9632352941176503</v>
      </c>
      <c r="CI42" s="15">
        <v>4.1067761806981498</v>
      </c>
      <c r="CJ42" s="15">
        <v>3.52941176470588</v>
      </c>
      <c r="CK42" s="15">
        <v>5.8295964125560502</v>
      </c>
      <c r="CL42" s="15">
        <v>3.9393939393939399</v>
      </c>
      <c r="CM42" s="24">
        <v>5.1391862955032099</v>
      </c>
      <c r="CN42" s="37"/>
    </row>
    <row r="43" spans="1:92">
      <c r="A43" s="9" t="s">
        <v>298</v>
      </c>
      <c r="B43" s="35">
        <v>20.595175469218098</v>
      </c>
      <c r="C43" s="32">
        <v>21.4730847167516</v>
      </c>
      <c r="D43" s="32">
        <v>22.7796630957783</v>
      </c>
      <c r="E43" s="32">
        <v>24.011539453167401</v>
      </c>
      <c r="F43" s="20" t="s">
        <v>76</v>
      </c>
      <c r="G43" s="20" t="s">
        <v>76</v>
      </c>
      <c r="H43" s="15">
        <v>26.086956521739101</v>
      </c>
      <c r="I43" s="20" t="s">
        <v>76</v>
      </c>
      <c r="J43" s="15">
        <v>20.1388888888889</v>
      </c>
      <c r="K43" s="15">
        <v>20.5128205128205</v>
      </c>
      <c r="L43" s="15">
        <v>11.4754098360656</v>
      </c>
      <c r="M43" s="15">
        <v>31.578947368421101</v>
      </c>
      <c r="N43" s="15">
        <v>34.117647058823501</v>
      </c>
      <c r="O43" s="15">
        <v>18.604651162790699</v>
      </c>
      <c r="P43" s="15">
        <v>35.2112676056338</v>
      </c>
      <c r="Q43" s="15">
        <v>35.2112676056338</v>
      </c>
      <c r="R43" s="20" t="s">
        <v>76</v>
      </c>
      <c r="S43" s="15">
        <v>19.512195121951201</v>
      </c>
      <c r="T43" s="15">
        <v>20.8333333333333</v>
      </c>
      <c r="U43" s="20" t="s">
        <v>76</v>
      </c>
      <c r="V43" s="15">
        <v>26.470588235294102</v>
      </c>
      <c r="W43" s="15">
        <v>25.4237288135593</v>
      </c>
      <c r="X43" s="15">
        <v>53.846153846153797</v>
      </c>
      <c r="Y43" s="20" t="s">
        <v>76</v>
      </c>
      <c r="Z43" s="15">
        <v>26.923076923076898</v>
      </c>
      <c r="AA43" s="15">
        <v>21.100917431192698</v>
      </c>
      <c r="AB43" s="15">
        <v>23.529411764705898</v>
      </c>
      <c r="AC43" s="15">
        <v>27.272727272727298</v>
      </c>
      <c r="AD43" s="20" t="s">
        <v>76</v>
      </c>
      <c r="AE43" s="15">
        <v>22.2222222222222</v>
      </c>
      <c r="AF43" s="15">
        <v>42.857142857142897</v>
      </c>
      <c r="AG43" s="15">
        <v>16.1904761904762</v>
      </c>
      <c r="AH43" s="15">
        <v>14.285714285714301</v>
      </c>
      <c r="AI43" s="20" t="s">
        <v>76</v>
      </c>
      <c r="AJ43" s="15">
        <v>16.2162162162162</v>
      </c>
      <c r="AK43" s="15">
        <v>26.6666666666667</v>
      </c>
      <c r="AL43" s="15">
        <v>23.3333333333333</v>
      </c>
      <c r="AM43" s="15">
        <v>28.125</v>
      </c>
      <c r="AN43" s="20" t="s">
        <v>76</v>
      </c>
      <c r="AO43" s="15">
        <v>15</v>
      </c>
      <c r="AP43" s="15">
        <v>14.285714285714301</v>
      </c>
      <c r="AQ43" s="15">
        <v>15.384615384615399</v>
      </c>
      <c r="AR43" s="15">
        <v>14.545454545454501</v>
      </c>
      <c r="AS43" s="20" t="s">
        <v>76</v>
      </c>
      <c r="AT43" s="15">
        <v>20</v>
      </c>
      <c r="AU43" s="15">
        <v>32.653061224489797</v>
      </c>
      <c r="AV43" s="15">
        <v>27.397260273972599</v>
      </c>
      <c r="AW43" s="15">
        <v>21.551724137931</v>
      </c>
      <c r="AX43" s="15">
        <v>43.75</v>
      </c>
      <c r="AY43" s="15">
        <v>25.714285714285701</v>
      </c>
      <c r="AZ43" s="15">
        <v>38</v>
      </c>
      <c r="BA43" s="15">
        <v>32.075471698113198</v>
      </c>
      <c r="BB43" s="15">
        <v>28.358208955223901</v>
      </c>
      <c r="BC43" s="15">
        <v>31.081081081081098</v>
      </c>
      <c r="BD43" s="15">
        <v>26.923076923076898</v>
      </c>
      <c r="BE43" s="15">
        <v>20.689655172413801</v>
      </c>
      <c r="BF43" s="15">
        <v>26.506024096385499</v>
      </c>
      <c r="BG43" s="15">
        <v>16.417910447761201</v>
      </c>
      <c r="BH43" s="15">
        <v>20.8333333333333</v>
      </c>
      <c r="BI43" s="15">
        <v>31.578947368421101</v>
      </c>
      <c r="BJ43" s="15">
        <v>25</v>
      </c>
      <c r="BK43" s="15">
        <v>40</v>
      </c>
      <c r="BL43" s="15">
        <v>15.625</v>
      </c>
      <c r="BM43" s="15">
        <v>19.801980198019798</v>
      </c>
      <c r="BN43" s="15">
        <v>19.327731092436998</v>
      </c>
      <c r="BO43" s="15">
        <v>20</v>
      </c>
      <c r="BP43" s="15">
        <v>40</v>
      </c>
      <c r="BQ43" s="15">
        <v>31.5068493150685</v>
      </c>
      <c r="BR43" s="15">
        <v>25</v>
      </c>
      <c r="BS43" s="15">
        <v>14.4578313253012</v>
      </c>
      <c r="BT43" s="15">
        <v>30.487804878048799</v>
      </c>
      <c r="BU43" s="15">
        <v>31.775700934579401</v>
      </c>
      <c r="BV43" s="15">
        <v>31.313131313131301</v>
      </c>
      <c r="BW43" s="15">
        <v>14.492753623188401</v>
      </c>
      <c r="BX43" s="15">
        <v>55.5555555555556</v>
      </c>
      <c r="BY43" s="15">
        <v>25.396825396825399</v>
      </c>
      <c r="BZ43" s="15">
        <v>23.1292517006803</v>
      </c>
      <c r="CA43" s="32">
        <v>21.78483588524</v>
      </c>
      <c r="CB43" s="15">
        <v>22.364217252396202</v>
      </c>
      <c r="CC43" s="15">
        <v>21.3836477987421</v>
      </c>
      <c r="CD43" s="15">
        <v>23.870967741935502</v>
      </c>
      <c r="CE43" s="20" t="s">
        <v>76</v>
      </c>
      <c r="CF43" s="15">
        <v>16.4670658682635</v>
      </c>
      <c r="CG43" s="15">
        <v>17.318435754189899</v>
      </c>
      <c r="CH43" s="15">
        <v>22.0588235294118</v>
      </c>
      <c r="CI43" s="15">
        <v>26.488706365503099</v>
      </c>
      <c r="CJ43" s="15">
        <v>23.137254901960802</v>
      </c>
      <c r="CK43" s="15">
        <v>21.973094170403598</v>
      </c>
      <c r="CL43" s="15">
        <v>25</v>
      </c>
      <c r="CM43" s="24">
        <v>23.768736616702402</v>
      </c>
      <c r="CN43" s="37"/>
    </row>
    <row r="44" spans="1:92">
      <c r="A44" s="9" t="s">
        <v>299</v>
      </c>
      <c r="B44" s="35">
        <v>58.303930767089803</v>
      </c>
      <c r="C44" s="32">
        <v>59.419181024523098</v>
      </c>
      <c r="D44" s="32">
        <v>58.929030906636399</v>
      </c>
      <c r="E44" s="32">
        <v>54.812783533218401</v>
      </c>
      <c r="F44" s="15">
        <v>41.176470588235297</v>
      </c>
      <c r="G44" s="15">
        <v>58.823529411764703</v>
      </c>
      <c r="H44" s="15">
        <v>52.173913043478301</v>
      </c>
      <c r="I44" s="15">
        <v>50</v>
      </c>
      <c r="J44" s="15">
        <v>58.3333333333333</v>
      </c>
      <c r="K44" s="15">
        <v>53.846153846153797</v>
      </c>
      <c r="L44" s="15">
        <v>39.344262295081997</v>
      </c>
      <c r="M44" s="15">
        <v>46.052631578947398</v>
      </c>
      <c r="N44" s="15">
        <v>54.117647058823501</v>
      </c>
      <c r="O44" s="15">
        <v>46.511627906976699</v>
      </c>
      <c r="P44" s="15">
        <v>59.154929577464799</v>
      </c>
      <c r="Q44" s="15">
        <v>61.971830985915503</v>
      </c>
      <c r="R44" s="15">
        <v>46.153846153846203</v>
      </c>
      <c r="S44" s="15">
        <v>41.463414634146297</v>
      </c>
      <c r="T44" s="15">
        <v>56.25</v>
      </c>
      <c r="U44" s="15">
        <v>33.3333333333333</v>
      </c>
      <c r="V44" s="15">
        <v>55.882352941176499</v>
      </c>
      <c r="W44" s="15">
        <v>38.983050847457598</v>
      </c>
      <c r="X44" s="15">
        <v>53.846153846153797</v>
      </c>
      <c r="Y44" s="15">
        <v>62.5</v>
      </c>
      <c r="Z44" s="15">
        <v>57.692307692307701</v>
      </c>
      <c r="AA44" s="15">
        <v>56.880733944954102</v>
      </c>
      <c r="AB44" s="15">
        <v>61.764705882352899</v>
      </c>
      <c r="AC44" s="15">
        <v>42.424242424242401</v>
      </c>
      <c r="AD44" s="15">
        <v>46.875</v>
      </c>
      <c r="AE44" s="15">
        <v>48.148148148148103</v>
      </c>
      <c r="AF44" s="15">
        <v>57.142857142857103</v>
      </c>
      <c r="AG44" s="15">
        <v>52.380952380952401</v>
      </c>
      <c r="AH44" s="15">
        <v>41.071428571428598</v>
      </c>
      <c r="AI44" s="20" t="s">
        <v>76</v>
      </c>
      <c r="AJ44" s="15">
        <v>61.261261261261303</v>
      </c>
      <c r="AK44" s="15">
        <v>70</v>
      </c>
      <c r="AL44" s="15">
        <v>60</v>
      </c>
      <c r="AM44" s="15">
        <v>43.75</v>
      </c>
      <c r="AN44" s="20" t="s">
        <v>76</v>
      </c>
      <c r="AO44" s="15">
        <v>47.5</v>
      </c>
      <c r="AP44" s="15">
        <v>49.350649350649299</v>
      </c>
      <c r="AQ44" s="15">
        <v>69.230769230769198</v>
      </c>
      <c r="AR44" s="15">
        <v>20</v>
      </c>
      <c r="AS44" s="20" t="s">
        <v>76</v>
      </c>
      <c r="AT44" s="15">
        <v>56.923076923076898</v>
      </c>
      <c r="AU44" s="15">
        <v>69.387755102040799</v>
      </c>
      <c r="AV44" s="15">
        <v>45.205479452054803</v>
      </c>
      <c r="AW44" s="15">
        <v>59.482758620689701</v>
      </c>
      <c r="AX44" s="15">
        <v>62.5</v>
      </c>
      <c r="AY44" s="15">
        <v>48.571428571428598</v>
      </c>
      <c r="AZ44" s="15">
        <v>86</v>
      </c>
      <c r="BA44" s="15">
        <v>73.584905660377402</v>
      </c>
      <c r="BB44" s="15">
        <v>59.701492537313399</v>
      </c>
      <c r="BC44" s="15">
        <v>51.351351351351397</v>
      </c>
      <c r="BD44" s="15">
        <v>46.153846153846203</v>
      </c>
      <c r="BE44" s="15">
        <v>55.172413793103502</v>
      </c>
      <c r="BF44" s="15">
        <v>67.469879518072304</v>
      </c>
      <c r="BG44" s="15">
        <v>50.746268656716403</v>
      </c>
      <c r="BH44" s="15">
        <v>62.5</v>
      </c>
      <c r="BI44" s="15">
        <v>73.684210526315795</v>
      </c>
      <c r="BJ44" s="15">
        <v>70.535714285714306</v>
      </c>
      <c r="BK44" s="15">
        <v>52.5</v>
      </c>
      <c r="BL44" s="15">
        <v>47.65625</v>
      </c>
      <c r="BM44" s="15">
        <v>48.514851485148498</v>
      </c>
      <c r="BN44" s="15">
        <v>51.260504201680703</v>
      </c>
      <c r="BO44" s="15">
        <v>52.2222222222222</v>
      </c>
      <c r="BP44" s="15">
        <v>86.6666666666667</v>
      </c>
      <c r="BQ44" s="15">
        <v>58.904109589041099</v>
      </c>
      <c r="BR44" s="15">
        <v>40</v>
      </c>
      <c r="BS44" s="15">
        <v>66.265060240963905</v>
      </c>
      <c r="BT44" s="15">
        <v>56.097560975609802</v>
      </c>
      <c r="BU44" s="15">
        <v>71.028037383177605</v>
      </c>
      <c r="BV44" s="15">
        <v>67.676767676767696</v>
      </c>
      <c r="BW44" s="15">
        <v>49.2753623188406</v>
      </c>
      <c r="BX44" s="15">
        <v>77.7777777777778</v>
      </c>
      <c r="BY44" s="15">
        <v>55.5555555555556</v>
      </c>
      <c r="BZ44" s="15">
        <v>46.2585034013605</v>
      </c>
      <c r="CA44" s="32">
        <v>62.253191539982801</v>
      </c>
      <c r="CB44" s="15">
        <v>62.300319488817898</v>
      </c>
      <c r="CC44" s="15">
        <v>64.779874213836493</v>
      </c>
      <c r="CD44" s="15">
        <v>73.548387096774206</v>
      </c>
      <c r="CE44" s="20" t="s">
        <v>76</v>
      </c>
      <c r="CF44" s="15">
        <v>56.287425149700603</v>
      </c>
      <c r="CG44" s="15">
        <v>65.363128491620103</v>
      </c>
      <c r="CH44" s="15">
        <v>61.764705882352899</v>
      </c>
      <c r="CI44" s="15">
        <v>63.244353182751503</v>
      </c>
      <c r="CJ44" s="15">
        <v>69.411764705882405</v>
      </c>
      <c r="CK44" s="15">
        <v>58.295964125560502</v>
      </c>
      <c r="CL44" s="15">
        <v>62.272727272727302</v>
      </c>
      <c r="CM44" s="24">
        <v>62.526766595289097</v>
      </c>
      <c r="CN44" s="37"/>
    </row>
    <row r="45" spans="1:92">
      <c r="A45" s="9" t="s">
        <v>300</v>
      </c>
      <c r="B45" s="35">
        <v>4.4190228052063603</v>
      </c>
      <c r="C45" s="32">
        <v>4.3115767098958999</v>
      </c>
      <c r="D45" s="32">
        <v>4.0164801396318497</v>
      </c>
      <c r="E45" s="32">
        <v>5.6170116080933701</v>
      </c>
      <c r="F45" s="20" t="s">
        <v>76</v>
      </c>
      <c r="G45" s="20" t="s">
        <v>76</v>
      </c>
      <c r="H45" s="20" t="s">
        <v>76</v>
      </c>
      <c r="I45" s="20" t="s">
        <v>76</v>
      </c>
      <c r="J45" s="15">
        <v>4.1666666666666696</v>
      </c>
      <c r="K45" s="20" t="s">
        <v>76</v>
      </c>
      <c r="L45" s="20" t="s">
        <v>76</v>
      </c>
      <c r="M45" s="20" t="s">
        <v>76</v>
      </c>
      <c r="N45" s="20" t="s">
        <v>76</v>
      </c>
      <c r="O45" s="20" t="s">
        <v>76</v>
      </c>
      <c r="P45" s="15">
        <v>9.8591549295774694</v>
      </c>
      <c r="Q45" s="15">
        <v>7.0422535211267601</v>
      </c>
      <c r="R45" s="20" t="s">
        <v>76</v>
      </c>
      <c r="S45" s="20" t="s">
        <v>76</v>
      </c>
      <c r="T45" s="20" t="s">
        <v>76</v>
      </c>
      <c r="U45" s="20" t="s">
        <v>76</v>
      </c>
      <c r="V45" s="20" t="s">
        <v>76</v>
      </c>
      <c r="W45" s="20" t="s">
        <v>76</v>
      </c>
      <c r="X45" s="20" t="s">
        <v>76</v>
      </c>
      <c r="Y45" s="20" t="s">
        <v>76</v>
      </c>
      <c r="Z45" s="15">
        <v>6.4102564102564097</v>
      </c>
      <c r="AA45" s="15">
        <v>7.3394495412843996</v>
      </c>
      <c r="AB45" s="15">
        <v>11.764705882352899</v>
      </c>
      <c r="AC45" s="15">
        <v>9.0909090909090899</v>
      </c>
      <c r="AD45" s="20" t="s">
        <v>76</v>
      </c>
      <c r="AE45" s="20" t="s">
        <v>76</v>
      </c>
      <c r="AF45" s="20" t="s">
        <v>76</v>
      </c>
      <c r="AG45" s="15">
        <v>5.71428571428571</v>
      </c>
      <c r="AH45" s="20" t="s">
        <v>76</v>
      </c>
      <c r="AI45" s="20" t="s">
        <v>76</v>
      </c>
      <c r="AJ45" s="15">
        <v>5.4054054054054097</v>
      </c>
      <c r="AK45" s="20" t="s">
        <v>76</v>
      </c>
      <c r="AL45" s="15">
        <v>6.6666666666666696</v>
      </c>
      <c r="AM45" s="15">
        <v>7.8125</v>
      </c>
      <c r="AN45" s="20" t="s">
        <v>76</v>
      </c>
      <c r="AO45" s="20" t="s">
        <v>76</v>
      </c>
      <c r="AP45" s="20" t="s">
        <v>76</v>
      </c>
      <c r="AQ45" s="15">
        <v>12.8205128205128</v>
      </c>
      <c r="AR45" s="20" t="s">
        <v>76</v>
      </c>
      <c r="AS45" s="20" t="s">
        <v>76</v>
      </c>
      <c r="AT45" s="15">
        <v>10.7692307692308</v>
      </c>
      <c r="AU45" s="20" t="s">
        <v>76</v>
      </c>
      <c r="AV45" s="20" t="s">
        <v>76</v>
      </c>
      <c r="AW45" s="15">
        <v>6.0344827586206904</v>
      </c>
      <c r="AX45" s="20" t="s">
        <v>76</v>
      </c>
      <c r="AY45" s="20" t="s">
        <v>76</v>
      </c>
      <c r="AZ45" s="20" t="s">
        <v>76</v>
      </c>
      <c r="BA45" s="20" t="s">
        <v>76</v>
      </c>
      <c r="BB45" s="15">
        <v>8.9552238805970106</v>
      </c>
      <c r="BC45" s="20" t="s">
        <v>76</v>
      </c>
      <c r="BD45" s="20" t="s">
        <v>76</v>
      </c>
      <c r="BE45" s="20" t="s">
        <v>76</v>
      </c>
      <c r="BF45" s="15">
        <v>7.2289156626505999</v>
      </c>
      <c r="BG45" s="20" t="s">
        <v>76</v>
      </c>
      <c r="BH45" s="20" t="s">
        <v>76</v>
      </c>
      <c r="BI45" s="20" t="s">
        <v>76</v>
      </c>
      <c r="BJ45" s="15">
        <v>7.1428571428571397</v>
      </c>
      <c r="BK45" s="20" t="s">
        <v>76</v>
      </c>
      <c r="BL45" s="15">
        <v>5.46875</v>
      </c>
      <c r="BM45" s="15">
        <v>6.9306930693069297</v>
      </c>
      <c r="BN45" s="15">
        <v>14.285714285714301</v>
      </c>
      <c r="BO45" s="20" t="s">
        <v>76</v>
      </c>
      <c r="BP45" s="20" t="s">
        <v>76</v>
      </c>
      <c r="BQ45" s="20" t="s">
        <v>76</v>
      </c>
      <c r="BR45" s="20" t="s">
        <v>76</v>
      </c>
      <c r="BS45" s="20" t="s">
        <v>76</v>
      </c>
      <c r="BT45" s="20" t="s">
        <v>76</v>
      </c>
      <c r="BU45" s="15">
        <v>6.5420560747663501</v>
      </c>
      <c r="BV45" s="15">
        <v>10.1010101010101</v>
      </c>
      <c r="BW45" s="20" t="s">
        <v>76</v>
      </c>
      <c r="BX45" s="20" t="s">
        <v>76</v>
      </c>
      <c r="BY45" s="20" t="s">
        <v>76</v>
      </c>
      <c r="BZ45" s="20" t="s">
        <v>76</v>
      </c>
      <c r="CA45" s="32">
        <v>2.72393787546907</v>
      </c>
      <c r="CB45" s="15">
        <v>3.51437699680511</v>
      </c>
      <c r="CC45" s="15">
        <v>2.5157232704402501</v>
      </c>
      <c r="CD45" s="15">
        <v>3.87096774193548</v>
      </c>
      <c r="CE45" s="20" t="s">
        <v>76</v>
      </c>
      <c r="CF45" s="15">
        <v>2.0958083832335301</v>
      </c>
      <c r="CG45" s="20" t="s">
        <v>76</v>
      </c>
      <c r="CH45" s="15">
        <v>2.2058823529411802</v>
      </c>
      <c r="CI45" s="15">
        <v>3.2854209445585201</v>
      </c>
      <c r="CJ45" s="15">
        <v>4.31372549019608</v>
      </c>
      <c r="CK45" s="15">
        <v>2.6905829596412598</v>
      </c>
      <c r="CL45" s="15">
        <v>3.0303030303030298</v>
      </c>
      <c r="CM45" s="24">
        <v>3.21199143468951</v>
      </c>
      <c r="CN45" s="37"/>
    </row>
    <row r="46" spans="1:92">
      <c r="A46" s="9" t="s">
        <v>301</v>
      </c>
      <c r="B46" s="35">
        <v>19.994187517089301</v>
      </c>
      <c r="C46" s="32">
        <v>20.9360092752542</v>
      </c>
      <c r="D46" s="32">
        <v>19.775972552612</v>
      </c>
      <c r="E46" s="32">
        <v>21.5999558394719</v>
      </c>
      <c r="F46" s="15">
        <v>29.411764705882401</v>
      </c>
      <c r="G46" s="20" t="s">
        <v>76</v>
      </c>
      <c r="H46" s="15">
        <v>30.434782608695699</v>
      </c>
      <c r="I46" s="15">
        <v>60</v>
      </c>
      <c r="J46" s="15">
        <v>16.6666666666667</v>
      </c>
      <c r="K46" s="15">
        <v>23.076923076923102</v>
      </c>
      <c r="L46" s="15">
        <v>16.393442622950801</v>
      </c>
      <c r="M46" s="15">
        <v>13.157894736842101</v>
      </c>
      <c r="N46" s="15">
        <v>21.176470588235301</v>
      </c>
      <c r="O46" s="15">
        <v>16.2790697674419</v>
      </c>
      <c r="P46" s="15">
        <v>23.943661971830998</v>
      </c>
      <c r="Q46" s="15">
        <v>22.5352112676056</v>
      </c>
      <c r="R46" s="20" t="s">
        <v>76</v>
      </c>
      <c r="S46" s="15">
        <v>21.951219512195099</v>
      </c>
      <c r="T46" s="15">
        <v>25</v>
      </c>
      <c r="U46" s="20" t="s">
        <v>76</v>
      </c>
      <c r="V46" s="15">
        <v>32.352941176470601</v>
      </c>
      <c r="W46" s="15">
        <v>20.338983050847499</v>
      </c>
      <c r="X46" s="20" t="s">
        <v>76</v>
      </c>
      <c r="Y46" s="20" t="s">
        <v>76</v>
      </c>
      <c r="Z46" s="15">
        <v>38.461538461538503</v>
      </c>
      <c r="AA46" s="15">
        <v>29.357798165137599</v>
      </c>
      <c r="AB46" s="15">
        <v>25</v>
      </c>
      <c r="AC46" s="15">
        <v>27.272727272727298</v>
      </c>
      <c r="AD46" s="15">
        <v>15.625</v>
      </c>
      <c r="AE46" s="15">
        <v>18.518518518518501</v>
      </c>
      <c r="AF46" s="20" t="s">
        <v>76</v>
      </c>
      <c r="AG46" s="15">
        <v>12.380952380952399</v>
      </c>
      <c r="AH46" s="15">
        <v>14.285714285714301</v>
      </c>
      <c r="AI46" s="20" t="s">
        <v>76</v>
      </c>
      <c r="AJ46" s="15">
        <v>30.630630630630598</v>
      </c>
      <c r="AK46" s="20" t="s">
        <v>76</v>
      </c>
      <c r="AL46" s="15">
        <v>23.3333333333333</v>
      </c>
      <c r="AM46" s="15">
        <v>17.1875</v>
      </c>
      <c r="AN46" s="20" t="s">
        <v>76</v>
      </c>
      <c r="AO46" s="15">
        <v>17.5</v>
      </c>
      <c r="AP46" s="15">
        <v>20.7792207792208</v>
      </c>
      <c r="AQ46" s="15">
        <v>35.897435897435898</v>
      </c>
      <c r="AR46" s="15">
        <v>10.909090909090899</v>
      </c>
      <c r="AS46" s="20" t="s">
        <v>76</v>
      </c>
      <c r="AT46" s="15">
        <v>23.076923076923102</v>
      </c>
      <c r="AU46" s="15">
        <v>28.571428571428601</v>
      </c>
      <c r="AV46" s="15">
        <v>17.808219178082201</v>
      </c>
      <c r="AW46" s="15">
        <v>27.586206896551701</v>
      </c>
      <c r="AX46" s="15">
        <v>31.25</v>
      </c>
      <c r="AY46" s="15">
        <v>25.714285714285701</v>
      </c>
      <c r="AZ46" s="15">
        <v>26</v>
      </c>
      <c r="BA46" s="15">
        <v>24.528301886792502</v>
      </c>
      <c r="BB46" s="15">
        <v>34.328358208955201</v>
      </c>
      <c r="BC46" s="15">
        <v>28.3783783783784</v>
      </c>
      <c r="BD46" s="15">
        <v>21.794871794871799</v>
      </c>
      <c r="BE46" s="15">
        <v>10.3448275862069</v>
      </c>
      <c r="BF46" s="15">
        <v>25.3012048192771</v>
      </c>
      <c r="BG46" s="15">
        <v>22.388059701492502</v>
      </c>
      <c r="BH46" s="20" t="s">
        <v>76</v>
      </c>
      <c r="BI46" s="20" t="s">
        <v>76</v>
      </c>
      <c r="BJ46" s="15">
        <v>24.1071428571429</v>
      </c>
      <c r="BK46" s="15">
        <v>15</v>
      </c>
      <c r="BL46" s="15">
        <v>14.0625</v>
      </c>
      <c r="BM46" s="15">
        <v>13.8613861386139</v>
      </c>
      <c r="BN46" s="15">
        <v>29.411764705882401</v>
      </c>
      <c r="BO46" s="15">
        <v>25.5555555555556</v>
      </c>
      <c r="BP46" s="20" t="s">
        <v>76</v>
      </c>
      <c r="BQ46" s="15">
        <v>17.808219178082201</v>
      </c>
      <c r="BR46" s="15">
        <v>10</v>
      </c>
      <c r="BS46" s="15">
        <v>26.506024096385499</v>
      </c>
      <c r="BT46" s="15">
        <v>25.609756097561</v>
      </c>
      <c r="BU46" s="15">
        <v>24.299065420560702</v>
      </c>
      <c r="BV46" s="15">
        <v>30.303030303030301</v>
      </c>
      <c r="BW46" s="15">
        <v>18.840579710144901</v>
      </c>
      <c r="BX46" s="20" t="s">
        <v>76</v>
      </c>
      <c r="BY46" s="15">
        <v>19.047619047619001</v>
      </c>
      <c r="BZ46" s="15">
        <v>23.8095238095238</v>
      </c>
      <c r="CA46" s="32">
        <v>18.302977154615</v>
      </c>
      <c r="CB46" s="15">
        <v>13.0990415335463</v>
      </c>
      <c r="CC46" s="15">
        <v>17.6100628930818</v>
      </c>
      <c r="CD46" s="15">
        <v>13.548387096774199</v>
      </c>
      <c r="CE46" s="20" t="s">
        <v>76</v>
      </c>
      <c r="CF46" s="15">
        <v>18.862275449101801</v>
      </c>
      <c r="CG46" s="15">
        <v>28.491620111731802</v>
      </c>
      <c r="CH46" s="15">
        <v>14.705882352941201</v>
      </c>
      <c r="CI46" s="15">
        <v>21.560574948665302</v>
      </c>
      <c r="CJ46" s="15">
        <v>25.882352941176499</v>
      </c>
      <c r="CK46" s="15">
        <v>17.4887892376682</v>
      </c>
      <c r="CL46" s="15">
        <v>21.6666666666667</v>
      </c>
      <c r="CM46" s="24">
        <v>18.201284796573901</v>
      </c>
      <c r="CN46" s="37"/>
    </row>
    <row r="47" spans="1:92">
      <c r="A47" s="9" t="s">
        <v>302</v>
      </c>
      <c r="B47" s="35">
        <v>6.7062197540207196</v>
      </c>
      <c r="C47" s="32">
        <v>7.0581843384543204</v>
      </c>
      <c r="D47" s="32">
        <v>7.9090681409807404</v>
      </c>
      <c r="E47" s="32">
        <v>7.4125576956096202</v>
      </c>
      <c r="F47" s="20" t="s">
        <v>76</v>
      </c>
      <c r="G47" s="20" t="s">
        <v>76</v>
      </c>
      <c r="H47" s="20" t="s">
        <v>76</v>
      </c>
      <c r="I47" s="20" t="s">
        <v>76</v>
      </c>
      <c r="J47" s="15">
        <v>3.4722222222222201</v>
      </c>
      <c r="K47" s="20" t="s">
        <v>76</v>
      </c>
      <c r="L47" s="15">
        <v>18.032786885245901</v>
      </c>
      <c r="M47" s="20" t="s">
        <v>76</v>
      </c>
      <c r="N47" s="20" t="s">
        <v>76</v>
      </c>
      <c r="O47" s="20" t="s">
        <v>76</v>
      </c>
      <c r="P47" s="15">
        <v>7.0422535211267601</v>
      </c>
      <c r="Q47" s="15">
        <v>8.4507042253521103</v>
      </c>
      <c r="R47" s="20" t="s">
        <v>76</v>
      </c>
      <c r="S47" s="15">
        <v>12.1951219512195</v>
      </c>
      <c r="T47" s="20" t="s">
        <v>76</v>
      </c>
      <c r="U47" s="20" t="s">
        <v>76</v>
      </c>
      <c r="V47" s="20" t="s">
        <v>76</v>
      </c>
      <c r="W47" s="20" t="s">
        <v>76</v>
      </c>
      <c r="X47" s="20" t="s">
        <v>76</v>
      </c>
      <c r="Y47" s="20" t="s">
        <v>76</v>
      </c>
      <c r="Z47" s="15">
        <v>7.6923076923076898</v>
      </c>
      <c r="AA47" s="15">
        <v>10.0917431192661</v>
      </c>
      <c r="AB47" s="15">
        <v>10.294117647058799</v>
      </c>
      <c r="AC47" s="15">
        <v>10.6060606060606</v>
      </c>
      <c r="AD47" s="15">
        <v>21.875</v>
      </c>
      <c r="AE47" s="20" t="s">
        <v>76</v>
      </c>
      <c r="AF47" s="20" t="s">
        <v>76</v>
      </c>
      <c r="AG47" s="20" t="s">
        <v>76</v>
      </c>
      <c r="AH47" s="20" t="s">
        <v>76</v>
      </c>
      <c r="AI47" s="20" t="s">
        <v>76</v>
      </c>
      <c r="AJ47" s="15">
        <v>6.3063063063063103</v>
      </c>
      <c r="AK47" s="15">
        <v>26.6666666666667</v>
      </c>
      <c r="AL47" s="15">
        <v>10</v>
      </c>
      <c r="AM47" s="15">
        <v>7.8125</v>
      </c>
      <c r="AN47" s="20" t="s">
        <v>76</v>
      </c>
      <c r="AO47" s="20" t="s">
        <v>76</v>
      </c>
      <c r="AP47" s="20" t="s">
        <v>76</v>
      </c>
      <c r="AQ47" s="15">
        <v>12.8205128205128</v>
      </c>
      <c r="AR47" s="20" t="s">
        <v>76</v>
      </c>
      <c r="AS47" s="20" t="s">
        <v>76</v>
      </c>
      <c r="AT47" s="20" t="s">
        <v>76</v>
      </c>
      <c r="AU47" s="20" t="s">
        <v>76</v>
      </c>
      <c r="AV47" s="20" t="s">
        <v>76</v>
      </c>
      <c r="AW47" s="15">
        <v>6.8965517241379297</v>
      </c>
      <c r="AX47" s="20" t="s">
        <v>76</v>
      </c>
      <c r="AY47" s="20" t="s">
        <v>76</v>
      </c>
      <c r="AZ47" s="20" t="s">
        <v>76</v>
      </c>
      <c r="BA47" s="20" t="s">
        <v>76</v>
      </c>
      <c r="BB47" s="15">
        <v>23.880597014925399</v>
      </c>
      <c r="BC47" s="20" t="s">
        <v>76</v>
      </c>
      <c r="BD47" s="15">
        <v>14.1025641025641</v>
      </c>
      <c r="BE47" s="20" t="s">
        <v>76</v>
      </c>
      <c r="BF47" s="15">
        <v>9.6385542168674707</v>
      </c>
      <c r="BG47" s="15">
        <v>8.9552238805970106</v>
      </c>
      <c r="BH47" s="15">
        <v>20.8333333333333</v>
      </c>
      <c r="BI47" s="20" t="s">
        <v>76</v>
      </c>
      <c r="BJ47" s="15">
        <v>12.5</v>
      </c>
      <c r="BK47" s="15">
        <v>20</v>
      </c>
      <c r="BL47" s="15">
        <v>8.59375</v>
      </c>
      <c r="BM47" s="15">
        <v>4.9504950495049496</v>
      </c>
      <c r="BN47" s="15">
        <v>7.5630252100840298</v>
      </c>
      <c r="BO47" s="20" t="s">
        <v>76</v>
      </c>
      <c r="BP47" s="20" t="s">
        <v>76</v>
      </c>
      <c r="BQ47" s="20" t="s">
        <v>76</v>
      </c>
      <c r="BR47" s="15">
        <v>8.3333333333333304</v>
      </c>
      <c r="BS47" s="15">
        <v>8.4337349397590398</v>
      </c>
      <c r="BT47" s="20" t="s">
        <v>76</v>
      </c>
      <c r="BU47" s="15">
        <v>6.5420560747663501</v>
      </c>
      <c r="BV47" s="15">
        <v>19.191919191919201</v>
      </c>
      <c r="BW47" s="20" t="s">
        <v>76</v>
      </c>
      <c r="BX47" s="20" t="s">
        <v>76</v>
      </c>
      <c r="BY47" s="20" t="s">
        <v>76</v>
      </c>
      <c r="BZ47" s="15">
        <v>10.2040816326531</v>
      </c>
      <c r="CA47" s="32">
        <v>8.3100354120943507</v>
      </c>
      <c r="CB47" s="15">
        <v>7.3482428115016001</v>
      </c>
      <c r="CC47" s="15">
        <v>2.8301886792452802</v>
      </c>
      <c r="CD47" s="15">
        <v>3.87096774193548</v>
      </c>
      <c r="CE47" s="20" t="s">
        <v>76</v>
      </c>
      <c r="CF47" s="15">
        <v>5.3892215568862296</v>
      </c>
      <c r="CG47" s="15">
        <v>7.2625698324022299</v>
      </c>
      <c r="CH47" s="15">
        <v>11.397058823529401</v>
      </c>
      <c r="CI47" s="15">
        <v>6.7761806981519497</v>
      </c>
      <c r="CJ47" s="15">
        <v>13.3333333333333</v>
      </c>
      <c r="CK47" s="15">
        <v>10.3139013452915</v>
      </c>
      <c r="CL47" s="15">
        <v>13.4848484848485</v>
      </c>
      <c r="CM47" s="24">
        <v>9.2077087794432604</v>
      </c>
      <c r="CN47" s="37"/>
    </row>
    <row r="48" spans="1:92">
      <c r="A48" s="9" t="s">
        <v>303</v>
      </c>
      <c r="B48" s="35">
        <v>6.6293136037403899</v>
      </c>
      <c r="C48" s="32">
        <v>6.35872873009499</v>
      </c>
      <c r="D48" s="32">
        <v>8.0170588851431397</v>
      </c>
      <c r="E48" s="32">
        <v>7.8508120196534499</v>
      </c>
      <c r="F48" s="20" t="s">
        <v>76</v>
      </c>
      <c r="G48" s="20" t="s">
        <v>76</v>
      </c>
      <c r="H48" s="20" t="s">
        <v>76</v>
      </c>
      <c r="I48" s="20" t="s">
        <v>76</v>
      </c>
      <c r="J48" s="20" t="s">
        <v>76</v>
      </c>
      <c r="K48" s="20" t="s">
        <v>76</v>
      </c>
      <c r="L48" s="20" t="s">
        <v>76</v>
      </c>
      <c r="M48" s="20" t="s">
        <v>76</v>
      </c>
      <c r="N48" s="20" t="s">
        <v>76</v>
      </c>
      <c r="O48" s="20" t="s">
        <v>76</v>
      </c>
      <c r="P48" s="15">
        <v>9.8591549295774694</v>
      </c>
      <c r="Q48" s="20" t="s">
        <v>76</v>
      </c>
      <c r="R48" s="20" t="s">
        <v>76</v>
      </c>
      <c r="S48" s="15">
        <v>12.1951219512195</v>
      </c>
      <c r="T48" s="20" t="s">
        <v>76</v>
      </c>
      <c r="U48" s="20" t="s">
        <v>76</v>
      </c>
      <c r="V48" s="20" t="s">
        <v>76</v>
      </c>
      <c r="W48" s="15">
        <v>8.4745762711864394</v>
      </c>
      <c r="X48" s="20" t="s">
        <v>76</v>
      </c>
      <c r="Y48" s="20" t="s">
        <v>76</v>
      </c>
      <c r="Z48" s="15">
        <v>11.538461538461499</v>
      </c>
      <c r="AA48" s="15">
        <v>12.8440366972477</v>
      </c>
      <c r="AB48" s="15">
        <v>27.9411764705882</v>
      </c>
      <c r="AC48" s="15">
        <v>11.363636363636401</v>
      </c>
      <c r="AD48" s="20" t="s">
        <v>76</v>
      </c>
      <c r="AE48" s="20" t="s">
        <v>76</v>
      </c>
      <c r="AF48" s="20" t="s">
        <v>76</v>
      </c>
      <c r="AG48" s="20" t="s">
        <v>76</v>
      </c>
      <c r="AH48" s="20" t="s">
        <v>76</v>
      </c>
      <c r="AI48" s="20" t="s">
        <v>76</v>
      </c>
      <c r="AJ48" s="20" t="s">
        <v>76</v>
      </c>
      <c r="AK48" s="20" t="s">
        <v>76</v>
      </c>
      <c r="AL48" s="15">
        <v>10</v>
      </c>
      <c r="AM48" s="20" t="s">
        <v>76</v>
      </c>
      <c r="AN48" s="20" t="s">
        <v>76</v>
      </c>
      <c r="AO48" s="20" t="s">
        <v>76</v>
      </c>
      <c r="AP48" s="15">
        <v>6.4935064935064899</v>
      </c>
      <c r="AQ48" s="20" t="s">
        <v>76</v>
      </c>
      <c r="AR48" s="20" t="s">
        <v>76</v>
      </c>
      <c r="AS48" s="20" t="s">
        <v>76</v>
      </c>
      <c r="AT48" s="15">
        <v>7.6923076923076898</v>
      </c>
      <c r="AU48" s="20" t="s">
        <v>76</v>
      </c>
      <c r="AV48" s="20" t="s">
        <v>76</v>
      </c>
      <c r="AW48" s="15">
        <v>4.31034482758621</v>
      </c>
      <c r="AX48" s="20" t="s">
        <v>76</v>
      </c>
      <c r="AY48" s="15">
        <v>14.285714285714301</v>
      </c>
      <c r="AZ48" s="15">
        <v>12</v>
      </c>
      <c r="BA48" s="20" t="s">
        <v>76</v>
      </c>
      <c r="BB48" s="15">
        <v>13.4328358208955</v>
      </c>
      <c r="BC48" s="15">
        <v>10.8108108108108</v>
      </c>
      <c r="BD48" s="15">
        <v>7.6923076923076898</v>
      </c>
      <c r="BE48" s="20" t="s">
        <v>76</v>
      </c>
      <c r="BF48" s="15">
        <v>9.6385542168674707</v>
      </c>
      <c r="BG48" s="20" t="s">
        <v>76</v>
      </c>
      <c r="BH48" s="20" t="s">
        <v>76</v>
      </c>
      <c r="BI48" s="15">
        <v>31.578947368421101</v>
      </c>
      <c r="BJ48" s="15">
        <v>8.9285714285714306</v>
      </c>
      <c r="BK48" s="20" t="s">
        <v>76</v>
      </c>
      <c r="BL48" s="15">
        <v>7.8125</v>
      </c>
      <c r="BM48" s="20" t="s">
        <v>76</v>
      </c>
      <c r="BN48" s="15">
        <v>10.924369747899201</v>
      </c>
      <c r="BO48" s="15">
        <v>6.6666666666666696</v>
      </c>
      <c r="BP48" s="20" t="s">
        <v>76</v>
      </c>
      <c r="BQ48" s="20" t="s">
        <v>76</v>
      </c>
      <c r="BR48" s="15">
        <v>8.3333333333333304</v>
      </c>
      <c r="BS48" s="20" t="s">
        <v>76</v>
      </c>
      <c r="BT48" s="20" t="s">
        <v>76</v>
      </c>
      <c r="BU48" s="15">
        <v>13.0841121495327</v>
      </c>
      <c r="BV48" s="15">
        <v>15.1515151515152</v>
      </c>
      <c r="BW48" s="20" t="s">
        <v>76</v>
      </c>
      <c r="BX48" s="20" t="s">
        <v>76</v>
      </c>
      <c r="BY48" s="20" t="s">
        <v>76</v>
      </c>
      <c r="BZ48" s="15">
        <v>14.285714285714301</v>
      </c>
      <c r="CA48" s="32">
        <v>8.1513149770502604</v>
      </c>
      <c r="CB48" s="15">
        <v>9.2651757188498394</v>
      </c>
      <c r="CC48" s="15">
        <v>8.1761006289308202</v>
      </c>
      <c r="CD48" s="15">
        <v>4.5161290322580596</v>
      </c>
      <c r="CE48" s="20" t="s">
        <v>76</v>
      </c>
      <c r="CF48" s="15">
        <v>8.6826347305389202</v>
      </c>
      <c r="CG48" s="15">
        <v>10.055865921787699</v>
      </c>
      <c r="CH48" s="15">
        <v>6.0661764705882302</v>
      </c>
      <c r="CI48" s="15">
        <v>6.9815195071868601</v>
      </c>
      <c r="CJ48" s="15">
        <v>5.8823529411764701</v>
      </c>
      <c r="CK48" s="15">
        <v>7.6233183856502196</v>
      </c>
      <c r="CL48" s="15">
        <v>13.030303030302999</v>
      </c>
      <c r="CM48" s="24">
        <v>7.4946466809421803</v>
      </c>
      <c r="CN48" s="37"/>
    </row>
    <row r="49" spans="1:92">
      <c r="A49" s="9" t="s">
        <v>304</v>
      </c>
      <c r="B49" s="35">
        <v>11.0892416504407</v>
      </c>
      <c r="C49" s="32">
        <v>14.7415949881649</v>
      </c>
      <c r="D49" s="32">
        <v>12.678341252075001</v>
      </c>
      <c r="E49" s="32">
        <v>12.423229086479999</v>
      </c>
      <c r="F49" s="20" t="s">
        <v>76</v>
      </c>
      <c r="G49" s="20" t="s">
        <v>76</v>
      </c>
      <c r="H49" s="20" t="s">
        <v>76</v>
      </c>
      <c r="I49" s="15">
        <v>50</v>
      </c>
      <c r="J49" s="15">
        <v>11.1111111111111</v>
      </c>
      <c r="K49" s="15">
        <v>15.384615384615399</v>
      </c>
      <c r="L49" s="15">
        <v>13.1147540983607</v>
      </c>
      <c r="M49" s="20" t="s">
        <v>76</v>
      </c>
      <c r="N49" s="15">
        <v>9.4117647058823497</v>
      </c>
      <c r="O49" s="20" t="s">
        <v>76</v>
      </c>
      <c r="P49" s="15">
        <v>14.084507042253501</v>
      </c>
      <c r="Q49" s="15">
        <v>9.8591549295774694</v>
      </c>
      <c r="R49" s="20" t="s">
        <v>76</v>
      </c>
      <c r="S49" s="15">
        <v>12.1951219512195</v>
      </c>
      <c r="T49" s="15">
        <v>12.5</v>
      </c>
      <c r="U49" s="20" t="s">
        <v>76</v>
      </c>
      <c r="V49" s="15">
        <v>14.705882352941201</v>
      </c>
      <c r="W49" s="15">
        <v>11.864406779661</v>
      </c>
      <c r="X49" s="20" t="s">
        <v>76</v>
      </c>
      <c r="Y49" s="20" t="s">
        <v>76</v>
      </c>
      <c r="Z49" s="15">
        <v>16.6666666666667</v>
      </c>
      <c r="AA49" s="15">
        <v>17.431192660550501</v>
      </c>
      <c r="AB49" s="15">
        <v>22.0588235294118</v>
      </c>
      <c r="AC49" s="15">
        <v>18.939393939393899</v>
      </c>
      <c r="AD49" s="15">
        <v>15.625</v>
      </c>
      <c r="AE49" s="20" t="s">
        <v>76</v>
      </c>
      <c r="AF49" s="20" t="s">
        <v>76</v>
      </c>
      <c r="AG49" s="15">
        <v>7.6190476190476204</v>
      </c>
      <c r="AH49" s="20" t="s">
        <v>76</v>
      </c>
      <c r="AI49" s="20" t="s">
        <v>76</v>
      </c>
      <c r="AJ49" s="15">
        <v>12.612612612612599</v>
      </c>
      <c r="AK49" s="15">
        <v>30</v>
      </c>
      <c r="AL49" s="15">
        <v>17.7777777777778</v>
      </c>
      <c r="AM49" s="15">
        <v>7.8125</v>
      </c>
      <c r="AN49" s="20" t="s">
        <v>76</v>
      </c>
      <c r="AO49" s="20" t="s">
        <v>76</v>
      </c>
      <c r="AP49" s="20" t="s">
        <v>76</v>
      </c>
      <c r="AQ49" s="15">
        <v>12.8205128205128</v>
      </c>
      <c r="AR49" s="15">
        <v>14.545454545454501</v>
      </c>
      <c r="AS49" s="20" t="s">
        <v>76</v>
      </c>
      <c r="AT49" s="15">
        <v>18.461538461538499</v>
      </c>
      <c r="AU49" s="15">
        <v>12.244897959183699</v>
      </c>
      <c r="AV49" s="15">
        <v>9.5890410958904102</v>
      </c>
      <c r="AW49" s="15">
        <v>12.9310344827586</v>
      </c>
      <c r="AX49" s="20" t="s">
        <v>76</v>
      </c>
      <c r="AY49" s="20" t="s">
        <v>76</v>
      </c>
      <c r="AZ49" s="15">
        <v>12</v>
      </c>
      <c r="BA49" s="15">
        <v>13.207547169811299</v>
      </c>
      <c r="BB49" s="15">
        <v>17.910447761194</v>
      </c>
      <c r="BC49" s="15">
        <v>21.6216216216216</v>
      </c>
      <c r="BD49" s="15">
        <v>8.9743589743589691</v>
      </c>
      <c r="BE49" s="20" t="s">
        <v>76</v>
      </c>
      <c r="BF49" s="15">
        <v>10.8433734939759</v>
      </c>
      <c r="BG49" s="15">
        <v>14.9253731343284</v>
      </c>
      <c r="BH49" s="15">
        <v>29.1666666666667</v>
      </c>
      <c r="BI49" s="20" t="s">
        <v>76</v>
      </c>
      <c r="BJ49" s="15">
        <v>9.8214285714285694</v>
      </c>
      <c r="BK49" s="20" t="s">
        <v>76</v>
      </c>
      <c r="BL49" s="15">
        <v>15.625</v>
      </c>
      <c r="BM49" s="15">
        <v>12.8712871287129</v>
      </c>
      <c r="BN49" s="15">
        <v>16.806722689075599</v>
      </c>
      <c r="BO49" s="15">
        <v>16.6666666666667</v>
      </c>
      <c r="BP49" s="20" t="s">
        <v>76</v>
      </c>
      <c r="BQ49" s="15">
        <v>6.8493150684931496</v>
      </c>
      <c r="BR49" s="15">
        <v>10</v>
      </c>
      <c r="BS49" s="15">
        <v>6.0240963855421699</v>
      </c>
      <c r="BT49" s="15">
        <v>14.634146341463399</v>
      </c>
      <c r="BU49" s="15">
        <v>12.1495327102804</v>
      </c>
      <c r="BV49" s="15">
        <v>29.292929292929301</v>
      </c>
      <c r="BW49" s="20" t="s">
        <v>76</v>
      </c>
      <c r="BX49" s="20" t="s">
        <v>76</v>
      </c>
      <c r="BY49" s="20" t="s">
        <v>76</v>
      </c>
      <c r="BZ49" s="15">
        <v>13.605442176870699</v>
      </c>
      <c r="CA49" s="32">
        <v>12.8843623535848</v>
      </c>
      <c r="CB49" s="15">
        <v>10.5431309904153</v>
      </c>
      <c r="CC49" s="15">
        <v>9.7484276729559696</v>
      </c>
      <c r="CD49" s="15">
        <v>14.193548387096801</v>
      </c>
      <c r="CE49" s="20" t="s">
        <v>76</v>
      </c>
      <c r="CF49" s="15">
        <v>9.8802395209580904</v>
      </c>
      <c r="CG49" s="15">
        <v>16.759776536312799</v>
      </c>
      <c r="CH49" s="15">
        <v>14.522058823529401</v>
      </c>
      <c r="CI49" s="15">
        <v>14.3737166324435</v>
      </c>
      <c r="CJ49" s="15">
        <v>13.3333333333333</v>
      </c>
      <c r="CK49" s="15">
        <v>12.556053811659201</v>
      </c>
      <c r="CL49" s="15">
        <v>15.6060606060606</v>
      </c>
      <c r="CM49" s="24">
        <v>13.4903640256959</v>
      </c>
      <c r="CN49" s="37"/>
    </row>
    <row r="50" spans="1:92">
      <c r="A50" s="9" t="s">
        <v>305</v>
      </c>
      <c r="B50" s="35">
        <v>40.991221992550599</v>
      </c>
      <c r="C50" s="32">
        <v>42.1056149341034</v>
      </c>
      <c r="D50" s="32">
        <v>42.071551254828798</v>
      </c>
      <c r="E50" s="32">
        <v>41.4047892363253</v>
      </c>
      <c r="F50" s="15">
        <v>70.588235294117595</v>
      </c>
      <c r="G50" s="15">
        <v>58.823529411764703</v>
      </c>
      <c r="H50" s="15">
        <v>56.521739130434803</v>
      </c>
      <c r="I50" s="15">
        <v>60</v>
      </c>
      <c r="J50" s="15">
        <v>38.1944444444444</v>
      </c>
      <c r="K50" s="15">
        <v>43.589743589743598</v>
      </c>
      <c r="L50" s="15">
        <v>31.1475409836066</v>
      </c>
      <c r="M50" s="15">
        <v>9.2105263157894708</v>
      </c>
      <c r="N50" s="15">
        <v>36.470588235294102</v>
      </c>
      <c r="O50" s="15">
        <v>44.1860465116279</v>
      </c>
      <c r="P50" s="15">
        <v>50.704225352112701</v>
      </c>
      <c r="Q50" s="15">
        <v>49.295774647887299</v>
      </c>
      <c r="R50" s="15">
        <v>34.615384615384599</v>
      </c>
      <c r="S50" s="15">
        <v>26.829268292682901</v>
      </c>
      <c r="T50" s="15">
        <v>33.3333333333333</v>
      </c>
      <c r="U50" s="15">
        <v>33.3333333333333</v>
      </c>
      <c r="V50" s="15">
        <v>55.882352941176499</v>
      </c>
      <c r="W50" s="15">
        <v>27.118644067796598</v>
      </c>
      <c r="X50" s="15">
        <v>53.846153846153797</v>
      </c>
      <c r="Y50" s="20" t="s">
        <v>76</v>
      </c>
      <c r="Z50" s="15">
        <v>47.435897435897402</v>
      </c>
      <c r="AA50" s="15">
        <v>58.715596330275197</v>
      </c>
      <c r="AB50" s="15">
        <v>45.588235294117602</v>
      </c>
      <c r="AC50" s="15">
        <v>48.484848484848499</v>
      </c>
      <c r="AD50" s="15">
        <v>25</v>
      </c>
      <c r="AE50" s="15">
        <v>18.518518518518501</v>
      </c>
      <c r="AF50" s="20" t="s">
        <v>76</v>
      </c>
      <c r="AG50" s="15">
        <v>32.380952380952401</v>
      </c>
      <c r="AH50" s="15">
        <v>30.3571428571429</v>
      </c>
      <c r="AI50" s="20" t="s">
        <v>76</v>
      </c>
      <c r="AJ50" s="15">
        <v>57.657657657657701</v>
      </c>
      <c r="AK50" s="15">
        <v>43.3333333333333</v>
      </c>
      <c r="AL50" s="15">
        <v>47.7777777777778</v>
      </c>
      <c r="AM50" s="15">
        <v>34.375</v>
      </c>
      <c r="AN50" s="20" t="s">
        <v>76</v>
      </c>
      <c r="AO50" s="15">
        <v>35</v>
      </c>
      <c r="AP50" s="15">
        <v>37.662337662337698</v>
      </c>
      <c r="AQ50" s="15">
        <v>41.025641025641001</v>
      </c>
      <c r="AR50" s="15">
        <v>34.545454545454497</v>
      </c>
      <c r="AS50" s="20" t="s">
        <v>76</v>
      </c>
      <c r="AT50" s="15">
        <v>44.615384615384599</v>
      </c>
      <c r="AU50" s="15">
        <v>67.346938775510196</v>
      </c>
      <c r="AV50" s="15">
        <v>28.7671232876712</v>
      </c>
      <c r="AW50" s="15">
        <v>49.137931034482797</v>
      </c>
      <c r="AX50" s="15">
        <v>81.25</v>
      </c>
      <c r="AY50" s="15">
        <v>51.428571428571402</v>
      </c>
      <c r="AZ50" s="15">
        <v>66</v>
      </c>
      <c r="BA50" s="15">
        <v>56.603773584905703</v>
      </c>
      <c r="BB50" s="15">
        <v>41.791044776119399</v>
      </c>
      <c r="BC50" s="15">
        <v>43.243243243243199</v>
      </c>
      <c r="BD50" s="15">
        <v>35.897435897435898</v>
      </c>
      <c r="BE50" s="15">
        <v>56.8965517241379</v>
      </c>
      <c r="BF50" s="15">
        <v>38.554216867469897</v>
      </c>
      <c r="BG50" s="15">
        <v>32.835820895522403</v>
      </c>
      <c r="BH50" s="15">
        <v>41.6666666666667</v>
      </c>
      <c r="BI50" s="15">
        <v>47.368421052631597</v>
      </c>
      <c r="BJ50" s="15">
        <v>48.214285714285701</v>
      </c>
      <c r="BK50" s="15">
        <v>37.5</v>
      </c>
      <c r="BL50" s="15">
        <v>30.46875</v>
      </c>
      <c r="BM50" s="15">
        <v>35.643564356435597</v>
      </c>
      <c r="BN50" s="15">
        <v>36.974789915966397</v>
      </c>
      <c r="BO50" s="15">
        <v>37.7777777777778</v>
      </c>
      <c r="BP50" s="15">
        <v>46.6666666666667</v>
      </c>
      <c r="BQ50" s="15">
        <v>53.424657534246599</v>
      </c>
      <c r="BR50" s="15">
        <v>31.6666666666667</v>
      </c>
      <c r="BS50" s="15">
        <v>34.939759036144601</v>
      </c>
      <c r="BT50" s="15">
        <v>48.780487804878</v>
      </c>
      <c r="BU50" s="15">
        <v>43.925233644859802</v>
      </c>
      <c r="BV50" s="15">
        <v>39.393939393939398</v>
      </c>
      <c r="BW50" s="15">
        <v>31.884057971014499</v>
      </c>
      <c r="BX50" s="15">
        <v>55.5555555555556</v>
      </c>
      <c r="BY50" s="15">
        <v>39.682539682539698</v>
      </c>
      <c r="BZ50" s="15">
        <v>36.054421768707499</v>
      </c>
      <c r="CA50" s="32">
        <v>42.610008702268303</v>
      </c>
      <c r="CB50" s="15">
        <v>40.894568690095802</v>
      </c>
      <c r="CC50" s="15">
        <v>41.509433962264097</v>
      </c>
      <c r="CD50" s="15">
        <v>50.322580645161302</v>
      </c>
      <c r="CE50" s="20" t="s">
        <v>76</v>
      </c>
      <c r="CF50" s="15">
        <v>36.526946107784397</v>
      </c>
      <c r="CG50" s="15">
        <v>46.368715083798897</v>
      </c>
      <c r="CH50" s="15">
        <v>42.095588235294102</v>
      </c>
      <c r="CI50" s="15">
        <v>40.657084188911703</v>
      </c>
      <c r="CJ50" s="15">
        <v>52.5490196078431</v>
      </c>
      <c r="CK50" s="15">
        <v>40.807174887892401</v>
      </c>
      <c r="CL50" s="15">
        <v>45.7575757575758</v>
      </c>
      <c r="CM50" s="24">
        <v>38.9721627408994</v>
      </c>
      <c r="CN50" s="37"/>
    </row>
    <row r="51" spans="1:92">
      <c r="A51" s="9" t="s">
        <v>306</v>
      </c>
      <c r="B51" s="35">
        <v>29.652717103845799</v>
      </c>
      <c r="C51" s="32">
        <v>31.028258889026102</v>
      </c>
      <c r="D51" s="32">
        <v>30.937931420316101</v>
      </c>
      <c r="E51" s="32">
        <v>28.359766628642198</v>
      </c>
      <c r="F51" s="15">
        <v>29.411764705882401</v>
      </c>
      <c r="G51" s="20" t="s">
        <v>76</v>
      </c>
      <c r="H51" s="15">
        <v>47.826086956521699</v>
      </c>
      <c r="I51" s="15">
        <v>80</v>
      </c>
      <c r="J51" s="15">
        <v>25.6944444444444</v>
      </c>
      <c r="K51" s="15">
        <v>30.769230769230798</v>
      </c>
      <c r="L51" s="15">
        <v>19.672131147540998</v>
      </c>
      <c r="M51" s="15">
        <v>13.157894736842101</v>
      </c>
      <c r="N51" s="15">
        <v>27.0588235294118</v>
      </c>
      <c r="O51" s="15">
        <v>34.883720930232599</v>
      </c>
      <c r="P51" s="15">
        <v>29.577464788732399</v>
      </c>
      <c r="Q51" s="15">
        <v>25.352112676056301</v>
      </c>
      <c r="R51" s="20" t="s">
        <v>76</v>
      </c>
      <c r="S51" s="15">
        <v>34.146341463414601</v>
      </c>
      <c r="T51" s="15">
        <v>33.3333333333333</v>
      </c>
      <c r="U51" s="15">
        <v>33.3333333333333</v>
      </c>
      <c r="V51" s="15">
        <v>29.411764705882401</v>
      </c>
      <c r="W51" s="15">
        <v>16.9491525423729</v>
      </c>
      <c r="X51" s="20" t="s">
        <v>76</v>
      </c>
      <c r="Y51" s="20" t="s">
        <v>76</v>
      </c>
      <c r="Z51" s="15">
        <v>30.769230769230798</v>
      </c>
      <c r="AA51" s="15">
        <v>39.449541284403701</v>
      </c>
      <c r="AB51" s="15">
        <v>42.647058823529399</v>
      </c>
      <c r="AC51" s="15">
        <v>35.606060606060602</v>
      </c>
      <c r="AD51" s="20" t="s">
        <v>76</v>
      </c>
      <c r="AE51" s="15">
        <v>29.629629629629601</v>
      </c>
      <c r="AF51" s="20" t="s">
        <v>76</v>
      </c>
      <c r="AG51" s="15">
        <v>17.1428571428571</v>
      </c>
      <c r="AH51" s="15">
        <v>14.285714285714301</v>
      </c>
      <c r="AI51" s="20" t="s">
        <v>76</v>
      </c>
      <c r="AJ51" s="15">
        <v>24.324324324324301</v>
      </c>
      <c r="AK51" s="15">
        <v>36.6666666666667</v>
      </c>
      <c r="AL51" s="15">
        <v>32.2222222222222</v>
      </c>
      <c r="AM51" s="15">
        <v>31.25</v>
      </c>
      <c r="AN51" s="20" t="s">
        <v>76</v>
      </c>
      <c r="AO51" s="15">
        <v>32.5</v>
      </c>
      <c r="AP51" s="15">
        <v>19.480519480519501</v>
      </c>
      <c r="AQ51" s="15">
        <v>35.897435897435898</v>
      </c>
      <c r="AR51" s="15">
        <v>14.545454545454501</v>
      </c>
      <c r="AS51" s="20" t="s">
        <v>76</v>
      </c>
      <c r="AT51" s="15">
        <v>33.846153846153797</v>
      </c>
      <c r="AU51" s="15">
        <v>28.571428571428601</v>
      </c>
      <c r="AV51" s="15">
        <v>15.068493150684899</v>
      </c>
      <c r="AW51" s="15">
        <v>36.2068965517241</v>
      </c>
      <c r="AX51" s="15">
        <v>50</v>
      </c>
      <c r="AY51" s="15">
        <v>25.714285714285701</v>
      </c>
      <c r="AZ51" s="15">
        <v>48</v>
      </c>
      <c r="BA51" s="15">
        <v>24.528301886792502</v>
      </c>
      <c r="BB51" s="15">
        <v>41.791044776119399</v>
      </c>
      <c r="BC51" s="15">
        <v>39.1891891891892</v>
      </c>
      <c r="BD51" s="15">
        <v>25.6410256410256</v>
      </c>
      <c r="BE51" s="15">
        <v>44.827586206896598</v>
      </c>
      <c r="BF51" s="15">
        <v>32.530120481927703</v>
      </c>
      <c r="BG51" s="15">
        <v>26.865671641791</v>
      </c>
      <c r="BH51" s="15">
        <v>20.8333333333333</v>
      </c>
      <c r="BI51" s="15">
        <v>26.315789473684202</v>
      </c>
      <c r="BJ51" s="15">
        <v>33.928571428571402</v>
      </c>
      <c r="BK51" s="15">
        <v>27.5</v>
      </c>
      <c r="BL51" s="15">
        <v>22.65625</v>
      </c>
      <c r="BM51" s="15">
        <v>29.702970297029701</v>
      </c>
      <c r="BN51" s="15">
        <v>40.336134453781497</v>
      </c>
      <c r="BO51" s="15">
        <v>20</v>
      </c>
      <c r="BP51" s="15">
        <v>40</v>
      </c>
      <c r="BQ51" s="15">
        <v>26.027397260274</v>
      </c>
      <c r="BR51" s="15">
        <v>23.3333333333333</v>
      </c>
      <c r="BS51" s="15">
        <v>25.3012048192771</v>
      </c>
      <c r="BT51" s="15">
        <v>26.829268292682901</v>
      </c>
      <c r="BU51" s="15">
        <v>30.841121495327101</v>
      </c>
      <c r="BV51" s="15">
        <v>56.565656565656603</v>
      </c>
      <c r="BW51" s="15">
        <v>13.0434782608696</v>
      </c>
      <c r="BX51" s="20" t="s">
        <v>76</v>
      </c>
      <c r="BY51" s="15">
        <v>17.460317460317501</v>
      </c>
      <c r="BZ51" s="15">
        <v>27.891156462584998</v>
      </c>
      <c r="CA51" s="32">
        <v>33.019981678545697</v>
      </c>
      <c r="CB51" s="15">
        <v>26.1980830670927</v>
      </c>
      <c r="CC51" s="15">
        <v>28.6163522012579</v>
      </c>
      <c r="CD51" s="15">
        <v>32.903225806451601</v>
      </c>
      <c r="CE51" s="20" t="s">
        <v>76</v>
      </c>
      <c r="CF51" s="15">
        <v>30.239520958083801</v>
      </c>
      <c r="CG51" s="15">
        <v>36.312849162011197</v>
      </c>
      <c r="CH51" s="15">
        <v>39.889705882352899</v>
      </c>
      <c r="CI51" s="15">
        <v>35.318275154004098</v>
      </c>
      <c r="CJ51" s="15">
        <v>34.901960784313701</v>
      </c>
      <c r="CK51" s="15">
        <v>35.874439461883398</v>
      </c>
      <c r="CL51" s="15">
        <v>37.272727272727302</v>
      </c>
      <c r="CM51" s="24">
        <v>30.406852248393999</v>
      </c>
      <c r="CN51" s="37"/>
    </row>
    <row r="52" spans="1:92">
      <c r="A52" s="9" t="s">
        <v>307</v>
      </c>
      <c r="B52" s="35">
        <v>11.4396701794723</v>
      </c>
      <c r="C52" s="32">
        <v>13.781470915092401</v>
      </c>
      <c r="D52" s="32">
        <v>14.1228187747099</v>
      </c>
      <c r="E52" s="32">
        <v>14.115669697151199</v>
      </c>
      <c r="F52" s="20" t="s">
        <v>76</v>
      </c>
      <c r="G52" s="20" t="s">
        <v>76</v>
      </c>
      <c r="H52" s="20" t="s">
        <v>76</v>
      </c>
      <c r="I52" s="20" t="s">
        <v>76</v>
      </c>
      <c r="J52" s="15">
        <v>10.4166666666667</v>
      </c>
      <c r="K52" s="20" t="s">
        <v>76</v>
      </c>
      <c r="L52" s="15">
        <v>18.032786885245901</v>
      </c>
      <c r="M52" s="20" t="s">
        <v>76</v>
      </c>
      <c r="N52" s="15">
        <v>8.2352941176470598</v>
      </c>
      <c r="O52" s="20" t="s">
        <v>76</v>
      </c>
      <c r="P52" s="15">
        <v>12.6760563380282</v>
      </c>
      <c r="Q52" s="15">
        <v>11.2676056338028</v>
      </c>
      <c r="R52" s="20" t="s">
        <v>76</v>
      </c>
      <c r="S52" s="20" t="s">
        <v>76</v>
      </c>
      <c r="T52" s="15">
        <v>14.5833333333333</v>
      </c>
      <c r="U52" s="20" t="s">
        <v>76</v>
      </c>
      <c r="V52" s="20" t="s">
        <v>76</v>
      </c>
      <c r="W52" s="15">
        <v>11.864406779661</v>
      </c>
      <c r="X52" s="15">
        <v>38.461538461538503</v>
      </c>
      <c r="Y52" s="20" t="s">
        <v>76</v>
      </c>
      <c r="Z52" s="15">
        <v>12.8205128205128</v>
      </c>
      <c r="AA52" s="15">
        <v>17.431192660550501</v>
      </c>
      <c r="AB52" s="15">
        <v>14.705882352941201</v>
      </c>
      <c r="AC52" s="15">
        <v>21.2121212121212</v>
      </c>
      <c r="AD52" s="20" t="s">
        <v>76</v>
      </c>
      <c r="AE52" s="20" t="s">
        <v>76</v>
      </c>
      <c r="AF52" s="20" t="s">
        <v>76</v>
      </c>
      <c r="AG52" s="15">
        <v>13.3333333333333</v>
      </c>
      <c r="AH52" s="20" t="s">
        <v>76</v>
      </c>
      <c r="AI52" s="20" t="s">
        <v>76</v>
      </c>
      <c r="AJ52" s="15">
        <v>19.819819819819799</v>
      </c>
      <c r="AK52" s="15">
        <v>16.6666666666667</v>
      </c>
      <c r="AL52" s="15">
        <v>20</v>
      </c>
      <c r="AM52" s="15">
        <v>12.5</v>
      </c>
      <c r="AN52" s="20" t="s">
        <v>76</v>
      </c>
      <c r="AO52" s="20" t="s">
        <v>76</v>
      </c>
      <c r="AP52" s="15">
        <v>7.7922077922077904</v>
      </c>
      <c r="AQ52" s="15">
        <v>25.6410256410256</v>
      </c>
      <c r="AR52" s="20" t="s">
        <v>76</v>
      </c>
      <c r="AS52" s="20" t="s">
        <v>76</v>
      </c>
      <c r="AT52" s="15">
        <v>18.461538461538499</v>
      </c>
      <c r="AU52" s="15">
        <v>18.367346938775501</v>
      </c>
      <c r="AV52" s="15">
        <v>9.5890410958904102</v>
      </c>
      <c r="AW52" s="15">
        <v>8.6206896551724093</v>
      </c>
      <c r="AX52" s="20" t="s">
        <v>76</v>
      </c>
      <c r="AY52" s="15">
        <v>22.8571428571429</v>
      </c>
      <c r="AZ52" s="15">
        <v>32</v>
      </c>
      <c r="BA52" s="15">
        <v>13.207547169811299</v>
      </c>
      <c r="BB52" s="15">
        <v>22.388059701492502</v>
      </c>
      <c r="BC52" s="15">
        <v>9.4594594594594597</v>
      </c>
      <c r="BD52" s="15">
        <v>14.1025641025641</v>
      </c>
      <c r="BE52" s="15">
        <v>20.689655172413801</v>
      </c>
      <c r="BF52" s="15">
        <v>14.4578313253012</v>
      </c>
      <c r="BG52" s="15">
        <v>8.9552238805970106</v>
      </c>
      <c r="BH52" s="20" t="s">
        <v>76</v>
      </c>
      <c r="BI52" s="20" t="s">
        <v>76</v>
      </c>
      <c r="BJ52" s="15">
        <v>11.6071428571429</v>
      </c>
      <c r="BK52" s="15">
        <v>27.5</v>
      </c>
      <c r="BL52" s="15">
        <v>8.59375</v>
      </c>
      <c r="BM52" s="15">
        <v>15.841584158415801</v>
      </c>
      <c r="BN52" s="15">
        <v>26.050420168067198</v>
      </c>
      <c r="BO52" s="15">
        <v>12.2222222222222</v>
      </c>
      <c r="BP52" s="20" t="s">
        <v>76</v>
      </c>
      <c r="BQ52" s="20" t="s">
        <v>76</v>
      </c>
      <c r="BR52" s="15">
        <v>13.3333333333333</v>
      </c>
      <c r="BS52" s="15">
        <v>8.4337349397590398</v>
      </c>
      <c r="BT52" s="15">
        <v>10.975609756097599</v>
      </c>
      <c r="BU52" s="15">
        <v>21.495327102803699</v>
      </c>
      <c r="BV52" s="15">
        <v>25.252525252525299</v>
      </c>
      <c r="BW52" s="15">
        <v>7.2463768115942004</v>
      </c>
      <c r="BX52" s="20" t="s">
        <v>76</v>
      </c>
      <c r="BY52" s="15">
        <v>23.8095238095238</v>
      </c>
      <c r="BZ52" s="15">
        <v>13.605442176870699</v>
      </c>
      <c r="CA52" s="32">
        <v>14.1285921600363</v>
      </c>
      <c r="CB52" s="15">
        <v>9.2651757188498394</v>
      </c>
      <c r="CC52" s="15">
        <v>16.6666666666667</v>
      </c>
      <c r="CD52" s="15">
        <v>16.129032258064498</v>
      </c>
      <c r="CE52" s="20" t="s">
        <v>76</v>
      </c>
      <c r="CF52" s="15">
        <v>15.868263473053901</v>
      </c>
      <c r="CG52" s="15">
        <v>17.877094972066999</v>
      </c>
      <c r="CH52" s="15">
        <v>17.095588235294102</v>
      </c>
      <c r="CI52" s="15">
        <v>12.936344969199199</v>
      </c>
      <c r="CJ52" s="15">
        <v>13.7254901960784</v>
      </c>
      <c r="CK52" s="15">
        <v>16.143497757847499</v>
      </c>
      <c r="CL52" s="15">
        <v>15.454545454545499</v>
      </c>
      <c r="CM52" s="24">
        <v>13.918629550321199</v>
      </c>
      <c r="CN52" s="37"/>
    </row>
    <row r="53" spans="1:92">
      <c r="A53" s="9" t="s">
        <v>308</v>
      </c>
      <c r="B53" s="35">
        <v>25.4392622296062</v>
      </c>
      <c r="C53" s="32">
        <v>26.375758365227</v>
      </c>
      <c r="D53" s="32">
        <v>28.0125086911547</v>
      </c>
      <c r="E53" s="32">
        <v>26.889684352205801</v>
      </c>
      <c r="F53" s="15">
        <v>29.411764705882401</v>
      </c>
      <c r="G53" s="20" t="s">
        <v>76</v>
      </c>
      <c r="H53" s="15">
        <v>39.130434782608702</v>
      </c>
      <c r="I53" s="15">
        <v>70</v>
      </c>
      <c r="J53" s="15">
        <v>19.4444444444444</v>
      </c>
      <c r="K53" s="15">
        <v>17.948717948717899</v>
      </c>
      <c r="L53" s="15">
        <v>19.672131147540998</v>
      </c>
      <c r="M53" s="15">
        <v>13.157894736842101</v>
      </c>
      <c r="N53" s="15">
        <v>28.235294117647101</v>
      </c>
      <c r="O53" s="15">
        <v>30.232558139534898</v>
      </c>
      <c r="P53" s="15">
        <v>26.760563380281699</v>
      </c>
      <c r="Q53" s="15">
        <v>42.253521126760603</v>
      </c>
      <c r="R53" s="20" t="s">
        <v>76</v>
      </c>
      <c r="S53" s="15">
        <v>34.146341463414601</v>
      </c>
      <c r="T53" s="15">
        <v>29.1666666666667</v>
      </c>
      <c r="U53" s="15">
        <v>28.571428571428601</v>
      </c>
      <c r="V53" s="15">
        <v>26.470588235294102</v>
      </c>
      <c r="W53" s="15">
        <v>35.593220338983102</v>
      </c>
      <c r="X53" s="20" t="s">
        <v>76</v>
      </c>
      <c r="Y53" s="20" t="s">
        <v>76</v>
      </c>
      <c r="Z53" s="15">
        <v>43.589743589743598</v>
      </c>
      <c r="AA53" s="15">
        <v>24.7706422018349</v>
      </c>
      <c r="AB53" s="15">
        <v>39.705882352941202</v>
      </c>
      <c r="AC53" s="15">
        <v>25</v>
      </c>
      <c r="AD53" s="20" t="s">
        <v>76</v>
      </c>
      <c r="AE53" s="15">
        <v>22.2222222222222</v>
      </c>
      <c r="AF53" s="15">
        <v>42.857142857142897</v>
      </c>
      <c r="AG53" s="15">
        <v>13.3333333333333</v>
      </c>
      <c r="AH53" s="15">
        <v>19.6428571428571</v>
      </c>
      <c r="AI53" s="20" t="s">
        <v>76</v>
      </c>
      <c r="AJ53" s="15">
        <v>19.819819819819799</v>
      </c>
      <c r="AK53" s="15">
        <v>26.6666666666667</v>
      </c>
      <c r="AL53" s="15">
        <v>36.6666666666667</v>
      </c>
      <c r="AM53" s="15">
        <v>34.375</v>
      </c>
      <c r="AN53" s="20" t="s">
        <v>76</v>
      </c>
      <c r="AO53" s="15">
        <v>17.5</v>
      </c>
      <c r="AP53" s="15">
        <v>15.5844155844156</v>
      </c>
      <c r="AQ53" s="15">
        <v>20.5128205128205</v>
      </c>
      <c r="AR53" s="15">
        <v>10.909090909090899</v>
      </c>
      <c r="AS53" s="20" t="s">
        <v>76</v>
      </c>
      <c r="AT53" s="15">
        <v>23.076923076923102</v>
      </c>
      <c r="AU53" s="15">
        <v>30.612244897959201</v>
      </c>
      <c r="AV53" s="15">
        <v>17.808219178082201</v>
      </c>
      <c r="AW53" s="15">
        <v>19.827586206896601</v>
      </c>
      <c r="AX53" s="15">
        <v>43.75</v>
      </c>
      <c r="AY53" s="15">
        <v>31.428571428571399</v>
      </c>
      <c r="AZ53" s="15">
        <v>46</v>
      </c>
      <c r="BA53" s="15">
        <v>35.849056603773597</v>
      </c>
      <c r="BB53" s="15">
        <v>53.731343283582099</v>
      </c>
      <c r="BC53" s="15">
        <v>35.135135135135101</v>
      </c>
      <c r="BD53" s="15">
        <v>29.4871794871795</v>
      </c>
      <c r="BE53" s="15">
        <v>41.379310344827601</v>
      </c>
      <c r="BF53" s="15">
        <v>20.481927710843401</v>
      </c>
      <c r="BG53" s="15">
        <v>28.358208955223901</v>
      </c>
      <c r="BH53" s="20" t="s">
        <v>76</v>
      </c>
      <c r="BI53" s="20" t="s">
        <v>76</v>
      </c>
      <c r="BJ53" s="15">
        <v>25</v>
      </c>
      <c r="BK53" s="15">
        <v>30</v>
      </c>
      <c r="BL53" s="15">
        <v>23.4375</v>
      </c>
      <c r="BM53" s="15">
        <v>21.782178217821802</v>
      </c>
      <c r="BN53" s="15">
        <v>35.294117647058798</v>
      </c>
      <c r="BO53" s="15">
        <v>27.7777777777778</v>
      </c>
      <c r="BP53" s="20" t="s">
        <v>76</v>
      </c>
      <c r="BQ53" s="15">
        <v>24.657534246575299</v>
      </c>
      <c r="BR53" s="15">
        <v>21.6666666666667</v>
      </c>
      <c r="BS53" s="15">
        <v>44.578313253011999</v>
      </c>
      <c r="BT53" s="15">
        <v>15.853658536585399</v>
      </c>
      <c r="BU53" s="15">
        <v>24.299065420560702</v>
      </c>
      <c r="BV53" s="15">
        <v>55.5555555555556</v>
      </c>
      <c r="BW53" s="15">
        <v>11.5942028985507</v>
      </c>
      <c r="BX53" s="15">
        <v>55.5555555555556</v>
      </c>
      <c r="BY53" s="15">
        <v>19.047619047619001</v>
      </c>
      <c r="BZ53" s="15">
        <v>23.1292517006803</v>
      </c>
      <c r="CA53" s="32">
        <v>28.919268690517299</v>
      </c>
      <c r="CB53" s="15">
        <v>24.6006389776358</v>
      </c>
      <c r="CC53" s="15">
        <v>22.955974842767301</v>
      </c>
      <c r="CD53" s="15">
        <v>25.161290322580601</v>
      </c>
      <c r="CE53" s="20" t="s">
        <v>76</v>
      </c>
      <c r="CF53" s="15">
        <v>31.137724550898199</v>
      </c>
      <c r="CG53" s="15">
        <v>29.608938547486002</v>
      </c>
      <c r="CH53" s="15">
        <v>36.580882352941202</v>
      </c>
      <c r="CI53" s="15">
        <v>35.112936344969199</v>
      </c>
      <c r="CJ53" s="15">
        <v>36.078431372548998</v>
      </c>
      <c r="CK53" s="15">
        <v>33.1838565022422</v>
      </c>
      <c r="CL53" s="15">
        <v>24.848484848484901</v>
      </c>
      <c r="CM53" s="24">
        <v>27.4089935760171</v>
      </c>
      <c r="CN53" s="37"/>
    </row>
    <row r="54" spans="1:92">
      <c r="A54" s="9" t="s">
        <v>309</v>
      </c>
      <c r="B54" s="35">
        <v>34.868445137402603</v>
      </c>
      <c r="C54" s="32">
        <v>35.618591781025501</v>
      </c>
      <c r="D54" s="32">
        <v>37.2429165769882</v>
      </c>
      <c r="E54" s="32">
        <v>45.3879015674421</v>
      </c>
      <c r="F54" s="15">
        <v>58.823529411764703</v>
      </c>
      <c r="G54" s="15">
        <v>35.294117647058798</v>
      </c>
      <c r="H54" s="15">
        <v>56.521739130434803</v>
      </c>
      <c r="I54" s="15">
        <v>70</v>
      </c>
      <c r="J54" s="15">
        <v>42.3611111111111</v>
      </c>
      <c r="K54" s="15">
        <v>33.3333333333333</v>
      </c>
      <c r="L54" s="15">
        <v>26.229508196721302</v>
      </c>
      <c r="M54" s="15">
        <v>23.684210526315798</v>
      </c>
      <c r="N54" s="15">
        <v>36.470588235294102</v>
      </c>
      <c r="O54" s="15">
        <v>55.8139534883721</v>
      </c>
      <c r="P54" s="15">
        <v>47.887323943661997</v>
      </c>
      <c r="Q54" s="15">
        <v>50.704225352112701</v>
      </c>
      <c r="R54" s="15">
        <v>26.923076923076898</v>
      </c>
      <c r="S54" s="15">
        <v>58.536585365853703</v>
      </c>
      <c r="T54" s="15">
        <v>43.75</v>
      </c>
      <c r="U54" s="20" t="s">
        <v>76</v>
      </c>
      <c r="V54" s="15">
        <v>55.882352941176499</v>
      </c>
      <c r="W54" s="15">
        <v>33.8983050847458</v>
      </c>
      <c r="X54" s="15">
        <v>61.538461538461497</v>
      </c>
      <c r="Y54" s="20" t="s">
        <v>76</v>
      </c>
      <c r="Z54" s="15">
        <v>52.564102564102598</v>
      </c>
      <c r="AA54" s="15">
        <v>60.550458715596299</v>
      </c>
      <c r="AB54" s="15">
        <v>54.411764705882298</v>
      </c>
      <c r="AC54" s="15">
        <v>51.515151515151501</v>
      </c>
      <c r="AD54" s="15">
        <v>46.875</v>
      </c>
      <c r="AE54" s="15">
        <v>33.3333333333333</v>
      </c>
      <c r="AF54" s="15">
        <v>57.142857142857103</v>
      </c>
      <c r="AG54" s="15">
        <v>24.761904761904798</v>
      </c>
      <c r="AH54" s="15">
        <v>26.785714285714299</v>
      </c>
      <c r="AI54" s="20" t="s">
        <v>76</v>
      </c>
      <c r="AJ54" s="15">
        <v>38.738738738738697</v>
      </c>
      <c r="AK54" s="15">
        <v>36.6666666666667</v>
      </c>
      <c r="AL54" s="15">
        <v>37.7777777777778</v>
      </c>
      <c r="AM54" s="15">
        <v>28.125</v>
      </c>
      <c r="AN54" s="15">
        <v>62.5</v>
      </c>
      <c r="AO54" s="15">
        <v>27.5</v>
      </c>
      <c r="AP54" s="15">
        <v>44.1558441558442</v>
      </c>
      <c r="AQ54" s="15">
        <v>38.461538461538503</v>
      </c>
      <c r="AR54" s="15">
        <v>23.636363636363601</v>
      </c>
      <c r="AS54" s="20" t="s">
        <v>76</v>
      </c>
      <c r="AT54" s="15">
        <v>64.615384615384599</v>
      </c>
      <c r="AU54" s="15">
        <v>67.346938775510196</v>
      </c>
      <c r="AV54" s="15">
        <v>36.986301369863</v>
      </c>
      <c r="AW54" s="15">
        <v>46.551724137930997</v>
      </c>
      <c r="AX54" s="15">
        <v>50</v>
      </c>
      <c r="AY54" s="15">
        <v>60</v>
      </c>
      <c r="AZ54" s="15">
        <v>70</v>
      </c>
      <c r="BA54" s="15">
        <v>49.056603773584897</v>
      </c>
      <c r="BB54" s="15">
        <v>59.701492537313399</v>
      </c>
      <c r="BC54" s="15">
        <v>48.648648648648702</v>
      </c>
      <c r="BD54" s="15">
        <v>44.871794871794897</v>
      </c>
      <c r="BE54" s="15">
        <v>75.862068965517295</v>
      </c>
      <c r="BF54" s="15">
        <v>49.397590361445801</v>
      </c>
      <c r="BG54" s="15">
        <v>41.791044776119399</v>
      </c>
      <c r="BH54" s="15">
        <v>45.8333333333333</v>
      </c>
      <c r="BI54" s="15">
        <v>47.368421052631597</v>
      </c>
      <c r="BJ54" s="15">
        <v>66.964285714285694</v>
      </c>
      <c r="BK54" s="15">
        <v>40</v>
      </c>
      <c r="BL54" s="15">
        <v>46.875</v>
      </c>
      <c r="BM54" s="15">
        <v>32.673267326732699</v>
      </c>
      <c r="BN54" s="15">
        <v>50.420168067226903</v>
      </c>
      <c r="BO54" s="15">
        <v>41.1111111111111</v>
      </c>
      <c r="BP54" s="15">
        <v>73.3333333333333</v>
      </c>
      <c r="BQ54" s="15">
        <v>47.945205479452099</v>
      </c>
      <c r="BR54" s="15">
        <v>55</v>
      </c>
      <c r="BS54" s="15">
        <v>55.421686746988001</v>
      </c>
      <c r="BT54" s="15">
        <v>45.121951219512198</v>
      </c>
      <c r="BU54" s="15">
        <v>51.401869158878498</v>
      </c>
      <c r="BV54" s="15">
        <v>56.565656565656603</v>
      </c>
      <c r="BW54" s="15">
        <v>24.6376811594203</v>
      </c>
      <c r="BX54" s="15">
        <v>77.7777777777778</v>
      </c>
      <c r="BY54" s="15">
        <v>46.031746031746003</v>
      </c>
      <c r="BZ54" s="15">
        <v>45.578231292517003</v>
      </c>
      <c r="CA54" s="32">
        <v>30.665265622550599</v>
      </c>
      <c r="CB54" s="15">
        <v>21.405750798722</v>
      </c>
      <c r="CC54" s="15">
        <v>31.4465408805031</v>
      </c>
      <c r="CD54" s="15">
        <v>31.612903225806502</v>
      </c>
      <c r="CE54" s="20" t="s">
        <v>76</v>
      </c>
      <c r="CF54" s="15">
        <v>24.550898203592801</v>
      </c>
      <c r="CG54" s="15">
        <v>35.195530726256997</v>
      </c>
      <c r="CH54" s="15">
        <v>32.536764705882298</v>
      </c>
      <c r="CI54" s="15">
        <v>38.398357289527702</v>
      </c>
      <c r="CJ54" s="15">
        <v>42.745098039215698</v>
      </c>
      <c r="CK54" s="15">
        <v>31.390134529148</v>
      </c>
      <c r="CL54" s="15">
        <v>34.090909090909101</v>
      </c>
      <c r="CM54" s="24">
        <v>34.689507494646698</v>
      </c>
      <c r="CN54" s="37"/>
    </row>
    <row r="55" spans="1:92">
      <c r="A55" s="9" t="s">
        <v>310</v>
      </c>
      <c r="B55" s="35">
        <v>3.5689012074615301</v>
      </c>
      <c r="C55" s="32">
        <v>4.1522782843226098</v>
      </c>
      <c r="D55" s="32">
        <v>4.2957325271944304</v>
      </c>
      <c r="E55" s="32">
        <v>6.0858032576373704</v>
      </c>
      <c r="F55" s="20" t="s">
        <v>76</v>
      </c>
      <c r="G55" s="20" t="s">
        <v>76</v>
      </c>
      <c r="H55" s="15">
        <v>21.739130434782599</v>
      </c>
      <c r="I55" s="20" t="s">
        <v>76</v>
      </c>
      <c r="J55" s="15">
        <v>4.8611111111111098</v>
      </c>
      <c r="K55" s="20" t="s">
        <v>76</v>
      </c>
      <c r="L55" s="20" t="s">
        <v>76</v>
      </c>
      <c r="M55" s="20" t="s">
        <v>76</v>
      </c>
      <c r="N55" s="20" t="s">
        <v>76</v>
      </c>
      <c r="O55" s="20" t="s">
        <v>76</v>
      </c>
      <c r="P55" s="15">
        <v>12.6760563380282</v>
      </c>
      <c r="Q55" s="20" t="s">
        <v>76</v>
      </c>
      <c r="R55" s="20" t="s">
        <v>76</v>
      </c>
      <c r="S55" s="15">
        <v>12.1951219512195</v>
      </c>
      <c r="T55" s="20" t="s">
        <v>76</v>
      </c>
      <c r="U55" s="20" t="s">
        <v>76</v>
      </c>
      <c r="V55" s="20" t="s">
        <v>76</v>
      </c>
      <c r="W55" s="20" t="s">
        <v>76</v>
      </c>
      <c r="X55" s="20" t="s">
        <v>76</v>
      </c>
      <c r="Y55" s="20" t="s">
        <v>76</v>
      </c>
      <c r="Z55" s="20" t="s">
        <v>76</v>
      </c>
      <c r="AA55" s="15">
        <v>12.8440366972477</v>
      </c>
      <c r="AB55" s="15">
        <v>10.294117647058799</v>
      </c>
      <c r="AC55" s="15">
        <v>6.0606060606060597</v>
      </c>
      <c r="AD55" s="20" t="s">
        <v>76</v>
      </c>
      <c r="AE55" s="20" t="s">
        <v>76</v>
      </c>
      <c r="AF55" s="20" t="s">
        <v>76</v>
      </c>
      <c r="AG55" s="20" t="s">
        <v>76</v>
      </c>
      <c r="AH55" s="20" t="s">
        <v>76</v>
      </c>
      <c r="AI55" s="20" t="s">
        <v>76</v>
      </c>
      <c r="AJ55" s="20" t="s">
        <v>76</v>
      </c>
      <c r="AK55" s="20" t="s">
        <v>76</v>
      </c>
      <c r="AL55" s="15">
        <v>5.5555555555555598</v>
      </c>
      <c r="AM55" s="20" t="s">
        <v>76</v>
      </c>
      <c r="AN55" s="20" t="s">
        <v>76</v>
      </c>
      <c r="AO55" s="20" t="s">
        <v>76</v>
      </c>
      <c r="AP55" s="20" t="s">
        <v>76</v>
      </c>
      <c r="AQ55" s="20" t="s">
        <v>76</v>
      </c>
      <c r="AR55" s="20" t="s">
        <v>76</v>
      </c>
      <c r="AS55" s="20" t="s">
        <v>76</v>
      </c>
      <c r="AT55" s="15">
        <v>7.6923076923076898</v>
      </c>
      <c r="AU55" s="20" t="s">
        <v>76</v>
      </c>
      <c r="AV55" s="20" t="s">
        <v>76</v>
      </c>
      <c r="AW55" s="20" t="s">
        <v>76</v>
      </c>
      <c r="AX55" s="20" t="s">
        <v>76</v>
      </c>
      <c r="AY55" s="20" t="s">
        <v>76</v>
      </c>
      <c r="AZ55" s="20" t="s">
        <v>76</v>
      </c>
      <c r="BA55" s="20" t="s">
        <v>76</v>
      </c>
      <c r="BB55" s="15">
        <v>7.4626865671641802</v>
      </c>
      <c r="BC55" s="20" t="s">
        <v>76</v>
      </c>
      <c r="BD55" s="15">
        <v>6.4102564102564097</v>
      </c>
      <c r="BE55" s="15">
        <v>8.6206896551724093</v>
      </c>
      <c r="BF55" s="15">
        <v>6.0240963855421699</v>
      </c>
      <c r="BG55" s="20" t="s">
        <v>76</v>
      </c>
      <c r="BH55" s="20" t="s">
        <v>76</v>
      </c>
      <c r="BI55" s="20" t="s">
        <v>76</v>
      </c>
      <c r="BJ55" s="15">
        <v>8.0357142857142794</v>
      </c>
      <c r="BK55" s="20" t="s">
        <v>76</v>
      </c>
      <c r="BL55" s="20" t="s">
        <v>76</v>
      </c>
      <c r="BM55" s="15">
        <v>4.9504950495049496</v>
      </c>
      <c r="BN55" s="15">
        <v>10.924369747899201</v>
      </c>
      <c r="BO55" s="20" t="s">
        <v>76</v>
      </c>
      <c r="BP55" s="20" t="s">
        <v>76</v>
      </c>
      <c r="BQ55" s="15">
        <v>6.8493150684931496</v>
      </c>
      <c r="BR55" s="20" t="s">
        <v>76</v>
      </c>
      <c r="BS55" s="20" t="s">
        <v>76</v>
      </c>
      <c r="BT55" s="15">
        <v>10.975609756097599</v>
      </c>
      <c r="BU55" s="15">
        <v>4.6728971962616797</v>
      </c>
      <c r="BV55" s="15">
        <v>9.0909090909090899</v>
      </c>
      <c r="BW55" s="20" t="s">
        <v>76</v>
      </c>
      <c r="BX55" s="20" t="s">
        <v>76</v>
      </c>
      <c r="BY55" s="20" t="s">
        <v>76</v>
      </c>
      <c r="BZ55" s="15">
        <v>11.5646258503401</v>
      </c>
      <c r="CA55" s="32">
        <v>2.8501239149737101</v>
      </c>
      <c r="CB55" s="15">
        <v>2.2364217252396199</v>
      </c>
      <c r="CC55" s="20" t="s">
        <v>76</v>
      </c>
      <c r="CD55" s="20" t="s">
        <v>76</v>
      </c>
      <c r="CE55" s="20" t="s">
        <v>76</v>
      </c>
      <c r="CF55" s="15">
        <v>3.5928143712574898</v>
      </c>
      <c r="CG55" s="20" t="s">
        <v>76</v>
      </c>
      <c r="CH55" s="15">
        <v>4.2279411764705896</v>
      </c>
      <c r="CI55" s="15">
        <v>2.25872689938398</v>
      </c>
      <c r="CJ55" s="15">
        <v>1.9607843137254899</v>
      </c>
      <c r="CK55" s="15">
        <v>2.6905829596412598</v>
      </c>
      <c r="CL55" s="15">
        <v>4.6969696969696999</v>
      </c>
      <c r="CM55" s="24">
        <v>4.4967880085653098</v>
      </c>
      <c r="CN55" s="37"/>
    </row>
    <row r="56" spans="1:92">
      <c r="A56" s="9" t="s">
        <v>311</v>
      </c>
      <c r="B56" s="35">
        <v>11.1633526049146</v>
      </c>
      <c r="C56" s="32">
        <v>11.5244078354708</v>
      </c>
      <c r="D56" s="32">
        <v>11.1296669217618</v>
      </c>
      <c r="E56" s="32">
        <v>11.7181225669906</v>
      </c>
      <c r="F56" s="20" t="s">
        <v>76</v>
      </c>
      <c r="G56" s="20" t="s">
        <v>76</v>
      </c>
      <c r="H56" s="20" t="s">
        <v>76</v>
      </c>
      <c r="I56" s="20" t="s">
        <v>76</v>
      </c>
      <c r="J56" s="15">
        <v>9.7222222222222197</v>
      </c>
      <c r="K56" s="15">
        <v>12.8205128205128</v>
      </c>
      <c r="L56" s="15">
        <v>13.1147540983607</v>
      </c>
      <c r="M56" s="15">
        <v>6.5789473684210504</v>
      </c>
      <c r="N56" s="15">
        <v>12.9411764705882</v>
      </c>
      <c r="O56" s="15">
        <v>18.604651162790699</v>
      </c>
      <c r="P56" s="15">
        <v>21.126760563380302</v>
      </c>
      <c r="Q56" s="15">
        <v>19.7183098591549</v>
      </c>
      <c r="R56" s="20" t="s">
        <v>76</v>
      </c>
      <c r="S56" s="15">
        <v>17.0731707317073</v>
      </c>
      <c r="T56" s="15">
        <v>14.5833333333333</v>
      </c>
      <c r="U56" s="20" t="s">
        <v>76</v>
      </c>
      <c r="V56" s="20" t="s">
        <v>76</v>
      </c>
      <c r="W56" s="15">
        <v>8.4745762711864394</v>
      </c>
      <c r="X56" s="20" t="s">
        <v>76</v>
      </c>
      <c r="Y56" s="20" t="s">
        <v>76</v>
      </c>
      <c r="Z56" s="15">
        <v>7.6923076923076898</v>
      </c>
      <c r="AA56" s="15">
        <v>12.8440366972477</v>
      </c>
      <c r="AB56" s="15">
        <v>17.647058823529399</v>
      </c>
      <c r="AC56" s="15">
        <v>9.8484848484848495</v>
      </c>
      <c r="AD56" s="15">
        <v>15.625</v>
      </c>
      <c r="AE56" s="15">
        <v>18.518518518518501</v>
      </c>
      <c r="AF56" s="20" t="s">
        <v>76</v>
      </c>
      <c r="AG56" s="15">
        <v>13.3333333333333</v>
      </c>
      <c r="AH56" s="15">
        <v>8.9285714285714306</v>
      </c>
      <c r="AI56" s="20" t="s">
        <v>76</v>
      </c>
      <c r="AJ56" s="15">
        <v>10.8108108108108</v>
      </c>
      <c r="AK56" s="15">
        <v>16.6666666666667</v>
      </c>
      <c r="AL56" s="15">
        <v>11.1111111111111</v>
      </c>
      <c r="AM56" s="15">
        <v>14.0625</v>
      </c>
      <c r="AN56" s="20" t="s">
        <v>76</v>
      </c>
      <c r="AO56" s="15">
        <v>12.5</v>
      </c>
      <c r="AP56" s="15">
        <v>6.4935064935064899</v>
      </c>
      <c r="AQ56" s="20" t="s">
        <v>76</v>
      </c>
      <c r="AR56" s="20" t="s">
        <v>76</v>
      </c>
      <c r="AS56" s="20" t="s">
        <v>76</v>
      </c>
      <c r="AT56" s="15">
        <v>13.846153846153801</v>
      </c>
      <c r="AU56" s="15">
        <v>12.244897959183699</v>
      </c>
      <c r="AV56" s="20" t="s">
        <v>76</v>
      </c>
      <c r="AW56" s="15">
        <v>10.3448275862069</v>
      </c>
      <c r="AX56" s="20" t="s">
        <v>76</v>
      </c>
      <c r="AY56" s="20" t="s">
        <v>76</v>
      </c>
      <c r="AZ56" s="15">
        <v>18</v>
      </c>
      <c r="BA56" s="15">
        <v>18.867924528301899</v>
      </c>
      <c r="BB56" s="15">
        <v>23.880597014925399</v>
      </c>
      <c r="BC56" s="15">
        <v>14.8648648648649</v>
      </c>
      <c r="BD56" s="15">
        <v>12.8205128205128</v>
      </c>
      <c r="BE56" s="15">
        <v>17.241379310344801</v>
      </c>
      <c r="BF56" s="15">
        <v>12.048192771084301</v>
      </c>
      <c r="BG56" s="20" t="s">
        <v>76</v>
      </c>
      <c r="BH56" s="20" t="s">
        <v>76</v>
      </c>
      <c r="BI56" s="20" t="s">
        <v>76</v>
      </c>
      <c r="BJ56" s="15">
        <v>13.3928571428571</v>
      </c>
      <c r="BK56" s="20" t="s">
        <v>76</v>
      </c>
      <c r="BL56" s="15">
        <v>7.03125</v>
      </c>
      <c r="BM56" s="15">
        <v>8.9108910891089099</v>
      </c>
      <c r="BN56" s="15">
        <v>14.285714285714301</v>
      </c>
      <c r="BO56" s="15">
        <v>20</v>
      </c>
      <c r="BP56" s="20" t="s">
        <v>76</v>
      </c>
      <c r="BQ56" s="20" t="s">
        <v>76</v>
      </c>
      <c r="BR56" s="20" t="s">
        <v>76</v>
      </c>
      <c r="BS56" s="15">
        <v>10.8433734939759</v>
      </c>
      <c r="BT56" s="15">
        <v>14.634146341463399</v>
      </c>
      <c r="BU56" s="15">
        <v>14.953271028037401</v>
      </c>
      <c r="BV56" s="15">
        <v>24.2424242424242</v>
      </c>
      <c r="BW56" s="15">
        <v>10.144927536231901</v>
      </c>
      <c r="BX56" s="20" t="s">
        <v>76</v>
      </c>
      <c r="BY56" s="20" t="s">
        <v>76</v>
      </c>
      <c r="BZ56" s="15">
        <v>10.8843537414966</v>
      </c>
      <c r="CA56" s="32">
        <v>10.654447404350901</v>
      </c>
      <c r="CB56" s="15">
        <v>12.779552715655001</v>
      </c>
      <c r="CC56" s="15">
        <v>11.320754716981099</v>
      </c>
      <c r="CD56" s="15">
        <v>9.67741935483871</v>
      </c>
      <c r="CE56" s="20" t="s">
        <v>76</v>
      </c>
      <c r="CF56" s="15">
        <v>8.9820359281437092</v>
      </c>
      <c r="CG56" s="15">
        <v>17.318435754189899</v>
      </c>
      <c r="CH56" s="15">
        <v>9.0073529411764692</v>
      </c>
      <c r="CI56" s="15">
        <v>13.552361396303899</v>
      </c>
      <c r="CJ56" s="15">
        <v>9.8039215686274499</v>
      </c>
      <c r="CK56" s="15">
        <v>10.3139013452915</v>
      </c>
      <c r="CL56" s="15">
        <v>11.818181818181801</v>
      </c>
      <c r="CM56" s="24">
        <v>9.4218415417558905</v>
      </c>
      <c r="CN56" s="37"/>
    </row>
    <row r="57" spans="1:92">
      <c r="A57" s="9" t="s">
        <v>312</v>
      </c>
      <c r="B57" s="35">
        <v>8.3599539746611295</v>
      </c>
      <c r="C57" s="32">
        <v>8.0858186791219904</v>
      </c>
      <c r="D57" s="32">
        <v>8.0113073633704293</v>
      </c>
      <c r="E57" s="32">
        <v>10.885351903789999</v>
      </c>
      <c r="F57" s="20" t="s">
        <v>76</v>
      </c>
      <c r="G57" s="20" t="s">
        <v>76</v>
      </c>
      <c r="H57" s="15">
        <v>21.739130434782599</v>
      </c>
      <c r="I57" s="20" t="s">
        <v>76</v>
      </c>
      <c r="J57" s="15">
        <v>9.0277777777777803</v>
      </c>
      <c r="K57" s="15">
        <v>12.8205128205128</v>
      </c>
      <c r="L57" s="15">
        <v>11.4754098360656</v>
      </c>
      <c r="M57" s="20" t="s">
        <v>76</v>
      </c>
      <c r="N57" s="15">
        <v>7.0588235294117601</v>
      </c>
      <c r="O57" s="20" t="s">
        <v>76</v>
      </c>
      <c r="P57" s="15">
        <v>11.2676056338028</v>
      </c>
      <c r="Q57" s="15">
        <v>9.8591549295774694</v>
      </c>
      <c r="R57" s="20" t="s">
        <v>76</v>
      </c>
      <c r="S57" s="15">
        <v>17.0731707317073</v>
      </c>
      <c r="T57" s="20" t="s">
        <v>76</v>
      </c>
      <c r="U57" s="20" t="s">
        <v>76</v>
      </c>
      <c r="V57" s="15">
        <v>17.647058823529399</v>
      </c>
      <c r="W57" s="15">
        <v>10.1694915254237</v>
      </c>
      <c r="X57" s="20" t="s">
        <v>76</v>
      </c>
      <c r="Y57" s="20" t="s">
        <v>76</v>
      </c>
      <c r="Z57" s="20" t="s">
        <v>76</v>
      </c>
      <c r="AA57" s="15">
        <v>17.431192660550501</v>
      </c>
      <c r="AB57" s="15">
        <v>25</v>
      </c>
      <c r="AC57" s="15">
        <v>9.0909090909090899</v>
      </c>
      <c r="AD57" s="15">
        <v>18.75</v>
      </c>
      <c r="AE57" s="20" t="s">
        <v>76</v>
      </c>
      <c r="AF57" s="20" t="s">
        <v>76</v>
      </c>
      <c r="AG57" s="15">
        <v>13.3333333333333</v>
      </c>
      <c r="AH57" s="20" t="s">
        <v>76</v>
      </c>
      <c r="AI57" s="20" t="s">
        <v>76</v>
      </c>
      <c r="AJ57" s="15">
        <v>8.1081081081081106</v>
      </c>
      <c r="AK57" s="15">
        <v>20</v>
      </c>
      <c r="AL57" s="15">
        <v>18.8888888888889</v>
      </c>
      <c r="AM57" s="15">
        <v>9.375</v>
      </c>
      <c r="AN57" s="20" t="s">
        <v>76</v>
      </c>
      <c r="AO57" s="20" t="s">
        <v>76</v>
      </c>
      <c r="AP57" s="15">
        <v>12.987012987012999</v>
      </c>
      <c r="AQ57" s="20" t="s">
        <v>76</v>
      </c>
      <c r="AR57" s="15">
        <v>12.7272727272727</v>
      </c>
      <c r="AS57" s="20" t="s">
        <v>76</v>
      </c>
      <c r="AT57" s="20" t="s">
        <v>76</v>
      </c>
      <c r="AU57" s="20" t="s">
        <v>76</v>
      </c>
      <c r="AV57" s="15">
        <v>6.8493150684931496</v>
      </c>
      <c r="AW57" s="15">
        <v>11.2068965517241</v>
      </c>
      <c r="AX57" s="20" t="s">
        <v>76</v>
      </c>
      <c r="AY57" s="15">
        <v>17.1428571428571</v>
      </c>
      <c r="AZ57" s="15">
        <v>24</v>
      </c>
      <c r="BA57" s="20" t="s">
        <v>76</v>
      </c>
      <c r="BB57" s="15">
        <v>20.8955223880597</v>
      </c>
      <c r="BC57" s="20" t="s">
        <v>76</v>
      </c>
      <c r="BD57" s="20" t="s">
        <v>76</v>
      </c>
      <c r="BE57" s="15">
        <v>12.0689655172414</v>
      </c>
      <c r="BF57" s="15">
        <v>13.253012048192801</v>
      </c>
      <c r="BG57" s="20" t="s">
        <v>76</v>
      </c>
      <c r="BH57" s="20" t="s">
        <v>76</v>
      </c>
      <c r="BI57" s="20" t="s">
        <v>76</v>
      </c>
      <c r="BJ57" s="15">
        <v>11.6071428571429</v>
      </c>
      <c r="BK57" s="20" t="s">
        <v>76</v>
      </c>
      <c r="BL57" s="15">
        <v>7.8125</v>
      </c>
      <c r="BM57" s="15">
        <v>7.9207920792079198</v>
      </c>
      <c r="BN57" s="15">
        <v>17.647058823529399</v>
      </c>
      <c r="BO57" s="15">
        <v>6.6666666666666696</v>
      </c>
      <c r="BP57" s="20" t="s">
        <v>76</v>
      </c>
      <c r="BQ57" s="15">
        <v>9.5890410958904102</v>
      </c>
      <c r="BR57" s="15">
        <v>13.3333333333333</v>
      </c>
      <c r="BS57" s="20" t="s">
        <v>76</v>
      </c>
      <c r="BT57" s="15">
        <v>18.292682926829301</v>
      </c>
      <c r="BU57" s="15">
        <v>14.018691588785</v>
      </c>
      <c r="BV57" s="15">
        <v>16.161616161616202</v>
      </c>
      <c r="BW57" s="15">
        <v>8.6956521739130395</v>
      </c>
      <c r="BX57" s="20" t="s">
        <v>76</v>
      </c>
      <c r="BY57" s="20" t="s">
        <v>76</v>
      </c>
      <c r="BZ57" s="15">
        <v>13.605442176870699</v>
      </c>
      <c r="CA57" s="32">
        <v>5.6903132993490102</v>
      </c>
      <c r="CB57" s="15">
        <v>5.4313099041533501</v>
      </c>
      <c r="CC57" s="15">
        <v>7.5471698113207504</v>
      </c>
      <c r="CD57" s="15">
        <v>6.4516129032258096</v>
      </c>
      <c r="CE57" s="20" t="s">
        <v>76</v>
      </c>
      <c r="CF57" s="15">
        <v>4.19161676646707</v>
      </c>
      <c r="CG57" s="15">
        <v>6.7039106145251397</v>
      </c>
      <c r="CH57" s="15">
        <v>5.3308823529411802</v>
      </c>
      <c r="CI57" s="15">
        <v>6.3655030800821404</v>
      </c>
      <c r="CJ57" s="15">
        <v>7.8431372549019596</v>
      </c>
      <c r="CK57" s="15">
        <v>6.2780269058296003</v>
      </c>
      <c r="CL57" s="15">
        <v>7.4242424242424203</v>
      </c>
      <c r="CM57" s="24">
        <v>4.9250535331905798</v>
      </c>
      <c r="CN57" s="37"/>
    </row>
    <row r="58" spans="1:92">
      <c r="A58" s="9" t="s">
        <v>313</v>
      </c>
      <c r="B58" s="35">
        <v>21.319007625702099</v>
      </c>
      <c r="C58" s="32">
        <v>21.6085134141785</v>
      </c>
      <c r="D58" s="32">
        <v>24.254273928226201</v>
      </c>
      <c r="E58" s="32">
        <v>20.554060867769898</v>
      </c>
      <c r="F58" s="20" t="s">
        <v>76</v>
      </c>
      <c r="G58" s="20" t="s">
        <v>76</v>
      </c>
      <c r="H58" s="20" t="s">
        <v>76</v>
      </c>
      <c r="I58" s="20" t="s">
        <v>76</v>
      </c>
      <c r="J58" s="15">
        <v>21.5277777777778</v>
      </c>
      <c r="K58" s="20" t="s">
        <v>76</v>
      </c>
      <c r="L58" s="15">
        <v>14.7540983606557</v>
      </c>
      <c r="M58" s="20" t="s">
        <v>76</v>
      </c>
      <c r="N58" s="15">
        <v>17.647058823529399</v>
      </c>
      <c r="O58" s="15">
        <v>23.255813953488399</v>
      </c>
      <c r="P58" s="15">
        <v>25.352112676056301</v>
      </c>
      <c r="Q58" s="15">
        <v>19.7183098591549</v>
      </c>
      <c r="R58" s="20" t="s">
        <v>76</v>
      </c>
      <c r="S58" s="15">
        <v>21.951219512195099</v>
      </c>
      <c r="T58" s="15">
        <v>27.0833333333333</v>
      </c>
      <c r="U58" s="20" t="s">
        <v>76</v>
      </c>
      <c r="V58" s="15">
        <v>14.705882352941201</v>
      </c>
      <c r="W58" s="15">
        <v>15.254237288135601</v>
      </c>
      <c r="X58" s="15">
        <v>46.153846153846203</v>
      </c>
      <c r="Y58" s="20" t="s">
        <v>76</v>
      </c>
      <c r="Z58" s="15">
        <v>21.794871794871799</v>
      </c>
      <c r="AA58" s="15">
        <v>29.357798165137599</v>
      </c>
      <c r="AB58" s="15">
        <v>26.470588235294102</v>
      </c>
      <c r="AC58" s="15">
        <v>22.727272727272702</v>
      </c>
      <c r="AD58" s="20" t="s">
        <v>76</v>
      </c>
      <c r="AE58" s="15">
        <v>22.2222222222222</v>
      </c>
      <c r="AF58" s="20" t="s">
        <v>76</v>
      </c>
      <c r="AG58" s="15">
        <v>17.1428571428571</v>
      </c>
      <c r="AH58" s="20" t="s">
        <v>76</v>
      </c>
      <c r="AI58" s="20" t="s">
        <v>76</v>
      </c>
      <c r="AJ58" s="15">
        <v>26.126126126126099</v>
      </c>
      <c r="AK58" s="20" t="s">
        <v>76</v>
      </c>
      <c r="AL58" s="15">
        <v>25.5555555555556</v>
      </c>
      <c r="AM58" s="15">
        <v>15.625</v>
      </c>
      <c r="AN58" s="20" t="s">
        <v>76</v>
      </c>
      <c r="AO58" s="20" t="s">
        <v>76</v>
      </c>
      <c r="AP58" s="15">
        <v>12.987012987012999</v>
      </c>
      <c r="AQ58" s="15">
        <v>23.076923076923102</v>
      </c>
      <c r="AR58" s="15">
        <v>25.454545454545499</v>
      </c>
      <c r="AS58" s="20" t="s">
        <v>76</v>
      </c>
      <c r="AT58" s="15">
        <v>23.076923076923102</v>
      </c>
      <c r="AU58" s="15">
        <v>20.408163265306101</v>
      </c>
      <c r="AV58" s="15">
        <v>12.328767123287699</v>
      </c>
      <c r="AW58" s="15">
        <v>15.517241379310301</v>
      </c>
      <c r="AX58" s="15">
        <v>31.25</v>
      </c>
      <c r="AY58" s="15">
        <v>20</v>
      </c>
      <c r="AZ58" s="15">
        <v>24</v>
      </c>
      <c r="BA58" s="15">
        <v>11.320754716981099</v>
      </c>
      <c r="BB58" s="15">
        <v>22.388059701492502</v>
      </c>
      <c r="BC58" s="15">
        <v>14.8648648648649</v>
      </c>
      <c r="BD58" s="15">
        <v>16.6666666666667</v>
      </c>
      <c r="BE58" s="15">
        <v>39.655172413793103</v>
      </c>
      <c r="BF58" s="15">
        <v>33.734939759036102</v>
      </c>
      <c r="BG58" s="15">
        <v>14.9253731343284</v>
      </c>
      <c r="BH58" s="20" t="s">
        <v>76</v>
      </c>
      <c r="BI58" s="15">
        <v>26.315789473684202</v>
      </c>
      <c r="BJ58" s="15">
        <v>28.571428571428601</v>
      </c>
      <c r="BK58" s="15">
        <v>27.5</v>
      </c>
      <c r="BL58" s="15">
        <v>19.53125</v>
      </c>
      <c r="BM58" s="15">
        <v>14.8514851485149</v>
      </c>
      <c r="BN58" s="15">
        <v>26.050420168067198</v>
      </c>
      <c r="BO58" s="15">
        <v>7.7777777777777803</v>
      </c>
      <c r="BP58" s="20" t="s">
        <v>76</v>
      </c>
      <c r="BQ58" s="15">
        <v>31.5068493150685</v>
      </c>
      <c r="BR58" s="15">
        <v>16.6666666666667</v>
      </c>
      <c r="BS58" s="15">
        <v>15.662650602409601</v>
      </c>
      <c r="BT58" s="15">
        <v>25.609756097561</v>
      </c>
      <c r="BU58" s="15">
        <v>27.1028037383178</v>
      </c>
      <c r="BV58" s="15">
        <v>33.3333333333333</v>
      </c>
      <c r="BW58" s="15">
        <v>8.6956521739130395</v>
      </c>
      <c r="BX58" s="20" t="s">
        <v>76</v>
      </c>
      <c r="BY58" s="15">
        <v>23.8095238095238</v>
      </c>
      <c r="BZ58" s="15">
        <v>23.1292517006803</v>
      </c>
      <c r="CA58" s="32">
        <v>27.242457454317201</v>
      </c>
      <c r="CB58" s="15">
        <v>19.169329073482398</v>
      </c>
      <c r="CC58" s="15">
        <v>22.955974842767301</v>
      </c>
      <c r="CD58" s="15">
        <v>30.9677419354839</v>
      </c>
      <c r="CE58" s="20" t="s">
        <v>76</v>
      </c>
      <c r="CF58" s="15">
        <v>27.8443113772455</v>
      </c>
      <c r="CG58" s="15">
        <v>25.139664804469302</v>
      </c>
      <c r="CH58" s="15">
        <v>19.301470588235301</v>
      </c>
      <c r="CI58" s="15">
        <v>29.158110882956901</v>
      </c>
      <c r="CJ58" s="15">
        <v>22.745098039215701</v>
      </c>
      <c r="CK58" s="15">
        <v>32.286995515695097</v>
      </c>
      <c r="CL58" s="15">
        <v>30.7575757575758</v>
      </c>
      <c r="CM58" s="24">
        <v>28.051391862955001</v>
      </c>
      <c r="CN58" s="37"/>
    </row>
    <row r="59" spans="1:92">
      <c r="A59" s="9" t="s">
        <v>314</v>
      </c>
      <c r="B59" s="35">
        <v>0.91962243689408996</v>
      </c>
      <c r="C59" s="32">
        <v>0.79352090864034797</v>
      </c>
      <c r="D59" s="32">
        <v>0.61569177130014996</v>
      </c>
      <c r="E59" s="38"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20" t="s">
        <v>76</v>
      </c>
      <c r="AH59" s="20" t="s">
        <v>76</v>
      </c>
      <c r="AI59" s="20" t="s">
        <v>76</v>
      </c>
      <c r="AJ59" s="20" t="s">
        <v>76</v>
      </c>
      <c r="AK59" s="20" t="s">
        <v>76</v>
      </c>
      <c r="AL59" s="20" t="s">
        <v>76</v>
      </c>
      <c r="AM59" s="20" t="s">
        <v>76</v>
      </c>
      <c r="AN59" s="20" t="s">
        <v>76</v>
      </c>
      <c r="AO59" s="20" t="s">
        <v>76</v>
      </c>
      <c r="AP59" s="20" t="s">
        <v>76</v>
      </c>
      <c r="AQ59" s="20" t="s">
        <v>76</v>
      </c>
      <c r="AR59" s="20" t="s">
        <v>76</v>
      </c>
      <c r="AS59" s="20" t="s">
        <v>76</v>
      </c>
      <c r="AT59" s="20" t="s">
        <v>76</v>
      </c>
      <c r="AU59" s="20" t="s">
        <v>76</v>
      </c>
      <c r="AV59" s="20" t="s">
        <v>76</v>
      </c>
      <c r="AW59" s="20" t="s">
        <v>76</v>
      </c>
      <c r="AX59" s="20" t="s">
        <v>76</v>
      </c>
      <c r="AY59" s="20" t="s">
        <v>76</v>
      </c>
      <c r="AZ59" s="20" t="s">
        <v>76</v>
      </c>
      <c r="BA59" s="20" t="s">
        <v>76</v>
      </c>
      <c r="BB59" s="20" t="s">
        <v>76</v>
      </c>
      <c r="BC59" s="20" t="s">
        <v>76</v>
      </c>
      <c r="BD59" s="20" t="s">
        <v>76</v>
      </c>
      <c r="BE59" s="20" t="s">
        <v>76</v>
      </c>
      <c r="BF59" s="20" t="s">
        <v>76</v>
      </c>
      <c r="BG59" s="20" t="s">
        <v>76</v>
      </c>
      <c r="BH59" s="20" t="s">
        <v>76</v>
      </c>
      <c r="BI59" s="20" t="s">
        <v>76</v>
      </c>
      <c r="BJ59" s="20" t="s">
        <v>76</v>
      </c>
      <c r="BK59" s="20" t="s">
        <v>76</v>
      </c>
      <c r="BL59" s="20" t="s">
        <v>76</v>
      </c>
      <c r="BM59" s="20" t="s">
        <v>76</v>
      </c>
      <c r="BN59" s="20" t="s">
        <v>76</v>
      </c>
      <c r="BO59" s="20" t="s">
        <v>76</v>
      </c>
      <c r="BP59" s="20" t="s">
        <v>76</v>
      </c>
      <c r="BQ59" s="20" t="s">
        <v>76</v>
      </c>
      <c r="BR59" s="20" t="s">
        <v>76</v>
      </c>
      <c r="BS59" s="20" t="s">
        <v>76</v>
      </c>
      <c r="BT59" s="20" t="s">
        <v>76</v>
      </c>
      <c r="BU59" s="20" t="s">
        <v>76</v>
      </c>
      <c r="BV59" s="20" t="s">
        <v>76</v>
      </c>
      <c r="BW59" s="20" t="s">
        <v>76</v>
      </c>
      <c r="BX59" s="20" t="s">
        <v>76</v>
      </c>
      <c r="BY59" s="20" t="s">
        <v>76</v>
      </c>
      <c r="BZ59" s="20" t="s">
        <v>76</v>
      </c>
      <c r="CA59" s="38" t="s">
        <v>76</v>
      </c>
      <c r="CB59" s="20" t="s">
        <v>76</v>
      </c>
      <c r="CC59" s="20" t="s">
        <v>76</v>
      </c>
      <c r="CD59" s="20" t="s">
        <v>76</v>
      </c>
      <c r="CE59" s="20" t="s">
        <v>76</v>
      </c>
      <c r="CF59" s="20" t="s">
        <v>76</v>
      </c>
      <c r="CG59" s="20" t="s">
        <v>76</v>
      </c>
      <c r="CH59" s="20" t="s">
        <v>76</v>
      </c>
      <c r="CI59" s="20" t="s">
        <v>76</v>
      </c>
      <c r="CJ59" s="20" t="s">
        <v>76</v>
      </c>
      <c r="CK59" s="20" t="s">
        <v>76</v>
      </c>
      <c r="CL59" s="15">
        <v>1.51515151515152</v>
      </c>
      <c r="CM59" s="24">
        <v>1.0706638115631699</v>
      </c>
      <c r="CN59" s="37"/>
    </row>
    <row r="60" spans="1:92">
      <c r="A60" s="9" t="s">
        <v>315</v>
      </c>
      <c r="B60" s="35">
        <v>0.72473827454916795</v>
      </c>
      <c r="C60" s="32">
        <v>0.70640973163565601</v>
      </c>
      <c r="D60" s="32">
        <v>0.72008532363956002</v>
      </c>
      <c r="E60" s="38"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20" t="s">
        <v>76</v>
      </c>
      <c r="AH60" s="20" t="s">
        <v>76</v>
      </c>
      <c r="AI60" s="20" t="s">
        <v>76</v>
      </c>
      <c r="AJ60" s="20" t="s">
        <v>76</v>
      </c>
      <c r="AK60" s="20" t="s">
        <v>76</v>
      </c>
      <c r="AL60" s="20" t="s">
        <v>76</v>
      </c>
      <c r="AM60" s="20" t="s">
        <v>76</v>
      </c>
      <c r="AN60" s="20" t="s">
        <v>76</v>
      </c>
      <c r="AO60" s="20" t="s">
        <v>76</v>
      </c>
      <c r="AP60" s="20" t="s">
        <v>76</v>
      </c>
      <c r="AQ60" s="20" t="s">
        <v>76</v>
      </c>
      <c r="AR60" s="20" t="s">
        <v>76</v>
      </c>
      <c r="AS60" s="20" t="s">
        <v>76</v>
      </c>
      <c r="AT60" s="20" t="s">
        <v>76</v>
      </c>
      <c r="AU60" s="20" t="s">
        <v>76</v>
      </c>
      <c r="AV60" s="20" t="s">
        <v>76</v>
      </c>
      <c r="AW60" s="20" t="s">
        <v>76</v>
      </c>
      <c r="AX60" s="20" t="s">
        <v>76</v>
      </c>
      <c r="AY60" s="20" t="s">
        <v>76</v>
      </c>
      <c r="AZ60" s="20" t="s">
        <v>76</v>
      </c>
      <c r="BA60" s="20" t="s">
        <v>76</v>
      </c>
      <c r="BB60" s="20" t="s">
        <v>76</v>
      </c>
      <c r="BC60" s="20" t="s">
        <v>76</v>
      </c>
      <c r="BD60" s="20" t="s">
        <v>76</v>
      </c>
      <c r="BE60" s="20" t="s">
        <v>76</v>
      </c>
      <c r="BF60" s="20" t="s">
        <v>76</v>
      </c>
      <c r="BG60" s="20" t="s">
        <v>76</v>
      </c>
      <c r="BH60" s="20" t="s">
        <v>76</v>
      </c>
      <c r="BI60" s="20" t="s">
        <v>76</v>
      </c>
      <c r="BJ60" s="20" t="s">
        <v>76</v>
      </c>
      <c r="BK60" s="20" t="s">
        <v>76</v>
      </c>
      <c r="BL60" s="20" t="s">
        <v>76</v>
      </c>
      <c r="BM60" s="20" t="s">
        <v>76</v>
      </c>
      <c r="BN60" s="20" t="s">
        <v>76</v>
      </c>
      <c r="BO60" s="20" t="s">
        <v>76</v>
      </c>
      <c r="BP60" s="20" t="s">
        <v>76</v>
      </c>
      <c r="BQ60" s="20" t="s">
        <v>76</v>
      </c>
      <c r="BR60" s="20" t="s">
        <v>76</v>
      </c>
      <c r="BS60" s="20" t="s">
        <v>76</v>
      </c>
      <c r="BT60" s="20" t="s">
        <v>76</v>
      </c>
      <c r="BU60" s="20" t="s">
        <v>76</v>
      </c>
      <c r="BV60" s="20" t="s">
        <v>76</v>
      </c>
      <c r="BW60" s="20" t="s">
        <v>76</v>
      </c>
      <c r="BX60" s="20" t="s">
        <v>76</v>
      </c>
      <c r="BY60" s="20" t="s">
        <v>76</v>
      </c>
      <c r="BZ60" s="20" t="s">
        <v>76</v>
      </c>
      <c r="CA60" s="32">
        <v>0.81205184500518601</v>
      </c>
      <c r="CB60" s="15">
        <v>1.59744408945687</v>
      </c>
      <c r="CC60" s="20" t="s">
        <v>76</v>
      </c>
      <c r="CD60" s="20" t="s">
        <v>76</v>
      </c>
      <c r="CE60" s="20" t="s">
        <v>76</v>
      </c>
      <c r="CF60" s="20" t="s">
        <v>76</v>
      </c>
      <c r="CG60" s="20" t="s">
        <v>76</v>
      </c>
      <c r="CH60" s="20" t="s">
        <v>76</v>
      </c>
      <c r="CI60" s="20" t="s">
        <v>76</v>
      </c>
      <c r="CJ60" s="20" t="s">
        <v>76</v>
      </c>
      <c r="CK60" s="20" t="s">
        <v>76</v>
      </c>
      <c r="CL60" s="15">
        <v>1.8181818181818199</v>
      </c>
      <c r="CM60" s="24">
        <v>1.0706638115631699</v>
      </c>
      <c r="CN60" s="37"/>
    </row>
    <row r="61" spans="1:92">
      <c r="A61" s="9" t="s">
        <v>316</v>
      </c>
      <c r="B61" s="35">
        <v>0.86956875352714702</v>
      </c>
      <c r="C61" s="32">
        <v>0.84480060345720098</v>
      </c>
      <c r="D61" s="32">
        <v>0.74097527392100204</v>
      </c>
      <c r="E61" s="38"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20" t="s">
        <v>76</v>
      </c>
      <c r="AH61" s="20" t="s">
        <v>76</v>
      </c>
      <c r="AI61" s="20" t="s">
        <v>76</v>
      </c>
      <c r="AJ61" s="20" t="s">
        <v>76</v>
      </c>
      <c r="AK61" s="20" t="s">
        <v>76</v>
      </c>
      <c r="AL61" s="20" t="s">
        <v>76</v>
      </c>
      <c r="AM61" s="20" t="s">
        <v>76</v>
      </c>
      <c r="AN61" s="20" t="s">
        <v>76</v>
      </c>
      <c r="AO61" s="20" t="s">
        <v>76</v>
      </c>
      <c r="AP61" s="20" t="s">
        <v>76</v>
      </c>
      <c r="AQ61" s="20" t="s">
        <v>76</v>
      </c>
      <c r="AR61" s="20" t="s">
        <v>76</v>
      </c>
      <c r="AS61" s="20" t="s">
        <v>76</v>
      </c>
      <c r="AT61" s="20" t="s">
        <v>76</v>
      </c>
      <c r="AU61" s="20" t="s">
        <v>76</v>
      </c>
      <c r="AV61" s="20" t="s">
        <v>76</v>
      </c>
      <c r="AW61" s="20" t="s">
        <v>76</v>
      </c>
      <c r="AX61" s="20" t="s">
        <v>76</v>
      </c>
      <c r="AY61" s="20" t="s">
        <v>76</v>
      </c>
      <c r="AZ61" s="20" t="s">
        <v>76</v>
      </c>
      <c r="BA61" s="20" t="s">
        <v>76</v>
      </c>
      <c r="BB61" s="20" t="s">
        <v>76</v>
      </c>
      <c r="BC61" s="20" t="s">
        <v>76</v>
      </c>
      <c r="BD61" s="20" t="s">
        <v>76</v>
      </c>
      <c r="BE61" s="20" t="s">
        <v>76</v>
      </c>
      <c r="BF61" s="20" t="s">
        <v>76</v>
      </c>
      <c r="BG61" s="20" t="s">
        <v>76</v>
      </c>
      <c r="BH61" s="20" t="s">
        <v>76</v>
      </c>
      <c r="BI61" s="20" t="s">
        <v>76</v>
      </c>
      <c r="BJ61" s="20" t="s">
        <v>76</v>
      </c>
      <c r="BK61" s="20" t="s">
        <v>76</v>
      </c>
      <c r="BL61" s="20" t="s">
        <v>76</v>
      </c>
      <c r="BM61" s="20" t="s">
        <v>76</v>
      </c>
      <c r="BN61" s="20" t="s">
        <v>76</v>
      </c>
      <c r="BO61" s="20" t="s">
        <v>76</v>
      </c>
      <c r="BP61" s="20" t="s">
        <v>76</v>
      </c>
      <c r="BQ61" s="20" t="s">
        <v>76</v>
      </c>
      <c r="BR61" s="20" t="s">
        <v>76</v>
      </c>
      <c r="BS61" s="20" t="s">
        <v>76</v>
      </c>
      <c r="BT61" s="20" t="s">
        <v>76</v>
      </c>
      <c r="BU61" s="20" t="s">
        <v>76</v>
      </c>
      <c r="BV61" s="20" t="s">
        <v>76</v>
      </c>
      <c r="BW61" s="20" t="s">
        <v>76</v>
      </c>
      <c r="BX61" s="20" t="s">
        <v>76</v>
      </c>
      <c r="BY61" s="20" t="s">
        <v>76</v>
      </c>
      <c r="BZ61" s="20" t="s">
        <v>76</v>
      </c>
      <c r="CA61" s="32">
        <v>0.84145738050698904</v>
      </c>
      <c r="CB61" s="15">
        <v>2.5559105431309899</v>
      </c>
      <c r="CC61" s="20" t="s">
        <v>76</v>
      </c>
      <c r="CD61" s="20" t="s">
        <v>76</v>
      </c>
      <c r="CE61" s="20" t="s">
        <v>76</v>
      </c>
      <c r="CF61" s="20" t="s">
        <v>76</v>
      </c>
      <c r="CG61" s="20" t="s">
        <v>76</v>
      </c>
      <c r="CH61" s="20" t="s">
        <v>76</v>
      </c>
      <c r="CI61" s="20" t="s">
        <v>76</v>
      </c>
      <c r="CJ61" s="20" t="s">
        <v>76</v>
      </c>
      <c r="CK61" s="20" t="s">
        <v>76</v>
      </c>
      <c r="CL61" s="15">
        <v>1.0606060606060601</v>
      </c>
      <c r="CM61" s="24">
        <v>1.4989293361884399</v>
      </c>
      <c r="CN61" s="37"/>
    </row>
    <row r="62" spans="1:92">
      <c r="A62" s="9" t="s">
        <v>317</v>
      </c>
      <c r="B62" s="35">
        <v>2.1777165099011602</v>
      </c>
      <c r="C62" s="32">
        <v>2.1938126156864</v>
      </c>
      <c r="D62" s="32">
        <v>1.91998294328131</v>
      </c>
      <c r="E62" s="32">
        <v>2.3542838548571399</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20" t="s">
        <v>76</v>
      </c>
      <c r="AB62" s="15">
        <v>7.3529411764705896</v>
      </c>
      <c r="AC62" s="15">
        <v>6.0606060606060597</v>
      </c>
      <c r="AD62" s="20" t="s">
        <v>76</v>
      </c>
      <c r="AE62" s="20" t="s">
        <v>76</v>
      </c>
      <c r="AF62" s="20" t="s">
        <v>76</v>
      </c>
      <c r="AG62" s="20" t="s">
        <v>76</v>
      </c>
      <c r="AH62" s="20" t="s">
        <v>76</v>
      </c>
      <c r="AI62" s="20" t="s">
        <v>76</v>
      </c>
      <c r="AJ62" s="15">
        <v>4.5045045045045002</v>
      </c>
      <c r="AK62" s="20" t="s">
        <v>76</v>
      </c>
      <c r="AL62" s="20" t="s">
        <v>76</v>
      </c>
      <c r="AM62" s="20" t="s">
        <v>76</v>
      </c>
      <c r="AN62" s="20" t="s">
        <v>76</v>
      </c>
      <c r="AO62" s="20" t="s">
        <v>76</v>
      </c>
      <c r="AP62" s="20" t="s">
        <v>76</v>
      </c>
      <c r="AQ62" s="20" t="s">
        <v>76</v>
      </c>
      <c r="AR62" s="20" t="s">
        <v>76</v>
      </c>
      <c r="AS62" s="20" t="s">
        <v>76</v>
      </c>
      <c r="AT62" s="20" t="s">
        <v>76</v>
      </c>
      <c r="AU62" s="20" t="s">
        <v>76</v>
      </c>
      <c r="AV62" s="20" t="s">
        <v>76</v>
      </c>
      <c r="AW62" s="20" t="s">
        <v>76</v>
      </c>
      <c r="AX62" s="20" t="s">
        <v>76</v>
      </c>
      <c r="AY62" s="20" t="s">
        <v>76</v>
      </c>
      <c r="AZ62" s="20" t="s">
        <v>76</v>
      </c>
      <c r="BA62" s="20" t="s">
        <v>76</v>
      </c>
      <c r="BB62" s="20" t="s">
        <v>76</v>
      </c>
      <c r="BC62" s="20" t="s">
        <v>76</v>
      </c>
      <c r="BD62" s="20" t="s">
        <v>76</v>
      </c>
      <c r="BE62" s="20" t="s">
        <v>76</v>
      </c>
      <c r="BF62" s="20" t="s">
        <v>76</v>
      </c>
      <c r="BG62" s="20" t="s">
        <v>76</v>
      </c>
      <c r="BH62" s="20" t="s">
        <v>76</v>
      </c>
      <c r="BI62" s="20" t="s">
        <v>76</v>
      </c>
      <c r="BJ62" s="20" t="s">
        <v>76</v>
      </c>
      <c r="BK62" s="20" t="s">
        <v>76</v>
      </c>
      <c r="BL62" s="20" t="s">
        <v>76</v>
      </c>
      <c r="BM62" s="20" t="s">
        <v>76</v>
      </c>
      <c r="BN62" s="20" t="s">
        <v>76</v>
      </c>
      <c r="BO62" s="20" t="s">
        <v>76</v>
      </c>
      <c r="BP62" s="20" t="s">
        <v>76</v>
      </c>
      <c r="BQ62" s="20" t="s">
        <v>76</v>
      </c>
      <c r="BR62" s="20" t="s">
        <v>76</v>
      </c>
      <c r="BS62" s="20" t="s">
        <v>76</v>
      </c>
      <c r="BT62" s="20" t="s">
        <v>76</v>
      </c>
      <c r="BU62" s="20" t="s">
        <v>76</v>
      </c>
      <c r="BV62" s="15">
        <v>7.0707070707070701</v>
      </c>
      <c r="BW62" s="20" t="s">
        <v>76</v>
      </c>
      <c r="BX62" s="20" t="s">
        <v>76</v>
      </c>
      <c r="BY62" s="20" t="s">
        <v>76</v>
      </c>
      <c r="BZ62" s="15">
        <v>3.40136054421769</v>
      </c>
      <c r="CA62" s="32">
        <v>1.569254266815</v>
      </c>
      <c r="CB62" s="15">
        <v>1.91693290734824</v>
      </c>
      <c r="CC62" s="20" t="s">
        <v>76</v>
      </c>
      <c r="CD62" s="20" t="s">
        <v>76</v>
      </c>
      <c r="CE62" s="20" t="s">
        <v>76</v>
      </c>
      <c r="CF62" s="20" t="s">
        <v>76</v>
      </c>
      <c r="CG62" s="15">
        <v>2.7932960893854699</v>
      </c>
      <c r="CH62" s="15">
        <v>2.0220588235294099</v>
      </c>
      <c r="CI62" s="15">
        <v>1.84804928131417</v>
      </c>
      <c r="CJ62" s="15">
        <v>2.7450980392156898</v>
      </c>
      <c r="CK62" s="20" t="s">
        <v>76</v>
      </c>
      <c r="CL62" s="15">
        <v>1.9696969696969699</v>
      </c>
      <c r="CM62" s="24">
        <v>1.4989293361884399</v>
      </c>
      <c r="CN62" s="37"/>
    </row>
    <row r="63" spans="1:92">
      <c r="A63" s="9" t="s">
        <v>318</v>
      </c>
      <c r="B63" s="35">
        <v>8.8355592958438702</v>
      </c>
      <c r="C63" s="32">
        <v>8.1052818555327306</v>
      </c>
      <c r="D63" s="32">
        <v>8.3692867505214608</v>
      </c>
      <c r="E63" s="32">
        <v>11.227623512979701</v>
      </c>
      <c r="F63" s="20" t="s">
        <v>76</v>
      </c>
      <c r="G63" s="20" t="s">
        <v>76</v>
      </c>
      <c r="H63" s="15">
        <v>30.434782608695699</v>
      </c>
      <c r="I63" s="20" t="s">
        <v>76</v>
      </c>
      <c r="J63" s="15">
        <v>10.4166666666667</v>
      </c>
      <c r="K63" s="15">
        <v>20.5128205128205</v>
      </c>
      <c r="L63" s="15">
        <v>8.1967213114754092</v>
      </c>
      <c r="M63" s="20" t="s">
        <v>76</v>
      </c>
      <c r="N63" s="15">
        <v>15.294117647058799</v>
      </c>
      <c r="O63" s="20" t="s">
        <v>76</v>
      </c>
      <c r="P63" s="15">
        <v>14.084507042253501</v>
      </c>
      <c r="Q63" s="15">
        <v>12.6760563380282</v>
      </c>
      <c r="R63" s="20" t="s">
        <v>76</v>
      </c>
      <c r="S63" s="15">
        <v>19.512195121951201</v>
      </c>
      <c r="T63" s="15">
        <v>14.5833333333333</v>
      </c>
      <c r="U63" s="20" t="s">
        <v>76</v>
      </c>
      <c r="V63" s="20" t="s">
        <v>76</v>
      </c>
      <c r="W63" s="15">
        <v>11.864406779661</v>
      </c>
      <c r="X63" s="20" t="s">
        <v>76</v>
      </c>
      <c r="Y63" s="20" t="s">
        <v>76</v>
      </c>
      <c r="Z63" s="15">
        <v>6.4102564102564097</v>
      </c>
      <c r="AA63" s="15">
        <v>14.678899082568799</v>
      </c>
      <c r="AB63" s="15">
        <v>11.764705882352899</v>
      </c>
      <c r="AC63" s="15">
        <v>17.424242424242401</v>
      </c>
      <c r="AD63" s="20" t="s">
        <v>76</v>
      </c>
      <c r="AE63" s="20" t="s">
        <v>76</v>
      </c>
      <c r="AF63" s="20" t="s">
        <v>76</v>
      </c>
      <c r="AG63" s="15">
        <v>7.6190476190476204</v>
      </c>
      <c r="AH63" s="20" t="s">
        <v>76</v>
      </c>
      <c r="AI63" s="20" t="s">
        <v>76</v>
      </c>
      <c r="AJ63" s="15">
        <v>10.8108108108108</v>
      </c>
      <c r="AK63" s="20" t="s">
        <v>76</v>
      </c>
      <c r="AL63" s="15">
        <v>14.4444444444444</v>
      </c>
      <c r="AM63" s="15">
        <v>10.9375</v>
      </c>
      <c r="AN63" s="20" t="s">
        <v>76</v>
      </c>
      <c r="AO63" s="20" t="s">
        <v>76</v>
      </c>
      <c r="AP63" s="15">
        <v>11.6883116883117</v>
      </c>
      <c r="AQ63" s="15">
        <v>23.076923076923102</v>
      </c>
      <c r="AR63" s="20" t="s">
        <v>76</v>
      </c>
      <c r="AS63" s="20" t="s">
        <v>76</v>
      </c>
      <c r="AT63" s="15">
        <v>7.6923076923076898</v>
      </c>
      <c r="AU63" s="15">
        <v>18.367346938775501</v>
      </c>
      <c r="AV63" s="15">
        <v>8.2191780821917799</v>
      </c>
      <c r="AW63" s="15">
        <v>4.31034482758621</v>
      </c>
      <c r="AX63" s="20" t="s">
        <v>76</v>
      </c>
      <c r="AY63" s="15">
        <v>22.8571428571429</v>
      </c>
      <c r="AZ63" s="20" t="s">
        <v>76</v>
      </c>
      <c r="BA63" s="15">
        <v>20.754716981132098</v>
      </c>
      <c r="BB63" s="15">
        <v>17.910447761194</v>
      </c>
      <c r="BC63" s="15">
        <v>10.8108108108108</v>
      </c>
      <c r="BD63" s="15">
        <v>6.4102564102564097</v>
      </c>
      <c r="BE63" s="20" t="s">
        <v>76</v>
      </c>
      <c r="BF63" s="15">
        <v>15.662650602409601</v>
      </c>
      <c r="BG63" s="15">
        <v>10.4477611940298</v>
      </c>
      <c r="BH63" s="20" t="s">
        <v>76</v>
      </c>
      <c r="BI63" s="20" t="s">
        <v>76</v>
      </c>
      <c r="BJ63" s="15">
        <v>8.9285714285714306</v>
      </c>
      <c r="BK63" s="20" t="s">
        <v>76</v>
      </c>
      <c r="BL63" s="15">
        <v>7.03125</v>
      </c>
      <c r="BM63" s="15">
        <v>9.9009900990098991</v>
      </c>
      <c r="BN63" s="15">
        <v>13.445378151260501</v>
      </c>
      <c r="BO63" s="15">
        <v>8.8888888888888893</v>
      </c>
      <c r="BP63" s="20" t="s">
        <v>76</v>
      </c>
      <c r="BQ63" s="15">
        <v>10.958904109589</v>
      </c>
      <c r="BR63" s="15">
        <v>15</v>
      </c>
      <c r="BS63" s="15">
        <v>7.2289156626505999</v>
      </c>
      <c r="BT63" s="15">
        <v>12.1951219512195</v>
      </c>
      <c r="BU63" s="15">
        <v>17.757009345794401</v>
      </c>
      <c r="BV63" s="15">
        <v>22.2222222222222</v>
      </c>
      <c r="BW63" s="20" t="s">
        <v>76</v>
      </c>
      <c r="BX63" s="20" t="s">
        <v>76</v>
      </c>
      <c r="BY63" s="20" t="s">
        <v>76</v>
      </c>
      <c r="BZ63" s="15">
        <v>9.5238095238095202</v>
      </c>
      <c r="CA63" s="32">
        <v>6.0609778272118602</v>
      </c>
      <c r="CB63" s="15">
        <v>4.47284345047923</v>
      </c>
      <c r="CC63" s="15">
        <v>9.7484276729559696</v>
      </c>
      <c r="CD63" s="20" t="s">
        <v>76</v>
      </c>
      <c r="CE63" s="20" t="s">
        <v>76</v>
      </c>
      <c r="CF63" s="15">
        <v>6.5868263473053901</v>
      </c>
      <c r="CG63" s="15">
        <v>6.1452513966480398</v>
      </c>
      <c r="CH63" s="15">
        <v>6.9852941176470598</v>
      </c>
      <c r="CI63" s="15">
        <v>7.3921971252566703</v>
      </c>
      <c r="CJ63" s="15">
        <v>4.7058823529411802</v>
      </c>
      <c r="CK63" s="15">
        <v>8.0717488789237706</v>
      </c>
      <c r="CL63" s="15">
        <v>8.3333333333333304</v>
      </c>
      <c r="CM63" s="24">
        <v>3.8543897216274101</v>
      </c>
      <c r="CN63" s="37"/>
    </row>
    <row r="64" spans="1:92">
      <c r="A64" s="11" t="s">
        <v>319</v>
      </c>
      <c r="B64" s="36">
        <v>6.3421657944426597</v>
      </c>
      <c r="C64" s="33">
        <v>5.76723808286257</v>
      </c>
      <c r="D64" s="33">
        <v>5.8492285759909297</v>
      </c>
      <c r="E64" s="33">
        <v>7.2077956183285101</v>
      </c>
      <c r="F64" s="28" t="s">
        <v>76</v>
      </c>
      <c r="G64" s="28" t="s">
        <v>76</v>
      </c>
      <c r="H64" s="28" t="s">
        <v>76</v>
      </c>
      <c r="I64" s="28" t="s">
        <v>76</v>
      </c>
      <c r="J64" s="16">
        <v>4.8611111111111098</v>
      </c>
      <c r="K64" s="28" t="s">
        <v>76</v>
      </c>
      <c r="L64" s="16">
        <v>9.8360655737704903</v>
      </c>
      <c r="M64" s="28" t="s">
        <v>76</v>
      </c>
      <c r="N64" s="28" t="s">
        <v>76</v>
      </c>
      <c r="O64" s="28" t="s">
        <v>76</v>
      </c>
      <c r="P64" s="16">
        <v>8.4507042253521103</v>
      </c>
      <c r="Q64" s="16">
        <v>9.8591549295774694</v>
      </c>
      <c r="R64" s="28" t="s">
        <v>76</v>
      </c>
      <c r="S64" s="28" t="s">
        <v>76</v>
      </c>
      <c r="T64" s="16">
        <v>12.5</v>
      </c>
      <c r="U64" s="28" t="s">
        <v>76</v>
      </c>
      <c r="V64" s="28" t="s">
        <v>76</v>
      </c>
      <c r="W64" s="28" t="s">
        <v>76</v>
      </c>
      <c r="X64" s="28" t="s">
        <v>76</v>
      </c>
      <c r="Y64" s="28" t="s">
        <v>76</v>
      </c>
      <c r="Z64" s="28" t="s">
        <v>76</v>
      </c>
      <c r="AA64" s="16">
        <v>6.4220183486238502</v>
      </c>
      <c r="AB64" s="16">
        <v>8.8235294117646994</v>
      </c>
      <c r="AC64" s="28" t="s">
        <v>76</v>
      </c>
      <c r="AD64" s="28" t="s">
        <v>76</v>
      </c>
      <c r="AE64" s="28" t="s">
        <v>76</v>
      </c>
      <c r="AF64" s="28" t="s">
        <v>76</v>
      </c>
      <c r="AG64" s="16">
        <v>5.71428571428571</v>
      </c>
      <c r="AH64" s="28" t="s">
        <v>76</v>
      </c>
      <c r="AI64" s="28" t="s">
        <v>76</v>
      </c>
      <c r="AJ64" s="16">
        <v>6.3063063063063103</v>
      </c>
      <c r="AK64" s="28" t="s">
        <v>76</v>
      </c>
      <c r="AL64" s="16">
        <v>8.8888888888888893</v>
      </c>
      <c r="AM64" s="28" t="s">
        <v>76</v>
      </c>
      <c r="AN64" s="28" t="s">
        <v>76</v>
      </c>
      <c r="AO64" s="28" t="s">
        <v>76</v>
      </c>
      <c r="AP64" s="28" t="s">
        <v>76</v>
      </c>
      <c r="AQ64" s="28" t="s">
        <v>76</v>
      </c>
      <c r="AR64" s="28" t="s">
        <v>76</v>
      </c>
      <c r="AS64" s="28" t="s">
        <v>76</v>
      </c>
      <c r="AT64" s="28" t="s">
        <v>76</v>
      </c>
      <c r="AU64" s="16">
        <v>14.285714285714301</v>
      </c>
      <c r="AV64" s="28" t="s">
        <v>76</v>
      </c>
      <c r="AW64" s="16">
        <v>8.6206896551724093</v>
      </c>
      <c r="AX64" s="28" t="s">
        <v>76</v>
      </c>
      <c r="AY64" s="16">
        <v>14.285714285714301</v>
      </c>
      <c r="AZ64" s="28" t="s">
        <v>76</v>
      </c>
      <c r="BA64" s="16">
        <v>9.4339622641509404</v>
      </c>
      <c r="BB64" s="28" t="s">
        <v>76</v>
      </c>
      <c r="BC64" s="16">
        <v>14.8648648648649</v>
      </c>
      <c r="BD64" s="16">
        <v>14.1025641025641</v>
      </c>
      <c r="BE64" s="28" t="s">
        <v>76</v>
      </c>
      <c r="BF64" s="28" t="s">
        <v>76</v>
      </c>
      <c r="BG64" s="28" t="s">
        <v>76</v>
      </c>
      <c r="BH64" s="28" t="s">
        <v>76</v>
      </c>
      <c r="BI64" s="28" t="s">
        <v>76</v>
      </c>
      <c r="BJ64" s="16">
        <v>14.285714285714301</v>
      </c>
      <c r="BK64" s="28" t="s">
        <v>76</v>
      </c>
      <c r="BL64" s="16">
        <v>5.46875</v>
      </c>
      <c r="BM64" s="16">
        <v>8.9108910891089099</v>
      </c>
      <c r="BN64" s="28" t="s">
        <v>76</v>
      </c>
      <c r="BO64" s="16">
        <v>5.5555555555555598</v>
      </c>
      <c r="BP64" s="28" t="s">
        <v>76</v>
      </c>
      <c r="BQ64" s="16">
        <v>8.2191780821917799</v>
      </c>
      <c r="BR64" s="28" t="s">
        <v>76</v>
      </c>
      <c r="BS64" s="28" t="s">
        <v>76</v>
      </c>
      <c r="BT64" s="28" t="s">
        <v>76</v>
      </c>
      <c r="BU64" s="16">
        <v>15.887850467289701</v>
      </c>
      <c r="BV64" s="16">
        <v>21.2121212121212</v>
      </c>
      <c r="BW64" s="28" t="s">
        <v>76</v>
      </c>
      <c r="BX64" s="28" t="s">
        <v>76</v>
      </c>
      <c r="BY64" s="28" t="s">
        <v>76</v>
      </c>
      <c r="BZ64" s="16">
        <v>8.84353741496599</v>
      </c>
      <c r="CA64" s="33">
        <v>4.7520896846151199</v>
      </c>
      <c r="CB64" s="16">
        <v>2.5559105431309899</v>
      </c>
      <c r="CC64" s="16">
        <v>4.4025157232704402</v>
      </c>
      <c r="CD64" s="16">
        <v>5.1612903225806503</v>
      </c>
      <c r="CE64" s="28" t="s">
        <v>76</v>
      </c>
      <c r="CF64" s="16">
        <v>3.8922155688622802</v>
      </c>
      <c r="CG64" s="16">
        <v>3.91061452513966</v>
      </c>
      <c r="CH64" s="16">
        <v>4.4117647058823497</v>
      </c>
      <c r="CI64" s="16">
        <v>4.1067761806981498</v>
      </c>
      <c r="CJ64" s="16">
        <v>7.4509803921568603</v>
      </c>
      <c r="CK64" s="16">
        <v>7.6233183856502196</v>
      </c>
      <c r="CL64" s="16">
        <v>6.0606060606060597</v>
      </c>
      <c r="CM64" s="25">
        <v>5.1391862955032099</v>
      </c>
      <c r="CN64" s="37"/>
    </row>
    <row r="65" spans="1:1" ht="30" customHeight="1">
      <c r="A65" t="s">
        <v>252</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71"/>
  <sheetViews>
    <sheetView zoomScale="70" workbookViewId="0"/>
  </sheetViews>
  <sheetFormatPr defaultColWidth="10.88671875" defaultRowHeight="15"/>
  <cols>
    <col min="1" max="1" width="51.6640625" customWidth="1"/>
    <col min="2" max="4" width="15.88671875" customWidth="1"/>
  </cols>
  <sheetData>
    <row r="1" spans="1:4" ht="39.950000000000003" customHeight="1">
      <c r="A1" s="10" t="s">
        <v>330</v>
      </c>
      <c r="B1" s="12"/>
      <c r="C1" s="12"/>
      <c r="D1" s="12"/>
    </row>
    <row r="2" spans="1:4" ht="45">
      <c r="A2" s="7" t="s">
        <v>52</v>
      </c>
      <c r="B2" s="6" t="s">
        <v>68</v>
      </c>
      <c r="C2" s="6" t="s">
        <v>69</v>
      </c>
      <c r="D2" s="8" t="s">
        <v>70</v>
      </c>
    </row>
    <row r="3" spans="1:4">
      <c r="A3" s="9" t="s">
        <v>258</v>
      </c>
      <c r="B3" s="15">
        <v>27.056929946654002</v>
      </c>
      <c r="C3" s="15">
        <v>28.193574068258702</v>
      </c>
      <c r="D3" s="24">
        <v>29.020604857622299</v>
      </c>
    </row>
    <row r="4" spans="1:4">
      <c r="A4" s="9" t="s">
        <v>259</v>
      </c>
      <c r="B4" s="15">
        <v>25.386993657984199</v>
      </c>
      <c r="C4" s="15">
        <v>27.6559652762841</v>
      </c>
      <c r="D4" s="24">
        <v>26.431435668659802</v>
      </c>
    </row>
    <row r="5" spans="1:4">
      <c r="A5" s="9" t="s">
        <v>260</v>
      </c>
      <c r="B5" s="15">
        <v>29.349808047507999</v>
      </c>
      <c r="C5" s="15">
        <v>31.739504092457</v>
      </c>
      <c r="D5" s="24">
        <v>30.8632818663081</v>
      </c>
    </row>
    <row r="6" spans="1:4">
      <c r="A6" s="9" t="s">
        <v>261</v>
      </c>
      <c r="B6" s="15">
        <v>51.889680881634099</v>
      </c>
      <c r="C6" s="15">
        <v>53.369364422069403</v>
      </c>
      <c r="D6" s="24">
        <v>53.796692913577097</v>
      </c>
    </row>
    <row r="7" spans="1:4">
      <c r="A7" s="9" t="s">
        <v>262</v>
      </c>
      <c r="B7" s="15">
        <v>27.59821250884</v>
      </c>
      <c r="C7" s="15">
        <v>28.799771107730599</v>
      </c>
      <c r="D7" s="24">
        <v>30.849757662778298</v>
      </c>
    </row>
    <row r="8" spans="1:4">
      <c r="A8" s="9" t="s">
        <v>263</v>
      </c>
      <c r="B8" s="15">
        <v>6.7444458998973102</v>
      </c>
      <c r="C8" s="15">
        <v>4.15057941927365</v>
      </c>
      <c r="D8" s="26" t="s">
        <v>76</v>
      </c>
    </row>
    <row r="9" spans="1:4">
      <c r="A9" s="9" t="s">
        <v>264</v>
      </c>
      <c r="B9" s="15">
        <v>19.715618735041001</v>
      </c>
      <c r="C9" s="15">
        <v>21.0242877885605</v>
      </c>
      <c r="D9" s="24">
        <v>25.5666118029934</v>
      </c>
    </row>
    <row r="10" spans="1:4">
      <c r="A10" s="9" t="s">
        <v>265</v>
      </c>
      <c r="B10" s="15">
        <v>25.656217669345899</v>
      </c>
      <c r="C10" s="15">
        <v>26.772368092507101</v>
      </c>
      <c r="D10" s="24">
        <v>27.2321026685213</v>
      </c>
    </row>
    <row r="11" spans="1:4">
      <c r="A11" s="9" t="s">
        <v>266</v>
      </c>
      <c r="B11" s="15">
        <v>21.3966841857426</v>
      </c>
      <c r="C11" s="15">
        <v>21.064612318555799</v>
      </c>
      <c r="D11" s="24">
        <v>21.456212984620599</v>
      </c>
    </row>
    <row r="12" spans="1:4">
      <c r="A12" s="9" t="s">
        <v>267</v>
      </c>
      <c r="B12" s="15">
        <v>11.745171955928701</v>
      </c>
      <c r="C12" s="15">
        <v>10.7559583521147</v>
      </c>
      <c r="D12" s="24">
        <v>12.970002514298599</v>
      </c>
    </row>
    <row r="13" spans="1:4">
      <c r="A13" s="9" t="s">
        <v>268</v>
      </c>
      <c r="B13" s="15">
        <v>8.3928775978513599</v>
      </c>
      <c r="C13" s="15">
        <v>7.4005216088877397</v>
      </c>
      <c r="D13" s="24">
        <v>8.0128173650456205</v>
      </c>
    </row>
    <row r="14" spans="1:4">
      <c r="A14" s="9" t="s">
        <v>269</v>
      </c>
      <c r="B14" s="15">
        <v>32.209450681087802</v>
      </c>
      <c r="C14" s="15">
        <v>33.598914106183102</v>
      </c>
      <c r="D14" s="24">
        <v>31.3625630472845</v>
      </c>
    </row>
    <row r="15" spans="1:4">
      <c r="A15" s="9" t="s">
        <v>270</v>
      </c>
      <c r="B15" s="15">
        <v>33.060833578443699</v>
      </c>
      <c r="C15" s="15">
        <v>37.306736102665504</v>
      </c>
      <c r="D15" s="24">
        <v>38.801311601941102</v>
      </c>
    </row>
    <row r="16" spans="1:4">
      <c r="A16" s="9" t="s">
        <v>271</v>
      </c>
      <c r="B16" s="15">
        <v>4.7875002756359901</v>
      </c>
      <c r="C16" s="15">
        <v>5.3504366810388504</v>
      </c>
      <c r="D16" s="26" t="s">
        <v>76</v>
      </c>
    </row>
    <row r="17" spans="1:4">
      <c r="A17" s="9" t="s">
        <v>272</v>
      </c>
      <c r="B17" s="15">
        <v>54.213227440376599</v>
      </c>
      <c r="C17" s="15">
        <v>58.581400985369399</v>
      </c>
      <c r="D17" s="24">
        <v>64.654120433789799</v>
      </c>
    </row>
    <row r="18" spans="1:4">
      <c r="A18" s="9" t="s">
        <v>273</v>
      </c>
      <c r="B18" s="15">
        <v>39.632204658143799</v>
      </c>
      <c r="C18" s="15">
        <v>36.9776087902451</v>
      </c>
      <c r="D18" s="24">
        <v>38.252097513002802</v>
      </c>
    </row>
    <row r="19" spans="1:4">
      <c r="A19" s="9" t="s">
        <v>274</v>
      </c>
      <c r="B19" s="15">
        <v>42.981667165700003</v>
      </c>
      <c r="C19" s="15">
        <v>47.164779702786198</v>
      </c>
      <c r="D19" s="24">
        <v>46.341721691686402</v>
      </c>
    </row>
    <row r="20" spans="1:4">
      <c r="A20" s="9" t="s">
        <v>275</v>
      </c>
      <c r="B20" s="15">
        <v>7.3888267727183798</v>
      </c>
      <c r="C20" s="15">
        <v>8.4851073514373301</v>
      </c>
      <c r="D20" s="24">
        <v>9.3983541863683993</v>
      </c>
    </row>
    <row r="21" spans="1:4">
      <c r="A21" s="9" t="s">
        <v>276</v>
      </c>
      <c r="B21" s="15">
        <v>13.4744345354519</v>
      </c>
      <c r="C21" s="15">
        <v>13.691167678351</v>
      </c>
      <c r="D21" s="24">
        <v>18.018609307392499</v>
      </c>
    </row>
    <row r="22" spans="1:4">
      <c r="A22" s="9" t="s">
        <v>277</v>
      </c>
      <c r="B22" s="15">
        <v>19.7644210140705</v>
      </c>
      <c r="C22" s="15">
        <v>23.681980568214801</v>
      </c>
      <c r="D22" s="24">
        <v>27.202237955422198</v>
      </c>
    </row>
    <row r="23" spans="1:4">
      <c r="A23" s="9" t="s">
        <v>278</v>
      </c>
      <c r="B23" s="15">
        <v>26.7756628234727</v>
      </c>
      <c r="C23" s="15">
        <v>24.393823830449399</v>
      </c>
      <c r="D23" s="24">
        <v>22.365290253455001</v>
      </c>
    </row>
    <row r="24" spans="1:4">
      <c r="A24" s="9" t="s">
        <v>279</v>
      </c>
      <c r="B24" s="15">
        <v>62.5117223910432</v>
      </c>
      <c r="C24" s="15">
        <v>65.6990065562875</v>
      </c>
      <c r="D24" s="24">
        <v>63.771054978825603</v>
      </c>
    </row>
    <row r="25" spans="1:4">
      <c r="A25" s="9" t="s">
        <v>280</v>
      </c>
      <c r="B25" s="15">
        <v>5.3777523036504196</v>
      </c>
      <c r="C25" s="15">
        <v>5.4326035615947799</v>
      </c>
      <c r="D25" s="26" t="s">
        <v>76</v>
      </c>
    </row>
    <row r="26" spans="1:4">
      <c r="A26" s="9" t="s">
        <v>281</v>
      </c>
      <c r="B26" s="15">
        <v>33.3312295847469</v>
      </c>
      <c r="C26" s="15">
        <v>33.360888520477701</v>
      </c>
      <c r="D26" s="24">
        <v>35.877547711371498</v>
      </c>
    </row>
    <row r="27" spans="1:4">
      <c r="A27" s="9" t="s">
        <v>282</v>
      </c>
      <c r="B27" s="15">
        <v>19.374697958865401</v>
      </c>
      <c r="C27" s="15">
        <v>19.300424499900998</v>
      </c>
      <c r="D27" s="24">
        <v>17.078493341113401</v>
      </c>
    </row>
    <row r="28" spans="1:4">
      <c r="A28" s="9" t="s">
        <v>283</v>
      </c>
      <c r="B28" s="15">
        <v>20.0745806758618</v>
      </c>
      <c r="C28" s="15">
        <v>17.296488152573499</v>
      </c>
      <c r="D28" s="24">
        <v>21.453123119751599</v>
      </c>
    </row>
    <row r="29" spans="1:4">
      <c r="A29" s="9" t="s">
        <v>284</v>
      </c>
      <c r="B29" s="15">
        <v>6.1048188436039101</v>
      </c>
      <c r="C29" s="15">
        <v>6.1455246182611001</v>
      </c>
      <c r="D29" s="26" t="s">
        <v>76</v>
      </c>
    </row>
    <row r="30" spans="1:4">
      <c r="A30" s="9" t="s">
        <v>285</v>
      </c>
      <c r="B30" s="15">
        <v>9.1090445037246894</v>
      </c>
      <c r="C30" s="15">
        <v>9.64154376568308</v>
      </c>
      <c r="D30" s="24">
        <v>13.567886972832801</v>
      </c>
    </row>
    <row r="31" spans="1:4">
      <c r="A31" s="9" t="s">
        <v>286</v>
      </c>
      <c r="B31" s="15">
        <v>17.690985170874502</v>
      </c>
      <c r="C31" s="15">
        <v>17.424452423199899</v>
      </c>
      <c r="D31" s="24">
        <v>17.469607142237599</v>
      </c>
    </row>
    <row r="32" spans="1:4">
      <c r="A32" s="9" t="s">
        <v>287</v>
      </c>
      <c r="B32" s="15">
        <v>3.4749720715682701</v>
      </c>
      <c r="C32" s="15">
        <v>4.1459961498386297</v>
      </c>
      <c r="D32" s="26" t="s">
        <v>76</v>
      </c>
    </row>
    <row r="33" spans="1:4">
      <c r="A33" s="9" t="s">
        <v>288</v>
      </c>
      <c r="B33" s="15">
        <v>12.825020267555701</v>
      </c>
      <c r="C33" s="15">
        <v>14.224389595021</v>
      </c>
      <c r="D33" s="24">
        <v>13.9355824124811</v>
      </c>
    </row>
    <row r="34" spans="1:4">
      <c r="A34" s="9" t="s">
        <v>289</v>
      </c>
      <c r="B34" s="15">
        <v>23.5948311321559</v>
      </c>
      <c r="C34" s="15">
        <v>27.1839833446145</v>
      </c>
      <c r="D34" s="24">
        <v>32.5453136446774</v>
      </c>
    </row>
    <row r="35" spans="1:4">
      <c r="A35" s="9" t="s">
        <v>290</v>
      </c>
      <c r="B35" s="15">
        <v>25.032570596332601</v>
      </c>
      <c r="C35" s="15">
        <v>27.8483097246733</v>
      </c>
      <c r="D35" s="24">
        <v>29.670157190619801</v>
      </c>
    </row>
    <row r="36" spans="1:4">
      <c r="A36" s="9" t="s">
        <v>291</v>
      </c>
      <c r="B36" s="15">
        <v>24.217451207645802</v>
      </c>
      <c r="C36" s="15">
        <v>28.691875620378202</v>
      </c>
      <c r="D36" s="24">
        <v>27.318049830373798</v>
      </c>
    </row>
    <row r="37" spans="1:4">
      <c r="A37" s="9" t="s">
        <v>292</v>
      </c>
      <c r="B37" s="15">
        <v>18.481740793325901</v>
      </c>
      <c r="C37" s="15">
        <v>22.105859987661901</v>
      </c>
      <c r="D37" s="24">
        <v>20.6502851459278</v>
      </c>
    </row>
    <row r="38" spans="1:4">
      <c r="A38" s="9" t="s">
        <v>293</v>
      </c>
      <c r="B38" s="15">
        <v>29.055897654110399</v>
      </c>
      <c r="C38" s="15">
        <v>30.800752075941499</v>
      </c>
      <c r="D38" s="24">
        <v>34.495521258127198</v>
      </c>
    </row>
    <row r="39" spans="1:4">
      <c r="A39" s="9" t="s">
        <v>294</v>
      </c>
      <c r="B39" s="15">
        <v>41.916771746155597</v>
      </c>
      <c r="C39" s="15">
        <v>46.34106516992</v>
      </c>
      <c r="D39" s="24">
        <v>49.631937516183001</v>
      </c>
    </row>
    <row r="40" spans="1:4">
      <c r="A40" s="9" t="s">
        <v>295</v>
      </c>
      <c r="B40" s="15">
        <v>14.9935402615973</v>
      </c>
      <c r="C40" s="15">
        <v>14.244372390684299</v>
      </c>
      <c r="D40" s="24">
        <v>17.059052856727501</v>
      </c>
    </row>
    <row r="41" spans="1:4">
      <c r="A41" s="9" t="s">
        <v>296</v>
      </c>
      <c r="B41" s="15">
        <v>33.705052277973301</v>
      </c>
      <c r="C41" s="15">
        <v>37.940074883376198</v>
      </c>
      <c r="D41" s="24">
        <v>39.529065775543998</v>
      </c>
    </row>
    <row r="42" spans="1:4">
      <c r="A42" s="9" t="s">
        <v>297</v>
      </c>
      <c r="B42" s="15">
        <v>10.5843200223712</v>
      </c>
      <c r="C42" s="15">
        <v>10.2487465419646</v>
      </c>
      <c r="D42" s="24">
        <v>11.169445264203199</v>
      </c>
    </row>
    <row r="43" spans="1:4">
      <c r="A43" s="9" t="s">
        <v>298</v>
      </c>
      <c r="B43" s="15">
        <v>37.692583985749501</v>
      </c>
      <c r="C43" s="15">
        <v>43.9207309877131</v>
      </c>
      <c r="D43" s="24">
        <v>47.273465415574798</v>
      </c>
    </row>
    <row r="44" spans="1:4">
      <c r="A44" s="9" t="s">
        <v>299</v>
      </c>
      <c r="B44" s="15">
        <v>66.899228739536298</v>
      </c>
      <c r="C44" s="15">
        <v>71.3242173029452</v>
      </c>
      <c r="D44" s="24">
        <v>72.676553997537297</v>
      </c>
    </row>
    <row r="45" spans="1:4">
      <c r="A45" s="9" t="s">
        <v>300</v>
      </c>
      <c r="B45" s="15">
        <v>9.2914925888997892</v>
      </c>
      <c r="C45" s="15">
        <v>9.2837086700826106</v>
      </c>
      <c r="D45" s="24">
        <v>8.3257895211473993</v>
      </c>
    </row>
    <row r="46" spans="1:4">
      <c r="A46" s="9" t="s">
        <v>301</v>
      </c>
      <c r="B46" s="15">
        <v>23.488050283756699</v>
      </c>
      <c r="C46" s="15">
        <v>25.290311922895999</v>
      </c>
      <c r="D46" s="24">
        <v>21.6858725910757</v>
      </c>
    </row>
    <row r="47" spans="1:4">
      <c r="A47" s="9" t="s">
        <v>302</v>
      </c>
      <c r="B47" s="15">
        <v>10.284838580417301</v>
      </c>
      <c r="C47" s="15">
        <v>10.115752463839399</v>
      </c>
      <c r="D47" s="24">
        <v>15.0131725069427</v>
      </c>
    </row>
    <row r="48" spans="1:4">
      <c r="A48" s="9" t="s">
        <v>303</v>
      </c>
      <c r="B48" s="15">
        <v>11.943728709607001</v>
      </c>
      <c r="C48" s="15">
        <v>11.0012130588076</v>
      </c>
      <c r="D48" s="24">
        <v>15.2670977757638</v>
      </c>
    </row>
    <row r="49" spans="1:4">
      <c r="A49" s="9" t="s">
        <v>304</v>
      </c>
      <c r="B49" s="15">
        <v>14.8823283996048</v>
      </c>
      <c r="C49" s="15">
        <v>20.068120603326498</v>
      </c>
      <c r="D49" s="24">
        <v>16.419343657448401</v>
      </c>
    </row>
    <row r="50" spans="1:4">
      <c r="A50" s="9" t="s">
        <v>305</v>
      </c>
      <c r="B50" s="15">
        <v>61.950155751479997</v>
      </c>
      <c r="C50" s="15">
        <v>62.5090407757273</v>
      </c>
      <c r="D50" s="24">
        <v>61.892883463103203</v>
      </c>
    </row>
    <row r="51" spans="1:4">
      <c r="A51" s="9" t="s">
        <v>306</v>
      </c>
      <c r="B51" s="15">
        <v>37.1566301700135</v>
      </c>
      <c r="C51" s="15">
        <v>39.697520488979599</v>
      </c>
      <c r="D51" s="24">
        <v>38.958562612077699</v>
      </c>
    </row>
    <row r="52" spans="1:4">
      <c r="A52" s="9" t="s">
        <v>307</v>
      </c>
      <c r="B52" s="15">
        <v>19.362555273227901</v>
      </c>
      <c r="C52" s="15">
        <v>24.666924733824601</v>
      </c>
      <c r="D52" s="24">
        <v>27.037604790703799</v>
      </c>
    </row>
    <row r="53" spans="1:4">
      <c r="A53" s="9" t="s">
        <v>308</v>
      </c>
      <c r="B53" s="15">
        <v>34.885010281914397</v>
      </c>
      <c r="C53" s="15">
        <v>36.803359105610397</v>
      </c>
      <c r="D53" s="24">
        <v>41.647227250848303</v>
      </c>
    </row>
    <row r="54" spans="1:4">
      <c r="A54" s="9" t="s">
        <v>309</v>
      </c>
      <c r="B54" s="15">
        <v>42.7523964115707</v>
      </c>
      <c r="C54" s="15">
        <v>42.158709140585003</v>
      </c>
      <c r="D54" s="24">
        <v>45.3911133533433</v>
      </c>
    </row>
    <row r="55" spans="1:4">
      <c r="A55" s="9" t="s">
        <v>310</v>
      </c>
      <c r="B55" s="15">
        <v>7.8051678914053202</v>
      </c>
      <c r="C55" s="15">
        <v>8.0783592777772704</v>
      </c>
      <c r="D55" s="24">
        <v>9.5170650781883595</v>
      </c>
    </row>
    <row r="56" spans="1:4">
      <c r="A56" s="9" t="s">
        <v>311</v>
      </c>
      <c r="B56" s="15">
        <v>16.4798607539228</v>
      </c>
      <c r="C56" s="15">
        <v>18.7318305208792</v>
      </c>
      <c r="D56" s="24">
        <v>17.523976183830001</v>
      </c>
    </row>
    <row r="57" spans="1:4">
      <c r="A57" s="9" t="s">
        <v>312</v>
      </c>
      <c r="B57" s="15">
        <v>14.0910725341723</v>
      </c>
      <c r="C57" s="15">
        <v>14.0727786538522</v>
      </c>
      <c r="D57" s="24">
        <v>14.869840178506101</v>
      </c>
    </row>
    <row r="58" spans="1:4">
      <c r="A58" s="9" t="s">
        <v>313</v>
      </c>
      <c r="B58" s="15">
        <v>30.835416077812599</v>
      </c>
      <c r="C58" s="15">
        <v>34.505964169147802</v>
      </c>
      <c r="D58" s="24">
        <v>40.300702593203802</v>
      </c>
    </row>
    <row r="59" spans="1:4">
      <c r="A59" s="9" t="s">
        <v>314</v>
      </c>
      <c r="B59" s="15">
        <v>5.5459997402744703</v>
      </c>
      <c r="C59" s="15">
        <v>4.67636608388014</v>
      </c>
      <c r="D59" s="26" t="s">
        <v>76</v>
      </c>
    </row>
    <row r="60" spans="1:4">
      <c r="A60" s="9" t="s">
        <v>315</v>
      </c>
      <c r="B60" s="15">
        <v>4.7141682936723104</v>
      </c>
      <c r="C60" s="15">
        <v>4.65335841177059</v>
      </c>
      <c r="D60" s="26" t="s">
        <v>76</v>
      </c>
    </row>
    <row r="61" spans="1:4">
      <c r="A61" s="9" t="s">
        <v>316</v>
      </c>
      <c r="B61" s="15">
        <v>5.1664520608661801</v>
      </c>
      <c r="C61" s="15">
        <v>5.1232708543595997</v>
      </c>
      <c r="D61" s="26" t="s">
        <v>76</v>
      </c>
    </row>
    <row r="62" spans="1:4">
      <c r="A62" s="9" t="s">
        <v>317</v>
      </c>
      <c r="B62" s="15">
        <v>6.3390205181594101</v>
      </c>
      <c r="C62" s="15">
        <v>7.8051411636765797</v>
      </c>
      <c r="D62" s="26" t="s">
        <v>76</v>
      </c>
    </row>
    <row r="63" spans="1:4">
      <c r="A63" s="9" t="s">
        <v>318</v>
      </c>
      <c r="B63" s="15">
        <v>16.066222937156201</v>
      </c>
      <c r="C63" s="15">
        <v>15.5235288233734</v>
      </c>
      <c r="D63" s="24">
        <v>17.627437195730302</v>
      </c>
    </row>
    <row r="64" spans="1:4">
      <c r="A64" s="11" t="s">
        <v>319</v>
      </c>
      <c r="B64" s="16">
        <v>12.9239069677567</v>
      </c>
      <c r="C64" s="16">
        <v>12.9140279761963</v>
      </c>
      <c r="D64" s="25">
        <v>10.7875153662727</v>
      </c>
    </row>
    <row r="65" spans="1:1" ht="30" customHeight="1">
      <c r="A65" t="s">
        <v>252</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3"/>
  <sheetViews>
    <sheetView zoomScale="70" workbookViewId="0"/>
  </sheetViews>
  <sheetFormatPr defaultColWidth="10.88671875" defaultRowHeight="15"/>
  <cols>
    <col min="1" max="1" width="51.6640625" customWidth="1"/>
    <col min="2" max="4" width="15.88671875" customWidth="1"/>
  </cols>
  <sheetData>
    <row r="1" spans="1:4" ht="39.950000000000003" customHeight="1">
      <c r="A1" s="10" t="s">
        <v>331</v>
      </c>
      <c r="B1" s="12"/>
      <c r="C1" s="12"/>
      <c r="D1" s="12"/>
    </row>
    <row r="2" spans="1:4" ht="45">
      <c r="A2" s="7" t="s">
        <v>52</v>
      </c>
      <c r="B2" s="6" t="s">
        <v>68</v>
      </c>
      <c r="C2" s="6" t="s">
        <v>69</v>
      </c>
      <c r="D2" s="8" t="s">
        <v>70</v>
      </c>
    </row>
    <row r="3" spans="1:4">
      <c r="A3" s="39" t="s">
        <v>332</v>
      </c>
      <c r="B3" s="15"/>
      <c r="C3" s="15"/>
      <c r="D3" s="24"/>
    </row>
    <row r="4" spans="1:4">
      <c r="A4" s="9" t="s">
        <v>333</v>
      </c>
      <c r="B4" s="15">
        <v>3.0726654835390099</v>
      </c>
      <c r="C4" s="15">
        <v>3.1753376077663802</v>
      </c>
      <c r="D4" s="26" t="s">
        <v>76</v>
      </c>
    </row>
    <row r="5" spans="1:4">
      <c r="A5" s="9" t="s">
        <v>334</v>
      </c>
      <c r="B5" s="15">
        <v>2.3520398036315102</v>
      </c>
      <c r="C5" s="20" t="s">
        <v>76</v>
      </c>
      <c r="D5" s="26" t="s">
        <v>76</v>
      </c>
    </row>
    <row r="6" spans="1:4">
      <c r="A6" s="9" t="s">
        <v>335</v>
      </c>
      <c r="B6" s="15">
        <v>2.0830717940939598</v>
      </c>
      <c r="C6" s="20" t="s">
        <v>76</v>
      </c>
      <c r="D6" s="26" t="s">
        <v>76</v>
      </c>
    </row>
    <row r="7" spans="1:4">
      <c r="A7" s="9" t="s">
        <v>336</v>
      </c>
      <c r="B7" s="15">
        <v>4.9875520588788103</v>
      </c>
      <c r="C7" s="15">
        <v>4.6852129187582099</v>
      </c>
      <c r="D7" s="26" t="s">
        <v>76</v>
      </c>
    </row>
    <row r="8" spans="1:4">
      <c r="A8" s="9" t="s">
        <v>337</v>
      </c>
      <c r="B8" s="15">
        <v>51.168416618501702</v>
      </c>
      <c r="C8" s="15">
        <v>52.185386725007497</v>
      </c>
      <c r="D8" s="24">
        <v>49.256618565181697</v>
      </c>
    </row>
    <row r="9" spans="1:4">
      <c r="A9" s="9" t="s">
        <v>338</v>
      </c>
      <c r="B9" s="15">
        <v>10.500622089095501</v>
      </c>
      <c r="C9" s="15">
        <v>9.3243364756163096</v>
      </c>
      <c r="D9" s="24">
        <v>13.391778403722199</v>
      </c>
    </row>
    <row r="10" spans="1:4">
      <c r="A10" s="9" t="s">
        <v>339</v>
      </c>
      <c r="B10" s="15">
        <v>5.2321415135837501</v>
      </c>
      <c r="C10" s="15">
        <v>6.4045385665487098</v>
      </c>
      <c r="D10" s="26" t="s">
        <v>76</v>
      </c>
    </row>
    <row r="11" spans="1:4">
      <c r="A11" s="9" t="s">
        <v>340</v>
      </c>
      <c r="B11" s="15">
        <v>2.9095558413358802</v>
      </c>
      <c r="C11" s="15">
        <v>2.5567349298813</v>
      </c>
      <c r="D11" s="26" t="s">
        <v>76</v>
      </c>
    </row>
    <row r="12" spans="1:4">
      <c r="A12" s="9" t="s">
        <v>341</v>
      </c>
      <c r="B12" s="15">
        <v>1.9796880964030701</v>
      </c>
      <c r="C12" s="20" t="s">
        <v>76</v>
      </c>
      <c r="D12" s="26" t="s">
        <v>76</v>
      </c>
    </row>
    <row r="13" spans="1:4">
      <c r="A13" s="9" t="s">
        <v>342</v>
      </c>
      <c r="B13" s="15">
        <v>1.4113129705726</v>
      </c>
      <c r="C13" s="20" t="s">
        <v>76</v>
      </c>
      <c r="D13" s="26" t="s">
        <v>76</v>
      </c>
    </row>
    <row r="14" spans="1:4">
      <c r="A14" s="9" t="s">
        <v>343</v>
      </c>
      <c r="B14" s="15">
        <v>1.71848533079045</v>
      </c>
      <c r="C14" s="20" t="s">
        <v>76</v>
      </c>
      <c r="D14" s="26" t="s">
        <v>76</v>
      </c>
    </row>
    <row r="15" spans="1:4">
      <c r="A15" s="9" t="s">
        <v>344</v>
      </c>
      <c r="B15" s="15">
        <v>2.8036844010327902</v>
      </c>
      <c r="C15" s="15">
        <v>3.07818740321391</v>
      </c>
      <c r="D15" s="26" t="s">
        <v>76</v>
      </c>
    </row>
    <row r="16" spans="1:4">
      <c r="A16" s="11" t="s">
        <v>345</v>
      </c>
      <c r="B16" s="16">
        <v>13.9673713467108</v>
      </c>
      <c r="C16" s="16">
        <v>15.6855142447767</v>
      </c>
      <c r="D16" s="25">
        <v>15.608714764723601</v>
      </c>
    </row>
    <row r="17" spans="1:1" ht="30" customHeight="1">
      <c r="A17" t="s">
        <v>252</v>
      </c>
    </row>
    <row r="18" spans="1:1">
      <c r="A18" t="s">
        <v>143</v>
      </c>
    </row>
    <row r="19" spans="1:1">
      <c r="A19" t="s">
        <v>144</v>
      </c>
    </row>
    <row r="20" spans="1:1">
      <c r="A20" t="s">
        <v>145</v>
      </c>
    </row>
    <row r="21" spans="1:1">
      <c r="A21" t="s">
        <v>146</v>
      </c>
    </row>
    <row r="22" spans="1:1">
      <c r="A22" t="s">
        <v>147</v>
      </c>
    </row>
    <row r="23" spans="1:1">
      <c r="A2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0"/>
  <sheetViews>
    <sheetView zoomScale="70" workbookViewId="0"/>
  </sheetViews>
  <sheetFormatPr defaultColWidth="10.88671875" defaultRowHeight="15"/>
  <cols>
    <col min="1" max="1" width="51.6640625" customWidth="1"/>
    <col min="2" max="9" width="15.88671875" customWidth="1"/>
  </cols>
  <sheetData>
    <row r="1" spans="1:9" ht="39.950000000000003" customHeight="1">
      <c r="A1" s="10" t="s">
        <v>346</v>
      </c>
      <c r="B1" s="12"/>
      <c r="C1" s="12"/>
      <c r="D1" s="12"/>
      <c r="E1" s="12"/>
      <c r="F1" s="12"/>
      <c r="G1" s="12"/>
      <c r="H1" s="12"/>
      <c r="I1" s="12"/>
    </row>
    <row r="2" spans="1:9" ht="60">
      <c r="A2" s="7" t="s">
        <v>52</v>
      </c>
      <c r="B2" s="6" t="s">
        <v>347</v>
      </c>
      <c r="C2" s="6" t="s">
        <v>337</v>
      </c>
      <c r="D2" s="6" t="s">
        <v>348</v>
      </c>
      <c r="E2" s="6" t="s">
        <v>349</v>
      </c>
      <c r="F2" s="6" t="s">
        <v>342</v>
      </c>
      <c r="G2" s="6" t="s">
        <v>343</v>
      </c>
      <c r="H2" s="6" t="s">
        <v>344</v>
      </c>
      <c r="I2" s="8" t="s">
        <v>350</v>
      </c>
    </row>
    <row r="3" spans="1:9">
      <c r="A3" s="9" t="s">
        <v>258</v>
      </c>
      <c r="B3" s="20" t="s">
        <v>76</v>
      </c>
      <c r="C3" s="15">
        <v>17.014897909160101</v>
      </c>
      <c r="D3" s="20" t="s">
        <v>76</v>
      </c>
      <c r="E3" s="20" t="s">
        <v>76</v>
      </c>
      <c r="F3" s="20" t="s">
        <v>76</v>
      </c>
      <c r="G3" s="20" t="s">
        <v>76</v>
      </c>
      <c r="H3" s="20" t="s">
        <v>76</v>
      </c>
      <c r="I3" s="26" t="s">
        <v>76</v>
      </c>
    </row>
    <row r="4" spans="1:9">
      <c r="A4" s="9" t="s">
        <v>259</v>
      </c>
      <c r="B4" s="20" t="s">
        <v>76</v>
      </c>
      <c r="C4" s="15">
        <v>15.0588925540244</v>
      </c>
      <c r="D4" s="20" t="s">
        <v>76</v>
      </c>
      <c r="E4" s="20" t="s">
        <v>76</v>
      </c>
      <c r="F4" s="20" t="s">
        <v>76</v>
      </c>
      <c r="G4" s="20" t="s">
        <v>76</v>
      </c>
      <c r="H4" s="20" t="s">
        <v>76</v>
      </c>
      <c r="I4" s="26" t="s">
        <v>76</v>
      </c>
    </row>
    <row r="5" spans="1:9">
      <c r="A5" s="9" t="s">
        <v>260</v>
      </c>
      <c r="B5" s="20" t="s">
        <v>76</v>
      </c>
      <c r="C5" s="15">
        <v>16.216670000061999</v>
      </c>
      <c r="D5" s="20" t="s">
        <v>76</v>
      </c>
      <c r="E5" s="20" t="s">
        <v>76</v>
      </c>
      <c r="F5" s="20" t="s">
        <v>76</v>
      </c>
      <c r="G5" s="20" t="s">
        <v>76</v>
      </c>
      <c r="H5" s="20" t="s">
        <v>76</v>
      </c>
      <c r="I5" s="26" t="s">
        <v>76</v>
      </c>
    </row>
    <row r="6" spans="1:9">
      <c r="A6" s="9" t="s">
        <v>261</v>
      </c>
      <c r="B6" s="20" t="s">
        <v>76</v>
      </c>
      <c r="C6" s="15">
        <v>29.357300180685201</v>
      </c>
      <c r="D6" s="15">
        <v>9.3703750340157796</v>
      </c>
      <c r="E6" s="20" t="s">
        <v>76</v>
      </c>
      <c r="F6" s="20" t="s">
        <v>76</v>
      </c>
      <c r="G6" s="20" t="s">
        <v>76</v>
      </c>
      <c r="H6" s="20" t="s">
        <v>76</v>
      </c>
      <c r="I6" s="24">
        <v>9.1477182861072706</v>
      </c>
    </row>
    <row r="7" spans="1:9">
      <c r="A7" s="9" t="s">
        <v>262</v>
      </c>
      <c r="B7" s="20" t="s">
        <v>76</v>
      </c>
      <c r="C7" s="15">
        <v>15.605177233340299</v>
      </c>
      <c r="D7" s="20" t="s">
        <v>76</v>
      </c>
      <c r="E7" s="20" t="s">
        <v>76</v>
      </c>
      <c r="F7" s="20" t="s">
        <v>76</v>
      </c>
      <c r="G7" s="20" t="s">
        <v>76</v>
      </c>
      <c r="H7" s="20" t="s">
        <v>76</v>
      </c>
      <c r="I7" s="26" t="s">
        <v>76</v>
      </c>
    </row>
    <row r="8" spans="1:9">
      <c r="A8" s="9" t="s">
        <v>263</v>
      </c>
      <c r="B8" s="20" t="s">
        <v>76</v>
      </c>
      <c r="C8" s="20" t="s">
        <v>76</v>
      </c>
      <c r="D8" s="20" t="s">
        <v>76</v>
      </c>
      <c r="E8" s="20" t="s">
        <v>76</v>
      </c>
      <c r="F8" s="20" t="s">
        <v>76</v>
      </c>
      <c r="G8" s="20" t="s">
        <v>76</v>
      </c>
      <c r="H8" s="20" t="s">
        <v>76</v>
      </c>
      <c r="I8" s="26" t="s">
        <v>76</v>
      </c>
    </row>
    <row r="9" spans="1:9">
      <c r="A9" s="9" t="s">
        <v>264</v>
      </c>
      <c r="B9" s="20" t="s">
        <v>76</v>
      </c>
      <c r="C9" s="15">
        <v>14.1368673396689</v>
      </c>
      <c r="D9" s="20" t="s">
        <v>76</v>
      </c>
      <c r="E9" s="20" t="s">
        <v>76</v>
      </c>
      <c r="F9" s="20" t="s">
        <v>76</v>
      </c>
      <c r="G9" s="20" t="s">
        <v>76</v>
      </c>
      <c r="H9" s="20" t="s">
        <v>76</v>
      </c>
      <c r="I9" s="26" t="s">
        <v>76</v>
      </c>
    </row>
    <row r="10" spans="1:9">
      <c r="A10" s="9" t="s">
        <v>265</v>
      </c>
      <c r="B10" s="20" t="s">
        <v>76</v>
      </c>
      <c r="C10" s="15">
        <v>14.4319992690913</v>
      </c>
      <c r="D10" s="20" t="s">
        <v>76</v>
      </c>
      <c r="E10" s="20" t="s">
        <v>76</v>
      </c>
      <c r="F10" s="20" t="s">
        <v>76</v>
      </c>
      <c r="G10" s="20" t="s">
        <v>76</v>
      </c>
      <c r="H10" s="20" t="s">
        <v>76</v>
      </c>
      <c r="I10" s="26" t="s">
        <v>76</v>
      </c>
    </row>
    <row r="11" spans="1:9">
      <c r="A11" s="9" t="s">
        <v>266</v>
      </c>
      <c r="B11" s="20" t="s">
        <v>76</v>
      </c>
      <c r="C11" s="15">
        <v>10.5555318542651</v>
      </c>
      <c r="D11" s="20" t="s">
        <v>76</v>
      </c>
      <c r="E11" s="20" t="s">
        <v>76</v>
      </c>
      <c r="F11" s="20" t="s">
        <v>76</v>
      </c>
      <c r="G11" s="20" t="s">
        <v>76</v>
      </c>
      <c r="H11" s="20" t="s">
        <v>76</v>
      </c>
      <c r="I11" s="26" t="s">
        <v>76</v>
      </c>
    </row>
    <row r="12" spans="1:9">
      <c r="A12" s="9" t="s">
        <v>267</v>
      </c>
      <c r="B12" s="20" t="s">
        <v>76</v>
      </c>
      <c r="C12" s="20" t="s">
        <v>76</v>
      </c>
      <c r="D12" s="20" t="s">
        <v>76</v>
      </c>
      <c r="E12" s="20" t="s">
        <v>76</v>
      </c>
      <c r="F12" s="20" t="s">
        <v>76</v>
      </c>
      <c r="G12" s="20" t="s">
        <v>76</v>
      </c>
      <c r="H12" s="20" t="s">
        <v>76</v>
      </c>
      <c r="I12" s="26" t="s">
        <v>76</v>
      </c>
    </row>
    <row r="13" spans="1:9">
      <c r="A13" s="9" t="s">
        <v>268</v>
      </c>
      <c r="B13" s="20" t="s">
        <v>76</v>
      </c>
      <c r="C13" s="20" t="s">
        <v>76</v>
      </c>
      <c r="D13" s="20" t="s">
        <v>76</v>
      </c>
      <c r="E13" s="20" t="s">
        <v>76</v>
      </c>
      <c r="F13" s="20" t="s">
        <v>76</v>
      </c>
      <c r="G13" s="20" t="s">
        <v>76</v>
      </c>
      <c r="H13" s="20" t="s">
        <v>76</v>
      </c>
      <c r="I13" s="26" t="s">
        <v>76</v>
      </c>
    </row>
    <row r="14" spans="1:9">
      <c r="A14" s="9" t="s">
        <v>269</v>
      </c>
      <c r="B14" s="20" t="s">
        <v>76</v>
      </c>
      <c r="C14" s="15">
        <v>17.811724389764901</v>
      </c>
      <c r="D14" s="20" t="s">
        <v>76</v>
      </c>
      <c r="E14" s="20" t="s">
        <v>76</v>
      </c>
      <c r="F14" s="20" t="s">
        <v>76</v>
      </c>
      <c r="G14" s="20" t="s">
        <v>76</v>
      </c>
      <c r="H14" s="20" t="s">
        <v>76</v>
      </c>
      <c r="I14" s="26" t="s">
        <v>76</v>
      </c>
    </row>
    <row r="15" spans="1:9">
      <c r="A15" s="9" t="s">
        <v>270</v>
      </c>
      <c r="B15" s="20" t="s">
        <v>76</v>
      </c>
      <c r="C15" s="15">
        <v>20.108493569278501</v>
      </c>
      <c r="D15" s="20" t="s">
        <v>76</v>
      </c>
      <c r="E15" s="20" t="s">
        <v>76</v>
      </c>
      <c r="F15" s="20" t="s">
        <v>76</v>
      </c>
      <c r="G15" s="20" t="s">
        <v>76</v>
      </c>
      <c r="H15" s="20" t="s">
        <v>76</v>
      </c>
      <c r="I15" s="26" t="s">
        <v>76</v>
      </c>
    </row>
    <row r="16" spans="1:9">
      <c r="A16" s="9" t="s">
        <v>271</v>
      </c>
      <c r="B16" s="20" t="s">
        <v>76</v>
      </c>
      <c r="C16" s="20" t="s">
        <v>76</v>
      </c>
      <c r="D16" s="20" t="s">
        <v>76</v>
      </c>
      <c r="E16" s="20" t="s">
        <v>76</v>
      </c>
      <c r="F16" s="20" t="s">
        <v>76</v>
      </c>
      <c r="G16" s="20" t="s">
        <v>76</v>
      </c>
      <c r="H16" s="20" t="s">
        <v>76</v>
      </c>
      <c r="I16" s="26" t="s">
        <v>76</v>
      </c>
    </row>
    <row r="17" spans="1:9">
      <c r="A17" s="9" t="s">
        <v>272</v>
      </c>
      <c r="B17" s="20" t="s">
        <v>76</v>
      </c>
      <c r="C17" s="15">
        <v>33.665335366095903</v>
      </c>
      <c r="D17" s="15">
        <v>9.0037014994051408</v>
      </c>
      <c r="E17" s="20" t="s">
        <v>76</v>
      </c>
      <c r="F17" s="20" t="s">
        <v>76</v>
      </c>
      <c r="G17" s="20" t="s">
        <v>76</v>
      </c>
      <c r="H17" s="20" t="s">
        <v>76</v>
      </c>
      <c r="I17" s="24">
        <v>9.7197544983974407</v>
      </c>
    </row>
    <row r="18" spans="1:9">
      <c r="A18" s="9" t="s">
        <v>273</v>
      </c>
      <c r="B18" s="20" t="s">
        <v>76</v>
      </c>
      <c r="C18" s="15">
        <v>17.802446173210001</v>
      </c>
      <c r="D18" s="20" t="s">
        <v>76</v>
      </c>
      <c r="E18" s="20" t="s">
        <v>76</v>
      </c>
      <c r="F18" s="20" t="s">
        <v>76</v>
      </c>
      <c r="G18" s="20" t="s">
        <v>76</v>
      </c>
      <c r="H18" s="20" t="s">
        <v>76</v>
      </c>
      <c r="I18" s="26" t="s">
        <v>76</v>
      </c>
    </row>
    <row r="19" spans="1:9">
      <c r="A19" s="9" t="s">
        <v>274</v>
      </c>
      <c r="B19" s="20" t="s">
        <v>76</v>
      </c>
      <c r="C19" s="15">
        <v>25.659419370569399</v>
      </c>
      <c r="D19" s="15">
        <v>9.6148195029647905</v>
      </c>
      <c r="E19" s="20" t="s">
        <v>76</v>
      </c>
      <c r="F19" s="20" t="s">
        <v>76</v>
      </c>
      <c r="G19" s="20" t="s">
        <v>76</v>
      </c>
      <c r="H19" s="20" t="s">
        <v>76</v>
      </c>
      <c r="I19" s="26" t="s">
        <v>76</v>
      </c>
    </row>
    <row r="20" spans="1:9">
      <c r="A20" s="9" t="s">
        <v>275</v>
      </c>
      <c r="B20" s="20" t="s">
        <v>76</v>
      </c>
      <c r="C20" s="20" t="s">
        <v>76</v>
      </c>
      <c r="D20" s="20" t="s">
        <v>76</v>
      </c>
      <c r="E20" s="20" t="s">
        <v>76</v>
      </c>
      <c r="F20" s="20" t="s">
        <v>76</v>
      </c>
      <c r="G20" s="20" t="s">
        <v>76</v>
      </c>
      <c r="H20" s="20" t="s">
        <v>76</v>
      </c>
      <c r="I20" s="26" t="s">
        <v>76</v>
      </c>
    </row>
    <row r="21" spans="1:9">
      <c r="A21" s="9" t="s">
        <v>276</v>
      </c>
      <c r="B21" s="20" t="s">
        <v>76</v>
      </c>
      <c r="C21" s="15">
        <v>9.8200688742406808</v>
      </c>
      <c r="D21" s="20" t="s">
        <v>76</v>
      </c>
      <c r="E21" s="20" t="s">
        <v>76</v>
      </c>
      <c r="F21" s="20" t="s">
        <v>76</v>
      </c>
      <c r="G21" s="20" t="s">
        <v>76</v>
      </c>
      <c r="H21" s="20" t="s">
        <v>76</v>
      </c>
      <c r="I21" s="26" t="s">
        <v>76</v>
      </c>
    </row>
    <row r="22" spans="1:9">
      <c r="A22" s="9" t="s">
        <v>277</v>
      </c>
      <c r="B22" s="20" t="s">
        <v>76</v>
      </c>
      <c r="C22" s="15">
        <v>12.9579460454538</v>
      </c>
      <c r="D22" s="20" t="s">
        <v>76</v>
      </c>
      <c r="E22" s="20" t="s">
        <v>76</v>
      </c>
      <c r="F22" s="20" t="s">
        <v>76</v>
      </c>
      <c r="G22" s="20" t="s">
        <v>76</v>
      </c>
      <c r="H22" s="20" t="s">
        <v>76</v>
      </c>
      <c r="I22" s="26" t="s">
        <v>76</v>
      </c>
    </row>
    <row r="23" spans="1:9">
      <c r="A23" s="9" t="s">
        <v>278</v>
      </c>
      <c r="B23" s="20" t="s">
        <v>76</v>
      </c>
      <c r="C23" s="15">
        <v>11.7929850869716</v>
      </c>
      <c r="D23" s="20" t="s">
        <v>76</v>
      </c>
      <c r="E23" s="20" t="s">
        <v>76</v>
      </c>
      <c r="F23" s="20" t="s">
        <v>76</v>
      </c>
      <c r="G23" s="20" t="s">
        <v>76</v>
      </c>
      <c r="H23" s="20" t="s">
        <v>76</v>
      </c>
      <c r="I23" s="26" t="s">
        <v>76</v>
      </c>
    </row>
    <row r="24" spans="1:9">
      <c r="A24" s="9" t="s">
        <v>279</v>
      </c>
      <c r="B24" s="20" t="s">
        <v>76</v>
      </c>
      <c r="C24" s="15">
        <v>35.2961144137929</v>
      </c>
      <c r="D24" s="15">
        <v>10.4554412701921</v>
      </c>
      <c r="E24" s="20" t="s">
        <v>76</v>
      </c>
      <c r="F24" s="20" t="s">
        <v>76</v>
      </c>
      <c r="G24" s="20" t="s">
        <v>76</v>
      </c>
      <c r="H24" s="20" t="s">
        <v>76</v>
      </c>
      <c r="I24" s="24">
        <v>9.7671015465789797</v>
      </c>
    </row>
    <row r="25" spans="1:9">
      <c r="A25" s="9" t="s">
        <v>280</v>
      </c>
      <c r="B25" s="20" t="s">
        <v>76</v>
      </c>
      <c r="C25" s="20" t="s">
        <v>76</v>
      </c>
      <c r="D25" s="20" t="s">
        <v>76</v>
      </c>
      <c r="E25" s="20" t="s">
        <v>76</v>
      </c>
      <c r="F25" s="20" t="s">
        <v>76</v>
      </c>
      <c r="G25" s="20" t="s">
        <v>76</v>
      </c>
      <c r="H25" s="20" t="s">
        <v>76</v>
      </c>
      <c r="I25" s="26" t="s">
        <v>76</v>
      </c>
    </row>
    <row r="26" spans="1:9">
      <c r="A26" s="9" t="s">
        <v>281</v>
      </c>
      <c r="B26" s="20" t="s">
        <v>76</v>
      </c>
      <c r="C26" s="15">
        <v>18.333949450859102</v>
      </c>
      <c r="D26" s="20" t="s">
        <v>76</v>
      </c>
      <c r="E26" s="20" t="s">
        <v>76</v>
      </c>
      <c r="F26" s="20" t="s">
        <v>76</v>
      </c>
      <c r="G26" s="20" t="s">
        <v>76</v>
      </c>
      <c r="H26" s="20" t="s">
        <v>76</v>
      </c>
      <c r="I26" s="26" t="s">
        <v>76</v>
      </c>
    </row>
    <row r="27" spans="1:9">
      <c r="A27" s="9" t="s">
        <v>282</v>
      </c>
      <c r="B27" s="20" t="s">
        <v>76</v>
      </c>
      <c r="C27" s="15">
        <v>7.8790787721609297</v>
      </c>
      <c r="D27" s="20" t="s">
        <v>76</v>
      </c>
      <c r="E27" s="20" t="s">
        <v>76</v>
      </c>
      <c r="F27" s="20" t="s">
        <v>76</v>
      </c>
      <c r="G27" s="20" t="s">
        <v>76</v>
      </c>
      <c r="H27" s="20" t="s">
        <v>76</v>
      </c>
      <c r="I27" s="26" t="s">
        <v>76</v>
      </c>
    </row>
    <row r="28" spans="1:9">
      <c r="A28" s="9" t="s">
        <v>283</v>
      </c>
      <c r="B28" s="20" t="s">
        <v>76</v>
      </c>
      <c r="C28" s="15">
        <v>10.1104470128993</v>
      </c>
      <c r="D28" s="20" t="s">
        <v>76</v>
      </c>
      <c r="E28" s="20" t="s">
        <v>76</v>
      </c>
      <c r="F28" s="20" t="s">
        <v>76</v>
      </c>
      <c r="G28" s="20" t="s">
        <v>76</v>
      </c>
      <c r="H28" s="20" t="s">
        <v>76</v>
      </c>
      <c r="I28" s="26" t="s">
        <v>76</v>
      </c>
    </row>
    <row r="29" spans="1:9">
      <c r="A29" s="9" t="s">
        <v>284</v>
      </c>
      <c r="B29" s="20" t="s">
        <v>76</v>
      </c>
      <c r="C29" s="20" t="s">
        <v>76</v>
      </c>
      <c r="D29" s="20" t="s">
        <v>76</v>
      </c>
      <c r="E29" s="20" t="s">
        <v>76</v>
      </c>
      <c r="F29" s="20" t="s">
        <v>76</v>
      </c>
      <c r="G29" s="20" t="s">
        <v>76</v>
      </c>
      <c r="H29" s="20" t="s">
        <v>76</v>
      </c>
      <c r="I29" s="26" t="s">
        <v>76</v>
      </c>
    </row>
    <row r="30" spans="1:9">
      <c r="A30" s="9" t="s">
        <v>285</v>
      </c>
      <c r="B30" s="20" t="s">
        <v>76</v>
      </c>
      <c r="C30" s="20" t="s">
        <v>76</v>
      </c>
      <c r="D30" s="20" t="s">
        <v>76</v>
      </c>
      <c r="E30" s="20" t="s">
        <v>76</v>
      </c>
      <c r="F30" s="20" t="s">
        <v>76</v>
      </c>
      <c r="G30" s="20" t="s">
        <v>76</v>
      </c>
      <c r="H30" s="20" t="s">
        <v>76</v>
      </c>
      <c r="I30" s="26" t="s">
        <v>76</v>
      </c>
    </row>
    <row r="31" spans="1:9">
      <c r="A31" s="9" t="s">
        <v>286</v>
      </c>
      <c r="B31" s="20" t="s">
        <v>76</v>
      </c>
      <c r="C31" s="15">
        <v>10.090034227146999</v>
      </c>
      <c r="D31" s="20" t="s">
        <v>76</v>
      </c>
      <c r="E31" s="20" t="s">
        <v>76</v>
      </c>
      <c r="F31" s="20" t="s">
        <v>76</v>
      </c>
      <c r="G31" s="20" t="s">
        <v>76</v>
      </c>
      <c r="H31" s="20" t="s">
        <v>76</v>
      </c>
      <c r="I31" s="26" t="s">
        <v>76</v>
      </c>
    </row>
    <row r="32" spans="1:9">
      <c r="A32" s="9" t="s">
        <v>287</v>
      </c>
      <c r="B32" s="20" t="s">
        <v>76</v>
      </c>
      <c r="C32" s="20" t="s">
        <v>76</v>
      </c>
      <c r="D32" s="20" t="s">
        <v>76</v>
      </c>
      <c r="E32" s="20" t="s">
        <v>76</v>
      </c>
      <c r="F32" s="20" t="s">
        <v>76</v>
      </c>
      <c r="G32" s="20" t="s">
        <v>76</v>
      </c>
      <c r="H32" s="20" t="s">
        <v>76</v>
      </c>
      <c r="I32" s="26" t="s">
        <v>76</v>
      </c>
    </row>
    <row r="33" spans="1:9">
      <c r="A33" s="9" t="s">
        <v>288</v>
      </c>
      <c r="B33" s="20" t="s">
        <v>76</v>
      </c>
      <c r="C33" s="20" t="s">
        <v>76</v>
      </c>
      <c r="D33" s="20" t="s">
        <v>76</v>
      </c>
      <c r="E33" s="20" t="s">
        <v>76</v>
      </c>
      <c r="F33" s="20" t="s">
        <v>76</v>
      </c>
      <c r="G33" s="20" t="s">
        <v>76</v>
      </c>
      <c r="H33" s="20" t="s">
        <v>76</v>
      </c>
      <c r="I33" s="26" t="s">
        <v>76</v>
      </c>
    </row>
    <row r="34" spans="1:9">
      <c r="A34" s="9" t="s">
        <v>289</v>
      </c>
      <c r="B34" s="20" t="s">
        <v>76</v>
      </c>
      <c r="C34" s="15">
        <v>15.983693029323399</v>
      </c>
      <c r="D34" s="20" t="s">
        <v>76</v>
      </c>
      <c r="E34" s="20" t="s">
        <v>76</v>
      </c>
      <c r="F34" s="20" t="s">
        <v>76</v>
      </c>
      <c r="G34" s="20" t="s">
        <v>76</v>
      </c>
      <c r="H34" s="20" t="s">
        <v>76</v>
      </c>
      <c r="I34" s="26" t="s">
        <v>76</v>
      </c>
    </row>
    <row r="35" spans="1:9">
      <c r="A35" s="9" t="s">
        <v>290</v>
      </c>
      <c r="B35" s="20" t="s">
        <v>76</v>
      </c>
      <c r="C35" s="15">
        <v>15.2273979681963</v>
      </c>
      <c r="D35" s="20" t="s">
        <v>76</v>
      </c>
      <c r="E35" s="20" t="s">
        <v>76</v>
      </c>
      <c r="F35" s="20" t="s">
        <v>76</v>
      </c>
      <c r="G35" s="20" t="s">
        <v>76</v>
      </c>
      <c r="H35" s="20" t="s">
        <v>76</v>
      </c>
      <c r="I35" s="26" t="s">
        <v>76</v>
      </c>
    </row>
    <row r="36" spans="1:9">
      <c r="A36" s="9" t="s">
        <v>291</v>
      </c>
      <c r="B36" s="20" t="s">
        <v>76</v>
      </c>
      <c r="C36" s="15">
        <v>15.3573679244689</v>
      </c>
      <c r="D36" s="20" t="s">
        <v>76</v>
      </c>
      <c r="E36" s="20" t="s">
        <v>76</v>
      </c>
      <c r="F36" s="20" t="s">
        <v>76</v>
      </c>
      <c r="G36" s="20" t="s">
        <v>76</v>
      </c>
      <c r="H36" s="20" t="s">
        <v>76</v>
      </c>
      <c r="I36" s="26" t="s">
        <v>76</v>
      </c>
    </row>
    <row r="37" spans="1:9">
      <c r="A37" s="9" t="s">
        <v>292</v>
      </c>
      <c r="B37" s="20" t="s">
        <v>76</v>
      </c>
      <c r="C37" s="15">
        <v>10.156688048245501</v>
      </c>
      <c r="D37" s="20" t="s">
        <v>76</v>
      </c>
      <c r="E37" s="20" t="s">
        <v>76</v>
      </c>
      <c r="F37" s="20" t="s">
        <v>76</v>
      </c>
      <c r="G37" s="20" t="s">
        <v>76</v>
      </c>
      <c r="H37" s="20" t="s">
        <v>76</v>
      </c>
      <c r="I37" s="26" t="s">
        <v>76</v>
      </c>
    </row>
    <row r="38" spans="1:9">
      <c r="A38" s="9" t="s">
        <v>293</v>
      </c>
      <c r="B38" s="20" t="s">
        <v>76</v>
      </c>
      <c r="C38" s="15">
        <v>20.443525788098299</v>
      </c>
      <c r="D38" s="20" t="s">
        <v>76</v>
      </c>
      <c r="E38" s="20" t="s">
        <v>76</v>
      </c>
      <c r="F38" s="20" t="s">
        <v>76</v>
      </c>
      <c r="G38" s="20" t="s">
        <v>76</v>
      </c>
      <c r="H38" s="20" t="s">
        <v>76</v>
      </c>
      <c r="I38" s="26" t="s">
        <v>76</v>
      </c>
    </row>
    <row r="39" spans="1:9">
      <c r="A39" s="9" t="s">
        <v>294</v>
      </c>
      <c r="B39" s="20" t="s">
        <v>76</v>
      </c>
      <c r="C39" s="15">
        <v>25.6067256392144</v>
      </c>
      <c r="D39" s="20" t="s">
        <v>76</v>
      </c>
      <c r="E39" s="20" t="s">
        <v>76</v>
      </c>
      <c r="F39" s="20" t="s">
        <v>76</v>
      </c>
      <c r="G39" s="20" t="s">
        <v>76</v>
      </c>
      <c r="H39" s="20" t="s">
        <v>76</v>
      </c>
      <c r="I39" s="26" t="s">
        <v>76</v>
      </c>
    </row>
    <row r="40" spans="1:9">
      <c r="A40" s="9" t="s">
        <v>295</v>
      </c>
      <c r="B40" s="20" t="s">
        <v>76</v>
      </c>
      <c r="C40" s="20" t="s">
        <v>76</v>
      </c>
      <c r="D40" s="20" t="s">
        <v>76</v>
      </c>
      <c r="E40" s="20" t="s">
        <v>76</v>
      </c>
      <c r="F40" s="20" t="s">
        <v>76</v>
      </c>
      <c r="G40" s="20" t="s">
        <v>76</v>
      </c>
      <c r="H40" s="20" t="s">
        <v>76</v>
      </c>
      <c r="I40" s="26" t="s">
        <v>76</v>
      </c>
    </row>
    <row r="41" spans="1:9">
      <c r="A41" s="9" t="s">
        <v>296</v>
      </c>
      <c r="B41" s="20" t="s">
        <v>76</v>
      </c>
      <c r="C41" s="15">
        <v>21.890061352784802</v>
      </c>
      <c r="D41" s="20" t="s">
        <v>76</v>
      </c>
      <c r="E41" s="20" t="s">
        <v>76</v>
      </c>
      <c r="F41" s="20" t="s">
        <v>76</v>
      </c>
      <c r="G41" s="20" t="s">
        <v>76</v>
      </c>
      <c r="H41" s="20" t="s">
        <v>76</v>
      </c>
      <c r="I41" s="26" t="s">
        <v>76</v>
      </c>
    </row>
    <row r="42" spans="1:9">
      <c r="A42" s="9" t="s">
        <v>297</v>
      </c>
      <c r="B42" s="20" t="s">
        <v>76</v>
      </c>
      <c r="C42" s="20" t="s">
        <v>76</v>
      </c>
      <c r="D42" s="20" t="s">
        <v>76</v>
      </c>
      <c r="E42" s="20" t="s">
        <v>76</v>
      </c>
      <c r="F42" s="20" t="s">
        <v>76</v>
      </c>
      <c r="G42" s="20" t="s">
        <v>76</v>
      </c>
      <c r="H42" s="20" t="s">
        <v>76</v>
      </c>
      <c r="I42" s="26" t="s">
        <v>76</v>
      </c>
    </row>
    <row r="43" spans="1:9">
      <c r="A43" s="9" t="s">
        <v>298</v>
      </c>
      <c r="B43" s="20" t="s">
        <v>76</v>
      </c>
      <c r="C43" s="15">
        <v>26.525495093855199</v>
      </c>
      <c r="D43" s="20" t="s">
        <v>76</v>
      </c>
      <c r="E43" s="20" t="s">
        <v>76</v>
      </c>
      <c r="F43" s="20" t="s">
        <v>76</v>
      </c>
      <c r="G43" s="20" t="s">
        <v>76</v>
      </c>
      <c r="H43" s="20" t="s">
        <v>76</v>
      </c>
      <c r="I43" s="26" t="s">
        <v>76</v>
      </c>
    </row>
    <row r="44" spans="1:9">
      <c r="A44" s="9" t="s">
        <v>299</v>
      </c>
      <c r="B44" s="20" t="s">
        <v>76</v>
      </c>
      <c r="C44" s="15">
        <v>39.0082114477107</v>
      </c>
      <c r="D44" s="15">
        <v>10.573602431047201</v>
      </c>
      <c r="E44" s="20" t="s">
        <v>76</v>
      </c>
      <c r="F44" s="20" t="s">
        <v>76</v>
      </c>
      <c r="G44" s="20" t="s">
        <v>76</v>
      </c>
      <c r="H44" s="20" t="s">
        <v>76</v>
      </c>
      <c r="I44" s="24">
        <v>10.9308748884576</v>
      </c>
    </row>
    <row r="45" spans="1:9">
      <c r="A45" s="9" t="s">
        <v>300</v>
      </c>
      <c r="B45" s="20" t="s">
        <v>76</v>
      </c>
      <c r="C45" s="20" t="s">
        <v>76</v>
      </c>
      <c r="D45" s="20" t="s">
        <v>76</v>
      </c>
      <c r="E45" s="20" t="s">
        <v>76</v>
      </c>
      <c r="F45" s="20" t="s">
        <v>76</v>
      </c>
      <c r="G45" s="20" t="s">
        <v>76</v>
      </c>
      <c r="H45" s="20" t="s">
        <v>76</v>
      </c>
      <c r="I45" s="26" t="s">
        <v>76</v>
      </c>
    </row>
    <row r="46" spans="1:9">
      <c r="A46" s="9" t="s">
        <v>301</v>
      </c>
      <c r="B46" s="20" t="s">
        <v>76</v>
      </c>
      <c r="C46" s="15">
        <v>12.719247716999201</v>
      </c>
      <c r="D46" s="20" t="s">
        <v>76</v>
      </c>
      <c r="E46" s="20" t="s">
        <v>76</v>
      </c>
      <c r="F46" s="20" t="s">
        <v>76</v>
      </c>
      <c r="G46" s="20" t="s">
        <v>76</v>
      </c>
      <c r="H46" s="20" t="s">
        <v>76</v>
      </c>
      <c r="I46" s="26" t="s">
        <v>76</v>
      </c>
    </row>
    <row r="47" spans="1:9">
      <c r="A47" s="9" t="s">
        <v>302</v>
      </c>
      <c r="B47" s="20" t="s">
        <v>76</v>
      </c>
      <c r="C47" s="20" t="s">
        <v>76</v>
      </c>
      <c r="D47" s="20" t="s">
        <v>76</v>
      </c>
      <c r="E47" s="20" t="s">
        <v>76</v>
      </c>
      <c r="F47" s="20" t="s">
        <v>76</v>
      </c>
      <c r="G47" s="20" t="s">
        <v>76</v>
      </c>
      <c r="H47" s="20" t="s">
        <v>76</v>
      </c>
      <c r="I47" s="26" t="s">
        <v>76</v>
      </c>
    </row>
    <row r="48" spans="1:9">
      <c r="A48" s="9" t="s">
        <v>303</v>
      </c>
      <c r="B48" s="20" t="s">
        <v>76</v>
      </c>
      <c r="C48" s="20" t="s">
        <v>76</v>
      </c>
      <c r="D48" s="20" t="s">
        <v>76</v>
      </c>
      <c r="E48" s="20" t="s">
        <v>76</v>
      </c>
      <c r="F48" s="20" t="s">
        <v>76</v>
      </c>
      <c r="G48" s="20" t="s">
        <v>76</v>
      </c>
      <c r="H48" s="20" t="s">
        <v>76</v>
      </c>
      <c r="I48" s="26" t="s">
        <v>76</v>
      </c>
    </row>
    <row r="49" spans="1:9">
      <c r="A49" s="9" t="s">
        <v>304</v>
      </c>
      <c r="B49" s="20" t="s">
        <v>76</v>
      </c>
      <c r="C49" s="20" t="s">
        <v>76</v>
      </c>
      <c r="D49" s="20" t="s">
        <v>76</v>
      </c>
      <c r="E49" s="20" t="s">
        <v>76</v>
      </c>
      <c r="F49" s="20" t="s">
        <v>76</v>
      </c>
      <c r="G49" s="20" t="s">
        <v>76</v>
      </c>
      <c r="H49" s="20" t="s">
        <v>76</v>
      </c>
      <c r="I49" s="26" t="s">
        <v>76</v>
      </c>
    </row>
    <row r="50" spans="1:9">
      <c r="A50" s="9" t="s">
        <v>305</v>
      </c>
      <c r="B50" s="20" t="s">
        <v>76</v>
      </c>
      <c r="C50" s="15">
        <v>32.598118606658602</v>
      </c>
      <c r="D50" s="15">
        <v>10.6996143302558</v>
      </c>
      <c r="E50" s="20" t="s">
        <v>76</v>
      </c>
      <c r="F50" s="20" t="s">
        <v>76</v>
      </c>
      <c r="G50" s="20" t="s">
        <v>76</v>
      </c>
      <c r="H50" s="20" t="s">
        <v>76</v>
      </c>
      <c r="I50" s="26" t="s">
        <v>76</v>
      </c>
    </row>
    <row r="51" spans="1:9">
      <c r="A51" s="9" t="s">
        <v>306</v>
      </c>
      <c r="B51" s="20" t="s">
        <v>76</v>
      </c>
      <c r="C51" s="15">
        <v>21.148523240909402</v>
      </c>
      <c r="D51" s="20" t="s">
        <v>76</v>
      </c>
      <c r="E51" s="20" t="s">
        <v>76</v>
      </c>
      <c r="F51" s="20" t="s">
        <v>76</v>
      </c>
      <c r="G51" s="20" t="s">
        <v>76</v>
      </c>
      <c r="H51" s="20" t="s">
        <v>76</v>
      </c>
      <c r="I51" s="26" t="s">
        <v>76</v>
      </c>
    </row>
    <row r="52" spans="1:9">
      <c r="A52" s="9" t="s">
        <v>307</v>
      </c>
      <c r="B52" s="20" t="s">
        <v>76</v>
      </c>
      <c r="C52" s="15">
        <v>13.3690356009164</v>
      </c>
      <c r="D52" s="20" t="s">
        <v>76</v>
      </c>
      <c r="E52" s="20" t="s">
        <v>76</v>
      </c>
      <c r="F52" s="20" t="s">
        <v>76</v>
      </c>
      <c r="G52" s="20" t="s">
        <v>76</v>
      </c>
      <c r="H52" s="20" t="s">
        <v>76</v>
      </c>
      <c r="I52" s="26" t="s">
        <v>76</v>
      </c>
    </row>
    <row r="53" spans="1:9">
      <c r="A53" s="9" t="s">
        <v>308</v>
      </c>
      <c r="B53" s="20" t="s">
        <v>76</v>
      </c>
      <c r="C53" s="15">
        <v>22.147365879329499</v>
      </c>
      <c r="D53" s="20" t="s">
        <v>76</v>
      </c>
      <c r="E53" s="20" t="s">
        <v>76</v>
      </c>
      <c r="F53" s="20" t="s">
        <v>76</v>
      </c>
      <c r="G53" s="20" t="s">
        <v>76</v>
      </c>
      <c r="H53" s="20" t="s">
        <v>76</v>
      </c>
      <c r="I53" s="26" t="s">
        <v>76</v>
      </c>
    </row>
    <row r="54" spans="1:9">
      <c r="A54" s="9" t="s">
        <v>309</v>
      </c>
      <c r="B54" s="20" t="s">
        <v>76</v>
      </c>
      <c r="C54" s="15">
        <v>25.9727991395511</v>
      </c>
      <c r="D54" s="20" t="s">
        <v>76</v>
      </c>
      <c r="E54" s="20" t="s">
        <v>76</v>
      </c>
      <c r="F54" s="20" t="s">
        <v>76</v>
      </c>
      <c r="G54" s="20" t="s">
        <v>76</v>
      </c>
      <c r="H54" s="20" t="s">
        <v>76</v>
      </c>
      <c r="I54" s="26" t="s">
        <v>76</v>
      </c>
    </row>
    <row r="55" spans="1:9">
      <c r="A55" s="9" t="s">
        <v>310</v>
      </c>
      <c r="B55" s="20" t="s">
        <v>76</v>
      </c>
      <c r="C55" s="20" t="s">
        <v>76</v>
      </c>
      <c r="D55" s="20" t="s">
        <v>76</v>
      </c>
      <c r="E55" s="20" t="s">
        <v>76</v>
      </c>
      <c r="F55" s="20" t="s">
        <v>76</v>
      </c>
      <c r="G55" s="20" t="s">
        <v>76</v>
      </c>
      <c r="H55" s="20" t="s">
        <v>76</v>
      </c>
      <c r="I55" s="26" t="s">
        <v>76</v>
      </c>
    </row>
    <row r="56" spans="1:9">
      <c r="A56" s="9" t="s">
        <v>311</v>
      </c>
      <c r="B56" s="20" t="s">
        <v>76</v>
      </c>
      <c r="C56" s="20" t="s">
        <v>76</v>
      </c>
      <c r="D56" s="20" t="s">
        <v>76</v>
      </c>
      <c r="E56" s="20" t="s">
        <v>76</v>
      </c>
      <c r="F56" s="20" t="s">
        <v>76</v>
      </c>
      <c r="G56" s="20" t="s">
        <v>76</v>
      </c>
      <c r="H56" s="20" t="s">
        <v>76</v>
      </c>
      <c r="I56" s="26" t="s">
        <v>76</v>
      </c>
    </row>
    <row r="57" spans="1:9">
      <c r="A57" s="9" t="s">
        <v>312</v>
      </c>
      <c r="B57" s="20" t="s">
        <v>76</v>
      </c>
      <c r="C57" s="20" t="s">
        <v>76</v>
      </c>
      <c r="D57" s="20" t="s">
        <v>76</v>
      </c>
      <c r="E57" s="20" t="s">
        <v>76</v>
      </c>
      <c r="F57" s="20" t="s">
        <v>76</v>
      </c>
      <c r="G57" s="20" t="s">
        <v>76</v>
      </c>
      <c r="H57" s="20" t="s">
        <v>76</v>
      </c>
      <c r="I57" s="26" t="s">
        <v>76</v>
      </c>
    </row>
    <row r="58" spans="1:9">
      <c r="A58" s="9" t="s">
        <v>313</v>
      </c>
      <c r="B58" s="20" t="s">
        <v>76</v>
      </c>
      <c r="C58" s="15">
        <v>22.1618726701961</v>
      </c>
      <c r="D58" s="20" t="s">
        <v>76</v>
      </c>
      <c r="E58" s="20" t="s">
        <v>76</v>
      </c>
      <c r="F58" s="20" t="s">
        <v>76</v>
      </c>
      <c r="G58" s="20" t="s">
        <v>76</v>
      </c>
      <c r="H58" s="20" t="s">
        <v>76</v>
      </c>
      <c r="I58" s="26" t="s">
        <v>76</v>
      </c>
    </row>
    <row r="59" spans="1:9">
      <c r="A59" s="9" t="s">
        <v>314</v>
      </c>
      <c r="B59" s="20" t="s">
        <v>76</v>
      </c>
      <c r="C59" s="20" t="s">
        <v>76</v>
      </c>
      <c r="D59" s="20" t="s">
        <v>76</v>
      </c>
      <c r="E59" s="20" t="s">
        <v>76</v>
      </c>
      <c r="F59" s="20" t="s">
        <v>76</v>
      </c>
      <c r="G59" s="20" t="s">
        <v>76</v>
      </c>
      <c r="H59" s="20" t="s">
        <v>76</v>
      </c>
      <c r="I59" s="26" t="s">
        <v>76</v>
      </c>
    </row>
    <row r="60" spans="1:9">
      <c r="A60" s="9" t="s">
        <v>315</v>
      </c>
      <c r="B60" s="20" t="s">
        <v>76</v>
      </c>
      <c r="C60" s="20" t="s">
        <v>76</v>
      </c>
      <c r="D60" s="20" t="s">
        <v>76</v>
      </c>
      <c r="E60" s="20" t="s">
        <v>76</v>
      </c>
      <c r="F60" s="20" t="s">
        <v>76</v>
      </c>
      <c r="G60" s="20" t="s">
        <v>76</v>
      </c>
      <c r="H60" s="20" t="s">
        <v>76</v>
      </c>
      <c r="I60" s="26" t="s">
        <v>76</v>
      </c>
    </row>
    <row r="61" spans="1:9">
      <c r="A61" s="9" t="s">
        <v>316</v>
      </c>
      <c r="B61" s="20" t="s">
        <v>76</v>
      </c>
      <c r="C61" s="20" t="s">
        <v>76</v>
      </c>
      <c r="D61" s="20" t="s">
        <v>76</v>
      </c>
      <c r="E61" s="20" t="s">
        <v>76</v>
      </c>
      <c r="F61" s="20" t="s">
        <v>76</v>
      </c>
      <c r="G61" s="20" t="s">
        <v>76</v>
      </c>
      <c r="H61" s="20" t="s">
        <v>76</v>
      </c>
      <c r="I61" s="26" t="s">
        <v>76</v>
      </c>
    </row>
    <row r="62" spans="1:9">
      <c r="A62" s="9" t="s">
        <v>317</v>
      </c>
      <c r="B62" s="20" t="s">
        <v>76</v>
      </c>
      <c r="C62" s="20" t="s">
        <v>76</v>
      </c>
      <c r="D62" s="20" t="s">
        <v>76</v>
      </c>
      <c r="E62" s="20" t="s">
        <v>76</v>
      </c>
      <c r="F62" s="20" t="s">
        <v>76</v>
      </c>
      <c r="G62" s="20" t="s">
        <v>76</v>
      </c>
      <c r="H62" s="20" t="s">
        <v>76</v>
      </c>
      <c r="I62" s="26" t="s">
        <v>76</v>
      </c>
    </row>
    <row r="63" spans="1:9">
      <c r="A63" s="9" t="s">
        <v>318</v>
      </c>
      <c r="B63" s="20" t="s">
        <v>76</v>
      </c>
      <c r="C63" s="15">
        <v>8.3261742427036705</v>
      </c>
      <c r="D63" s="20" t="s">
        <v>76</v>
      </c>
      <c r="E63" s="20" t="s">
        <v>76</v>
      </c>
      <c r="F63" s="20" t="s">
        <v>76</v>
      </c>
      <c r="G63" s="20" t="s">
        <v>76</v>
      </c>
      <c r="H63" s="20" t="s">
        <v>76</v>
      </c>
      <c r="I63" s="26" t="s">
        <v>76</v>
      </c>
    </row>
    <row r="64" spans="1:9">
      <c r="A64" s="11" t="s">
        <v>319</v>
      </c>
      <c r="B64" s="28" t="s">
        <v>76</v>
      </c>
      <c r="C64" s="28" t="s">
        <v>76</v>
      </c>
      <c r="D64" s="28" t="s">
        <v>76</v>
      </c>
      <c r="E64" s="28" t="s">
        <v>76</v>
      </c>
      <c r="F64" s="28" t="s">
        <v>76</v>
      </c>
      <c r="G64" s="28" t="s">
        <v>76</v>
      </c>
      <c r="H64" s="28" t="s">
        <v>76</v>
      </c>
      <c r="I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70"/>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351</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9" t="s">
        <v>258</v>
      </c>
      <c r="B3" s="15">
        <v>34.168519618390597</v>
      </c>
      <c r="C3" s="15">
        <v>37.571720742410299</v>
      </c>
      <c r="D3" s="24">
        <v>31.420194219659098</v>
      </c>
      <c r="E3" s="15">
        <v>34.176379073413798</v>
      </c>
      <c r="F3" s="15">
        <v>41.852662786561403</v>
      </c>
      <c r="G3" s="24">
        <v>27.932655457370299</v>
      </c>
      <c r="H3" s="15">
        <v>33.6422405399965</v>
      </c>
      <c r="I3" s="15">
        <v>33.058282567990503</v>
      </c>
      <c r="J3" s="24">
        <v>34.124136233811903</v>
      </c>
      <c r="K3" s="15">
        <v>44.9293840209195</v>
      </c>
      <c r="L3" s="20" t="s">
        <v>76</v>
      </c>
      <c r="M3" s="24">
        <v>47.820587657134801</v>
      </c>
      <c r="N3" s="15">
        <v>41.859490341867001</v>
      </c>
      <c r="O3" s="15">
        <v>40.582386580548601</v>
      </c>
      <c r="P3" s="24">
        <v>42.736640460151499</v>
      </c>
    </row>
    <row r="4" spans="1:16">
      <c r="A4" s="9" t="s">
        <v>259</v>
      </c>
      <c r="B4" s="15">
        <v>22.666451209299701</v>
      </c>
      <c r="C4" s="15">
        <v>24.814155383512201</v>
      </c>
      <c r="D4" s="24">
        <v>20.932028318660201</v>
      </c>
      <c r="E4" s="15">
        <v>23.028335539509499</v>
      </c>
      <c r="F4" s="15">
        <v>24.669541091260399</v>
      </c>
      <c r="G4" s="24">
        <v>21.693414339984599</v>
      </c>
      <c r="H4" s="15">
        <v>22.667700961728599</v>
      </c>
      <c r="I4" s="15">
        <v>25.106837235350799</v>
      </c>
      <c r="J4" s="24">
        <v>20.654869005946601</v>
      </c>
      <c r="K4" s="20" t="s">
        <v>76</v>
      </c>
      <c r="L4" s="20" t="s">
        <v>76</v>
      </c>
      <c r="M4" s="26" t="s">
        <v>76</v>
      </c>
      <c r="N4" s="20" t="s">
        <v>76</v>
      </c>
      <c r="O4" s="20" t="s">
        <v>76</v>
      </c>
      <c r="P4" s="26" t="s">
        <v>76</v>
      </c>
    </row>
    <row r="5" spans="1:16">
      <c r="A5" s="9" t="s">
        <v>260</v>
      </c>
      <c r="B5" s="15">
        <v>24.907676646072002</v>
      </c>
      <c r="C5" s="15">
        <v>21.249868476796198</v>
      </c>
      <c r="D5" s="24">
        <v>27.8616152259447</v>
      </c>
      <c r="E5" s="15">
        <v>23.269215771758802</v>
      </c>
      <c r="F5" s="15">
        <v>22.4602548562141</v>
      </c>
      <c r="G5" s="24">
        <v>23.927207133410899</v>
      </c>
      <c r="H5" s="15">
        <v>26.5687027795652</v>
      </c>
      <c r="I5" s="15">
        <v>20.238840163357398</v>
      </c>
      <c r="J5" s="24">
        <v>31.792252561264</v>
      </c>
      <c r="K5" s="20" t="s">
        <v>76</v>
      </c>
      <c r="L5" s="20" t="s">
        <v>76</v>
      </c>
      <c r="M5" s="26" t="s">
        <v>76</v>
      </c>
      <c r="N5" s="15">
        <v>22.065311693119199</v>
      </c>
      <c r="O5" s="20" t="s">
        <v>76</v>
      </c>
      <c r="P5" s="26" t="s">
        <v>76</v>
      </c>
    </row>
    <row r="6" spans="1:16">
      <c r="A6" s="9" t="s">
        <v>261</v>
      </c>
      <c r="B6" s="15">
        <v>43.946676047063399</v>
      </c>
      <c r="C6" s="15">
        <v>52.235806195782502</v>
      </c>
      <c r="D6" s="24">
        <v>37.252617691144899</v>
      </c>
      <c r="E6" s="15">
        <v>50.246026370830201</v>
      </c>
      <c r="F6" s="15">
        <v>57.377870085398797</v>
      </c>
      <c r="G6" s="24">
        <v>44.445138507564302</v>
      </c>
      <c r="H6" s="15">
        <v>38.019111913756397</v>
      </c>
      <c r="I6" s="15">
        <v>46.954462617999297</v>
      </c>
      <c r="J6" s="24">
        <v>30.6454527918286</v>
      </c>
      <c r="K6" s="20" t="s">
        <v>76</v>
      </c>
      <c r="L6" s="20" t="s">
        <v>76</v>
      </c>
      <c r="M6" s="26" t="s">
        <v>76</v>
      </c>
      <c r="N6" s="15">
        <v>37.122166588690497</v>
      </c>
      <c r="O6" s="15">
        <v>56.714426742491902</v>
      </c>
      <c r="P6" s="26" t="s">
        <v>76</v>
      </c>
    </row>
    <row r="7" spans="1:16">
      <c r="A7" s="9" t="s">
        <v>262</v>
      </c>
      <c r="B7" s="15">
        <v>24.5750390584451</v>
      </c>
      <c r="C7" s="15">
        <v>33.010809573337703</v>
      </c>
      <c r="D7" s="24">
        <v>17.762558244332901</v>
      </c>
      <c r="E7" s="15">
        <v>31.767804206715699</v>
      </c>
      <c r="F7" s="15">
        <v>41.982114298538697</v>
      </c>
      <c r="G7" s="24">
        <v>23.459704672474299</v>
      </c>
      <c r="H7" s="15">
        <v>16.844830957509799</v>
      </c>
      <c r="I7" s="15">
        <v>23.517019597711101</v>
      </c>
      <c r="J7" s="24">
        <v>11.338785782732099</v>
      </c>
      <c r="K7" s="20" t="s">
        <v>76</v>
      </c>
      <c r="L7" s="20" t="s">
        <v>76</v>
      </c>
      <c r="M7" s="26" t="s">
        <v>76</v>
      </c>
      <c r="N7" s="15">
        <v>27.866944582725399</v>
      </c>
      <c r="O7" s="20" t="s">
        <v>76</v>
      </c>
      <c r="P7" s="26" t="s">
        <v>76</v>
      </c>
    </row>
    <row r="8" spans="1:16">
      <c r="A8" s="9" t="s">
        <v>263</v>
      </c>
      <c r="B8" s="15">
        <v>2.43721019113545</v>
      </c>
      <c r="C8" s="15">
        <v>3.5416664431193099</v>
      </c>
      <c r="D8" s="24">
        <v>1.5452837199988501</v>
      </c>
      <c r="E8" s="15">
        <v>2.82784517665075</v>
      </c>
      <c r="F8" s="15">
        <v>4.2040981384131397</v>
      </c>
      <c r="G8" s="24">
        <v>1.7084306995271401</v>
      </c>
      <c r="H8" s="15">
        <v>1.9898978646977801</v>
      </c>
      <c r="I8" s="15">
        <v>2.8133187645744102</v>
      </c>
      <c r="J8" s="26" t="s">
        <v>76</v>
      </c>
      <c r="K8" s="20" t="s">
        <v>76</v>
      </c>
      <c r="L8" s="20" t="s">
        <v>76</v>
      </c>
      <c r="M8" s="26" t="s">
        <v>76</v>
      </c>
      <c r="N8" s="20" t="s">
        <v>76</v>
      </c>
      <c r="O8" s="20" t="s">
        <v>76</v>
      </c>
      <c r="P8" s="26" t="s">
        <v>76</v>
      </c>
    </row>
    <row r="9" spans="1:16">
      <c r="A9" s="9" t="s">
        <v>264</v>
      </c>
      <c r="B9" s="15">
        <v>13.5698023524509</v>
      </c>
      <c r="C9" s="15">
        <v>20.015387747546601</v>
      </c>
      <c r="D9" s="24">
        <v>8.3645366612740695</v>
      </c>
      <c r="E9" s="15">
        <v>14.978575923120999</v>
      </c>
      <c r="F9" s="15">
        <v>22.939167544104698</v>
      </c>
      <c r="G9" s="24">
        <v>8.5036023865796899</v>
      </c>
      <c r="H9" s="15">
        <v>12.1085615982453</v>
      </c>
      <c r="I9" s="15">
        <v>16.896639448943699</v>
      </c>
      <c r="J9" s="24">
        <v>8.1573284470340806</v>
      </c>
      <c r="K9" s="20" t="s">
        <v>76</v>
      </c>
      <c r="L9" s="20" t="s">
        <v>76</v>
      </c>
      <c r="M9" s="26" t="s">
        <v>76</v>
      </c>
      <c r="N9" s="20" t="s">
        <v>76</v>
      </c>
      <c r="O9" s="20" t="s">
        <v>76</v>
      </c>
      <c r="P9" s="26" t="s">
        <v>76</v>
      </c>
    </row>
    <row r="10" spans="1:16">
      <c r="A10" s="9" t="s">
        <v>265</v>
      </c>
      <c r="B10" s="15">
        <v>29.1275362777493</v>
      </c>
      <c r="C10" s="15">
        <v>27.7464758644815</v>
      </c>
      <c r="D10" s="24">
        <v>30.242840155670802</v>
      </c>
      <c r="E10" s="15">
        <v>37.820633780869798</v>
      </c>
      <c r="F10" s="15">
        <v>37.396260629718398</v>
      </c>
      <c r="G10" s="24">
        <v>38.165809749460003</v>
      </c>
      <c r="H10" s="15">
        <v>20.4067222814496</v>
      </c>
      <c r="I10" s="15">
        <v>17.557641075938001</v>
      </c>
      <c r="J10" s="24">
        <v>22.757850325048299</v>
      </c>
      <c r="K10" s="20" t="s">
        <v>76</v>
      </c>
      <c r="L10" s="20" t="s">
        <v>76</v>
      </c>
      <c r="M10" s="26" t="s">
        <v>76</v>
      </c>
      <c r="N10" s="15">
        <v>22.937760542973699</v>
      </c>
      <c r="O10" s="20" t="s">
        <v>76</v>
      </c>
      <c r="P10" s="26" t="s">
        <v>76</v>
      </c>
    </row>
    <row r="11" spans="1:16">
      <c r="A11" s="9" t="s">
        <v>266</v>
      </c>
      <c r="B11" s="15">
        <v>27.785718715024501</v>
      </c>
      <c r="C11" s="15">
        <v>29.231141135998101</v>
      </c>
      <c r="D11" s="24">
        <v>26.618437967665798</v>
      </c>
      <c r="E11" s="15">
        <v>26.207080916174402</v>
      </c>
      <c r="F11" s="15">
        <v>29.2517051110976</v>
      </c>
      <c r="G11" s="24">
        <v>23.730649260155701</v>
      </c>
      <c r="H11" s="15">
        <v>29.6048249274913</v>
      </c>
      <c r="I11" s="15">
        <v>29.246948177616598</v>
      </c>
      <c r="J11" s="24">
        <v>29.900153141076199</v>
      </c>
      <c r="K11" s="20" t="s">
        <v>76</v>
      </c>
      <c r="L11" s="20" t="s">
        <v>76</v>
      </c>
      <c r="M11" s="26" t="s">
        <v>76</v>
      </c>
      <c r="N11" s="15">
        <v>23.362399042304499</v>
      </c>
      <c r="O11" s="20" t="s">
        <v>76</v>
      </c>
      <c r="P11" s="26" t="s">
        <v>76</v>
      </c>
    </row>
    <row r="12" spans="1:16">
      <c r="A12" s="9" t="s">
        <v>267</v>
      </c>
      <c r="B12" s="15">
        <v>16.8339912010996</v>
      </c>
      <c r="C12" s="15">
        <v>19.3160430492991</v>
      </c>
      <c r="D12" s="24">
        <v>14.8295589366562</v>
      </c>
      <c r="E12" s="15">
        <v>18.1182306307707</v>
      </c>
      <c r="F12" s="15">
        <v>22.247917741984701</v>
      </c>
      <c r="G12" s="24">
        <v>14.759232200450199</v>
      </c>
      <c r="H12" s="15">
        <v>14.9494357149116</v>
      </c>
      <c r="I12" s="15">
        <v>15.803562824781901</v>
      </c>
      <c r="J12" s="24">
        <v>14.2445901678878</v>
      </c>
      <c r="K12" s="20" t="s">
        <v>76</v>
      </c>
      <c r="L12" s="20" t="s">
        <v>76</v>
      </c>
      <c r="M12" s="26" t="s">
        <v>76</v>
      </c>
      <c r="N12" s="15">
        <v>23.874224660821898</v>
      </c>
      <c r="O12" s="20" t="s">
        <v>76</v>
      </c>
      <c r="P12" s="26" t="s">
        <v>76</v>
      </c>
    </row>
    <row r="13" spans="1:16">
      <c r="A13" s="9" t="s">
        <v>268</v>
      </c>
      <c r="B13" s="15">
        <v>12.7652533200144</v>
      </c>
      <c r="C13" s="15">
        <v>17.015667239433402</v>
      </c>
      <c r="D13" s="24">
        <v>9.3327437197403906</v>
      </c>
      <c r="E13" s="15">
        <v>2.68570741054259</v>
      </c>
      <c r="F13" s="15">
        <v>3.7865949220577502</v>
      </c>
      <c r="G13" s="24">
        <v>1.79026925177812</v>
      </c>
      <c r="H13" s="15">
        <v>23.471575075889501</v>
      </c>
      <c r="I13" s="15">
        <v>30.744758422868099</v>
      </c>
      <c r="J13" s="24">
        <v>17.469575097708798</v>
      </c>
      <c r="K13" s="20" t="s">
        <v>76</v>
      </c>
      <c r="L13" s="20" t="s">
        <v>76</v>
      </c>
      <c r="M13" s="26" t="s">
        <v>76</v>
      </c>
      <c r="N13" s="20" t="s">
        <v>76</v>
      </c>
      <c r="O13" s="20" t="s">
        <v>76</v>
      </c>
      <c r="P13" s="26" t="s">
        <v>76</v>
      </c>
    </row>
    <row r="14" spans="1:16">
      <c r="A14" s="9" t="s">
        <v>269</v>
      </c>
      <c r="B14" s="15">
        <v>30.493624695652201</v>
      </c>
      <c r="C14" s="15">
        <v>35.753253569148903</v>
      </c>
      <c r="D14" s="24">
        <v>26.2461027026356</v>
      </c>
      <c r="E14" s="15">
        <v>28.767734989803898</v>
      </c>
      <c r="F14" s="15">
        <v>34.946718020494302</v>
      </c>
      <c r="G14" s="24">
        <v>23.741883456232301</v>
      </c>
      <c r="H14" s="15">
        <v>32.075293187467501</v>
      </c>
      <c r="I14" s="15">
        <v>36.429761177901</v>
      </c>
      <c r="J14" s="24">
        <v>28.481884973108802</v>
      </c>
      <c r="K14" s="20" t="s">
        <v>76</v>
      </c>
      <c r="L14" s="20" t="s">
        <v>76</v>
      </c>
      <c r="M14" s="26" t="s">
        <v>76</v>
      </c>
      <c r="N14" s="15">
        <v>34.4607486882974</v>
      </c>
      <c r="O14" s="20" t="s">
        <v>76</v>
      </c>
      <c r="P14" s="26" t="s">
        <v>76</v>
      </c>
    </row>
    <row r="15" spans="1:16">
      <c r="A15" s="9" t="s">
        <v>270</v>
      </c>
      <c r="B15" s="15">
        <v>26.8334090677074</v>
      </c>
      <c r="C15" s="15">
        <v>32.0520302270114</v>
      </c>
      <c r="D15" s="24">
        <v>22.619003701758199</v>
      </c>
      <c r="E15" s="15">
        <v>34.137582346008102</v>
      </c>
      <c r="F15" s="15">
        <v>40.133910106656501</v>
      </c>
      <c r="G15" s="24">
        <v>29.260298669719202</v>
      </c>
      <c r="H15" s="15">
        <v>19.596808493717099</v>
      </c>
      <c r="I15" s="15">
        <v>23.608140967639301</v>
      </c>
      <c r="J15" s="24">
        <v>16.286563684481301</v>
      </c>
      <c r="K15" s="20" t="s">
        <v>76</v>
      </c>
      <c r="L15" s="20" t="s">
        <v>76</v>
      </c>
      <c r="M15" s="26" t="s">
        <v>76</v>
      </c>
      <c r="N15" s="15">
        <v>20.0238108212959</v>
      </c>
      <c r="O15" s="20" t="s">
        <v>76</v>
      </c>
      <c r="P15" s="26" t="s">
        <v>76</v>
      </c>
    </row>
    <row r="16" spans="1:16">
      <c r="A16" s="9" t="s">
        <v>271</v>
      </c>
      <c r="B16" s="15">
        <v>6.1483133675733797</v>
      </c>
      <c r="C16" s="15">
        <v>8.3569641544525908</v>
      </c>
      <c r="D16" s="24">
        <v>4.3646717803436799</v>
      </c>
      <c r="E16" s="15">
        <v>7.4484373754112099</v>
      </c>
      <c r="F16" s="15">
        <v>10.4862414500959</v>
      </c>
      <c r="G16" s="24">
        <v>4.9775530581033998</v>
      </c>
      <c r="H16" s="15">
        <v>4.8605647458131997</v>
      </c>
      <c r="I16" s="15">
        <v>6.1265170995796101</v>
      </c>
      <c r="J16" s="24">
        <v>3.8158714337932</v>
      </c>
      <c r="K16" s="20" t="s">
        <v>76</v>
      </c>
      <c r="L16" s="20" t="s">
        <v>76</v>
      </c>
      <c r="M16" s="26" t="s">
        <v>76</v>
      </c>
      <c r="N16" s="20" t="s">
        <v>76</v>
      </c>
      <c r="O16" s="20" t="s">
        <v>76</v>
      </c>
      <c r="P16" s="26" t="s">
        <v>76</v>
      </c>
    </row>
    <row r="17" spans="1:16">
      <c r="A17" s="9" t="s">
        <v>272</v>
      </c>
      <c r="B17" s="15">
        <v>49.091164143651902</v>
      </c>
      <c r="C17" s="15">
        <v>55.8619094771812</v>
      </c>
      <c r="D17" s="24">
        <v>43.623308824392403</v>
      </c>
      <c r="E17" s="15">
        <v>51.307247253105999</v>
      </c>
      <c r="F17" s="15">
        <v>58.386893820161902</v>
      </c>
      <c r="G17" s="24">
        <v>45.5488154238788</v>
      </c>
      <c r="H17" s="15">
        <v>46.905468287622703</v>
      </c>
      <c r="I17" s="15">
        <v>53.062327643425803</v>
      </c>
      <c r="J17" s="24">
        <v>41.824684818229798</v>
      </c>
      <c r="K17" s="15">
        <v>45.650207771925103</v>
      </c>
      <c r="L17" s="20" t="s">
        <v>76</v>
      </c>
      <c r="M17" s="26" t="s">
        <v>76</v>
      </c>
      <c r="N17" s="15">
        <v>47.249137118706599</v>
      </c>
      <c r="O17" s="15">
        <v>59.297378837378297</v>
      </c>
      <c r="P17" s="24">
        <v>38.974072109311997</v>
      </c>
    </row>
    <row r="18" spans="1:16">
      <c r="A18" s="9" t="s">
        <v>273</v>
      </c>
      <c r="B18" s="15">
        <v>24.177129814314799</v>
      </c>
      <c r="C18" s="15">
        <v>32.437526551361401</v>
      </c>
      <c r="D18" s="24">
        <v>17.506275718801199</v>
      </c>
      <c r="E18" s="15">
        <v>10.201263863747201</v>
      </c>
      <c r="F18" s="15">
        <v>18.017137043386899</v>
      </c>
      <c r="G18" s="24">
        <v>3.8440011862181702</v>
      </c>
      <c r="H18" s="15">
        <v>38.810806195190303</v>
      </c>
      <c r="I18" s="15">
        <v>47.396727044186598</v>
      </c>
      <c r="J18" s="24">
        <v>31.725504713034798</v>
      </c>
      <c r="K18" s="20" t="s">
        <v>76</v>
      </c>
      <c r="L18" s="20" t="s">
        <v>76</v>
      </c>
      <c r="M18" s="26" t="s">
        <v>76</v>
      </c>
      <c r="N18" s="15">
        <v>21.4975090903732</v>
      </c>
      <c r="O18" s="20" t="s">
        <v>76</v>
      </c>
      <c r="P18" s="26" t="s">
        <v>76</v>
      </c>
    </row>
    <row r="19" spans="1:16">
      <c r="A19" s="9" t="s">
        <v>274</v>
      </c>
      <c r="B19" s="15">
        <v>30.983802306925401</v>
      </c>
      <c r="C19" s="15">
        <v>34.579579686893197</v>
      </c>
      <c r="D19" s="24">
        <v>28.079957972895301</v>
      </c>
      <c r="E19" s="15">
        <v>32.702019967593301</v>
      </c>
      <c r="F19" s="15">
        <v>38.687361957331603</v>
      </c>
      <c r="G19" s="24">
        <v>27.8336718804299</v>
      </c>
      <c r="H19" s="15">
        <v>29.276425943540101</v>
      </c>
      <c r="I19" s="15">
        <v>30.787048570784801</v>
      </c>
      <c r="J19" s="24">
        <v>28.0298250339772</v>
      </c>
      <c r="K19" s="20" t="s">
        <v>76</v>
      </c>
      <c r="L19" s="20" t="s">
        <v>76</v>
      </c>
      <c r="M19" s="26" t="s">
        <v>76</v>
      </c>
      <c r="N19" s="15">
        <v>25.5574718659872</v>
      </c>
      <c r="O19" s="20" t="s">
        <v>76</v>
      </c>
      <c r="P19" s="26" t="s">
        <v>76</v>
      </c>
    </row>
    <row r="20" spans="1:16">
      <c r="A20" s="9" t="s">
        <v>275</v>
      </c>
      <c r="B20" s="15">
        <v>13.5245883620087</v>
      </c>
      <c r="C20" s="15">
        <v>15.5007307847647</v>
      </c>
      <c r="D20" s="24">
        <v>11.928713709277</v>
      </c>
      <c r="E20" s="15">
        <v>14.9917311393401</v>
      </c>
      <c r="F20" s="15">
        <v>18.649966227739402</v>
      </c>
      <c r="G20" s="24">
        <v>12.0162016164596</v>
      </c>
      <c r="H20" s="15">
        <v>11.547282967291901</v>
      </c>
      <c r="I20" s="15">
        <v>11.941861484274099</v>
      </c>
      <c r="J20" s="24">
        <v>11.221667602280901</v>
      </c>
      <c r="K20" s="20" t="s">
        <v>76</v>
      </c>
      <c r="L20" s="20" t="s">
        <v>76</v>
      </c>
      <c r="M20" s="26" t="s">
        <v>76</v>
      </c>
      <c r="N20" s="15">
        <v>19.625234188637201</v>
      </c>
      <c r="O20" s="20" t="s">
        <v>76</v>
      </c>
      <c r="P20" s="26" t="s">
        <v>76</v>
      </c>
    </row>
    <row r="21" spans="1:16">
      <c r="A21" s="9" t="s">
        <v>276</v>
      </c>
      <c r="B21" s="15">
        <v>10.926132054708599</v>
      </c>
      <c r="C21" s="15">
        <v>12.090001701197799</v>
      </c>
      <c r="D21" s="24">
        <v>9.9862250689937397</v>
      </c>
      <c r="E21" s="15">
        <v>8.3694660257096896</v>
      </c>
      <c r="F21" s="15">
        <v>12.028386811271</v>
      </c>
      <c r="G21" s="24">
        <v>5.3933787715461996</v>
      </c>
      <c r="H21" s="15">
        <v>13.7137901762348</v>
      </c>
      <c r="I21" s="15">
        <v>12.2088095540013</v>
      </c>
      <c r="J21" s="24">
        <v>14.955735172102401</v>
      </c>
      <c r="K21" s="20" t="s">
        <v>76</v>
      </c>
      <c r="L21" s="20" t="s">
        <v>76</v>
      </c>
      <c r="M21" s="26" t="s">
        <v>76</v>
      </c>
      <c r="N21" s="20" t="s">
        <v>76</v>
      </c>
      <c r="O21" s="20" t="s">
        <v>76</v>
      </c>
      <c r="P21" s="26" t="s">
        <v>76</v>
      </c>
    </row>
    <row r="22" spans="1:16">
      <c r="A22" s="9" t="s">
        <v>277</v>
      </c>
      <c r="B22" s="15">
        <v>18.818020227189798</v>
      </c>
      <c r="C22" s="15">
        <v>24.999343967298199</v>
      </c>
      <c r="D22" s="24">
        <v>13.8261644967663</v>
      </c>
      <c r="E22" s="15">
        <v>26.298562486651399</v>
      </c>
      <c r="F22" s="15">
        <v>33.102539960098497</v>
      </c>
      <c r="G22" s="24">
        <v>20.764353952744798</v>
      </c>
      <c r="H22" s="15">
        <v>11.0005499562285</v>
      </c>
      <c r="I22" s="15">
        <v>16.606935333066801</v>
      </c>
      <c r="J22" s="24">
        <v>6.3740304111884196</v>
      </c>
      <c r="K22" s="20" t="s">
        <v>76</v>
      </c>
      <c r="L22" s="20" t="s">
        <v>76</v>
      </c>
      <c r="M22" s="26" t="s">
        <v>76</v>
      </c>
      <c r="N22" s="20" t="s">
        <v>76</v>
      </c>
      <c r="O22" s="20" t="s">
        <v>76</v>
      </c>
      <c r="P22" s="26" t="s">
        <v>76</v>
      </c>
    </row>
    <row r="23" spans="1:16">
      <c r="A23" s="9" t="s">
        <v>278</v>
      </c>
      <c r="B23" s="15">
        <v>18.312682862510801</v>
      </c>
      <c r="C23" s="15">
        <v>19.409064865328101</v>
      </c>
      <c r="D23" s="24">
        <v>17.427276918152199</v>
      </c>
      <c r="E23" s="15">
        <v>10.779874720345701</v>
      </c>
      <c r="F23" s="15">
        <v>14.138942124059099</v>
      </c>
      <c r="G23" s="24">
        <v>8.0476817399682794</v>
      </c>
      <c r="H23" s="15">
        <v>26.269489070935698</v>
      </c>
      <c r="I23" s="15">
        <v>24.8111820260551</v>
      </c>
      <c r="J23" s="24">
        <v>27.472917945747501</v>
      </c>
      <c r="K23" s="20" t="s">
        <v>76</v>
      </c>
      <c r="L23" s="20" t="s">
        <v>76</v>
      </c>
      <c r="M23" s="26" t="s">
        <v>76</v>
      </c>
      <c r="N23" s="20" t="s">
        <v>76</v>
      </c>
      <c r="O23" s="20" t="s">
        <v>76</v>
      </c>
      <c r="P23" s="26" t="s">
        <v>76</v>
      </c>
    </row>
    <row r="24" spans="1:16">
      <c r="A24" s="9" t="s">
        <v>279</v>
      </c>
      <c r="B24" s="15">
        <v>43.387407912629399</v>
      </c>
      <c r="C24" s="15">
        <v>50.475535450622097</v>
      </c>
      <c r="D24" s="24">
        <v>37.663244035090599</v>
      </c>
      <c r="E24" s="15">
        <v>55.830166682797497</v>
      </c>
      <c r="F24" s="15">
        <v>61.977438686627401</v>
      </c>
      <c r="G24" s="24">
        <v>50.830108214554997</v>
      </c>
      <c r="H24" s="15">
        <v>31.4648273007851</v>
      </c>
      <c r="I24" s="15">
        <v>38.997917324666297</v>
      </c>
      <c r="J24" s="24">
        <v>25.248346290753901</v>
      </c>
      <c r="K24" s="20" t="s">
        <v>76</v>
      </c>
      <c r="L24" s="20" t="s">
        <v>76</v>
      </c>
      <c r="M24" s="26" t="s">
        <v>76</v>
      </c>
      <c r="N24" s="15">
        <v>25.6203778846631</v>
      </c>
      <c r="O24" s="15">
        <v>40.447498141310199</v>
      </c>
      <c r="P24" s="26" t="s">
        <v>76</v>
      </c>
    </row>
    <row r="25" spans="1:16">
      <c r="A25" s="9" t="s">
        <v>280</v>
      </c>
      <c r="B25" s="15">
        <v>3.2857136982027302</v>
      </c>
      <c r="C25" s="15">
        <v>4.4289029442712398</v>
      </c>
      <c r="D25" s="24">
        <v>2.3625075972316099</v>
      </c>
      <c r="E25" s="15">
        <v>3.59992807431665</v>
      </c>
      <c r="F25" s="15">
        <v>4.7773112081920903</v>
      </c>
      <c r="G25" s="24">
        <v>2.6422700261235499</v>
      </c>
      <c r="H25" s="15">
        <v>2.9855443728301498</v>
      </c>
      <c r="I25" s="15">
        <v>4.1098143942630401</v>
      </c>
      <c r="J25" s="24">
        <v>2.0577706151518802</v>
      </c>
      <c r="K25" s="20" t="s">
        <v>76</v>
      </c>
      <c r="L25" s="20" t="s">
        <v>76</v>
      </c>
      <c r="M25" s="26" t="s">
        <v>76</v>
      </c>
      <c r="N25" s="20" t="s">
        <v>76</v>
      </c>
      <c r="O25" s="20" t="s">
        <v>76</v>
      </c>
      <c r="P25" s="26" t="s">
        <v>76</v>
      </c>
    </row>
    <row r="26" spans="1:16">
      <c r="A26" s="9" t="s">
        <v>281</v>
      </c>
      <c r="B26" s="15">
        <v>28.486820212791901</v>
      </c>
      <c r="C26" s="15">
        <v>34.917697669382001</v>
      </c>
      <c r="D26" s="24">
        <v>23.293432221311601</v>
      </c>
      <c r="E26" s="15">
        <v>34.275072724371498</v>
      </c>
      <c r="F26" s="15">
        <v>42.021413120426999</v>
      </c>
      <c r="G26" s="24">
        <v>27.974366513379699</v>
      </c>
      <c r="H26" s="15">
        <v>22.9056659413597</v>
      </c>
      <c r="I26" s="15">
        <v>27.6401809193591</v>
      </c>
      <c r="J26" s="24">
        <v>18.998634117879899</v>
      </c>
      <c r="K26" s="20" t="s">
        <v>76</v>
      </c>
      <c r="L26" s="20" t="s">
        <v>76</v>
      </c>
      <c r="M26" s="26" t="s">
        <v>76</v>
      </c>
      <c r="N26" s="15">
        <v>23.368614504766299</v>
      </c>
      <c r="O26" s="20" t="s">
        <v>76</v>
      </c>
      <c r="P26" s="26" t="s">
        <v>76</v>
      </c>
    </row>
    <row r="27" spans="1:16">
      <c r="A27" s="9" t="s">
        <v>282</v>
      </c>
      <c r="B27" s="15">
        <v>20.350159512301801</v>
      </c>
      <c r="C27" s="15">
        <v>27.9461865607528</v>
      </c>
      <c r="D27" s="24">
        <v>14.2158308887701</v>
      </c>
      <c r="E27" s="15">
        <v>6.4234662906681699</v>
      </c>
      <c r="F27" s="15">
        <v>9.3088515157096108</v>
      </c>
      <c r="G27" s="24">
        <v>4.0765561784067001</v>
      </c>
      <c r="H27" s="15">
        <v>35.2363143490998</v>
      </c>
      <c r="I27" s="15">
        <v>47.656152723090997</v>
      </c>
      <c r="J27" s="24">
        <v>24.987174997942201</v>
      </c>
      <c r="K27" s="20" t="s">
        <v>76</v>
      </c>
      <c r="L27" s="20" t="s">
        <v>76</v>
      </c>
      <c r="M27" s="26" t="s">
        <v>76</v>
      </c>
      <c r="N27" s="20" t="s">
        <v>76</v>
      </c>
      <c r="O27" s="20" t="s">
        <v>76</v>
      </c>
      <c r="P27" s="26" t="s">
        <v>76</v>
      </c>
    </row>
    <row r="28" spans="1:16">
      <c r="A28" s="9" t="s">
        <v>283</v>
      </c>
      <c r="B28" s="15">
        <v>28.419701327665301</v>
      </c>
      <c r="C28" s="15">
        <v>37.606761840277699</v>
      </c>
      <c r="D28" s="24">
        <v>21.0005007496306</v>
      </c>
      <c r="E28" s="15">
        <v>14.6103550469218</v>
      </c>
      <c r="F28" s="15">
        <v>22.1331787060527</v>
      </c>
      <c r="G28" s="24">
        <v>8.4914525291061391</v>
      </c>
      <c r="H28" s="15">
        <v>42.989081344339503</v>
      </c>
      <c r="I28" s="15">
        <v>53.7186650727716</v>
      </c>
      <c r="J28" s="24">
        <v>34.134779420177303</v>
      </c>
      <c r="K28" s="20" t="s">
        <v>76</v>
      </c>
      <c r="L28" s="20" t="s">
        <v>76</v>
      </c>
      <c r="M28" s="26" t="s">
        <v>76</v>
      </c>
      <c r="N28" s="15">
        <v>28.0455828922885</v>
      </c>
      <c r="O28" s="20" t="s">
        <v>76</v>
      </c>
      <c r="P28" s="26" t="s">
        <v>76</v>
      </c>
    </row>
    <row r="29" spans="1:16">
      <c r="A29" s="9" t="s">
        <v>284</v>
      </c>
      <c r="B29" s="15">
        <v>10.326235292891001</v>
      </c>
      <c r="C29" s="15">
        <v>12.089897435774001</v>
      </c>
      <c r="D29" s="24">
        <v>8.9019534813178591</v>
      </c>
      <c r="E29" s="15">
        <v>10.900719069040701</v>
      </c>
      <c r="F29" s="15">
        <v>13.710760929741401</v>
      </c>
      <c r="G29" s="24">
        <v>8.6150916243858102</v>
      </c>
      <c r="H29" s="15">
        <v>9.7296534571616107</v>
      </c>
      <c r="I29" s="15">
        <v>10.387033143747001</v>
      </c>
      <c r="J29" s="24">
        <v>9.1871684576351296</v>
      </c>
      <c r="K29" s="20" t="s">
        <v>76</v>
      </c>
      <c r="L29" s="20" t="s">
        <v>76</v>
      </c>
      <c r="M29" s="26" t="s">
        <v>76</v>
      </c>
      <c r="N29" s="20" t="s">
        <v>76</v>
      </c>
      <c r="O29" s="20" t="s">
        <v>76</v>
      </c>
      <c r="P29" s="26" t="s">
        <v>76</v>
      </c>
    </row>
    <row r="30" spans="1:16">
      <c r="A30" s="9" t="s">
        <v>285</v>
      </c>
      <c r="B30" s="15">
        <v>14.190162360236901</v>
      </c>
      <c r="C30" s="15">
        <v>16.276635140974001</v>
      </c>
      <c r="D30" s="24">
        <v>12.5051881468149</v>
      </c>
      <c r="E30" s="15">
        <v>16.589923558025099</v>
      </c>
      <c r="F30" s="15">
        <v>20.366896042361699</v>
      </c>
      <c r="G30" s="24">
        <v>13.517815598126701</v>
      </c>
      <c r="H30" s="15">
        <v>11.436647191921001</v>
      </c>
      <c r="I30" s="15">
        <v>11.7928827922666</v>
      </c>
      <c r="J30" s="24">
        <v>11.1426732930793</v>
      </c>
      <c r="K30" s="20" t="s">
        <v>76</v>
      </c>
      <c r="L30" s="20" t="s">
        <v>76</v>
      </c>
      <c r="M30" s="26" t="s">
        <v>76</v>
      </c>
      <c r="N30" s="20" t="s">
        <v>76</v>
      </c>
      <c r="O30" s="20" t="s">
        <v>76</v>
      </c>
      <c r="P30" s="26" t="s">
        <v>76</v>
      </c>
    </row>
    <row r="31" spans="1:16">
      <c r="A31" s="9" t="s">
        <v>286</v>
      </c>
      <c r="B31" s="15">
        <v>20.7317176770391</v>
      </c>
      <c r="C31" s="15">
        <v>27.080315796027701</v>
      </c>
      <c r="D31" s="24">
        <v>15.6047760650352</v>
      </c>
      <c r="E31" s="15">
        <v>22.068246439421898</v>
      </c>
      <c r="F31" s="15">
        <v>30.779893678994899</v>
      </c>
      <c r="G31" s="24">
        <v>14.9823804609145</v>
      </c>
      <c r="H31" s="15">
        <v>19.2017321639199</v>
      </c>
      <c r="I31" s="15">
        <v>22.7749963870783</v>
      </c>
      <c r="J31" s="24">
        <v>16.252991459020699</v>
      </c>
      <c r="K31" s="20" t="s">
        <v>76</v>
      </c>
      <c r="L31" s="20" t="s">
        <v>76</v>
      </c>
      <c r="M31" s="26" t="s">
        <v>76</v>
      </c>
      <c r="N31" s="15">
        <v>26.124711510813899</v>
      </c>
      <c r="O31" s="20" t="s">
        <v>76</v>
      </c>
      <c r="P31" s="26" t="s">
        <v>76</v>
      </c>
    </row>
    <row r="32" spans="1:16">
      <c r="A32" s="9" t="s">
        <v>287</v>
      </c>
      <c r="B32" s="15">
        <v>4.7798875967732499</v>
      </c>
      <c r="C32" s="15">
        <v>4.3968886119965296</v>
      </c>
      <c r="D32" s="24">
        <v>5.0891863420401604</v>
      </c>
      <c r="E32" s="15">
        <v>3.31454723624688</v>
      </c>
      <c r="F32" s="15">
        <v>4.0341369144061501</v>
      </c>
      <c r="G32" s="24">
        <v>2.7292485115933198</v>
      </c>
      <c r="H32" s="15">
        <v>6.27847636222468</v>
      </c>
      <c r="I32" s="15">
        <v>4.7250289408336297</v>
      </c>
      <c r="J32" s="24">
        <v>7.56041728746853</v>
      </c>
      <c r="K32" s="20" t="s">
        <v>76</v>
      </c>
      <c r="L32" s="20" t="s">
        <v>76</v>
      </c>
      <c r="M32" s="26" t="s">
        <v>76</v>
      </c>
      <c r="N32" s="20" t="s">
        <v>76</v>
      </c>
      <c r="O32" s="20" t="s">
        <v>76</v>
      </c>
      <c r="P32" s="26" t="s">
        <v>76</v>
      </c>
    </row>
    <row r="33" spans="1:16">
      <c r="A33" s="9" t="s">
        <v>288</v>
      </c>
      <c r="B33" s="15">
        <v>13.6262055436741</v>
      </c>
      <c r="C33" s="15">
        <v>15.9583788609962</v>
      </c>
      <c r="D33" s="24">
        <v>11.7428107842514</v>
      </c>
      <c r="E33" s="15">
        <v>11.456008537819001</v>
      </c>
      <c r="F33" s="15">
        <v>15.287713165422</v>
      </c>
      <c r="G33" s="24">
        <v>8.3393826330087908</v>
      </c>
      <c r="H33" s="15">
        <v>15.8843297933751</v>
      </c>
      <c r="I33" s="15">
        <v>16.4193858554207</v>
      </c>
      <c r="J33" s="24">
        <v>15.442789092485601</v>
      </c>
      <c r="K33" s="20" t="s">
        <v>76</v>
      </c>
      <c r="L33" s="20" t="s">
        <v>76</v>
      </c>
      <c r="M33" s="26" t="s">
        <v>76</v>
      </c>
      <c r="N33" s="20" t="s">
        <v>76</v>
      </c>
      <c r="O33" s="20" t="s">
        <v>76</v>
      </c>
      <c r="P33" s="26" t="s">
        <v>76</v>
      </c>
    </row>
    <row r="34" spans="1:16">
      <c r="A34" s="9" t="s">
        <v>289</v>
      </c>
      <c r="B34" s="15">
        <v>35.561403887132201</v>
      </c>
      <c r="C34" s="15">
        <v>33.837968112721498</v>
      </c>
      <c r="D34" s="24">
        <v>36.953200063521798</v>
      </c>
      <c r="E34" s="15">
        <v>45.720521643510601</v>
      </c>
      <c r="F34" s="15">
        <v>43.594736926814598</v>
      </c>
      <c r="G34" s="24">
        <v>47.4495890847681</v>
      </c>
      <c r="H34" s="15">
        <v>25.097362989219398</v>
      </c>
      <c r="I34" s="15">
        <v>23.771846359855498</v>
      </c>
      <c r="J34" s="24">
        <v>26.191210126157699</v>
      </c>
      <c r="K34" s="15">
        <v>37.0648348962375</v>
      </c>
      <c r="L34" s="20" t="s">
        <v>76</v>
      </c>
      <c r="M34" s="26" t="s">
        <v>76</v>
      </c>
      <c r="N34" s="15">
        <v>29.1054123034349</v>
      </c>
      <c r="O34" s="20" t="s">
        <v>76</v>
      </c>
      <c r="P34" s="26" t="s">
        <v>76</v>
      </c>
    </row>
    <row r="35" spans="1:16">
      <c r="A35" s="9" t="s">
        <v>290</v>
      </c>
      <c r="B35" s="15">
        <v>25.817264456894499</v>
      </c>
      <c r="C35" s="15">
        <v>28.426967728118498</v>
      </c>
      <c r="D35" s="24">
        <v>23.7097446477256</v>
      </c>
      <c r="E35" s="15">
        <v>32.896469660057598</v>
      </c>
      <c r="F35" s="15">
        <v>34.591791219975597</v>
      </c>
      <c r="G35" s="24">
        <v>31.5175316666224</v>
      </c>
      <c r="H35" s="15">
        <v>18.4643767376323</v>
      </c>
      <c r="I35" s="15">
        <v>21.927583886941498</v>
      </c>
      <c r="J35" s="24">
        <v>15.6064576885788</v>
      </c>
      <c r="K35" s="20" t="s">
        <v>76</v>
      </c>
      <c r="L35" s="20" t="s">
        <v>76</v>
      </c>
      <c r="M35" s="26" t="s">
        <v>76</v>
      </c>
      <c r="N35" s="15">
        <v>23.107684050205201</v>
      </c>
      <c r="O35" s="20" t="s">
        <v>76</v>
      </c>
      <c r="P35" s="26" t="s">
        <v>76</v>
      </c>
    </row>
    <row r="36" spans="1:16">
      <c r="A36" s="9" t="s">
        <v>291</v>
      </c>
      <c r="B36" s="15">
        <v>20.330102516237201</v>
      </c>
      <c r="C36" s="15">
        <v>21.792638574949699</v>
      </c>
      <c r="D36" s="24">
        <v>19.149001297049601</v>
      </c>
      <c r="E36" s="15">
        <v>7.8219496892947298</v>
      </c>
      <c r="F36" s="15">
        <v>13.318455993058899</v>
      </c>
      <c r="G36" s="24">
        <v>3.3512100062674999</v>
      </c>
      <c r="H36" s="15">
        <v>33.644242268127101</v>
      </c>
      <c r="I36" s="15">
        <v>30.923068166070401</v>
      </c>
      <c r="J36" s="24">
        <v>35.889818396488302</v>
      </c>
      <c r="K36" s="20" t="s">
        <v>76</v>
      </c>
      <c r="L36" s="20" t="s">
        <v>76</v>
      </c>
      <c r="M36" s="26" t="s">
        <v>76</v>
      </c>
      <c r="N36" s="20" t="s">
        <v>76</v>
      </c>
      <c r="O36" s="20" t="s">
        <v>76</v>
      </c>
      <c r="P36" s="26" t="s">
        <v>76</v>
      </c>
    </row>
    <row r="37" spans="1:16">
      <c r="A37" s="9" t="s">
        <v>292</v>
      </c>
      <c r="B37" s="15">
        <v>25.0503279038338</v>
      </c>
      <c r="C37" s="15">
        <v>25.1177743020314</v>
      </c>
      <c r="D37" s="24">
        <v>24.9958601711126</v>
      </c>
      <c r="E37" s="15">
        <v>19.226480032220199</v>
      </c>
      <c r="F37" s="15">
        <v>21.742899909230601</v>
      </c>
      <c r="G37" s="24">
        <v>17.179678376484102</v>
      </c>
      <c r="H37" s="15">
        <v>31.335416202965298</v>
      </c>
      <c r="I37" s="15">
        <v>28.6507569162615</v>
      </c>
      <c r="J37" s="24">
        <v>33.550859456834701</v>
      </c>
      <c r="K37" s="20" t="s">
        <v>76</v>
      </c>
      <c r="L37" s="20" t="s">
        <v>76</v>
      </c>
      <c r="M37" s="26" t="s">
        <v>76</v>
      </c>
      <c r="N37" s="15">
        <v>19.613249139311201</v>
      </c>
      <c r="O37" s="20" t="s">
        <v>76</v>
      </c>
      <c r="P37" s="26" t="s">
        <v>76</v>
      </c>
    </row>
    <row r="38" spans="1:16">
      <c r="A38" s="9" t="s">
        <v>293</v>
      </c>
      <c r="B38" s="15">
        <v>30.394979437734399</v>
      </c>
      <c r="C38" s="15">
        <v>39.594654953993199</v>
      </c>
      <c r="D38" s="24">
        <v>22.965591352801599</v>
      </c>
      <c r="E38" s="15">
        <v>32.980227652785899</v>
      </c>
      <c r="F38" s="15">
        <v>43.236723313053098</v>
      </c>
      <c r="G38" s="24">
        <v>24.637815286998102</v>
      </c>
      <c r="H38" s="15">
        <v>27.265578115478601</v>
      </c>
      <c r="I38" s="15">
        <v>35.243805470580902</v>
      </c>
      <c r="J38" s="24">
        <v>20.681759431581899</v>
      </c>
      <c r="K38" s="15">
        <v>36.248176725415497</v>
      </c>
      <c r="L38" s="20" t="s">
        <v>76</v>
      </c>
      <c r="M38" s="26" t="s">
        <v>76</v>
      </c>
      <c r="N38" s="15">
        <v>38.094817189638697</v>
      </c>
      <c r="O38" s="15">
        <v>50.408240167525399</v>
      </c>
      <c r="P38" s="26" t="s">
        <v>76</v>
      </c>
    </row>
    <row r="39" spans="1:16">
      <c r="A39" s="9" t="s">
        <v>294</v>
      </c>
      <c r="B39" s="15">
        <v>34.163448828886601</v>
      </c>
      <c r="C39" s="15">
        <v>34.673532883641499</v>
      </c>
      <c r="D39" s="24">
        <v>33.751519909000997</v>
      </c>
      <c r="E39" s="15">
        <v>43.514025481044499</v>
      </c>
      <c r="F39" s="15">
        <v>46.144718642955901</v>
      </c>
      <c r="G39" s="24">
        <v>41.374276399928803</v>
      </c>
      <c r="H39" s="15">
        <v>24.663339439232601</v>
      </c>
      <c r="I39" s="15">
        <v>22.673953175300301</v>
      </c>
      <c r="J39" s="24">
        <v>26.305027231645301</v>
      </c>
      <c r="K39" s="20" t="s">
        <v>76</v>
      </c>
      <c r="L39" s="20" t="s">
        <v>76</v>
      </c>
      <c r="M39" s="26" t="s">
        <v>76</v>
      </c>
      <c r="N39" s="15">
        <v>30.619147838024499</v>
      </c>
      <c r="O39" s="20" t="s">
        <v>76</v>
      </c>
      <c r="P39" s="26" t="s">
        <v>76</v>
      </c>
    </row>
    <row r="40" spans="1:16">
      <c r="A40" s="9" t="s">
        <v>295</v>
      </c>
      <c r="B40" s="15">
        <v>18.485109503915702</v>
      </c>
      <c r="C40" s="15">
        <v>23.060162943721998</v>
      </c>
      <c r="D40" s="24">
        <v>14.7904305499072</v>
      </c>
      <c r="E40" s="15">
        <v>10.3669136145867</v>
      </c>
      <c r="F40" s="15">
        <v>15.589054212938001</v>
      </c>
      <c r="G40" s="24">
        <v>6.1193370790321602</v>
      </c>
      <c r="H40" s="15">
        <v>26.368911933494399</v>
      </c>
      <c r="I40" s="15">
        <v>30.5717943010184</v>
      </c>
      <c r="J40" s="24">
        <v>22.900595699083102</v>
      </c>
      <c r="K40" s="20" t="s">
        <v>76</v>
      </c>
      <c r="L40" s="20" t="s">
        <v>76</v>
      </c>
      <c r="M40" s="26" t="s">
        <v>76</v>
      </c>
      <c r="N40" s="15">
        <v>28.117783685333599</v>
      </c>
      <c r="O40" s="20" t="s">
        <v>76</v>
      </c>
      <c r="P40" s="26" t="s">
        <v>76</v>
      </c>
    </row>
    <row r="41" spans="1:16">
      <c r="A41" s="9" t="s">
        <v>296</v>
      </c>
      <c r="B41" s="15">
        <v>24.920487964455798</v>
      </c>
      <c r="C41" s="15">
        <v>28.067990453234199</v>
      </c>
      <c r="D41" s="24">
        <v>22.378657282917199</v>
      </c>
      <c r="E41" s="15">
        <v>27.301763816677799</v>
      </c>
      <c r="F41" s="15">
        <v>33.088496349740801</v>
      </c>
      <c r="G41" s="24">
        <v>22.594960378116799</v>
      </c>
      <c r="H41" s="15">
        <v>23.073182488318601</v>
      </c>
      <c r="I41" s="15">
        <v>23.323369030691101</v>
      </c>
      <c r="J41" s="24">
        <v>22.866722737446899</v>
      </c>
      <c r="K41" s="20" t="s">
        <v>76</v>
      </c>
      <c r="L41" s="20" t="s">
        <v>76</v>
      </c>
      <c r="M41" s="26" t="s">
        <v>76</v>
      </c>
      <c r="N41" s="20" t="s">
        <v>76</v>
      </c>
      <c r="O41" s="20" t="s">
        <v>76</v>
      </c>
      <c r="P41" s="26" t="s">
        <v>76</v>
      </c>
    </row>
    <row r="42" spans="1:16">
      <c r="A42" s="9" t="s">
        <v>297</v>
      </c>
      <c r="B42" s="15">
        <v>11.8105638207168</v>
      </c>
      <c r="C42" s="15">
        <v>13.8396814019851</v>
      </c>
      <c r="D42" s="24">
        <v>10.171907983936499</v>
      </c>
      <c r="E42" s="15">
        <v>11.439421511896599</v>
      </c>
      <c r="F42" s="15">
        <v>14.151426629127201</v>
      </c>
      <c r="G42" s="24">
        <v>9.2335350399986194</v>
      </c>
      <c r="H42" s="15">
        <v>12.233137375303601</v>
      </c>
      <c r="I42" s="15">
        <v>13.6488280832592</v>
      </c>
      <c r="J42" s="24">
        <v>11.0648764924277</v>
      </c>
      <c r="K42" s="20" t="s">
        <v>76</v>
      </c>
      <c r="L42" s="20" t="s">
        <v>76</v>
      </c>
      <c r="M42" s="26" t="s">
        <v>76</v>
      </c>
      <c r="N42" s="20" t="s">
        <v>76</v>
      </c>
      <c r="O42" s="20" t="s">
        <v>76</v>
      </c>
      <c r="P42" s="26" t="s">
        <v>76</v>
      </c>
    </row>
    <row r="43" spans="1:16">
      <c r="A43" s="9" t="s">
        <v>298</v>
      </c>
      <c r="B43" s="15">
        <v>26.408890992715001</v>
      </c>
      <c r="C43" s="15">
        <v>28.8802713466002</v>
      </c>
      <c r="D43" s="24">
        <v>24.4130767140438</v>
      </c>
      <c r="E43" s="15">
        <v>35.079594163802497</v>
      </c>
      <c r="F43" s="15">
        <v>37.958513754225201</v>
      </c>
      <c r="G43" s="24">
        <v>32.737943059293997</v>
      </c>
      <c r="H43" s="15">
        <v>17.902588753494499</v>
      </c>
      <c r="I43" s="15">
        <v>19.6012976936059</v>
      </c>
      <c r="J43" s="24">
        <v>16.5007746460969</v>
      </c>
      <c r="K43" s="20" t="s">
        <v>76</v>
      </c>
      <c r="L43" s="20" t="s">
        <v>76</v>
      </c>
      <c r="M43" s="26" t="s">
        <v>76</v>
      </c>
      <c r="N43" s="20" t="s">
        <v>76</v>
      </c>
      <c r="O43" s="20" t="s">
        <v>76</v>
      </c>
      <c r="P43" s="26" t="s">
        <v>76</v>
      </c>
    </row>
    <row r="44" spans="1:16">
      <c r="A44" s="9" t="s">
        <v>299</v>
      </c>
      <c r="B44" s="15">
        <v>38.921471647242299</v>
      </c>
      <c r="C44" s="15">
        <v>46.022256487047997</v>
      </c>
      <c r="D44" s="24">
        <v>33.187086104046799</v>
      </c>
      <c r="E44" s="15">
        <v>41.8049361260599</v>
      </c>
      <c r="F44" s="15">
        <v>50.383974934705002</v>
      </c>
      <c r="G44" s="24">
        <v>34.8269309852719</v>
      </c>
      <c r="H44" s="15">
        <v>36.163566225877098</v>
      </c>
      <c r="I44" s="15">
        <v>41.597960657186597</v>
      </c>
      <c r="J44" s="24">
        <v>31.6789776073742</v>
      </c>
      <c r="K44" s="20" t="s">
        <v>76</v>
      </c>
      <c r="L44" s="20" t="s">
        <v>76</v>
      </c>
      <c r="M44" s="26" t="s">
        <v>76</v>
      </c>
      <c r="N44" s="15">
        <v>37.850614617418401</v>
      </c>
      <c r="O44" s="15">
        <v>47.931436682912</v>
      </c>
      <c r="P44" s="26" t="s">
        <v>76</v>
      </c>
    </row>
    <row r="45" spans="1:16">
      <c r="A45" s="9" t="s">
        <v>300</v>
      </c>
      <c r="B45" s="15">
        <v>11.318987962097699</v>
      </c>
      <c r="C45" s="15">
        <v>14.045897759901999</v>
      </c>
      <c r="D45" s="24">
        <v>9.1168156001824006</v>
      </c>
      <c r="E45" s="15">
        <v>12.3552328648978</v>
      </c>
      <c r="F45" s="15">
        <v>16.419572668331</v>
      </c>
      <c r="G45" s="24">
        <v>9.0493865253652999</v>
      </c>
      <c r="H45" s="15">
        <v>10.148618331521901</v>
      </c>
      <c r="I45" s="15">
        <v>11.6982662797888</v>
      </c>
      <c r="J45" s="24">
        <v>8.8698128198267394</v>
      </c>
      <c r="K45" s="20" t="s">
        <v>76</v>
      </c>
      <c r="L45" s="20" t="s">
        <v>76</v>
      </c>
      <c r="M45" s="26" t="s">
        <v>76</v>
      </c>
      <c r="N45" s="20" t="s">
        <v>76</v>
      </c>
      <c r="O45" s="20" t="s">
        <v>76</v>
      </c>
      <c r="P45" s="26" t="s">
        <v>76</v>
      </c>
    </row>
    <row r="46" spans="1:16">
      <c r="A46" s="9" t="s">
        <v>301</v>
      </c>
      <c r="B46" s="15">
        <v>22.3643456103052</v>
      </c>
      <c r="C46" s="15">
        <v>28.3261266590996</v>
      </c>
      <c r="D46" s="24">
        <v>17.549786117352099</v>
      </c>
      <c r="E46" s="15">
        <v>18.201914681538899</v>
      </c>
      <c r="F46" s="15">
        <v>27.335332046656202</v>
      </c>
      <c r="G46" s="24">
        <v>10.7729899793302</v>
      </c>
      <c r="H46" s="15">
        <v>26.280904282668502</v>
      </c>
      <c r="I46" s="15">
        <v>28.985278611417002</v>
      </c>
      <c r="J46" s="24">
        <v>24.049191717786702</v>
      </c>
      <c r="K46" s="20" t="s">
        <v>76</v>
      </c>
      <c r="L46" s="20" t="s">
        <v>76</v>
      </c>
      <c r="M46" s="26" t="s">
        <v>76</v>
      </c>
      <c r="N46" s="15">
        <v>28.213905030497301</v>
      </c>
      <c r="O46" s="20" t="s">
        <v>76</v>
      </c>
      <c r="P46" s="26" t="s">
        <v>76</v>
      </c>
    </row>
    <row r="47" spans="1:16">
      <c r="A47" s="9" t="s">
        <v>302</v>
      </c>
      <c r="B47" s="15">
        <v>22.088297359953099</v>
      </c>
      <c r="C47" s="15">
        <v>22.941359952508702</v>
      </c>
      <c r="D47" s="24">
        <v>21.3993890338242</v>
      </c>
      <c r="E47" s="15">
        <v>22.847117080383999</v>
      </c>
      <c r="F47" s="15">
        <v>24.204312722074398</v>
      </c>
      <c r="G47" s="24">
        <v>21.743203416393101</v>
      </c>
      <c r="H47" s="15">
        <v>21.666335291318202</v>
      </c>
      <c r="I47" s="15">
        <v>21.847281356700201</v>
      </c>
      <c r="J47" s="24">
        <v>21.5170143916977</v>
      </c>
      <c r="K47" s="20" t="s">
        <v>76</v>
      </c>
      <c r="L47" s="20" t="s">
        <v>76</v>
      </c>
      <c r="M47" s="26" t="s">
        <v>76</v>
      </c>
      <c r="N47" s="20" t="s">
        <v>76</v>
      </c>
      <c r="O47" s="20" t="s">
        <v>76</v>
      </c>
      <c r="P47" s="26" t="s">
        <v>76</v>
      </c>
    </row>
    <row r="48" spans="1:16">
      <c r="A48" s="9" t="s">
        <v>303</v>
      </c>
      <c r="B48" s="15">
        <v>12.885747577818201</v>
      </c>
      <c r="C48" s="15">
        <v>13.7150884142587</v>
      </c>
      <c r="D48" s="24">
        <v>12.2159962460772</v>
      </c>
      <c r="E48" s="15">
        <v>14.825124645803101</v>
      </c>
      <c r="F48" s="15">
        <v>15.776973192107</v>
      </c>
      <c r="G48" s="24">
        <v>14.050911566982901</v>
      </c>
      <c r="H48" s="15">
        <v>11.0118003536084</v>
      </c>
      <c r="I48" s="15">
        <v>11.809422415398</v>
      </c>
      <c r="J48" s="24">
        <v>10.353584085838101</v>
      </c>
      <c r="K48" s="20" t="s">
        <v>76</v>
      </c>
      <c r="L48" s="20" t="s">
        <v>76</v>
      </c>
      <c r="M48" s="26" t="s">
        <v>76</v>
      </c>
      <c r="N48" s="20" t="s">
        <v>76</v>
      </c>
      <c r="O48" s="20" t="s">
        <v>76</v>
      </c>
      <c r="P48" s="26" t="s">
        <v>76</v>
      </c>
    </row>
    <row r="49" spans="1:16">
      <c r="A49" s="9" t="s">
        <v>304</v>
      </c>
      <c r="B49" s="15">
        <v>28.1691588616963</v>
      </c>
      <c r="C49" s="15">
        <v>29.501565937199999</v>
      </c>
      <c r="D49" s="24">
        <v>27.0931459921627</v>
      </c>
      <c r="E49" s="15">
        <v>24.109105585249999</v>
      </c>
      <c r="F49" s="15">
        <v>28.1998988169724</v>
      </c>
      <c r="G49" s="24">
        <v>20.781742597674501</v>
      </c>
      <c r="H49" s="15">
        <v>32.801310533527399</v>
      </c>
      <c r="I49" s="15">
        <v>30.8542601904301</v>
      </c>
      <c r="J49" s="24">
        <v>34.4080617398808</v>
      </c>
      <c r="K49" s="20" t="s">
        <v>76</v>
      </c>
      <c r="L49" s="20" t="s">
        <v>76</v>
      </c>
      <c r="M49" s="26" t="s">
        <v>76</v>
      </c>
      <c r="N49" s="15">
        <v>20.6045468861054</v>
      </c>
      <c r="O49" s="20" t="s">
        <v>76</v>
      </c>
      <c r="P49" s="26" t="s">
        <v>76</v>
      </c>
    </row>
    <row r="50" spans="1:16">
      <c r="A50" s="9" t="s">
        <v>305</v>
      </c>
      <c r="B50" s="15">
        <v>49.632469513852598</v>
      </c>
      <c r="C50" s="15">
        <v>57.982945477833198</v>
      </c>
      <c r="D50" s="24">
        <v>42.888870077038398</v>
      </c>
      <c r="E50" s="15">
        <v>45.200160515012797</v>
      </c>
      <c r="F50" s="15">
        <v>55.456346256334399</v>
      </c>
      <c r="G50" s="24">
        <v>36.858000230611196</v>
      </c>
      <c r="H50" s="15">
        <v>54.476725847808197</v>
      </c>
      <c r="I50" s="15">
        <v>60.486940621989099</v>
      </c>
      <c r="J50" s="24">
        <v>49.516956896228002</v>
      </c>
      <c r="K50" s="15">
        <v>44.718547309206599</v>
      </c>
      <c r="L50" s="20" t="s">
        <v>76</v>
      </c>
      <c r="M50" s="26" t="s">
        <v>76</v>
      </c>
      <c r="N50" s="15">
        <v>47.429188046015703</v>
      </c>
      <c r="O50" s="15">
        <v>62.579594420565101</v>
      </c>
      <c r="P50" s="24">
        <v>37.023470714344697</v>
      </c>
    </row>
    <row r="51" spans="1:16">
      <c r="A51" s="9" t="s">
        <v>306</v>
      </c>
      <c r="B51" s="15">
        <v>32.321905746697503</v>
      </c>
      <c r="C51" s="15">
        <v>34.863720147125797</v>
      </c>
      <c r="D51" s="24">
        <v>30.269210998140501</v>
      </c>
      <c r="E51" s="15">
        <v>36.991429301061501</v>
      </c>
      <c r="F51" s="15">
        <v>41.115199428934503</v>
      </c>
      <c r="G51" s="24">
        <v>33.637243617377599</v>
      </c>
      <c r="H51" s="15">
        <v>27.579816906675799</v>
      </c>
      <c r="I51" s="15">
        <v>28.376775820588801</v>
      </c>
      <c r="J51" s="24">
        <v>26.922147883949499</v>
      </c>
      <c r="K51" s="20" t="s">
        <v>76</v>
      </c>
      <c r="L51" s="20" t="s">
        <v>76</v>
      </c>
      <c r="M51" s="26" t="s">
        <v>76</v>
      </c>
      <c r="N51" s="15">
        <v>28.899555693882199</v>
      </c>
      <c r="O51" s="20" t="s">
        <v>76</v>
      </c>
      <c r="P51" s="26" t="s">
        <v>76</v>
      </c>
    </row>
    <row r="52" spans="1:16">
      <c r="A52" s="9" t="s">
        <v>307</v>
      </c>
      <c r="B52" s="15">
        <v>28.1377749203278</v>
      </c>
      <c r="C52" s="15">
        <v>26.987712555220199</v>
      </c>
      <c r="D52" s="24">
        <v>29.0665315506197</v>
      </c>
      <c r="E52" s="15">
        <v>32.248716862299297</v>
      </c>
      <c r="F52" s="15">
        <v>33.8031685791439</v>
      </c>
      <c r="G52" s="24">
        <v>30.9843593610466</v>
      </c>
      <c r="H52" s="15">
        <v>23.366667219254602</v>
      </c>
      <c r="I52" s="15">
        <v>19.825137381824099</v>
      </c>
      <c r="J52" s="24">
        <v>26.289219971319302</v>
      </c>
      <c r="K52" s="20" t="s">
        <v>76</v>
      </c>
      <c r="L52" s="20" t="s">
        <v>76</v>
      </c>
      <c r="M52" s="26" t="s">
        <v>76</v>
      </c>
      <c r="N52" s="15">
        <v>35.408791328635701</v>
      </c>
      <c r="O52" s="20" t="s">
        <v>76</v>
      </c>
      <c r="P52" s="24">
        <v>38.579473458224101</v>
      </c>
    </row>
    <row r="53" spans="1:16">
      <c r="A53" s="9" t="s">
        <v>308</v>
      </c>
      <c r="B53" s="15">
        <v>39.289802247892403</v>
      </c>
      <c r="C53" s="15">
        <v>41.605764987001201</v>
      </c>
      <c r="D53" s="24">
        <v>37.419498675915897</v>
      </c>
      <c r="E53" s="15">
        <v>40.411947242709502</v>
      </c>
      <c r="F53" s="15">
        <v>44.312181252830499</v>
      </c>
      <c r="G53" s="24">
        <v>37.239581016148698</v>
      </c>
      <c r="H53" s="15">
        <v>38.6124719556245</v>
      </c>
      <c r="I53" s="15">
        <v>38.912560485784098</v>
      </c>
      <c r="J53" s="24">
        <v>38.364831924355599</v>
      </c>
      <c r="K53" s="20" t="s">
        <v>76</v>
      </c>
      <c r="L53" s="20" t="s">
        <v>76</v>
      </c>
      <c r="M53" s="26" t="s">
        <v>76</v>
      </c>
      <c r="N53" s="15">
        <v>28.631597953251902</v>
      </c>
      <c r="O53" s="20" t="s">
        <v>76</v>
      </c>
      <c r="P53" s="26" t="s">
        <v>76</v>
      </c>
    </row>
    <row r="54" spans="1:16">
      <c r="A54" s="9" t="s">
        <v>309</v>
      </c>
      <c r="B54" s="15">
        <v>40.839691211936298</v>
      </c>
      <c r="C54" s="15">
        <v>50.962655627389097</v>
      </c>
      <c r="D54" s="24">
        <v>32.6646820956421</v>
      </c>
      <c r="E54" s="15">
        <v>35.042497627858403</v>
      </c>
      <c r="F54" s="15">
        <v>48.140296074864402</v>
      </c>
      <c r="G54" s="24">
        <v>24.3890308543881</v>
      </c>
      <c r="H54" s="15">
        <v>46.969601524136102</v>
      </c>
      <c r="I54" s="15">
        <v>53.993353237168797</v>
      </c>
      <c r="J54" s="24">
        <v>41.173438328844</v>
      </c>
      <c r="K54" s="15">
        <v>39.720563021456101</v>
      </c>
      <c r="L54" s="20" t="s">
        <v>76</v>
      </c>
      <c r="M54" s="26" t="s">
        <v>76</v>
      </c>
      <c r="N54" s="15">
        <v>40.429896611702098</v>
      </c>
      <c r="O54" s="15">
        <v>48.278001026958101</v>
      </c>
      <c r="P54" s="26" t="s">
        <v>76</v>
      </c>
    </row>
    <row r="55" spans="1:16">
      <c r="A55" s="9" t="s">
        <v>310</v>
      </c>
      <c r="B55" s="15">
        <v>11.4503339624471</v>
      </c>
      <c r="C55" s="15">
        <v>14.2888734565684</v>
      </c>
      <c r="D55" s="24">
        <v>9.15801273231612</v>
      </c>
      <c r="E55" s="15">
        <v>12.3469215428995</v>
      </c>
      <c r="F55" s="15">
        <v>15.832987627248601</v>
      </c>
      <c r="G55" s="24">
        <v>9.5114305747035903</v>
      </c>
      <c r="H55" s="15">
        <v>10.6192232837021</v>
      </c>
      <c r="I55" s="15">
        <v>12.5285714144261</v>
      </c>
      <c r="J55" s="24">
        <v>9.0435848194654103</v>
      </c>
      <c r="K55" s="20" t="s">
        <v>76</v>
      </c>
      <c r="L55" s="20" t="s">
        <v>76</v>
      </c>
      <c r="M55" s="26" t="s">
        <v>76</v>
      </c>
      <c r="N55" s="20" t="s">
        <v>76</v>
      </c>
      <c r="O55" s="20" t="s">
        <v>76</v>
      </c>
      <c r="P55" s="26" t="s">
        <v>76</v>
      </c>
    </row>
    <row r="56" spans="1:16">
      <c r="A56" s="9" t="s">
        <v>311</v>
      </c>
      <c r="B56" s="15">
        <v>16.8100205968442</v>
      </c>
      <c r="C56" s="15">
        <v>16.053878851180599</v>
      </c>
      <c r="D56" s="24">
        <v>17.4206584900857</v>
      </c>
      <c r="E56" s="15">
        <v>14.1426643889613</v>
      </c>
      <c r="F56" s="15">
        <v>17.356020768033101</v>
      </c>
      <c r="G56" s="24">
        <v>11.5289896134432</v>
      </c>
      <c r="H56" s="15">
        <v>19.543412820524701</v>
      </c>
      <c r="I56" s="15">
        <v>14.9940392509308</v>
      </c>
      <c r="J56" s="24">
        <v>23.2976616497916</v>
      </c>
      <c r="K56" s="20" t="s">
        <v>76</v>
      </c>
      <c r="L56" s="20" t="s">
        <v>76</v>
      </c>
      <c r="M56" s="26" t="s">
        <v>76</v>
      </c>
      <c r="N56" s="20" t="s">
        <v>76</v>
      </c>
      <c r="O56" s="20" t="s">
        <v>76</v>
      </c>
      <c r="P56" s="26" t="s">
        <v>76</v>
      </c>
    </row>
    <row r="57" spans="1:16">
      <c r="A57" s="9" t="s">
        <v>312</v>
      </c>
      <c r="B57" s="15">
        <v>13.7418256650421</v>
      </c>
      <c r="C57" s="15">
        <v>17.262071120448802</v>
      </c>
      <c r="D57" s="24">
        <v>10.898978697644599</v>
      </c>
      <c r="E57" s="15">
        <v>12.4693182796866</v>
      </c>
      <c r="F57" s="15">
        <v>15.897287409873501</v>
      </c>
      <c r="G57" s="24">
        <v>9.6810821210155193</v>
      </c>
      <c r="H57" s="15">
        <v>15.270465723724801</v>
      </c>
      <c r="I57" s="15">
        <v>18.9661770863929</v>
      </c>
      <c r="J57" s="24">
        <v>12.2206787927642</v>
      </c>
      <c r="K57" s="20" t="s">
        <v>76</v>
      </c>
      <c r="L57" s="20" t="s">
        <v>76</v>
      </c>
      <c r="M57" s="26" t="s">
        <v>76</v>
      </c>
      <c r="N57" s="20" t="s">
        <v>76</v>
      </c>
      <c r="O57" s="20" t="s">
        <v>76</v>
      </c>
      <c r="P57" s="26" t="s">
        <v>76</v>
      </c>
    </row>
    <row r="58" spans="1:16">
      <c r="A58" s="9" t="s">
        <v>313</v>
      </c>
      <c r="B58" s="15">
        <v>31.685933046987302</v>
      </c>
      <c r="C58" s="15">
        <v>28.542858858796901</v>
      </c>
      <c r="D58" s="24">
        <v>34.224187562870199</v>
      </c>
      <c r="E58" s="15">
        <v>42.110894639731903</v>
      </c>
      <c r="F58" s="15">
        <v>38.838826840354301</v>
      </c>
      <c r="G58" s="24">
        <v>44.772324018283598</v>
      </c>
      <c r="H58" s="15">
        <v>21.146980784417298</v>
      </c>
      <c r="I58" s="15">
        <v>17.340871491359501</v>
      </c>
      <c r="J58" s="24">
        <v>24.287870653964799</v>
      </c>
      <c r="K58" s="20" t="s">
        <v>76</v>
      </c>
      <c r="L58" s="20" t="s">
        <v>76</v>
      </c>
      <c r="M58" s="26" t="s">
        <v>76</v>
      </c>
      <c r="N58" s="15">
        <v>26.0816648614401</v>
      </c>
      <c r="O58" s="15">
        <v>42.261250825294603</v>
      </c>
      <c r="P58" s="26" t="s">
        <v>76</v>
      </c>
    </row>
    <row r="59" spans="1:16">
      <c r="A59" s="9" t="s">
        <v>314</v>
      </c>
      <c r="B59" s="15">
        <v>2.25818455921643</v>
      </c>
      <c r="C59" s="15">
        <v>2.52386691390151</v>
      </c>
      <c r="D59" s="24">
        <v>2.0436272830618698</v>
      </c>
      <c r="E59" s="15">
        <v>2.7574687210611799</v>
      </c>
      <c r="F59" s="15">
        <v>2.9156443448934701</v>
      </c>
      <c r="G59" s="24">
        <v>2.6288120800471599</v>
      </c>
      <c r="H59" s="15">
        <v>1.6333562636897501</v>
      </c>
      <c r="I59" s="15">
        <v>2.0790125380588398</v>
      </c>
      <c r="J59" s="26" t="s">
        <v>76</v>
      </c>
      <c r="K59" s="20" t="s">
        <v>76</v>
      </c>
      <c r="L59" s="20" t="s">
        <v>76</v>
      </c>
      <c r="M59" s="26" t="s">
        <v>76</v>
      </c>
      <c r="N59" s="20" t="s">
        <v>76</v>
      </c>
      <c r="O59" s="20" t="s">
        <v>76</v>
      </c>
      <c r="P59" s="26" t="s">
        <v>76</v>
      </c>
    </row>
    <row r="60" spans="1:16">
      <c r="A60" s="9" t="s">
        <v>315</v>
      </c>
      <c r="B60" s="15">
        <v>2.4732440085446799</v>
      </c>
      <c r="C60" s="15">
        <v>2.7546476207405202</v>
      </c>
      <c r="D60" s="24">
        <v>2.2459907059896098</v>
      </c>
      <c r="E60" s="15">
        <v>3.36784162558786</v>
      </c>
      <c r="F60" s="15">
        <v>3.45536443867881</v>
      </c>
      <c r="G60" s="24">
        <v>3.29665245704494</v>
      </c>
      <c r="H60" s="15">
        <v>1.39479375540615</v>
      </c>
      <c r="I60" s="15">
        <v>1.9975159067797099</v>
      </c>
      <c r="J60" s="26" t="s">
        <v>76</v>
      </c>
      <c r="K60" s="20" t="s">
        <v>76</v>
      </c>
      <c r="L60" s="20" t="s">
        <v>76</v>
      </c>
      <c r="M60" s="26" t="s">
        <v>76</v>
      </c>
      <c r="N60" s="20" t="s">
        <v>76</v>
      </c>
      <c r="O60" s="20" t="s">
        <v>76</v>
      </c>
      <c r="P60" s="26" t="s">
        <v>76</v>
      </c>
    </row>
    <row r="61" spans="1:16">
      <c r="A61" s="9" t="s">
        <v>316</v>
      </c>
      <c r="B61" s="15">
        <v>3.5021703603574199</v>
      </c>
      <c r="C61" s="15">
        <v>3.8302899817931202</v>
      </c>
      <c r="D61" s="24">
        <v>3.2371905791011399</v>
      </c>
      <c r="E61" s="15">
        <v>4.2727165143807904</v>
      </c>
      <c r="F61" s="15">
        <v>4.4041213723315202</v>
      </c>
      <c r="G61" s="24">
        <v>4.1658346369633898</v>
      </c>
      <c r="H61" s="15">
        <v>2.5985003067980998</v>
      </c>
      <c r="I61" s="15">
        <v>3.2901737225138601</v>
      </c>
      <c r="J61" s="24">
        <v>2.0277153247642401</v>
      </c>
      <c r="K61" s="20" t="s">
        <v>76</v>
      </c>
      <c r="L61" s="20" t="s">
        <v>76</v>
      </c>
      <c r="M61" s="26" t="s">
        <v>76</v>
      </c>
      <c r="N61" s="20" t="s">
        <v>76</v>
      </c>
      <c r="O61" s="20" t="s">
        <v>76</v>
      </c>
      <c r="P61" s="26" t="s">
        <v>76</v>
      </c>
    </row>
    <row r="62" spans="1:16">
      <c r="A62" s="9" t="s">
        <v>317</v>
      </c>
      <c r="B62" s="15">
        <v>11.0489162842856</v>
      </c>
      <c r="C62" s="15">
        <v>13.0012652544453</v>
      </c>
      <c r="D62" s="24">
        <v>9.4722565259169293</v>
      </c>
      <c r="E62" s="15">
        <v>10.674915179806201</v>
      </c>
      <c r="F62" s="15">
        <v>12.977392651106101</v>
      </c>
      <c r="G62" s="24">
        <v>8.8021296627283192</v>
      </c>
      <c r="H62" s="15">
        <v>11.361734068287101</v>
      </c>
      <c r="I62" s="15">
        <v>12.7958014895056</v>
      </c>
      <c r="J62" s="24">
        <v>10.178308294421599</v>
      </c>
      <c r="K62" s="20" t="s">
        <v>76</v>
      </c>
      <c r="L62" s="20" t="s">
        <v>76</v>
      </c>
      <c r="M62" s="26" t="s">
        <v>76</v>
      </c>
      <c r="N62" s="20" t="s">
        <v>76</v>
      </c>
      <c r="O62" s="20" t="s">
        <v>76</v>
      </c>
      <c r="P62" s="26" t="s">
        <v>76</v>
      </c>
    </row>
    <row r="63" spans="1:16">
      <c r="A63" s="9" t="s">
        <v>318</v>
      </c>
      <c r="B63" s="15">
        <v>16.310294666315901</v>
      </c>
      <c r="C63" s="15">
        <v>20.5834337980504</v>
      </c>
      <c r="D63" s="24">
        <v>12.8594328511941</v>
      </c>
      <c r="E63" s="15">
        <v>21.535606630480899</v>
      </c>
      <c r="F63" s="15">
        <v>28.490989121101801</v>
      </c>
      <c r="G63" s="24">
        <v>15.8782485209931</v>
      </c>
      <c r="H63" s="15">
        <v>10.8481907204217</v>
      </c>
      <c r="I63" s="15">
        <v>12.187462272529199</v>
      </c>
      <c r="J63" s="24">
        <v>9.74299270147357</v>
      </c>
      <c r="K63" s="20" t="s">
        <v>76</v>
      </c>
      <c r="L63" s="20" t="s">
        <v>76</v>
      </c>
      <c r="M63" s="26" t="s">
        <v>76</v>
      </c>
      <c r="N63" s="20" t="s">
        <v>76</v>
      </c>
      <c r="O63" s="20" t="s">
        <v>76</v>
      </c>
      <c r="P63" s="26" t="s">
        <v>76</v>
      </c>
    </row>
    <row r="64" spans="1:16">
      <c r="A64" s="11" t="s">
        <v>319</v>
      </c>
      <c r="B64" s="16">
        <v>3.2673522908272501</v>
      </c>
      <c r="C64" s="16">
        <v>4.9092837067638904</v>
      </c>
      <c r="D64" s="25">
        <v>1.94137664350384</v>
      </c>
      <c r="E64" s="16">
        <v>3.5904675236695498</v>
      </c>
      <c r="F64" s="16">
        <v>4.9458866702165496</v>
      </c>
      <c r="G64" s="25">
        <v>2.4879988225142902</v>
      </c>
      <c r="H64" s="16">
        <v>2.7244620260154</v>
      </c>
      <c r="I64" s="16">
        <v>4.4632249441114098</v>
      </c>
      <c r="J64" s="29" t="s">
        <v>76</v>
      </c>
      <c r="K64" s="28" t="s">
        <v>76</v>
      </c>
      <c r="L64" s="28" t="s">
        <v>76</v>
      </c>
      <c r="M64" s="29" t="s">
        <v>76</v>
      </c>
      <c r="N64" s="28" t="s">
        <v>76</v>
      </c>
      <c r="O64" s="28" t="s">
        <v>76</v>
      </c>
      <c r="P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N71"/>
  <sheetViews>
    <sheetView zoomScale="55" workbookViewId="0"/>
  </sheetViews>
  <sheetFormatPr defaultColWidth="10.88671875" defaultRowHeight="15"/>
  <cols>
    <col min="1" max="1" width="51.6640625" customWidth="1"/>
    <col min="2" max="91" width="13.6640625" customWidth="1"/>
  </cols>
  <sheetData>
    <row r="1" spans="1:92" ht="39.950000000000003" customHeight="1">
      <c r="A1" s="10" t="s">
        <v>352</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0">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c r="A3" s="9" t="s">
        <v>258</v>
      </c>
      <c r="B3" s="35">
        <v>34.828357577601501</v>
      </c>
      <c r="C3" s="32">
        <v>34.203328019150398</v>
      </c>
      <c r="D3" s="32">
        <v>34.168519618390597</v>
      </c>
      <c r="E3" s="32">
        <v>37.571720742410299</v>
      </c>
      <c r="F3" s="15">
        <v>35.294117647058798</v>
      </c>
      <c r="G3" s="15">
        <v>64.705882352941202</v>
      </c>
      <c r="H3" s="15">
        <v>30.434782608695699</v>
      </c>
      <c r="I3" s="20" t="s">
        <v>76</v>
      </c>
      <c r="J3" s="15">
        <v>37.5</v>
      </c>
      <c r="K3" s="15">
        <v>35.897435897435898</v>
      </c>
      <c r="L3" s="15">
        <v>65.573770491803302</v>
      </c>
      <c r="M3" s="15">
        <v>47.368421052631597</v>
      </c>
      <c r="N3" s="15">
        <v>29.411764705882401</v>
      </c>
      <c r="O3" s="15">
        <v>34.883720930232599</v>
      </c>
      <c r="P3" s="15">
        <v>39.436619718309899</v>
      </c>
      <c r="Q3" s="15">
        <v>42.253521126760603</v>
      </c>
      <c r="R3" s="20" t="s">
        <v>76</v>
      </c>
      <c r="S3" s="15">
        <v>34.146341463414601</v>
      </c>
      <c r="T3" s="15">
        <v>35.4166666666667</v>
      </c>
      <c r="U3" s="15">
        <v>47.619047619047599</v>
      </c>
      <c r="V3" s="15">
        <v>38.235294117647101</v>
      </c>
      <c r="W3" s="15">
        <v>42.372881355932201</v>
      </c>
      <c r="X3" s="15">
        <v>53.846153846153797</v>
      </c>
      <c r="Y3" s="20" t="s">
        <v>76</v>
      </c>
      <c r="Z3" s="15">
        <v>42.307692307692299</v>
      </c>
      <c r="AA3" s="15">
        <v>43.119266055045898</v>
      </c>
      <c r="AB3" s="15">
        <v>38.235294117647101</v>
      </c>
      <c r="AC3" s="15">
        <v>34.848484848484802</v>
      </c>
      <c r="AD3" s="15">
        <v>37.5</v>
      </c>
      <c r="AE3" s="15">
        <v>33.3333333333333</v>
      </c>
      <c r="AF3" s="15">
        <v>78.571428571428598</v>
      </c>
      <c r="AG3" s="15">
        <v>18.095238095238098</v>
      </c>
      <c r="AH3" s="15">
        <v>28.571428571428601</v>
      </c>
      <c r="AI3" s="20" t="s">
        <v>76</v>
      </c>
      <c r="AJ3" s="15">
        <v>44.1441441441441</v>
      </c>
      <c r="AK3" s="15">
        <v>40</v>
      </c>
      <c r="AL3" s="15">
        <v>47.7777777777778</v>
      </c>
      <c r="AM3" s="15">
        <v>56.25</v>
      </c>
      <c r="AN3" s="20" t="s">
        <v>76</v>
      </c>
      <c r="AO3" s="15">
        <v>32.5</v>
      </c>
      <c r="AP3" s="15">
        <v>32.4675324675325</v>
      </c>
      <c r="AQ3" s="15">
        <v>35.897435897435898</v>
      </c>
      <c r="AR3" s="15">
        <v>43.636363636363598</v>
      </c>
      <c r="AS3" s="20" t="s">
        <v>76</v>
      </c>
      <c r="AT3" s="15">
        <v>47.692307692307701</v>
      </c>
      <c r="AU3" s="15">
        <v>36.734693877551003</v>
      </c>
      <c r="AV3" s="15">
        <v>16.438356164383599</v>
      </c>
      <c r="AW3" s="15">
        <v>33.620689655172399</v>
      </c>
      <c r="AX3" s="15">
        <v>50</v>
      </c>
      <c r="AY3" s="15">
        <v>40</v>
      </c>
      <c r="AZ3" s="15">
        <v>42</v>
      </c>
      <c r="BA3" s="15">
        <v>28.301886792452802</v>
      </c>
      <c r="BB3" s="15">
        <v>31.343283582089601</v>
      </c>
      <c r="BC3" s="15">
        <v>37.837837837837803</v>
      </c>
      <c r="BD3" s="15">
        <v>48.717948717948701</v>
      </c>
      <c r="BE3" s="15">
        <v>46.551724137930997</v>
      </c>
      <c r="BF3" s="15">
        <v>33.734939759036102</v>
      </c>
      <c r="BG3" s="15">
        <v>35.820895522388099</v>
      </c>
      <c r="BH3" s="15">
        <v>58.3333333333333</v>
      </c>
      <c r="BI3" s="15">
        <v>47.368421052631597</v>
      </c>
      <c r="BJ3" s="15">
        <v>29.464285714285701</v>
      </c>
      <c r="BK3" s="15">
        <v>37.5</v>
      </c>
      <c r="BL3" s="15">
        <v>29.6875</v>
      </c>
      <c r="BM3" s="15">
        <v>37.6237623762376</v>
      </c>
      <c r="BN3" s="15">
        <v>42.857142857142897</v>
      </c>
      <c r="BO3" s="15">
        <v>34.4444444444444</v>
      </c>
      <c r="BP3" s="15">
        <v>46.6666666666667</v>
      </c>
      <c r="BQ3" s="15">
        <v>35.616438356164402</v>
      </c>
      <c r="BR3" s="15">
        <v>25</v>
      </c>
      <c r="BS3" s="15">
        <v>42.168674698795201</v>
      </c>
      <c r="BT3" s="15">
        <v>32.9268292682927</v>
      </c>
      <c r="BU3" s="15">
        <v>40.186915887850503</v>
      </c>
      <c r="BV3" s="15">
        <v>47.474747474747502</v>
      </c>
      <c r="BW3" s="15">
        <v>24.6376811594203</v>
      </c>
      <c r="BX3" s="20" t="s">
        <v>76</v>
      </c>
      <c r="BY3" s="15">
        <v>44.4444444444444</v>
      </c>
      <c r="BZ3" s="15">
        <v>29.251700680272101</v>
      </c>
      <c r="CA3" s="32">
        <v>31.420194219659098</v>
      </c>
      <c r="CB3" s="15">
        <v>27.156549520766799</v>
      </c>
      <c r="CC3" s="15">
        <v>38.050314465408803</v>
      </c>
      <c r="CD3" s="15">
        <v>32.258064516128997</v>
      </c>
      <c r="CE3" s="20" t="s">
        <v>76</v>
      </c>
      <c r="CF3" s="15">
        <v>33.233532934131702</v>
      </c>
      <c r="CG3" s="15">
        <v>43.016759776536297</v>
      </c>
      <c r="CH3" s="15">
        <v>31.25</v>
      </c>
      <c r="CI3" s="15">
        <v>36.960985626283403</v>
      </c>
      <c r="CJ3" s="15">
        <v>40.7843137254902</v>
      </c>
      <c r="CK3" s="15">
        <v>26.905829596412602</v>
      </c>
      <c r="CL3" s="15">
        <v>30</v>
      </c>
      <c r="CM3" s="24">
        <v>26.766595289079198</v>
      </c>
      <c r="CN3" s="37"/>
    </row>
    <row r="4" spans="1:92">
      <c r="A4" s="9" t="s">
        <v>259</v>
      </c>
      <c r="B4" s="35">
        <v>22.326511545589302</v>
      </c>
      <c r="C4" s="32">
        <v>22.5986150405306</v>
      </c>
      <c r="D4" s="32">
        <v>22.666451209299701</v>
      </c>
      <c r="E4" s="32">
        <v>24.814155383512201</v>
      </c>
      <c r="F4" s="20" t="s">
        <v>76</v>
      </c>
      <c r="G4" s="20" t="s">
        <v>76</v>
      </c>
      <c r="H4" s="15">
        <v>39.130434782608702</v>
      </c>
      <c r="I4" s="15">
        <v>60</v>
      </c>
      <c r="J4" s="15">
        <v>17.3611111111111</v>
      </c>
      <c r="K4" s="20" t="s">
        <v>76</v>
      </c>
      <c r="L4" s="15">
        <v>31.1475409836066</v>
      </c>
      <c r="M4" s="15">
        <v>36.842105263157897</v>
      </c>
      <c r="N4" s="15">
        <v>34.117647058823501</v>
      </c>
      <c r="O4" s="15">
        <v>37.209302325581397</v>
      </c>
      <c r="P4" s="15">
        <v>29.577464788732399</v>
      </c>
      <c r="Q4" s="15">
        <v>33.802816901408498</v>
      </c>
      <c r="R4" s="20" t="s">
        <v>76</v>
      </c>
      <c r="S4" s="15">
        <v>24.390243902439</v>
      </c>
      <c r="T4" s="15">
        <v>25</v>
      </c>
      <c r="U4" s="15">
        <v>28.571428571428601</v>
      </c>
      <c r="V4" s="15">
        <v>23.529411764705898</v>
      </c>
      <c r="W4" s="15">
        <v>28.8135593220339</v>
      </c>
      <c r="X4" s="20" t="s">
        <v>76</v>
      </c>
      <c r="Y4" s="20" t="s">
        <v>76</v>
      </c>
      <c r="Z4" s="15">
        <v>7.6923076923076898</v>
      </c>
      <c r="AA4" s="15">
        <v>35.779816513761503</v>
      </c>
      <c r="AB4" s="15">
        <v>25</v>
      </c>
      <c r="AC4" s="15">
        <v>18.181818181818201</v>
      </c>
      <c r="AD4" s="15">
        <v>31.25</v>
      </c>
      <c r="AE4" s="15">
        <v>40.740740740740698</v>
      </c>
      <c r="AF4" s="15">
        <v>35.714285714285701</v>
      </c>
      <c r="AG4" s="15">
        <v>19.047619047619001</v>
      </c>
      <c r="AH4" s="15">
        <v>32.142857142857103</v>
      </c>
      <c r="AI4" s="20" t="s">
        <v>76</v>
      </c>
      <c r="AJ4" s="15">
        <v>29.729729729729701</v>
      </c>
      <c r="AK4" s="15">
        <v>43.3333333333333</v>
      </c>
      <c r="AL4" s="15">
        <v>17.7777777777778</v>
      </c>
      <c r="AM4" s="15">
        <v>32.8125</v>
      </c>
      <c r="AN4" s="20" t="s">
        <v>76</v>
      </c>
      <c r="AO4" s="15">
        <v>25</v>
      </c>
      <c r="AP4" s="15">
        <v>16.883116883116902</v>
      </c>
      <c r="AQ4" s="15">
        <v>17.948717948717899</v>
      </c>
      <c r="AR4" s="15">
        <v>25.454545454545499</v>
      </c>
      <c r="AS4" s="20" t="s">
        <v>76</v>
      </c>
      <c r="AT4" s="15">
        <v>23.076923076923102</v>
      </c>
      <c r="AU4" s="15">
        <v>22.4489795918367</v>
      </c>
      <c r="AV4" s="15">
        <v>6.8493150684931496</v>
      </c>
      <c r="AW4" s="15">
        <v>25</v>
      </c>
      <c r="AX4" s="15">
        <v>43.75</v>
      </c>
      <c r="AY4" s="15">
        <v>22.8571428571429</v>
      </c>
      <c r="AZ4" s="15">
        <v>36</v>
      </c>
      <c r="BA4" s="15">
        <v>32.075471698113198</v>
      </c>
      <c r="BB4" s="15">
        <v>26.865671641791</v>
      </c>
      <c r="BC4" s="15">
        <v>20.270270270270299</v>
      </c>
      <c r="BD4" s="15">
        <v>24.3589743589744</v>
      </c>
      <c r="BE4" s="15">
        <v>24.137931034482801</v>
      </c>
      <c r="BF4" s="15">
        <v>27.710843373494001</v>
      </c>
      <c r="BG4" s="15">
        <v>20.8955223880597</v>
      </c>
      <c r="BH4" s="20" t="s">
        <v>76</v>
      </c>
      <c r="BI4" s="20" t="s">
        <v>76</v>
      </c>
      <c r="BJ4" s="15">
        <v>21.428571428571399</v>
      </c>
      <c r="BK4" s="15">
        <v>15</v>
      </c>
      <c r="BL4" s="15">
        <v>17.1875</v>
      </c>
      <c r="BM4" s="15">
        <v>22.7722772277228</v>
      </c>
      <c r="BN4" s="15">
        <v>29.411764705882401</v>
      </c>
      <c r="BO4" s="15">
        <v>28.8888888888889</v>
      </c>
      <c r="BP4" s="20" t="s">
        <v>76</v>
      </c>
      <c r="BQ4" s="15">
        <v>16.438356164383599</v>
      </c>
      <c r="BR4" s="15">
        <v>20</v>
      </c>
      <c r="BS4" s="15">
        <v>25.3012048192771</v>
      </c>
      <c r="BT4" s="15">
        <v>30.487804878048799</v>
      </c>
      <c r="BU4" s="15">
        <v>30.841121495327101</v>
      </c>
      <c r="BV4" s="15">
        <v>39.393939393939398</v>
      </c>
      <c r="BW4" s="15">
        <v>18.840579710144901</v>
      </c>
      <c r="BX4" s="20" t="s">
        <v>76</v>
      </c>
      <c r="BY4" s="15">
        <v>17.460317460317501</v>
      </c>
      <c r="BZ4" s="15">
        <v>24.4897959183673</v>
      </c>
      <c r="CA4" s="32">
        <v>20.932028318660201</v>
      </c>
      <c r="CB4" s="15">
        <v>17.891373801916899</v>
      </c>
      <c r="CC4" s="15">
        <v>21.069182389937101</v>
      </c>
      <c r="CD4" s="15">
        <v>32.903225806451601</v>
      </c>
      <c r="CE4" s="20" t="s">
        <v>76</v>
      </c>
      <c r="CF4" s="15">
        <v>24.550898203592801</v>
      </c>
      <c r="CG4" s="15">
        <v>26.256983240223501</v>
      </c>
      <c r="CH4" s="15">
        <v>19.669117647058801</v>
      </c>
      <c r="CI4" s="15">
        <v>21.1498973305955</v>
      </c>
      <c r="CJ4" s="15">
        <v>27.843137254902</v>
      </c>
      <c r="CK4" s="15">
        <v>20.627802690583</v>
      </c>
      <c r="CL4" s="15">
        <v>21.818181818181799</v>
      </c>
      <c r="CM4" s="24">
        <v>25.0535331905782</v>
      </c>
      <c r="CN4" s="37"/>
    </row>
    <row r="5" spans="1:92">
      <c r="A5" s="9" t="s">
        <v>260</v>
      </c>
      <c r="B5" s="35">
        <v>27.130291813127599</v>
      </c>
      <c r="C5" s="32">
        <v>26.8245205866098</v>
      </c>
      <c r="D5" s="32">
        <v>24.907676646072002</v>
      </c>
      <c r="E5" s="32">
        <v>21.249868476796198</v>
      </c>
      <c r="F5" s="20" t="s">
        <v>76</v>
      </c>
      <c r="G5" s="15">
        <v>35.294117647058798</v>
      </c>
      <c r="H5" s="15">
        <v>21.739130434782599</v>
      </c>
      <c r="I5" s="15">
        <v>50</v>
      </c>
      <c r="J5" s="15">
        <v>14.5833333333333</v>
      </c>
      <c r="K5" s="15">
        <v>28.205128205128201</v>
      </c>
      <c r="L5" s="15">
        <v>14.7540983606557</v>
      </c>
      <c r="M5" s="15">
        <v>26.315789473684202</v>
      </c>
      <c r="N5" s="15">
        <v>20</v>
      </c>
      <c r="O5" s="15">
        <v>34.883720930232599</v>
      </c>
      <c r="P5" s="15">
        <v>22.5352112676056</v>
      </c>
      <c r="Q5" s="15">
        <v>18.309859154929601</v>
      </c>
      <c r="R5" s="20" t="s">
        <v>76</v>
      </c>
      <c r="S5" s="15">
        <v>29.268292682926798</v>
      </c>
      <c r="T5" s="15">
        <v>25</v>
      </c>
      <c r="U5" s="15">
        <v>28.571428571428601</v>
      </c>
      <c r="V5" s="15">
        <v>23.529411764705898</v>
      </c>
      <c r="W5" s="15">
        <v>20.338983050847499</v>
      </c>
      <c r="X5" s="20" t="s">
        <v>76</v>
      </c>
      <c r="Y5" s="20" t="s">
        <v>76</v>
      </c>
      <c r="Z5" s="15">
        <v>26.923076923076898</v>
      </c>
      <c r="AA5" s="15">
        <v>32.110091743119298</v>
      </c>
      <c r="AB5" s="15">
        <v>30.882352941176499</v>
      </c>
      <c r="AC5" s="15">
        <v>16.6666666666667</v>
      </c>
      <c r="AD5" s="20" t="s">
        <v>76</v>
      </c>
      <c r="AE5" s="15">
        <v>22.2222222222222</v>
      </c>
      <c r="AF5" s="15">
        <v>50</v>
      </c>
      <c r="AG5" s="15">
        <v>8.5714285714285694</v>
      </c>
      <c r="AH5" s="15">
        <v>28.571428571428601</v>
      </c>
      <c r="AI5" s="20" t="s">
        <v>76</v>
      </c>
      <c r="AJ5" s="15">
        <v>16.2162162162162</v>
      </c>
      <c r="AK5" s="15">
        <v>33.3333333333333</v>
      </c>
      <c r="AL5" s="15">
        <v>13.3333333333333</v>
      </c>
      <c r="AM5" s="15">
        <v>17.1875</v>
      </c>
      <c r="AN5" s="20" t="s">
        <v>76</v>
      </c>
      <c r="AO5" s="15">
        <v>12.5</v>
      </c>
      <c r="AP5" s="15">
        <v>20.7792207792208</v>
      </c>
      <c r="AQ5" s="15">
        <v>20.5128205128205</v>
      </c>
      <c r="AR5" s="15">
        <v>20</v>
      </c>
      <c r="AS5" s="20" t="s">
        <v>76</v>
      </c>
      <c r="AT5" s="15">
        <v>24.615384615384599</v>
      </c>
      <c r="AU5" s="15">
        <v>12.244897959183699</v>
      </c>
      <c r="AV5" s="20" t="s">
        <v>76</v>
      </c>
      <c r="AW5" s="15">
        <v>18.965517241379299</v>
      </c>
      <c r="AX5" s="20" t="s">
        <v>76</v>
      </c>
      <c r="AY5" s="15">
        <v>22.8571428571429</v>
      </c>
      <c r="AZ5" s="15">
        <v>42</v>
      </c>
      <c r="BA5" s="15">
        <v>18.867924528301899</v>
      </c>
      <c r="BB5" s="15">
        <v>19.402985074626901</v>
      </c>
      <c r="BC5" s="15">
        <v>29.729729729729701</v>
      </c>
      <c r="BD5" s="15">
        <v>14.1025641025641</v>
      </c>
      <c r="BE5" s="15">
        <v>34.482758620689701</v>
      </c>
      <c r="BF5" s="15">
        <v>22.891566265060199</v>
      </c>
      <c r="BG5" s="15">
        <v>23.880597014925399</v>
      </c>
      <c r="BH5" s="20" t="s">
        <v>76</v>
      </c>
      <c r="BI5" s="20" t="s">
        <v>76</v>
      </c>
      <c r="BJ5" s="15">
        <v>20.535714285714299</v>
      </c>
      <c r="BK5" s="15">
        <v>15</v>
      </c>
      <c r="BL5" s="15">
        <v>17.96875</v>
      </c>
      <c r="BM5" s="15">
        <v>25.742574257425701</v>
      </c>
      <c r="BN5" s="15">
        <v>21.848739495798299</v>
      </c>
      <c r="BO5" s="15">
        <v>23.3333333333333</v>
      </c>
      <c r="BP5" s="20" t="s">
        <v>76</v>
      </c>
      <c r="BQ5" s="15">
        <v>13.698630136986299</v>
      </c>
      <c r="BR5" s="15">
        <v>18.3333333333333</v>
      </c>
      <c r="BS5" s="15">
        <v>24.096385542168701</v>
      </c>
      <c r="BT5" s="15">
        <v>39.024390243902403</v>
      </c>
      <c r="BU5" s="15">
        <v>26.1682242990654</v>
      </c>
      <c r="BV5" s="15">
        <v>34.343434343434303</v>
      </c>
      <c r="BW5" s="15">
        <v>10.144927536231901</v>
      </c>
      <c r="BX5" s="20" t="s">
        <v>76</v>
      </c>
      <c r="BY5" s="20" t="s">
        <v>76</v>
      </c>
      <c r="BZ5" s="15">
        <v>23.8095238095238</v>
      </c>
      <c r="CA5" s="32">
        <v>27.8616152259447</v>
      </c>
      <c r="CB5" s="15">
        <v>39.936102236421704</v>
      </c>
      <c r="CC5" s="15">
        <v>27.044025157232699</v>
      </c>
      <c r="CD5" s="15">
        <v>27.096774193548399</v>
      </c>
      <c r="CE5" s="20" t="s">
        <v>76</v>
      </c>
      <c r="CF5" s="15">
        <v>26.946107784431099</v>
      </c>
      <c r="CG5" s="15">
        <v>44.134078212290497</v>
      </c>
      <c r="CH5" s="15">
        <v>27.389705882352899</v>
      </c>
      <c r="CI5" s="15">
        <v>24.024640657084198</v>
      </c>
      <c r="CJ5" s="15">
        <v>42.352941176470601</v>
      </c>
      <c r="CK5" s="15">
        <v>25.5605381165919</v>
      </c>
      <c r="CL5" s="15">
        <v>16.818181818181799</v>
      </c>
      <c r="CM5" s="24">
        <v>26.338329764453999</v>
      </c>
      <c r="CN5" s="37"/>
    </row>
    <row r="6" spans="1:92">
      <c r="A6" s="9" t="s">
        <v>261</v>
      </c>
      <c r="B6" s="35">
        <v>46.087348451858396</v>
      </c>
      <c r="C6" s="32">
        <v>44.554265255603802</v>
      </c>
      <c r="D6" s="32">
        <v>43.946676047063399</v>
      </c>
      <c r="E6" s="32">
        <v>52.235806195782502</v>
      </c>
      <c r="F6" s="15">
        <v>70.588235294117595</v>
      </c>
      <c r="G6" s="15">
        <v>47.058823529411796</v>
      </c>
      <c r="H6" s="15">
        <v>65.2173913043478</v>
      </c>
      <c r="I6" s="15">
        <v>60</v>
      </c>
      <c r="J6" s="15">
        <v>50.6944444444444</v>
      </c>
      <c r="K6" s="15">
        <v>58.974358974358999</v>
      </c>
      <c r="L6" s="15">
        <v>65.573770491803302</v>
      </c>
      <c r="M6" s="15">
        <v>67.105263157894697</v>
      </c>
      <c r="N6" s="15">
        <v>47.058823529411796</v>
      </c>
      <c r="O6" s="15">
        <v>58.139534883720899</v>
      </c>
      <c r="P6" s="15">
        <v>54.9295774647887</v>
      </c>
      <c r="Q6" s="15">
        <v>64.788732394366207</v>
      </c>
      <c r="R6" s="15">
        <v>23.076923076923102</v>
      </c>
      <c r="S6" s="15">
        <v>56.097560975609802</v>
      </c>
      <c r="T6" s="15">
        <v>37.5</v>
      </c>
      <c r="U6" s="15">
        <v>52.380952380952401</v>
      </c>
      <c r="V6" s="15">
        <v>50</v>
      </c>
      <c r="W6" s="15">
        <v>66.1016949152542</v>
      </c>
      <c r="X6" s="15">
        <v>76.923076923076906</v>
      </c>
      <c r="Y6" s="15">
        <v>62.5</v>
      </c>
      <c r="Z6" s="15">
        <v>35.897435897435898</v>
      </c>
      <c r="AA6" s="15">
        <v>62.385321100917402</v>
      </c>
      <c r="AB6" s="15">
        <v>60.294117647058798</v>
      </c>
      <c r="AC6" s="15">
        <v>56.818181818181799</v>
      </c>
      <c r="AD6" s="15">
        <v>59.375</v>
      </c>
      <c r="AE6" s="15">
        <v>62.962962962962997</v>
      </c>
      <c r="AF6" s="15">
        <v>78.571428571428598</v>
      </c>
      <c r="AG6" s="15">
        <v>39.047619047619001</v>
      </c>
      <c r="AH6" s="15">
        <v>35.714285714285701</v>
      </c>
      <c r="AI6" s="20" t="s">
        <v>76</v>
      </c>
      <c r="AJ6" s="15">
        <v>55.8558558558559</v>
      </c>
      <c r="AK6" s="15">
        <v>60</v>
      </c>
      <c r="AL6" s="15">
        <v>48.8888888888889</v>
      </c>
      <c r="AM6" s="15">
        <v>50</v>
      </c>
      <c r="AN6" s="20" t="s">
        <v>76</v>
      </c>
      <c r="AO6" s="15">
        <v>20</v>
      </c>
      <c r="AP6" s="15">
        <v>36.363636363636402</v>
      </c>
      <c r="AQ6" s="15">
        <v>38.461538461538503</v>
      </c>
      <c r="AR6" s="15">
        <v>45.454545454545503</v>
      </c>
      <c r="AS6" s="20" t="s">
        <v>76</v>
      </c>
      <c r="AT6" s="15">
        <v>55.384615384615401</v>
      </c>
      <c r="AU6" s="15">
        <v>61.224489795918402</v>
      </c>
      <c r="AV6" s="15">
        <v>35.616438356164402</v>
      </c>
      <c r="AW6" s="15">
        <v>51.724137931034498</v>
      </c>
      <c r="AX6" s="15">
        <v>56.25</v>
      </c>
      <c r="AY6" s="15">
        <v>42.857142857142897</v>
      </c>
      <c r="AZ6" s="15">
        <v>52</v>
      </c>
      <c r="BA6" s="15">
        <v>52.830188679245303</v>
      </c>
      <c r="BB6" s="15">
        <v>56.716417910447802</v>
      </c>
      <c r="BC6" s="15">
        <v>52.702702702702702</v>
      </c>
      <c r="BD6" s="15">
        <v>51.282051282051299</v>
      </c>
      <c r="BE6" s="15">
        <v>68.965517241379303</v>
      </c>
      <c r="BF6" s="15">
        <v>53.012048192771097</v>
      </c>
      <c r="BG6" s="15">
        <v>46.268656716417901</v>
      </c>
      <c r="BH6" s="15">
        <v>37.5</v>
      </c>
      <c r="BI6" s="15">
        <v>63.157894736842103</v>
      </c>
      <c r="BJ6" s="15">
        <v>51.785714285714299</v>
      </c>
      <c r="BK6" s="15">
        <v>45</v>
      </c>
      <c r="BL6" s="15">
        <v>48.4375</v>
      </c>
      <c r="BM6" s="15">
        <v>51.485148514851502</v>
      </c>
      <c r="BN6" s="15">
        <v>50.420168067226903</v>
      </c>
      <c r="BO6" s="15">
        <v>54.4444444444444</v>
      </c>
      <c r="BP6" s="15">
        <v>46.6666666666667</v>
      </c>
      <c r="BQ6" s="15">
        <v>58.904109589041099</v>
      </c>
      <c r="BR6" s="15">
        <v>56.6666666666667</v>
      </c>
      <c r="BS6" s="15">
        <v>67.469879518072304</v>
      </c>
      <c r="BT6" s="15">
        <v>57.317073170731703</v>
      </c>
      <c r="BU6" s="15">
        <v>57.943925233644897</v>
      </c>
      <c r="BV6" s="15">
        <v>66.6666666666667</v>
      </c>
      <c r="BW6" s="15">
        <v>34.7826086956522</v>
      </c>
      <c r="BX6" s="20" t="s">
        <v>76</v>
      </c>
      <c r="BY6" s="15">
        <v>36.507936507936499</v>
      </c>
      <c r="BZ6" s="15">
        <v>41.496598639455797</v>
      </c>
      <c r="CA6" s="32">
        <v>37.252617691144899</v>
      </c>
      <c r="CB6" s="15">
        <v>36.741214057508003</v>
      </c>
      <c r="CC6" s="15">
        <v>38.050314465408803</v>
      </c>
      <c r="CD6" s="15">
        <v>46.451612903225801</v>
      </c>
      <c r="CE6" s="15">
        <v>70</v>
      </c>
      <c r="CF6" s="15">
        <v>39.520958083832298</v>
      </c>
      <c r="CG6" s="15">
        <v>41.340782122904997</v>
      </c>
      <c r="CH6" s="15">
        <v>34.375</v>
      </c>
      <c r="CI6" s="15">
        <v>40.657084188911703</v>
      </c>
      <c r="CJ6" s="15">
        <v>43.137254901960802</v>
      </c>
      <c r="CK6" s="15">
        <v>39.013452914798201</v>
      </c>
      <c r="CL6" s="15">
        <v>41.212121212121197</v>
      </c>
      <c r="CM6" s="24">
        <v>38.9721627408994</v>
      </c>
      <c r="CN6" s="37"/>
    </row>
    <row r="7" spans="1:92">
      <c r="A7" s="9" t="s">
        <v>262</v>
      </c>
      <c r="B7" s="35">
        <v>24.199306116889499</v>
      </c>
      <c r="C7" s="32">
        <v>23.590412781819101</v>
      </c>
      <c r="D7" s="32">
        <v>24.5750390584451</v>
      </c>
      <c r="E7" s="32">
        <v>33.010809573337703</v>
      </c>
      <c r="F7" s="15">
        <v>35.294117647058798</v>
      </c>
      <c r="G7" s="15">
        <v>35.294117647058798</v>
      </c>
      <c r="H7" s="15">
        <v>47.826086956521699</v>
      </c>
      <c r="I7" s="15">
        <v>60</v>
      </c>
      <c r="J7" s="15">
        <v>38.1944444444444</v>
      </c>
      <c r="K7" s="15">
        <v>41.025641025641001</v>
      </c>
      <c r="L7" s="15">
        <v>39.344262295081997</v>
      </c>
      <c r="M7" s="15">
        <v>59.210526315789501</v>
      </c>
      <c r="N7" s="15">
        <v>43.529411764705898</v>
      </c>
      <c r="O7" s="15">
        <v>27.906976744186</v>
      </c>
      <c r="P7" s="15">
        <v>29.577464788732399</v>
      </c>
      <c r="Q7" s="15">
        <v>35.2112676056338</v>
      </c>
      <c r="R7" s="20" t="s">
        <v>76</v>
      </c>
      <c r="S7" s="15">
        <v>46.341463414634099</v>
      </c>
      <c r="T7" s="15">
        <v>31.25</v>
      </c>
      <c r="U7" s="20" t="s">
        <v>76</v>
      </c>
      <c r="V7" s="15">
        <v>35.294117647058798</v>
      </c>
      <c r="W7" s="15">
        <v>44.067796610169502</v>
      </c>
      <c r="X7" s="15">
        <v>38.461538461538503</v>
      </c>
      <c r="Y7" s="20" t="s">
        <v>76</v>
      </c>
      <c r="Z7" s="15">
        <v>29.4871794871795</v>
      </c>
      <c r="AA7" s="15">
        <v>36.697247706421997</v>
      </c>
      <c r="AB7" s="15">
        <v>39.705882352941202</v>
      </c>
      <c r="AC7" s="15">
        <v>31.060606060606101</v>
      </c>
      <c r="AD7" s="15">
        <v>25</v>
      </c>
      <c r="AE7" s="15">
        <v>33.3333333333333</v>
      </c>
      <c r="AF7" s="20" t="s">
        <v>76</v>
      </c>
      <c r="AG7" s="15">
        <v>33.3333333333333</v>
      </c>
      <c r="AH7" s="15">
        <v>21.428571428571399</v>
      </c>
      <c r="AI7" s="20" t="s">
        <v>76</v>
      </c>
      <c r="AJ7" s="15">
        <v>24.324324324324301</v>
      </c>
      <c r="AK7" s="15">
        <v>50</v>
      </c>
      <c r="AL7" s="15">
        <v>32.2222222222222</v>
      </c>
      <c r="AM7" s="15">
        <v>34.375</v>
      </c>
      <c r="AN7" s="20" t="s">
        <v>76</v>
      </c>
      <c r="AO7" s="15">
        <v>15</v>
      </c>
      <c r="AP7" s="15">
        <v>33.766233766233803</v>
      </c>
      <c r="AQ7" s="15">
        <v>35.897435897435898</v>
      </c>
      <c r="AR7" s="15">
        <v>32.727272727272698</v>
      </c>
      <c r="AS7" s="20" t="s">
        <v>76</v>
      </c>
      <c r="AT7" s="15">
        <v>32.307692307692299</v>
      </c>
      <c r="AU7" s="15">
        <v>26.530612244897998</v>
      </c>
      <c r="AV7" s="15">
        <v>39.726027397260303</v>
      </c>
      <c r="AW7" s="15">
        <v>28.448275862069</v>
      </c>
      <c r="AX7" s="15">
        <v>56.25</v>
      </c>
      <c r="AY7" s="15">
        <v>37.142857142857103</v>
      </c>
      <c r="AZ7" s="15">
        <v>28</v>
      </c>
      <c r="BA7" s="15">
        <v>41.509433962264097</v>
      </c>
      <c r="BB7" s="15">
        <v>32.835820895522403</v>
      </c>
      <c r="BC7" s="15">
        <v>24.324324324324301</v>
      </c>
      <c r="BD7" s="15">
        <v>28.205128205128201</v>
      </c>
      <c r="BE7" s="15">
        <v>29.310344827586199</v>
      </c>
      <c r="BF7" s="15">
        <v>44.578313253011999</v>
      </c>
      <c r="BG7" s="15">
        <v>14.9253731343284</v>
      </c>
      <c r="BH7" s="20" t="s">
        <v>76</v>
      </c>
      <c r="BI7" s="15">
        <v>42.105263157894697</v>
      </c>
      <c r="BJ7" s="15">
        <v>42.857142857142897</v>
      </c>
      <c r="BK7" s="15">
        <v>22.5</v>
      </c>
      <c r="BL7" s="15">
        <v>23.4375</v>
      </c>
      <c r="BM7" s="15">
        <v>29.702970297029701</v>
      </c>
      <c r="BN7" s="15">
        <v>31.092436974789901</v>
      </c>
      <c r="BO7" s="15">
        <v>26.6666666666667</v>
      </c>
      <c r="BP7" s="15">
        <v>40</v>
      </c>
      <c r="BQ7" s="15">
        <v>15.068493150684899</v>
      </c>
      <c r="BR7" s="15">
        <v>36.6666666666667</v>
      </c>
      <c r="BS7" s="15">
        <v>27.710843373494001</v>
      </c>
      <c r="BT7" s="15">
        <v>39.024390243902403</v>
      </c>
      <c r="BU7" s="15">
        <v>38.317757009345797</v>
      </c>
      <c r="BV7" s="15">
        <v>36.363636363636402</v>
      </c>
      <c r="BW7" s="15">
        <v>33.3333333333333</v>
      </c>
      <c r="BX7" s="20" t="s">
        <v>76</v>
      </c>
      <c r="BY7" s="15">
        <v>25.396825396825399</v>
      </c>
      <c r="BZ7" s="15">
        <v>31.292517006802701</v>
      </c>
      <c r="CA7" s="32">
        <v>17.762558244332901</v>
      </c>
      <c r="CB7" s="15">
        <v>15.015974440894601</v>
      </c>
      <c r="CC7" s="15">
        <v>18.867924528301899</v>
      </c>
      <c r="CD7" s="15">
        <v>20.645161290322601</v>
      </c>
      <c r="CE7" s="20" t="s">
        <v>76</v>
      </c>
      <c r="CF7" s="15">
        <v>23.053892215568901</v>
      </c>
      <c r="CG7" s="15">
        <v>23.463687150837998</v>
      </c>
      <c r="CH7" s="15">
        <v>17.279411764705898</v>
      </c>
      <c r="CI7" s="15">
        <v>20.5338809034908</v>
      </c>
      <c r="CJ7" s="15">
        <v>25.098039215686299</v>
      </c>
      <c r="CK7" s="15">
        <v>21.076233183856498</v>
      </c>
      <c r="CL7" s="15">
        <v>17.8787878787879</v>
      </c>
      <c r="CM7" s="24">
        <v>17.130620985010701</v>
      </c>
      <c r="CN7" s="37"/>
    </row>
    <row r="8" spans="1:92">
      <c r="A8" s="9" t="s">
        <v>263</v>
      </c>
      <c r="B8" s="35">
        <v>3.2585078492217199</v>
      </c>
      <c r="C8" s="32">
        <v>2.94022370563119</v>
      </c>
      <c r="D8" s="32">
        <v>2.43721019113545</v>
      </c>
      <c r="E8" s="32">
        <v>3.5416664431193099</v>
      </c>
      <c r="F8" s="20" t="s">
        <v>76</v>
      </c>
      <c r="G8" s="20" t="s">
        <v>76</v>
      </c>
      <c r="H8" s="20" t="s">
        <v>76</v>
      </c>
      <c r="I8" s="20" t="s">
        <v>76</v>
      </c>
      <c r="J8" s="20" t="s">
        <v>76</v>
      </c>
      <c r="K8" s="20" t="s">
        <v>76</v>
      </c>
      <c r="L8" s="20" t="s">
        <v>76</v>
      </c>
      <c r="M8" s="15">
        <v>9.2105263157894708</v>
      </c>
      <c r="N8" s="20" t="s">
        <v>76</v>
      </c>
      <c r="O8" s="20" t="s">
        <v>76</v>
      </c>
      <c r="P8" s="20" t="s">
        <v>76</v>
      </c>
      <c r="Q8" s="20" t="s">
        <v>76</v>
      </c>
      <c r="R8" s="20" t="s">
        <v>76</v>
      </c>
      <c r="S8" s="20" t="s">
        <v>76</v>
      </c>
      <c r="T8" s="20" t="s">
        <v>76</v>
      </c>
      <c r="U8" s="20" t="s">
        <v>76</v>
      </c>
      <c r="V8" s="20" t="s">
        <v>76</v>
      </c>
      <c r="W8" s="20" t="s">
        <v>76</v>
      </c>
      <c r="X8" s="20" t="s">
        <v>76</v>
      </c>
      <c r="Y8" s="20" t="s">
        <v>76</v>
      </c>
      <c r="Z8" s="20" t="s">
        <v>76</v>
      </c>
      <c r="AA8" s="15">
        <v>7.3394495412843996</v>
      </c>
      <c r="AB8" s="15">
        <v>7.3529411764705896</v>
      </c>
      <c r="AC8" s="20" t="s">
        <v>76</v>
      </c>
      <c r="AD8" s="20" t="s">
        <v>76</v>
      </c>
      <c r="AE8" s="20" t="s">
        <v>76</v>
      </c>
      <c r="AF8" s="20" t="s">
        <v>76</v>
      </c>
      <c r="AG8" s="20" t="s">
        <v>76</v>
      </c>
      <c r="AH8" s="15">
        <v>30.3571428571429</v>
      </c>
      <c r="AI8" s="20" t="s">
        <v>76</v>
      </c>
      <c r="AJ8" s="20" t="s">
        <v>76</v>
      </c>
      <c r="AK8" s="20" t="s">
        <v>76</v>
      </c>
      <c r="AL8" s="20" t="s">
        <v>76</v>
      </c>
      <c r="AM8" s="20" t="s">
        <v>76</v>
      </c>
      <c r="AN8" s="20" t="s">
        <v>76</v>
      </c>
      <c r="AO8" s="20" t="s">
        <v>76</v>
      </c>
      <c r="AP8" s="20" t="s">
        <v>76</v>
      </c>
      <c r="AQ8" s="20" t="s">
        <v>76</v>
      </c>
      <c r="AR8" s="20" t="s">
        <v>76</v>
      </c>
      <c r="AS8" s="20" t="s">
        <v>76</v>
      </c>
      <c r="AT8" s="20" t="s">
        <v>76</v>
      </c>
      <c r="AU8" s="20" t="s">
        <v>76</v>
      </c>
      <c r="AV8" s="20" t="s">
        <v>76</v>
      </c>
      <c r="AW8" s="20" t="s">
        <v>76</v>
      </c>
      <c r="AX8" s="20" t="s">
        <v>76</v>
      </c>
      <c r="AY8" s="20" t="s">
        <v>76</v>
      </c>
      <c r="AZ8" s="20" t="s">
        <v>76</v>
      </c>
      <c r="BA8" s="20" t="s">
        <v>76</v>
      </c>
      <c r="BB8" s="20" t="s">
        <v>76</v>
      </c>
      <c r="BC8" s="20" t="s">
        <v>76</v>
      </c>
      <c r="BD8" s="20" t="s">
        <v>76</v>
      </c>
      <c r="BE8" s="20" t="s">
        <v>76</v>
      </c>
      <c r="BF8" s="15">
        <v>8.4337349397590398</v>
      </c>
      <c r="BG8" s="20" t="s">
        <v>76</v>
      </c>
      <c r="BH8" s="20" t="s">
        <v>76</v>
      </c>
      <c r="BI8" s="20" t="s">
        <v>76</v>
      </c>
      <c r="BJ8" s="20" t="s">
        <v>76</v>
      </c>
      <c r="BK8" s="20" t="s">
        <v>76</v>
      </c>
      <c r="BL8" s="20" t="s">
        <v>76</v>
      </c>
      <c r="BM8" s="20" t="s">
        <v>76</v>
      </c>
      <c r="BN8" s="15">
        <v>5.0420168067226898</v>
      </c>
      <c r="BO8" s="20" t="s">
        <v>76</v>
      </c>
      <c r="BP8" s="20" t="s">
        <v>76</v>
      </c>
      <c r="BQ8" s="20" t="s">
        <v>76</v>
      </c>
      <c r="BR8" s="20" t="s">
        <v>76</v>
      </c>
      <c r="BS8" s="20" t="s">
        <v>76</v>
      </c>
      <c r="BT8" s="20" t="s">
        <v>76</v>
      </c>
      <c r="BU8" s="20" t="s">
        <v>76</v>
      </c>
      <c r="BV8" s="15">
        <v>6.0606060606060597</v>
      </c>
      <c r="BW8" s="20" t="s">
        <v>76</v>
      </c>
      <c r="BX8" s="20" t="s">
        <v>76</v>
      </c>
      <c r="BY8" s="20" t="s">
        <v>76</v>
      </c>
      <c r="BZ8" s="20" t="s">
        <v>76</v>
      </c>
      <c r="CA8" s="32">
        <v>1.5452837199988501</v>
      </c>
      <c r="CB8" s="20" t="s">
        <v>76</v>
      </c>
      <c r="CC8" s="15">
        <v>2.2012578616352201</v>
      </c>
      <c r="CD8" s="20" t="s">
        <v>76</v>
      </c>
      <c r="CE8" s="20" t="s">
        <v>76</v>
      </c>
      <c r="CF8" s="15">
        <v>2.6946107784431099</v>
      </c>
      <c r="CG8" s="20" t="s">
        <v>76</v>
      </c>
      <c r="CH8" s="15">
        <v>1.2867647058823499</v>
      </c>
      <c r="CI8" s="15">
        <v>2.4640657084188899</v>
      </c>
      <c r="CJ8" s="15">
        <v>2.7450980392156898</v>
      </c>
      <c r="CK8" s="20" t="s">
        <v>76</v>
      </c>
      <c r="CL8" s="15">
        <v>1.6666666666666701</v>
      </c>
      <c r="CM8" s="24">
        <v>1.0706638115631699</v>
      </c>
      <c r="CN8" s="37"/>
    </row>
    <row r="9" spans="1:92">
      <c r="A9" s="9" t="s">
        <v>264</v>
      </c>
      <c r="B9" s="35">
        <v>13.4211726164566</v>
      </c>
      <c r="C9" s="32">
        <v>13.316606782085</v>
      </c>
      <c r="D9" s="32">
        <v>13.5698023524509</v>
      </c>
      <c r="E9" s="32">
        <v>20.015387747546601</v>
      </c>
      <c r="F9" s="20" t="s">
        <v>76</v>
      </c>
      <c r="G9" s="20" t="s">
        <v>76</v>
      </c>
      <c r="H9" s="15">
        <v>26.086956521739101</v>
      </c>
      <c r="I9" s="20" t="s">
        <v>76</v>
      </c>
      <c r="J9" s="15">
        <v>20.1388888888889</v>
      </c>
      <c r="K9" s="15">
        <v>23.076923076923102</v>
      </c>
      <c r="L9" s="15">
        <v>22.9508196721311</v>
      </c>
      <c r="M9" s="15">
        <v>21.052631578947398</v>
      </c>
      <c r="N9" s="15">
        <v>21.176470588235301</v>
      </c>
      <c r="O9" s="15">
        <v>23.255813953488399</v>
      </c>
      <c r="P9" s="15">
        <v>19.7183098591549</v>
      </c>
      <c r="Q9" s="15">
        <v>26.760563380281699</v>
      </c>
      <c r="R9" s="20" t="s">
        <v>76</v>
      </c>
      <c r="S9" s="15">
        <v>24.390243902439</v>
      </c>
      <c r="T9" s="15">
        <v>25</v>
      </c>
      <c r="U9" s="20" t="s">
        <v>76</v>
      </c>
      <c r="V9" s="15">
        <v>17.647058823529399</v>
      </c>
      <c r="W9" s="15">
        <v>16.9491525423729</v>
      </c>
      <c r="X9" s="20" t="s">
        <v>76</v>
      </c>
      <c r="Y9" s="20" t="s">
        <v>76</v>
      </c>
      <c r="Z9" s="15">
        <v>15.384615384615399</v>
      </c>
      <c r="AA9" s="15">
        <v>35.779816513761503</v>
      </c>
      <c r="AB9" s="15">
        <v>22.0588235294118</v>
      </c>
      <c r="AC9" s="15">
        <v>13.636363636363599</v>
      </c>
      <c r="AD9" s="20" t="s">
        <v>76</v>
      </c>
      <c r="AE9" s="15">
        <v>22.2222222222222</v>
      </c>
      <c r="AF9" s="20" t="s">
        <v>76</v>
      </c>
      <c r="AG9" s="15">
        <v>14.285714285714301</v>
      </c>
      <c r="AH9" s="15">
        <v>10.714285714285699</v>
      </c>
      <c r="AI9" s="20" t="s">
        <v>76</v>
      </c>
      <c r="AJ9" s="15">
        <v>17.1171171171171</v>
      </c>
      <c r="AK9" s="15">
        <v>23.3333333333333</v>
      </c>
      <c r="AL9" s="15">
        <v>15.5555555555556</v>
      </c>
      <c r="AM9" s="15">
        <v>29.6875</v>
      </c>
      <c r="AN9" s="20" t="s">
        <v>76</v>
      </c>
      <c r="AO9" s="20" t="s">
        <v>76</v>
      </c>
      <c r="AP9" s="15">
        <v>15.5844155844156</v>
      </c>
      <c r="AQ9" s="15">
        <v>17.948717948717899</v>
      </c>
      <c r="AR9" s="15">
        <v>20</v>
      </c>
      <c r="AS9" s="20" t="s">
        <v>76</v>
      </c>
      <c r="AT9" s="15">
        <v>13.846153846153801</v>
      </c>
      <c r="AU9" s="15">
        <v>16.326530612244898</v>
      </c>
      <c r="AV9" s="15">
        <v>12.328767123287699</v>
      </c>
      <c r="AW9" s="15">
        <v>14.6551724137931</v>
      </c>
      <c r="AX9" s="15">
        <v>31.25</v>
      </c>
      <c r="AY9" s="15">
        <v>42.857142857142897</v>
      </c>
      <c r="AZ9" s="15">
        <v>16</v>
      </c>
      <c r="BA9" s="15">
        <v>13.207547169811299</v>
      </c>
      <c r="BB9" s="15">
        <v>25.373134328358201</v>
      </c>
      <c r="BC9" s="15">
        <v>16.2162162162162</v>
      </c>
      <c r="BD9" s="15">
        <v>16.6666666666667</v>
      </c>
      <c r="BE9" s="15">
        <v>18.965517241379299</v>
      </c>
      <c r="BF9" s="15">
        <v>20.481927710843401</v>
      </c>
      <c r="BG9" s="15">
        <v>16.417910447761201</v>
      </c>
      <c r="BH9" s="20" t="s">
        <v>76</v>
      </c>
      <c r="BI9" s="15">
        <v>36.842105263157897</v>
      </c>
      <c r="BJ9" s="15">
        <v>23.214285714285701</v>
      </c>
      <c r="BK9" s="15">
        <v>27.5</v>
      </c>
      <c r="BL9" s="15">
        <v>17.96875</v>
      </c>
      <c r="BM9" s="15">
        <v>29.702970297029701</v>
      </c>
      <c r="BN9" s="15">
        <v>26.050420168067198</v>
      </c>
      <c r="BO9" s="15">
        <v>14.4444444444444</v>
      </c>
      <c r="BP9" s="15">
        <v>46.6666666666667</v>
      </c>
      <c r="BQ9" s="15">
        <v>15.068493150684899</v>
      </c>
      <c r="BR9" s="15">
        <v>23.3333333333333</v>
      </c>
      <c r="BS9" s="15">
        <v>15.662650602409601</v>
      </c>
      <c r="BT9" s="15">
        <v>23.170731707317099</v>
      </c>
      <c r="BU9" s="15">
        <v>25.233644859813101</v>
      </c>
      <c r="BV9" s="15">
        <v>32.323232323232297</v>
      </c>
      <c r="BW9" s="15">
        <v>20.289855072463801</v>
      </c>
      <c r="BX9" s="20" t="s">
        <v>76</v>
      </c>
      <c r="BY9" s="15">
        <v>14.285714285714301</v>
      </c>
      <c r="BZ9" s="15">
        <v>15.6462585034014</v>
      </c>
      <c r="CA9" s="32">
        <v>8.3645366612740695</v>
      </c>
      <c r="CB9" s="15">
        <v>11.182108626198101</v>
      </c>
      <c r="CC9" s="15">
        <v>10.377358490565999</v>
      </c>
      <c r="CD9" s="15">
        <v>4.5161290322580596</v>
      </c>
      <c r="CE9" s="15">
        <v>60</v>
      </c>
      <c r="CF9" s="15">
        <v>9.8802395209580904</v>
      </c>
      <c r="CG9" s="15">
        <v>10.055865921787699</v>
      </c>
      <c r="CH9" s="15">
        <v>7.3529411764705896</v>
      </c>
      <c r="CI9" s="15">
        <v>10.8829568788501</v>
      </c>
      <c r="CJ9" s="15">
        <v>12.5490196078431</v>
      </c>
      <c r="CK9" s="15">
        <v>10.3139013452915</v>
      </c>
      <c r="CL9" s="15">
        <v>8.7878787878787907</v>
      </c>
      <c r="CM9" s="24">
        <v>6.6381156316916501</v>
      </c>
      <c r="CN9" s="37"/>
    </row>
    <row r="10" spans="1:92">
      <c r="A10" s="9" t="s">
        <v>265</v>
      </c>
      <c r="B10" s="35">
        <v>29.959504091290501</v>
      </c>
      <c r="C10" s="32">
        <v>29.4594205633868</v>
      </c>
      <c r="D10" s="32">
        <v>29.1275362777493</v>
      </c>
      <c r="E10" s="32">
        <v>27.7464758644815</v>
      </c>
      <c r="F10" s="15">
        <v>29.411764705882401</v>
      </c>
      <c r="G10" s="20" t="s">
        <v>76</v>
      </c>
      <c r="H10" s="15">
        <v>34.7826086956522</v>
      </c>
      <c r="I10" s="15">
        <v>50</v>
      </c>
      <c r="J10" s="15">
        <v>25.6944444444444</v>
      </c>
      <c r="K10" s="15">
        <v>28.205128205128201</v>
      </c>
      <c r="L10" s="15">
        <v>31.1475409836066</v>
      </c>
      <c r="M10" s="15">
        <v>30.2631578947368</v>
      </c>
      <c r="N10" s="15">
        <v>27.0588235294118</v>
      </c>
      <c r="O10" s="15">
        <v>25.581395348837201</v>
      </c>
      <c r="P10" s="15">
        <v>35.2112676056338</v>
      </c>
      <c r="Q10" s="15">
        <v>42.253521126760603</v>
      </c>
      <c r="R10" s="20" t="s">
        <v>76</v>
      </c>
      <c r="S10" s="15">
        <v>24.390243902439</v>
      </c>
      <c r="T10" s="15">
        <v>29.1666666666667</v>
      </c>
      <c r="U10" s="20" t="s">
        <v>76</v>
      </c>
      <c r="V10" s="20" t="s">
        <v>76</v>
      </c>
      <c r="W10" s="15">
        <v>33.8983050847458</v>
      </c>
      <c r="X10" s="15">
        <v>38.461538461538503</v>
      </c>
      <c r="Y10" s="20" t="s">
        <v>76</v>
      </c>
      <c r="Z10" s="15">
        <v>28.205128205128201</v>
      </c>
      <c r="AA10" s="15">
        <v>43.119266055045898</v>
      </c>
      <c r="AB10" s="15">
        <v>25</v>
      </c>
      <c r="AC10" s="15">
        <v>27.272727272727298</v>
      </c>
      <c r="AD10" s="15">
        <v>15.625</v>
      </c>
      <c r="AE10" s="15">
        <v>29.629629629629601</v>
      </c>
      <c r="AF10" s="20" t="s">
        <v>76</v>
      </c>
      <c r="AG10" s="15">
        <v>19.047619047619001</v>
      </c>
      <c r="AH10" s="15">
        <v>30.3571428571429</v>
      </c>
      <c r="AI10" s="20" t="s">
        <v>76</v>
      </c>
      <c r="AJ10" s="15">
        <v>32.4324324324324</v>
      </c>
      <c r="AK10" s="15">
        <v>33.3333333333333</v>
      </c>
      <c r="AL10" s="15">
        <v>36.6666666666667</v>
      </c>
      <c r="AM10" s="15">
        <v>29.6875</v>
      </c>
      <c r="AN10" s="20" t="s">
        <v>76</v>
      </c>
      <c r="AO10" s="15">
        <v>22.5</v>
      </c>
      <c r="AP10" s="15">
        <v>24.675324675324699</v>
      </c>
      <c r="AQ10" s="15">
        <v>25.6410256410256</v>
      </c>
      <c r="AR10" s="15">
        <v>29.090909090909101</v>
      </c>
      <c r="AS10" s="20" t="s">
        <v>76</v>
      </c>
      <c r="AT10" s="15">
        <v>29.230769230769202</v>
      </c>
      <c r="AU10" s="15">
        <v>14.285714285714301</v>
      </c>
      <c r="AV10" s="15">
        <v>24.657534246575299</v>
      </c>
      <c r="AW10" s="15">
        <v>22.413793103448299</v>
      </c>
      <c r="AX10" s="15">
        <v>31.25</v>
      </c>
      <c r="AY10" s="15">
        <v>42.857142857142897</v>
      </c>
      <c r="AZ10" s="15">
        <v>12</v>
      </c>
      <c r="BA10" s="15">
        <v>30.188679245283002</v>
      </c>
      <c r="BB10" s="15">
        <v>28.358208955223901</v>
      </c>
      <c r="BC10" s="15">
        <v>14.8648648648649</v>
      </c>
      <c r="BD10" s="15">
        <v>33.3333333333333</v>
      </c>
      <c r="BE10" s="15">
        <v>27.586206896551701</v>
      </c>
      <c r="BF10" s="15">
        <v>36.144578313253</v>
      </c>
      <c r="BG10" s="15">
        <v>17.910447761194</v>
      </c>
      <c r="BH10" s="20" t="s">
        <v>76</v>
      </c>
      <c r="BI10" s="15">
        <v>26.315789473684202</v>
      </c>
      <c r="BJ10" s="15">
        <v>27.678571428571399</v>
      </c>
      <c r="BK10" s="15">
        <v>17.5</v>
      </c>
      <c r="BL10" s="15">
        <v>28.125</v>
      </c>
      <c r="BM10" s="15">
        <v>21.782178217821802</v>
      </c>
      <c r="BN10" s="15">
        <v>32.773109243697498</v>
      </c>
      <c r="BO10" s="15">
        <v>31.1111111111111</v>
      </c>
      <c r="BP10" s="15">
        <v>33.3333333333333</v>
      </c>
      <c r="BQ10" s="15">
        <v>21.917808219178099</v>
      </c>
      <c r="BR10" s="15">
        <v>20</v>
      </c>
      <c r="BS10" s="15">
        <v>22.891566265060199</v>
      </c>
      <c r="BT10" s="15">
        <v>28.048780487804901</v>
      </c>
      <c r="BU10" s="15">
        <v>25.233644859813101</v>
      </c>
      <c r="BV10" s="15">
        <v>33.3333333333333</v>
      </c>
      <c r="BW10" s="15">
        <v>21.739130434782599</v>
      </c>
      <c r="BX10" s="20" t="s">
        <v>76</v>
      </c>
      <c r="BY10" s="15">
        <v>26.984126984126998</v>
      </c>
      <c r="BZ10" s="15">
        <v>26.530612244897998</v>
      </c>
      <c r="CA10" s="32">
        <v>30.242840155670802</v>
      </c>
      <c r="CB10" s="15">
        <v>26.1980830670927</v>
      </c>
      <c r="CC10" s="15">
        <v>37.1069182389937</v>
      </c>
      <c r="CD10" s="15">
        <v>32.258064516128997</v>
      </c>
      <c r="CE10" s="20" t="s">
        <v>76</v>
      </c>
      <c r="CF10" s="15">
        <v>30.538922155688599</v>
      </c>
      <c r="CG10" s="15">
        <v>30.726256983240201</v>
      </c>
      <c r="CH10" s="15">
        <v>24.8161764705882</v>
      </c>
      <c r="CI10" s="15">
        <v>31.211498973306</v>
      </c>
      <c r="CJ10" s="15">
        <v>36.470588235294102</v>
      </c>
      <c r="CK10" s="15">
        <v>29.596412556053799</v>
      </c>
      <c r="CL10" s="15">
        <v>31.818181818181799</v>
      </c>
      <c r="CM10" s="24">
        <v>28.907922912205599</v>
      </c>
      <c r="CN10" s="37"/>
    </row>
    <row r="11" spans="1:92">
      <c r="A11" s="9" t="s">
        <v>266</v>
      </c>
      <c r="B11" s="35">
        <v>26.393896573835601</v>
      </c>
      <c r="C11" s="32">
        <v>26.397942793968301</v>
      </c>
      <c r="D11" s="32">
        <v>27.785718715024501</v>
      </c>
      <c r="E11" s="32">
        <v>29.231141135998101</v>
      </c>
      <c r="F11" s="20" t="s">
        <v>76</v>
      </c>
      <c r="G11" s="15">
        <v>58.823529411764703</v>
      </c>
      <c r="H11" s="15">
        <v>30.434782608695699</v>
      </c>
      <c r="I11" s="20" t="s">
        <v>76</v>
      </c>
      <c r="J11" s="15">
        <v>29.1666666666667</v>
      </c>
      <c r="K11" s="15">
        <v>30.769230769230798</v>
      </c>
      <c r="L11" s="15">
        <v>37.7049180327869</v>
      </c>
      <c r="M11" s="15">
        <v>36.842105263157897</v>
      </c>
      <c r="N11" s="15">
        <v>36.470588235294102</v>
      </c>
      <c r="O11" s="15">
        <v>30.232558139534898</v>
      </c>
      <c r="P11" s="15">
        <v>35.2112676056338</v>
      </c>
      <c r="Q11" s="15">
        <v>23.943661971830998</v>
      </c>
      <c r="R11" s="20" t="s">
        <v>76</v>
      </c>
      <c r="S11" s="15">
        <v>31.707317073170699</v>
      </c>
      <c r="T11" s="15">
        <v>14.5833333333333</v>
      </c>
      <c r="U11" s="20" t="s">
        <v>76</v>
      </c>
      <c r="V11" s="15">
        <v>41.176470588235297</v>
      </c>
      <c r="W11" s="15">
        <v>32.203389830508499</v>
      </c>
      <c r="X11" s="20" t="s">
        <v>76</v>
      </c>
      <c r="Y11" s="20" t="s">
        <v>76</v>
      </c>
      <c r="Z11" s="15">
        <v>26.923076923076898</v>
      </c>
      <c r="AA11" s="15">
        <v>33.944954128440401</v>
      </c>
      <c r="AB11" s="15">
        <v>38.235294117647101</v>
      </c>
      <c r="AC11" s="15">
        <v>31.060606060606101</v>
      </c>
      <c r="AD11" s="15">
        <v>43.75</v>
      </c>
      <c r="AE11" s="15">
        <v>33.3333333333333</v>
      </c>
      <c r="AF11" s="20" t="s">
        <v>76</v>
      </c>
      <c r="AG11" s="15">
        <v>15.2380952380952</v>
      </c>
      <c r="AH11" s="15">
        <v>30.3571428571429</v>
      </c>
      <c r="AI11" s="20" t="s">
        <v>76</v>
      </c>
      <c r="AJ11" s="15">
        <v>29.729729729729701</v>
      </c>
      <c r="AK11" s="15">
        <v>33.3333333333333</v>
      </c>
      <c r="AL11" s="15">
        <v>30</v>
      </c>
      <c r="AM11" s="15">
        <v>34.375</v>
      </c>
      <c r="AN11" s="20" t="s">
        <v>76</v>
      </c>
      <c r="AO11" s="15">
        <v>22.5</v>
      </c>
      <c r="AP11" s="15">
        <v>32.4675324675325</v>
      </c>
      <c r="AQ11" s="15">
        <v>20.5128205128205</v>
      </c>
      <c r="AR11" s="15">
        <v>38.181818181818201</v>
      </c>
      <c r="AS11" s="20" t="s">
        <v>76</v>
      </c>
      <c r="AT11" s="15">
        <v>36.923076923076898</v>
      </c>
      <c r="AU11" s="15">
        <v>24.4897959183673</v>
      </c>
      <c r="AV11" s="15">
        <v>12.328767123287699</v>
      </c>
      <c r="AW11" s="15">
        <v>22.413793103448299</v>
      </c>
      <c r="AX11" s="15">
        <v>31.25</v>
      </c>
      <c r="AY11" s="15">
        <v>34.285714285714299</v>
      </c>
      <c r="AZ11" s="15">
        <v>62</v>
      </c>
      <c r="BA11" s="15">
        <v>24.528301886792502</v>
      </c>
      <c r="BB11" s="15">
        <v>28.358208955223901</v>
      </c>
      <c r="BC11" s="15">
        <v>22.972972972973</v>
      </c>
      <c r="BD11" s="15">
        <v>32.051282051282101</v>
      </c>
      <c r="BE11" s="15">
        <v>46.551724137930997</v>
      </c>
      <c r="BF11" s="15">
        <v>30.120481927710799</v>
      </c>
      <c r="BG11" s="15">
        <v>23.880597014925399</v>
      </c>
      <c r="BH11" s="15">
        <v>25</v>
      </c>
      <c r="BI11" s="20" t="s">
        <v>76</v>
      </c>
      <c r="BJ11" s="15">
        <v>20.535714285714299</v>
      </c>
      <c r="BK11" s="15">
        <v>15</v>
      </c>
      <c r="BL11" s="15">
        <v>35.15625</v>
      </c>
      <c r="BM11" s="15">
        <v>28.712871287128699</v>
      </c>
      <c r="BN11" s="15">
        <v>30.252100840336102</v>
      </c>
      <c r="BO11" s="15">
        <v>24.4444444444444</v>
      </c>
      <c r="BP11" s="15">
        <v>40</v>
      </c>
      <c r="BQ11" s="15">
        <v>27.397260273972599</v>
      </c>
      <c r="BR11" s="15">
        <v>25</v>
      </c>
      <c r="BS11" s="15">
        <v>33.734939759036102</v>
      </c>
      <c r="BT11" s="15">
        <v>20.731707317073202</v>
      </c>
      <c r="BU11" s="15">
        <v>29.906542056074802</v>
      </c>
      <c r="BV11" s="15">
        <v>42.424242424242401</v>
      </c>
      <c r="BW11" s="15">
        <v>13.0434782608696</v>
      </c>
      <c r="BX11" s="20" t="s">
        <v>76</v>
      </c>
      <c r="BY11" s="15">
        <v>25.396825396825399</v>
      </c>
      <c r="BZ11" s="15">
        <v>38.775510204081598</v>
      </c>
      <c r="CA11" s="32">
        <v>26.618437967665798</v>
      </c>
      <c r="CB11" s="15">
        <v>26.517571884984001</v>
      </c>
      <c r="CC11" s="15">
        <v>21.069182389937101</v>
      </c>
      <c r="CD11" s="15">
        <v>34.193548387096797</v>
      </c>
      <c r="CE11" s="20" t="s">
        <v>76</v>
      </c>
      <c r="CF11" s="15">
        <v>23.652694610778401</v>
      </c>
      <c r="CG11" s="15">
        <v>31.843575418994401</v>
      </c>
      <c r="CH11" s="15">
        <v>26.654411764705898</v>
      </c>
      <c r="CI11" s="15">
        <v>26.078028747433301</v>
      </c>
      <c r="CJ11" s="15">
        <v>29.803921568627501</v>
      </c>
      <c r="CK11" s="15">
        <v>30.941704035874402</v>
      </c>
      <c r="CL11" s="15">
        <v>26.515151515151501</v>
      </c>
      <c r="CM11" s="24">
        <v>27.4089935760171</v>
      </c>
      <c r="CN11" s="37"/>
    </row>
    <row r="12" spans="1:92">
      <c r="A12" s="9" t="s">
        <v>267</v>
      </c>
      <c r="B12" s="35">
        <v>17.820153761404001</v>
      </c>
      <c r="C12" s="32">
        <v>15.7179305674542</v>
      </c>
      <c r="D12" s="32">
        <v>16.8339912010996</v>
      </c>
      <c r="E12" s="32">
        <v>19.3160430492991</v>
      </c>
      <c r="F12" s="20" t="s">
        <v>76</v>
      </c>
      <c r="G12" s="15">
        <v>41.176470588235297</v>
      </c>
      <c r="H12" s="15">
        <v>21.739130434782599</v>
      </c>
      <c r="I12" s="15">
        <v>60</v>
      </c>
      <c r="J12" s="15">
        <v>30.5555555555556</v>
      </c>
      <c r="K12" s="15">
        <v>15.384615384615399</v>
      </c>
      <c r="L12" s="15">
        <v>24.590163934426201</v>
      </c>
      <c r="M12" s="15">
        <v>19.7368421052632</v>
      </c>
      <c r="N12" s="15">
        <v>24.705882352941199</v>
      </c>
      <c r="O12" s="15">
        <v>13.953488372093</v>
      </c>
      <c r="P12" s="15">
        <v>21.126760563380302</v>
      </c>
      <c r="Q12" s="15">
        <v>19.7183098591549</v>
      </c>
      <c r="R12" s="20" t="s">
        <v>76</v>
      </c>
      <c r="S12" s="15">
        <v>14.634146341463399</v>
      </c>
      <c r="T12" s="15">
        <v>14.5833333333333</v>
      </c>
      <c r="U12" s="15">
        <v>23.8095238095238</v>
      </c>
      <c r="V12" s="15">
        <v>14.705882352941201</v>
      </c>
      <c r="W12" s="15">
        <v>13.559322033898299</v>
      </c>
      <c r="X12" s="20" t="s">
        <v>76</v>
      </c>
      <c r="Y12" s="20" t="s">
        <v>76</v>
      </c>
      <c r="Z12" s="15">
        <v>14.1025641025641</v>
      </c>
      <c r="AA12" s="15">
        <v>34.862385321100902</v>
      </c>
      <c r="AB12" s="15">
        <v>16.176470588235301</v>
      </c>
      <c r="AC12" s="15">
        <v>15.909090909090899</v>
      </c>
      <c r="AD12" s="20" t="s">
        <v>76</v>
      </c>
      <c r="AE12" s="20" t="s">
        <v>76</v>
      </c>
      <c r="AF12" s="20" t="s">
        <v>76</v>
      </c>
      <c r="AG12" s="15">
        <v>19.047619047619001</v>
      </c>
      <c r="AH12" s="15">
        <v>10.714285714285699</v>
      </c>
      <c r="AI12" s="20" t="s">
        <v>76</v>
      </c>
      <c r="AJ12" s="15">
        <v>22.5225225225225</v>
      </c>
      <c r="AK12" s="20" t="s">
        <v>76</v>
      </c>
      <c r="AL12" s="15">
        <v>18.8888888888889</v>
      </c>
      <c r="AM12" s="15">
        <v>18.75</v>
      </c>
      <c r="AN12" s="20" t="s">
        <v>76</v>
      </c>
      <c r="AO12" s="20" t="s">
        <v>76</v>
      </c>
      <c r="AP12" s="15">
        <v>20.7792207792208</v>
      </c>
      <c r="AQ12" s="15">
        <v>25.6410256410256</v>
      </c>
      <c r="AR12" s="15">
        <v>25.454545454545499</v>
      </c>
      <c r="AS12" s="20" t="s">
        <v>76</v>
      </c>
      <c r="AT12" s="15">
        <v>18.461538461538499</v>
      </c>
      <c r="AU12" s="15">
        <v>16.326530612244898</v>
      </c>
      <c r="AV12" s="15">
        <v>10.958904109589</v>
      </c>
      <c r="AW12" s="15">
        <v>11.2068965517241</v>
      </c>
      <c r="AX12" s="20" t="s">
        <v>76</v>
      </c>
      <c r="AY12" s="15">
        <v>31.428571428571399</v>
      </c>
      <c r="AZ12" s="15">
        <v>18</v>
      </c>
      <c r="BA12" s="15">
        <v>22.641509433962302</v>
      </c>
      <c r="BB12" s="15">
        <v>17.910447761194</v>
      </c>
      <c r="BC12" s="15">
        <v>18.918918918918902</v>
      </c>
      <c r="BD12" s="15">
        <v>26.923076923076898</v>
      </c>
      <c r="BE12" s="15">
        <v>15.517241379310301</v>
      </c>
      <c r="BF12" s="15">
        <v>26.506024096385499</v>
      </c>
      <c r="BG12" s="15">
        <v>10.4477611940298</v>
      </c>
      <c r="BH12" s="15">
        <v>20.8333333333333</v>
      </c>
      <c r="BI12" s="20" t="s">
        <v>76</v>
      </c>
      <c r="BJ12" s="15">
        <v>21.428571428571399</v>
      </c>
      <c r="BK12" s="15">
        <v>15</v>
      </c>
      <c r="BL12" s="15">
        <v>15.625</v>
      </c>
      <c r="BM12" s="15">
        <v>22.7722772277228</v>
      </c>
      <c r="BN12" s="15">
        <v>21.848739495798299</v>
      </c>
      <c r="BO12" s="15">
        <v>16.6666666666667</v>
      </c>
      <c r="BP12" s="20" t="s">
        <v>76</v>
      </c>
      <c r="BQ12" s="15">
        <v>17.808219178082201</v>
      </c>
      <c r="BR12" s="15">
        <v>15</v>
      </c>
      <c r="BS12" s="15">
        <v>18.0722891566265</v>
      </c>
      <c r="BT12" s="15">
        <v>14.634146341463399</v>
      </c>
      <c r="BU12" s="15">
        <v>24.299065420560702</v>
      </c>
      <c r="BV12" s="15">
        <v>28.282828282828302</v>
      </c>
      <c r="BW12" s="15">
        <v>7.2463768115942004</v>
      </c>
      <c r="BX12" s="20" t="s">
        <v>76</v>
      </c>
      <c r="BY12" s="15">
        <v>14.285714285714301</v>
      </c>
      <c r="BZ12" s="15">
        <v>18.367346938775501</v>
      </c>
      <c r="CA12" s="32">
        <v>14.8295589366562</v>
      </c>
      <c r="CB12" s="15">
        <v>12.1405750798722</v>
      </c>
      <c r="CC12" s="15">
        <v>16.352201257861601</v>
      </c>
      <c r="CD12" s="15">
        <v>15.4838709677419</v>
      </c>
      <c r="CE12" s="20" t="s">
        <v>76</v>
      </c>
      <c r="CF12" s="15">
        <v>14.0718562874252</v>
      </c>
      <c r="CG12" s="15">
        <v>21.787709497206698</v>
      </c>
      <c r="CH12" s="15">
        <v>13.9705882352941</v>
      </c>
      <c r="CI12" s="15">
        <v>19.096509240246402</v>
      </c>
      <c r="CJ12" s="15">
        <v>16.470588235294102</v>
      </c>
      <c r="CK12" s="15">
        <v>14.7982062780269</v>
      </c>
      <c r="CL12" s="15">
        <v>16.060606060606101</v>
      </c>
      <c r="CM12" s="24">
        <v>11.349036402569601</v>
      </c>
      <c r="CN12" s="37"/>
    </row>
    <row r="13" spans="1:92">
      <c r="A13" s="9" t="s">
        <v>268</v>
      </c>
      <c r="B13" s="35">
        <v>13.810141970615</v>
      </c>
      <c r="C13" s="32">
        <v>12.9644772038895</v>
      </c>
      <c r="D13" s="32">
        <v>12.7652533200144</v>
      </c>
      <c r="E13" s="32">
        <v>17.015667239433402</v>
      </c>
      <c r="F13" s="20" t="s">
        <v>76</v>
      </c>
      <c r="G13" s="15">
        <v>41.176470588235297</v>
      </c>
      <c r="H13" s="15">
        <v>21.739130434782599</v>
      </c>
      <c r="I13" s="20" t="s">
        <v>76</v>
      </c>
      <c r="J13" s="15">
        <v>17.3611111111111</v>
      </c>
      <c r="K13" s="15">
        <v>25.6410256410256</v>
      </c>
      <c r="L13" s="15">
        <v>27.868852459016399</v>
      </c>
      <c r="M13" s="15">
        <v>26.315789473684202</v>
      </c>
      <c r="N13" s="15">
        <v>15.294117647058799</v>
      </c>
      <c r="O13" s="15">
        <v>25.581395348837201</v>
      </c>
      <c r="P13" s="15">
        <v>18.309859154929601</v>
      </c>
      <c r="Q13" s="15">
        <v>14.084507042253501</v>
      </c>
      <c r="R13" s="20" t="s">
        <v>76</v>
      </c>
      <c r="S13" s="15">
        <v>17.0731707317073</v>
      </c>
      <c r="T13" s="20" t="s">
        <v>76</v>
      </c>
      <c r="U13" s="20" t="s">
        <v>76</v>
      </c>
      <c r="V13" s="15">
        <v>20.588235294117599</v>
      </c>
      <c r="W13" s="15">
        <v>11.864406779661</v>
      </c>
      <c r="X13" s="20" t="s">
        <v>76</v>
      </c>
      <c r="Y13" s="20" t="s">
        <v>76</v>
      </c>
      <c r="Z13" s="15">
        <v>10.2564102564103</v>
      </c>
      <c r="AA13" s="15">
        <v>30.275229357798199</v>
      </c>
      <c r="AB13" s="15">
        <v>30.882352941176499</v>
      </c>
      <c r="AC13" s="15">
        <v>19.696969696969699</v>
      </c>
      <c r="AD13" s="15">
        <v>15.625</v>
      </c>
      <c r="AE13" s="15">
        <v>22.2222222222222</v>
      </c>
      <c r="AF13" s="15">
        <v>35.714285714285701</v>
      </c>
      <c r="AG13" s="15">
        <v>12.380952380952399</v>
      </c>
      <c r="AH13" s="20" t="s">
        <v>76</v>
      </c>
      <c r="AI13" s="20" t="s">
        <v>76</v>
      </c>
      <c r="AJ13" s="15">
        <v>22.5225225225225</v>
      </c>
      <c r="AK13" s="15">
        <v>16.6666666666667</v>
      </c>
      <c r="AL13" s="15">
        <v>14.4444444444444</v>
      </c>
      <c r="AM13" s="15">
        <v>23.4375</v>
      </c>
      <c r="AN13" s="20" t="s">
        <v>76</v>
      </c>
      <c r="AO13" s="20" t="s">
        <v>76</v>
      </c>
      <c r="AP13" s="15">
        <v>22.0779220779221</v>
      </c>
      <c r="AQ13" s="15">
        <v>12.8205128205128</v>
      </c>
      <c r="AR13" s="20" t="s">
        <v>76</v>
      </c>
      <c r="AS13" s="20" t="s">
        <v>76</v>
      </c>
      <c r="AT13" s="15">
        <v>12.307692307692299</v>
      </c>
      <c r="AU13" s="15">
        <v>22.4489795918367</v>
      </c>
      <c r="AV13" s="15">
        <v>15.068493150684899</v>
      </c>
      <c r="AW13" s="15">
        <v>25</v>
      </c>
      <c r="AX13" s="20" t="s">
        <v>76</v>
      </c>
      <c r="AY13" s="15">
        <v>25.714285714285701</v>
      </c>
      <c r="AZ13" s="15">
        <v>20</v>
      </c>
      <c r="BA13" s="15">
        <v>24.528301886792502</v>
      </c>
      <c r="BB13" s="15">
        <v>11.9402985074627</v>
      </c>
      <c r="BC13" s="15">
        <v>13.5135135135135</v>
      </c>
      <c r="BD13" s="15">
        <v>8.9743589743589691</v>
      </c>
      <c r="BE13" s="15">
        <v>17.241379310344801</v>
      </c>
      <c r="BF13" s="15">
        <v>18.0722891566265</v>
      </c>
      <c r="BG13" s="15">
        <v>8.9552238805970106</v>
      </c>
      <c r="BH13" s="20" t="s">
        <v>76</v>
      </c>
      <c r="BI13" s="20" t="s">
        <v>76</v>
      </c>
      <c r="BJ13" s="15">
        <v>15.1785714285714</v>
      </c>
      <c r="BK13" s="15">
        <v>12.5</v>
      </c>
      <c r="BL13" s="15">
        <v>11.71875</v>
      </c>
      <c r="BM13" s="15">
        <v>14.8514851485149</v>
      </c>
      <c r="BN13" s="15">
        <v>17.647058823529399</v>
      </c>
      <c r="BO13" s="15">
        <v>20</v>
      </c>
      <c r="BP13" s="20" t="s">
        <v>76</v>
      </c>
      <c r="BQ13" s="15">
        <v>10.958904109589</v>
      </c>
      <c r="BR13" s="15">
        <v>20</v>
      </c>
      <c r="BS13" s="15">
        <v>25.3012048192771</v>
      </c>
      <c r="BT13" s="15">
        <v>24.390243902439</v>
      </c>
      <c r="BU13" s="15">
        <v>10.2803738317757</v>
      </c>
      <c r="BV13" s="15">
        <v>20.202020202020201</v>
      </c>
      <c r="BW13" s="15">
        <v>8.6956521739130395</v>
      </c>
      <c r="BX13" s="20" t="s">
        <v>76</v>
      </c>
      <c r="BY13" s="15">
        <v>15.8730158730159</v>
      </c>
      <c r="BZ13" s="15">
        <v>10.8843537414966</v>
      </c>
      <c r="CA13" s="32">
        <v>9.3327437197403906</v>
      </c>
      <c r="CB13" s="15">
        <v>3.51437699680511</v>
      </c>
      <c r="CC13" s="15">
        <v>9.7484276729559696</v>
      </c>
      <c r="CD13" s="15">
        <v>9.67741935483871</v>
      </c>
      <c r="CE13" s="20" t="s">
        <v>76</v>
      </c>
      <c r="CF13" s="15">
        <v>10.7784431137725</v>
      </c>
      <c r="CG13" s="15">
        <v>11.731843575418999</v>
      </c>
      <c r="CH13" s="15">
        <v>8.8235294117646994</v>
      </c>
      <c r="CI13" s="15">
        <v>9.4455852156057496</v>
      </c>
      <c r="CJ13" s="15">
        <v>13.3333333333333</v>
      </c>
      <c r="CK13" s="15">
        <v>10.762331838565</v>
      </c>
      <c r="CL13" s="15">
        <v>9.3939393939393891</v>
      </c>
      <c r="CM13" s="24">
        <v>11.7773019271949</v>
      </c>
      <c r="CN13" s="37"/>
    </row>
    <row r="14" spans="1:92">
      <c r="A14" s="9" t="s">
        <v>269</v>
      </c>
      <c r="B14" s="35">
        <v>30.905186975040099</v>
      </c>
      <c r="C14" s="32">
        <v>30.276779315585401</v>
      </c>
      <c r="D14" s="32">
        <v>30.493624695652201</v>
      </c>
      <c r="E14" s="32">
        <v>35.753253569148903</v>
      </c>
      <c r="F14" s="20" t="s">
        <v>76</v>
      </c>
      <c r="G14" s="15">
        <v>52.941176470588204</v>
      </c>
      <c r="H14" s="15">
        <v>60.869565217391298</v>
      </c>
      <c r="I14" s="15">
        <v>60</v>
      </c>
      <c r="J14" s="15">
        <v>42.3611111111111</v>
      </c>
      <c r="K14" s="15">
        <v>28.205128205128201</v>
      </c>
      <c r="L14" s="15">
        <v>55.737704918032797</v>
      </c>
      <c r="M14" s="15">
        <v>38.157894736842103</v>
      </c>
      <c r="N14" s="15">
        <v>47.058823529411796</v>
      </c>
      <c r="O14" s="15">
        <v>41.860465116279101</v>
      </c>
      <c r="P14" s="15">
        <v>36.619718309859202</v>
      </c>
      <c r="Q14" s="15">
        <v>39.436619718309899</v>
      </c>
      <c r="R14" s="20" t="s">
        <v>76</v>
      </c>
      <c r="S14" s="15">
        <v>34.146341463414601</v>
      </c>
      <c r="T14" s="15">
        <v>22.9166666666667</v>
      </c>
      <c r="U14" s="20" t="s">
        <v>76</v>
      </c>
      <c r="V14" s="15">
        <v>29.411764705882401</v>
      </c>
      <c r="W14" s="15">
        <v>25.4237288135593</v>
      </c>
      <c r="X14" s="15">
        <v>46.153846153846203</v>
      </c>
      <c r="Y14" s="20" t="s">
        <v>76</v>
      </c>
      <c r="Z14" s="15">
        <v>33.3333333333333</v>
      </c>
      <c r="AA14" s="15">
        <v>41.284403669724803</v>
      </c>
      <c r="AB14" s="15">
        <v>39.705882352941202</v>
      </c>
      <c r="AC14" s="15">
        <v>34.848484848484802</v>
      </c>
      <c r="AD14" s="15">
        <v>43.75</v>
      </c>
      <c r="AE14" s="15">
        <v>48.148148148148103</v>
      </c>
      <c r="AF14" s="15">
        <v>50</v>
      </c>
      <c r="AG14" s="15">
        <v>31.428571428571399</v>
      </c>
      <c r="AH14" s="15">
        <v>35.714285714285701</v>
      </c>
      <c r="AI14" s="20" t="s">
        <v>76</v>
      </c>
      <c r="AJ14" s="15">
        <v>36.936936936936902</v>
      </c>
      <c r="AK14" s="15">
        <v>50</v>
      </c>
      <c r="AL14" s="15">
        <v>38.8888888888889</v>
      </c>
      <c r="AM14" s="15">
        <v>37.5</v>
      </c>
      <c r="AN14" s="20" t="s">
        <v>76</v>
      </c>
      <c r="AO14" s="15">
        <v>25</v>
      </c>
      <c r="AP14" s="15">
        <v>35.064935064935099</v>
      </c>
      <c r="AQ14" s="15">
        <v>28.205128205128201</v>
      </c>
      <c r="AR14" s="15">
        <v>38.181818181818201</v>
      </c>
      <c r="AS14" s="20" t="s">
        <v>76</v>
      </c>
      <c r="AT14" s="15">
        <v>27.692307692307701</v>
      </c>
      <c r="AU14" s="15">
        <v>34.6938775510204</v>
      </c>
      <c r="AV14" s="15">
        <v>15.068493150684899</v>
      </c>
      <c r="AW14" s="15">
        <v>43.1034482758621</v>
      </c>
      <c r="AX14" s="15">
        <v>62.5</v>
      </c>
      <c r="AY14" s="15">
        <v>28.571428571428601</v>
      </c>
      <c r="AZ14" s="15">
        <v>48</v>
      </c>
      <c r="BA14" s="15">
        <v>35.849056603773597</v>
      </c>
      <c r="BB14" s="15">
        <v>40.298507462686601</v>
      </c>
      <c r="BC14" s="15">
        <v>28.3783783783784</v>
      </c>
      <c r="BD14" s="15">
        <v>35.897435897435898</v>
      </c>
      <c r="BE14" s="15">
        <v>37.931034482758598</v>
      </c>
      <c r="BF14" s="15">
        <v>36.144578313253</v>
      </c>
      <c r="BG14" s="15">
        <v>26.865671641791</v>
      </c>
      <c r="BH14" s="15">
        <v>41.6666666666667</v>
      </c>
      <c r="BI14" s="20" t="s">
        <v>76</v>
      </c>
      <c r="BJ14" s="15">
        <v>33.928571428571402</v>
      </c>
      <c r="BK14" s="15">
        <v>15</v>
      </c>
      <c r="BL14" s="15">
        <v>32.8125</v>
      </c>
      <c r="BM14" s="15">
        <v>37.6237623762376</v>
      </c>
      <c r="BN14" s="15">
        <v>51.260504201680703</v>
      </c>
      <c r="BO14" s="15">
        <v>35.5555555555556</v>
      </c>
      <c r="BP14" s="15">
        <v>60</v>
      </c>
      <c r="BQ14" s="15">
        <v>27.397260273972599</v>
      </c>
      <c r="BR14" s="15">
        <v>33.3333333333333</v>
      </c>
      <c r="BS14" s="15">
        <v>37.349397590361399</v>
      </c>
      <c r="BT14" s="15">
        <v>36.585365853658502</v>
      </c>
      <c r="BU14" s="15">
        <v>44.859813084112098</v>
      </c>
      <c r="BV14" s="15">
        <v>55.5555555555556</v>
      </c>
      <c r="BW14" s="15">
        <v>17.3913043478261</v>
      </c>
      <c r="BX14" s="20" t="s">
        <v>76</v>
      </c>
      <c r="BY14" s="15">
        <v>36.507936507936499</v>
      </c>
      <c r="BZ14" s="15">
        <v>38.775510204081598</v>
      </c>
      <c r="CA14" s="32">
        <v>26.2461027026356</v>
      </c>
      <c r="CB14" s="15">
        <v>26.1980830670927</v>
      </c>
      <c r="CC14" s="15">
        <v>22.955974842767301</v>
      </c>
      <c r="CD14" s="15">
        <v>31.612903225806502</v>
      </c>
      <c r="CE14" s="15">
        <v>50</v>
      </c>
      <c r="CF14" s="15">
        <v>27.245508982035901</v>
      </c>
      <c r="CG14" s="15">
        <v>35.195530726256997</v>
      </c>
      <c r="CH14" s="15">
        <v>23.529411764705898</v>
      </c>
      <c r="CI14" s="15">
        <v>30.5954825462012</v>
      </c>
      <c r="CJ14" s="15">
        <v>29.019607843137301</v>
      </c>
      <c r="CK14" s="15">
        <v>29.596412556053799</v>
      </c>
      <c r="CL14" s="15">
        <v>27.1212121212121</v>
      </c>
      <c r="CM14" s="24">
        <v>25.267665952890798</v>
      </c>
      <c r="CN14" s="37"/>
    </row>
    <row r="15" spans="1:92">
      <c r="A15" s="9" t="s">
        <v>270</v>
      </c>
      <c r="B15" s="35">
        <v>24.819026304510398</v>
      </c>
      <c r="C15" s="32">
        <v>26.828003859420001</v>
      </c>
      <c r="D15" s="32">
        <v>26.8334090677074</v>
      </c>
      <c r="E15" s="32">
        <v>32.0520302270114</v>
      </c>
      <c r="F15" s="20" t="s">
        <v>76</v>
      </c>
      <c r="G15" s="15">
        <v>35.294117647058798</v>
      </c>
      <c r="H15" s="15">
        <v>43.478260869565197</v>
      </c>
      <c r="I15" s="15">
        <v>60</v>
      </c>
      <c r="J15" s="15">
        <v>30.5555555555556</v>
      </c>
      <c r="K15" s="15">
        <v>30.769230769230798</v>
      </c>
      <c r="L15" s="15">
        <v>26.229508196721302</v>
      </c>
      <c r="M15" s="15">
        <v>25</v>
      </c>
      <c r="N15" s="15">
        <v>29.411764705882401</v>
      </c>
      <c r="O15" s="15">
        <v>32.558139534883701</v>
      </c>
      <c r="P15" s="15">
        <v>46.478873239436602</v>
      </c>
      <c r="Q15" s="15">
        <v>35.2112676056338</v>
      </c>
      <c r="R15" s="20" t="s">
        <v>76</v>
      </c>
      <c r="S15" s="15">
        <v>48.780487804878</v>
      </c>
      <c r="T15" s="15">
        <v>29.1666666666667</v>
      </c>
      <c r="U15" s="15">
        <v>28.571428571428601</v>
      </c>
      <c r="V15" s="15">
        <v>38.235294117647101</v>
      </c>
      <c r="W15" s="15">
        <v>45.762711864406803</v>
      </c>
      <c r="X15" s="15">
        <v>53.846153846153797</v>
      </c>
      <c r="Y15" s="20" t="s">
        <v>76</v>
      </c>
      <c r="Z15" s="15">
        <v>17.948717948717899</v>
      </c>
      <c r="AA15" s="15">
        <v>40.366972477064202</v>
      </c>
      <c r="AB15" s="15">
        <v>33.823529411764703</v>
      </c>
      <c r="AC15" s="15">
        <v>30.303030303030301</v>
      </c>
      <c r="AD15" s="15">
        <v>71.875</v>
      </c>
      <c r="AE15" s="15">
        <v>55.5555555555556</v>
      </c>
      <c r="AF15" s="15">
        <v>50</v>
      </c>
      <c r="AG15" s="15">
        <v>22.8571428571429</v>
      </c>
      <c r="AH15" s="15">
        <v>26.785714285714299</v>
      </c>
      <c r="AI15" s="20" t="s">
        <v>76</v>
      </c>
      <c r="AJ15" s="15">
        <v>19.819819819819799</v>
      </c>
      <c r="AK15" s="15">
        <v>43.3333333333333</v>
      </c>
      <c r="AL15" s="15">
        <v>41.1111111111111</v>
      </c>
      <c r="AM15" s="15">
        <v>46.875</v>
      </c>
      <c r="AN15" s="20" t="s">
        <v>76</v>
      </c>
      <c r="AO15" s="15">
        <v>37.5</v>
      </c>
      <c r="AP15" s="15">
        <v>35.064935064935099</v>
      </c>
      <c r="AQ15" s="15">
        <v>20.5128205128205</v>
      </c>
      <c r="AR15" s="15">
        <v>41.818181818181799</v>
      </c>
      <c r="AS15" s="20" t="s">
        <v>76</v>
      </c>
      <c r="AT15" s="15">
        <v>23.076923076923102</v>
      </c>
      <c r="AU15" s="15">
        <v>44.8979591836735</v>
      </c>
      <c r="AV15" s="15">
        <v>16.438356164383599</v>
      </c>
      <c r="AW15" s="15">
        <v>24.137931034482801</v>
      </c>
      <c r="AX15" s="15">
        <v>37.5</v>
      </c>
      <c r="AY15" s="15">
        <v>20</v>
      </c>
      <c r="AZ15" s="15">
        <v>44</v>
      </c>
      <c r="BA15" s="15">
        <v>20.754716981132098</v>
      </c>
      <c r="BB15" s="15">
        <v>29.8507462686567</v>
      </c>
      <c r="BC15" s="15">
        <v>31.081081081081098</v>
      </c>
      <c r="BD15" s="15">
        <v>19.230769230769202</v>
      </c>
      <c r="BE15" s="15">
        <v>41.379310344827601</v>
      </c>
      <c r="BF15" s="15">
        <v>31.325301204819301</v>
      </c>
      <c r="BG15" s="15">
        <v>22.388059701492502</v>
      </c>
      <c r="BH15" s="15">
        <v>45.8333333333333</v>
      </c>
      <c r="BI15" s="15">
        <v>31.578947368421101</v>
      </c>
      <c r="BJ15" s="15">
        <v>35.714285714285701</v>
      </c>
      <c r="BK15" s="15">
        <v>35</v>
      </c>
      <c r="BL15" s="15">
        <v>36.71875</v>
      </c>
      <c r="BM15" s="15">
        <v>46.534653465346501</v>
      </c>
      <c r="BN15" s="15">
        <v>34.453781512604998</v>
      </c>
      <c r="BO15" s="15">
        <v>20</v>
      </c>
      <c r="BP15" s="15">
        <v>60</v>
      </c>
      <c r="BQ15" s="15">
        <v>46.575342465753401</v>
      </c>
      <c r="BR15" s="15">
        <v>25</v>
      </c>
      <c r="BS15" s="15">
        <v>25.3012048192771</v>
      </c>
      <c r="BT15" s="15">
        <v>28.048780487804901</v>
      </c>
      <c r="BU15" s="15">
        <v>39.252336448598101</v>
      </c>
      <c r="BV15" s="15">
        <v>47.474747474747502</v>
      </c>
      <c r="BW15" s="20" t="s">
        <v>76</v>
      </c>
      <c r="BX15" s="20" t="s">
        <v>76</v>
      </c>
      <c r="BY15" s="15">
        <v>34.920634920634903</v>
      </c>
      <c r="BZ15" s="15">
        <v>26.530612244897998</v>
      </c>
      <c r="CA15" s="32">
        <v>22.619003701758199</v>
      </c>
      <c r="CB15" s="15">
        <v>17.571884984025601</v>
      </c>
      <c r="CC15" s="15">
        <v>22.012578616352201</v>
      </c>
      <c r="CD15" s="15">
        <v>31.612903225806502</v>
      </c>
      <c r="CE15" s="20" t="s">
        <v>76</v>
      </c>
      <c r="CF15" s="15">
        <v>22.1556886227545</v>
      </c>
      <c r="CG15" s="15">
        <v>26.256983240223501</v>
      </c>
      <c r="CH15" s="15">
        <v>22.977941176470601</v>
      </c>
      <c r="CI15" s="15">
        <v>24.435318275154</v>
      </c>
      <c r="CJ15" s="15">
        <v>20.7843137254902</v>
      </c>
      <c r="CK15" s="15">
        <v>29.596412556053799</v>
      </c>
      <c r="CL15" s="15">
        <v>26.818181818181799</v>
      </c>
      <c r="CM15" s="24">
        <v>24.625267665952901</v>
      </c>
      <c r="CN15" s="37"/>
    </row>
    <row r="16" spans="1:92">
      <c r="A16" s="9" t="s">
        <v>271</v>
      </c>
      <c r="B16" s="35">
        <v>6.6477960277303003</v>
      </c>
      <c r="C16" s="32">
        <v>6.8346599774847698</v>
      </c>
      <c r="D16" s="32">
        <v>6.1483133675733797</v>
      </c>
      <c r="E16" s="32">
        <v>8.3569641544525908</v>
      </c>
      <c r="F16" s="20" t="s">
        <v>76</v>
      </c>
      <c r="G16" s="15">
        <v>35.294117647058798</v>
      </c>
      <c r="H16" s="20" t="s">
        <v>76</v>
      </c>
      <c r="I16" s="20" t="s">
        <v>76</v>
      </c>
      <c r="J16" s="15">
        <v>6.9444444444444402</v>
      </c>
      <c r="K16" s="20" t="s">
        <v>76</v>
      </c>
      <c r="L16" s="15">
        <v>9.8360655737704903</v>
      </c>
      <c r="M16" s="15">
        <v>11.842105263157899</v>
      </c>
      <c r="N16" s="15">
        <v>10.588235294117601</v>
      </c>
      <c r="O16" s="20" t="s">
        <v>76</v>
      </c>
      <c r="P16" s="15">
        <v>8.4507042253521103</v>
      </c>
      <c r="Q16" s="15">
        <v>9.8591549295774694</v>
      </c>
      <c r="R16" s="20" t="s">
        <v>76</v>
      </c>
      <c r="S16" s="15">
        <v>14.634146341463399</v>
      </c>
      <c r="T16" s="20" t="s">
        <v>76</v>
      </c>
      <c r="U16" s="20" t="s">
        <v>76</v>
      </c>
      <c r="V16" s="20" t="s">
        <v>76</v>
      </c>
      <c r="W16" s="20" t="s">
        <v>76</v>
      </c>
      <c r="X16" s="20" t="s">
        <v>76</v>
      </c>
      <c r="Y16" s="20" t="s">
        <v>76</v>
      </c>
      <c r="Z16" s="15">
        <v>6.4102564102564097</v>
      </c>
      <c r="AA16" s="15">
        <v>11.0091743119266</v>
      </c>
      <c r="AB16" s="15">
        <v>17.647058823529399</v>
      </c>
      <c r="AC16" s="15">
        <v>9.8484848484848495</v>
      </c>
      <c r="AD16" s="20" t="s">
        <v>76</v>
      </c>
      <c r="AE16" s="20" t="s">
        <v>76</v>
      </c>
      <c r="AF16" s="20" t="s">
        <v>76</v>
      </c>
      <c r="AG16" s="15">
        <v>6.6666666666666696</v>
      </c>
      <c r="AH16" s="20" t="s">
        <v>76</v>
      </c>
      <c r="AI16" s="20" t="s">
        <v>76</v>
      </c>
      <c r="AJ16" s="20" t="s">
        <v>76</v>
      </c>
      <c r="AK16" s="20" t="s">
        <v>76</v>
      </c>
      <c r="AL16" s="20" t="s">
        <v>76</v>
      </c>
      <c r="AM16" s="15">
        <v>10.9375</v>
      </c>
      <c r="AN16" s="20" t="s">
        <v>76</v>
      </c>
      <c r="AO16" s="20" t="s">
        <v>76</v>
      </c>
      <c r="AP16" s="15">
        <v>6.4935064935064899</v>
      </c>
      <c r="AQ16" s="20" t="s">
        <v>76</v>
      </c>
      <c r="AR16" s="15">
        <v>14.545454545454501</v>
      </c>
      <c r="AS16" s="20" t="s">
        <v>76</v>
      </c>
      <c r="AT16" s="15">
        <v>7.6923076923076898</v>
      </c>
      <c r="AU16" s="20" t="s">
        <v>76</v>
      </c>
      <c r="AV16" s="20" t="s">
        <v>76</v>
      </c>
      <c r="AW16" s="15">
        <v>6.8965517241379297</v>
      </c>
      <c r="AX16" s="20" t="s">
        <v>76</v>
      </c>
      <c r="AY16" s="20" t="s">
        <v>76</v>
      </c>
      <c r="AZ16" s="20" t="s">
        <v>76</v>
      </c>
      <c r="BA16" s="20" t="s">
        <v>76</v>
      </c>
      <c r="BB16" s="20" t="s">
        <v>76</v>
      </c>
      <c r="BC16" s="20" t="s">
        <v>76</v>
      </c>
      <c r="BD16" s="15">
        <v>11.538461538461499</v>
      </c>
      <c r="BE16" s="20" t="s">
        <v>76</v>
      </c>
      <c r="BF16" s="15">
        <v>14.4578313253012</v>
      </c>
      <c r="BG16" s="15">
        <v>8.9552238805970106</v>
      </c>
      <c r="BH16" s="20" t="s">
        <v>76</v>
      </c>
      <c r="BI16" s="20" t="s">
        <v>76</v>
      </c>
      <c r="BJ16" s="15">
        <v>12.5</v>
      </c>
      <c r="BK16" s="20" t="s">
        <v>76</v>
      </c>
      <c r="BL16" s="15">
        <v>7.8125</v>
      </c>
      <c r="BM16" s="15">
        <v>4.9504950495049496</v>
      </c>
      <c r="BN16" s="15">
        <v>10.084033613445399</v>
      </c>
      <c r="BO16" s="15">
        <v>10</v>
      </c>
      <c r="BP16" s="20" t="s">
        <v>76</v>
      </c>
      <c r="BQ16" s="20" t="s">
        <v>76</v>
      </c>
      <c r="BR16" s="15">
        <v>10</v>
      </c>
      <c r="BS16" s="15">
        <v>9.6385542168674707</v>
      </c>
      <c r="BT16" s="15">
        <v>7.3170731707317103</v>
      </c>
      <c r="BU16" s="15">
        <v>12.1495327102804</v>
      </c>
      <c r="BV16" s="15">
        <v>13.1313131313131</v>
      </c>
      <c r="BW16" s="20" t="s">
        <v>76</v>
      </c>
      <c r="BX16" s="20" t="s">
        <v>76</v>
      </c>
      <c r="BY16" s="20" t="s">
        <v>76</v>
      </c>
      <c r="BZ16" s="15">
        <v>4.7619047619047601</v>
      </c>
      <c r="CA16" s="32">
        <v>4.3646717803436799</v>
      </c>
      <c r="CB16" s="15">
        <v>3.8338658146964901</v>
      </c>
      <c r="CC16" s="15">
        <v>5.0314465408805003</v>
      </c>
      <c r="CD16" s="15">
        <v>3.87096774193548</v>
      </c>
      <c r="CE16" s="20" t="s">
        <v>76</v>
      </c>
      <c r="CF16" s="15">
        <v>3.8922155688622802</v>
      </c>
      <c r="CG16" s="15">
        <v>5.0279329608938497</v>
      </c>
      <c r="CH16" s="15">
        <v>4.2279411764705896</v>
      </c>
      <c r="CI16" s="15">
        <v>5.74948665297741</v>
      </c>
      <c r="CJ16" s="15">
        <v>3.9215686274509798</v>
      </c>
      <c r="CK16" s="15">
        <v>3.5874439461883401</v>
      </c>
      <c r="CL16" s="15">
        <v>5.1515151515151496</v>
      </c>
      <c r="CM16" s="24">
        <v>5.5674518201284799</v>
      </c>
      <c r="CN16" s="37"/>
    </row>
    <row r="17" spans="1:92">
      <c r="A17" s="9" t="s">
        <v>272</v>
      </c>
      <c r="B17" s="35">
        <v>44.407973507112999</v>
      </c>
      <c r="C17" s="32">
        <v>45.534619711583701</v>
      </c>
      <c r="D17" s="32">
        <v>49.091164143651902</v>
      </c>
      <c r="E17" s="32">
        <v>55.8619094771812</v>
      </c>
      <c r="F17" s="15">
        <v>41.176470588235297</v>
      </c>
      <c r="G17" s="15">
        <v>70.588235294117595</v>
      </c>
      <c r="H17" s="15">
        <v>69.565217391304301</v>
      </c>
      <c r="I17" s="15">
        <v>90</v>
      </c>
      <c r="J17" s="15">
        <v>47.9166666666667</v>
      </c>
      <c r="K17" s="15">
        <v>53.846153846153797</v>
      </c>
      <c r="L17" s="15">
        <v>54.0983606557377</v>
      </c>
      <c r="M17" s="15">
        <v>65.789473684210506</v>
      </c>
      <c r="N17" s="15">
        <v>62.352941176470601</v>
      </c>
      <c r="O17" s="15">
        <v>55.8139534883721</v>
      </c>
      <c r="P17" s="15">
        <v>61.971830985915503</v>
      </c>
      <c r="Q17" s="15">
        <v>57.746478873239397</v>
      </c>
      <c r="R17" s="15">
        <v>23.076923076923102</v>
      </c>
      <c r="S17" s="15">
        <v>63.414634146341498</v>
      </c>
      <c r="T17" s="15">
        <v>54.1666666666667</v>
      </c>
      <c r="U17" s="15">
        <v>42.857142857142897</v>
      </c>
      <c r="V17" s="15">
        <v>64.705882352941202</v>
      </c>
      <c r="W17" s="15">
        <v>50.847457627118601</v>
      </c>
      <c r="X17" s="15">
        <v>53.846153846153797</v>
      </c>
      <c r="Y17" s="20" t="s">
        <v>76</v>
      </c>
      <c r="Z17" s="15">
        <v>47.435897435897402</v>
      </c>
      <c r="AA17" s="15">
        <v>60.550458715596299</v>
      </c>
      <c r="AB17" s="15">
        <v>63.235294117647101</v>
      </c>
      <c r="AC17" s="15">
        <v>55.303030303030297</v>
      </c>
      <c r="AD17" s="15">
        <v>40.625</v>
      </c>
      <c r="AE17" s="15">
        <v>66.6666666666667</v>
      </c>
      <c r="AF17" s="15">
        <v>57.142857142857103</v>
      </c>
      <c r="AG17" s="15">
        <v>47.619047619047599</v>
      </c>
      <c r="AH17" s="15">
        <v>46.428571428571402</v>
      </c>
      <c r="AI17" s="20" t="s">
        <v>76</v>
      </c>
      <c r="AJ17" s="15">
        <v>46.846846846846802</v>
      </c>
      <c r="AK17" s="15">
        <v>73.3333333333333</v>
      </c>
      <c r="AL17" s="15">
        <v>45.5555555555556</v>
      </c>
      <c r="AM17" s="15">
        <v>54.6875</v>
      </c>
      <c r="AN17" s="20" t="s">
        <v>76</v>
      </c>
      <c r="AO17" s="15">
        <v>35</v>
      </c>
      <c r="AP17" s="15">
        <v>48.051948051948102</v>
      </c>
      <c r="AQ17" s="15">
        <v>51.282051282051299</v>
      </c>
      <c r="AR17" s="15">
        <v>41.818181818181799</v>
      </c>
      <c r="AS17" s="15">
        <v>54.545454545454497</v>
      </c>
      <c r="AT17" s="15">
        <v>60</v>
      </c>
      <c r="AU17" s="15">
        <v>73.469387755102005</v>
      </c>
      <c r="AV17" s="15">
        <v>45.205479452054803</v>
      </c>
      <c r="AW17" s="15">
        <v>59.482758620689701</v>
      </c>
      <c r="AX17" s="15">
        <v>81.25</v>
      </c>
      <c r="AY17" s="15">
        <v>62.857142857142897</v>
      </c>
      <c r="AZ17" s="15">
        <v>78</v>
      </c>
      <c r="BA17" s="15">
        <v>58.490566037735803</v>
      </c>
      <c r="BB17" s="15">
        <v>74.626865671641795</v>
      </c>
      <c r="BC17" s="15">
        <v>64.864864864864899</v>
      </c>
      <c r="BD17" s="15">
        <v>58.974358974358999</v>
      </c>
      <c r="BE17" s="15">
        <v>68.965517241379303</v>
      </c>
      <c r="BF17" s="15">
        <v>46.987951807228903</v>
      </c>
      <c r="BG17" s="15">
        <v>43.283582089552198</v>
      </c>
      <c r="BH17" s="15">
        <v>37.5</v>
      </c>
      <c r="BI17" s="15">
        <v>73.684210526315795</v>
      </c>
      <c r="BJ17" s="15">
        <v>63.392857142857103</v>
      </c>
      <c r="BK17" s="15">
        <v>60</v>
      </c>
      <c r="BL17" s="15">
        <v>60.15625</v>
      </c>
      <c r="BM17" s="15">
        <v>60.396039603960403</v>
      </c>
      <c r="BN17" s="15">
        <v>60.504201680672303</v>
      </c>
      <c r="BO17" s="15">
        <v>51.1111111111111</v>
      </c>
      <c r="BP17" s="15">
        <v>53.3333333333333</v>
      </c>
      <c r="BQ17" s="15">
        <v>58.904109589041099</v>
      </c>
      <c r="BR17" s="15">
        <v>53.3333333333333</v>
      </c>
      <c r="BS17" s="15">
        <v>59.036144578313298</v>
      </c>
      <c r="BT17" s="15">
        <v>63.414634146341498</v>
      </c>
      <c r="BU17" s="15">
        <v>49.532710280373799</v>
      </c>
      <c r="BV17" s="15">
        <v>69.696969696969703</v>
      </c>
      <c r="BW17" s="15">
        <v>47.826086956521699</v>
      </c>
      <c r="BX17" s="15">
        <v>88.8888888888889</v>
      </c>
      <c r="BY17" s="15">
        <v>50.793650793650798</v>
      </c>
      <c r="BZ17" s="15">
        <v>54.421768707482997</v>
      </c>
      <c r="CA17" s="32">
        <v>43.623308824392403</v>
      </c>
      <c r="CB17" s="15">
        <v>39.297124600639002</v>
      </c>
      <c r="CC17" s="15">
        <v>40.880503144654099</v>
      </c>
      <c r="CD17" s="15">
        <v>58.064516129032299</v>
      </c>
      <c r="CE17" s="20" t="s">
        <v>76</v>
      </c>
      <c r="CF17" s="15">
        <v>43.113772455089801</v>
      </c>
      <c r="CG17" s="15">
        <v>44.134078212290497</v>
      </c>
      <c r="CH17" s="15">
        <v>41.911764705882298</v>
      </c>
      <c r="CI17" s="15">
        <v>44.558521560574903</v>
      </c>
      <c r="CJ17" s="15">
        <v>48.627450980392197</v>
      </c>
      <c r="CK17" s="15">
        <v>50.224215246636803</v>
      </c>
      <c r="CL17" s="15">
        <v>43.636363636363598</v>
      </c>
      <c r="CM17" s="24">
        <v>51.605995717344797</v>
      </c>
      <c r="CN17" s="37"/>
    </row>
    <row r="18" spans="1:92">
      <c r="A18" s="9" t="s">
        <v>273</v>
      </c>
      <c r="B18" s="35">
        <v>24.769274471083701</v>
      </c>
      <c r="C18" s="32">
        <v>24.092400643990899</v>
      </c>
      <c r="D18" s="32">
        <v>24.177129814314799</v>
      </c>
      <c r="E18" s="32">
        <v>32.437526551361401</v>
      </c>
      <c r="F18" s="20" t="s">
        <v>76</v>
      </c>
      <c r="G18" s="15">
        <v>41.176470588235297</v>
      </c>
      <c r="H18" s="15">
        <v>39.130434782608702</v>
      </c>
      <c r="I18" s="20" t="s">
        <v>76</v>
      </c>
      <c r="J18" s="15">
        <v>28.4722222222222</v>
      </c>
      <c r="K18" s="15">
        <v>33.3333333333333</v>
      </c>
      <c r="L18" s="15">
        <v>44.262295081967203</v>
      </c>
      <c r="M18" s="15">
        <v>43.421052631578902</v>
      </c>
      <c r="N18" s="15">
        <v>32.941176470588204</v>
      </c>
      <c r="O18" s="15">
        <v>44.1860465116279</v>
      </c>
      <c r="P18" s="15">
        <v>40.845070422535201</v>
      </c>
      <c r="Q18" s="15">
        <v>43.661971830985898</v>
      </c>
      <c r="R18" s="15">
        <v>23.076923076923102</v>
      </c>
      <c r="S18" s="15">
        <v>34.146341463414601</v>
      </c>
      <c r="T18" s="15">
        <v>31.25</v>
      </c>
      <c r="U18" s="20" t="s">
        <v>76</v>
      </c>
      <c r="V18" s="15">
        <v>29.411764705882401</v>
      </c>
      <c r="W18" s="15">
        <v>33.8983050847458</v>
      </c>
      <c r="X18" s="20" t="s">
        <v>76</v>
      </c>
      <c r="Y18" s="20" t="s">
        <v>76</v>
      </c>
      <c r="Z18" s="15">
        <v>29.4871794871795</v>
      </c>
      <c r="AA18" s="15">
        <v>35.779816513761503</v>
      </c>
      <c r="AB18" s="15">
        <v>32.352941176470601</v>
      </c>
      <c r="AC18" s="15">
        <v>26.515151515151501</v>
      </c>
      <c r="AD18" s="15">
        <v>25</v>
      </c>
      <c r="AE18" s="15">
        <v>37.037037037037003</v>
      </c>
      <c r="AF18" s="15">
        <v>42.857142857142897</v>
      </c>
      <c r="AG18" s="15">
        <v>29.523809523809501</v>
      </c>
      <c r="AH18" s="15">
        <v>26.785714285714299</v>
      </c>
      <c r="AI18" s="20" t="s">
        <v>76</v>
      </c>
      <c r="AJ18" s="15">
        <v>31.531531531531499</v>
      </c>
      <c r="AK18" s="15">
        <v>16.6666666666667</v>
      </c>
      <c r="AL18" s="15">
        <v>24.4444444444444</v>
      </c>
      <c r="AM18" s="15">
        <v>35.9375</v>
      </c>
      <c r="AN18" s="20" t="s">
        <v>76</v>
      </c>
      <c r="AO18" s="15">
        <v>15</v>
      </c>
      <c r="AP18" s="15">
        <v>31.168831168831201</v>
      </c>
      <c r="AQ18" s="15">
        <v>33.3333333333333</v>
      </c>
      <c r="AR18" s="15">
        <v>23.636363636363601</v>
      </c>
      <c r="AS18" s="20" t="s">
        <v>76</v>
      </c>
      <c r="AT18" s="15">
        <v>32.307692307692299</v>
      </c>
      <c r="AU18" s="15">
        <v>34.6938775510204</v>
      </c>
      <c r="AV18" s="15">
        <v>20.5479452054795</v>
      </c>
      <c r="AW18" s="15">
        <v>32.758620689655203</v>
      </c>
      <c r="AX18" s="15">
        <v>37.5</v>
      </c>
      <c r="AY18" s="15">
        <v>42.857142857142897</v>
      </c>
      <c r="AZ18" s="15">
        <v>42</v>
      </c>
      <c r="BA18" s="15">
        <v>41.509433962264097</v>
      </c>
      <c r="BB18" s="15">
        <v>34.328358208955201</v>
      </c>
      <c r="BC18" s="15">
        <v>31.081081081081098</v>
      </c>
      <c r="BD18" s="15">
        <v>30.769230769230798</v>
      </c>
      <c r="BE18" s="15">
        <v>53.448275862069003</v>
      </c>
      <c r="BF18" s="15">
        <v>39.759036144578303</v>
      </c>
      <c r="BG18" s="15">
        <v>31.343283582089601</v>
      </c>
      <c r="BH18" s="15">
        <v>25</v>
      </c>
      <c r="BI18" s="15">
        <v>47.368421052631597</v>
      </c>
      <c r="BJ18" s="15">
        <v>26.785714285714299</v>
      </c>
      <c r="BK18" s="15">
        <v>20</v>
      </c>
      <c r="BL18" s="15">
        <v>38.28125</v>
      </c>
      <c r="BM18" s="15">
        <v>25.742574257425701</v>
      </c>
      <c r="BN18" s="15">
        <v>26.890756302521002</v>
      </c>
      <c r="BO18" s="15">
        <v>35.5555555555556</v>
      </c>
      <c r="BP18" s="15">
        <v>33.3333333333333</v>
      </c>
      <c r="BQ18" s="15">
        <v>24.657534246575299</v>
      </c>
      <c r="BR18" s="15">
        <v>40</v>
      </c>
      <c r="BS18" s="15">
        <v>36.144578313253</v>
      </c>
      <c r="BT18" s="15">
        <v>41.463414634146297</v>
      </c>
      <c r="BU18" s="15">
        <v>30.841121495327101</v>
      </c>
      <c r="BV18" s="15">
        <v>46.464646464646499</v>
      </c>
      <c r="BW18" s="15">
        <v>26.086956521739101</v>
      </c>
      <c r="BX18" s="20" t="s">
        <v>76</v>
      </c>
      <c r="BY18" s="15">
        <v>39.682539682539698</v>
      </c>
      <c r="BZ18" s="15">
        <v>31.9727891156463</v>
      </c>
      <c r="CA18" s="32">
        <v>17.506275718801199</v>
      </c>
      <c r="CB18" s="15">
        <v>11.5015974440895</v>
      </c>
      <c r="CC18" s="15">
        <v>14.4654088050314</v>
      </c>
      <c r="CD18" s="15">
        <v>14.8387096774194</v>
      </c>
      <c r="CE18" s="15">
        <v>60</v>
      </c>
      <c r="CF18" s="15">
        <v>19.161676646706599</v>
      </c>
      <c r="CG18" s="15">
        <v>20.670391061452499</v>
      </c>
      <c r="CH18" s="15">
        <v>12.867647058823501</v>
      </c>
      <c r="CI18" s="15">
        <v>20.328542094455901</v>
      </c>
      <c r="CJ18" s="15">
        <v>18.431372549019599</v>
      </c>
      <c r="CK18" s="15">
        <v>21.973094170403598</v>
      </c>
      <c r="CL18" s="15">
        <v>19.545454545454501</v>
      </c>
      <c r="CM18" s="24">
        <v>19.9143468950749</v>
      </c>
      <c r="CN18" s="37"/>
    </row>
    <row r="19" spans="1:92">
      <c r="A19" s="9" t="s">
        <v>274</v>
      </c>
      <c r="B19" s="35">
        <v>32.355219979005803</v>
      </c>
      <c r="C19" s="32">
        <v>31.546658372975799</v>
      </c>
      <c r="D19" s="32">
        <v>30.983802306925401</v>
      </c>
      <c r="E19" s="32">
        <v>34.579579686893197</v>
      </c>
      <c r="F19" s="20" t="s">
        <v>76</v>
      </c>
      <c r="G19" s="20" t="s">
        <v>76</v>
      </c>
      <c r="H19" s="15">
        <v>56.521739130434803</v>
      </c>
      <c r="I19" s="15">
        <v>50</v>
      </c>
      <c r="J19" s="15">
        <v>31.9444444444444</v>
      </c>
      <c r="K19" s="15">
        <v>28.205128205128201</v>
      </c>
      <c r="L19" s="15">
        <v>42.622950819672099</v>
      </c>
      <c r="M19" s="15">
        <v>44.7368421052632</v>
      </c>
      <c r="N19" s="15">
        <v>40</v>
      </c>
      <c r="O19" s="15">
        <v>46.511627906976699</v>
      </c>
      <c r="P19" s="15">
        <v>50.704225352112701</v>
      </c>
      <c r="Q19" s="15">
        <v>57.746478873239397</v>
      </c>
      <c r="R19" s="20" t="s">
        <v>76</v>
      </c>
      <c r="S19" s="15">
        <v>17.0731707317073</v>
      </c>
      <c r="T19" s="15">
        <v>16.6666666666667</v>
      </c>
      <c r="U19" s="15">
        <v>33.3333333333333</v>
      </c>
      <c r="V19" s="15">
        <v>20.588235294117599</v>
      </c>
      <c r="W19" s="15">
        <v>40.677966101694899</v>
      </c>
      <c r="X19" s="20" t="s">
        <v>76</v>
      </c>
      <c r="Y19" s="20" t="s">
        <v>76</v>
      </c>
      <c r="Z19" s="15">
        <v>26.923076923076898</v>
      </c>
      <c r="AA19" s="15">
        <v>34.862385321100902</v>
      </c>
      <c r="AB19" s="15">
        <v>30.882352941176499</v>
      </c>
      <c r="AC19" s="15">
        <v>19.696969696969699</v>
      </c>
      <c r="AD19" s="15">
        <v>53.125</v>
      </c>
      <c r="AE19" s="15">
        <v>22.2222222222222</v>
      </c>
      <c r="AF19" s="15">
        <v>50</v>
      </c>
      <c r="AG19" s="15">
        <v>29.523809523809501</v>
      </c>
      <c r="AH19" s="15">
        <v>26.785714285714299</v>
      </c>
      <c r="AI19" s="20" t="s">
        <v>76</v>
      </c>
      <c r="AJ19" s="15">
        <v>27.9279279279279</v>
      </c>
      <c r="AK19" s="15">
        <v>46.6666666666667</v>
      </c>
      <c r="AL19" s="15">
        <v>36.6666666666667</v>
      </c>
      <c r="AM19" s="15">
        <v>51.5625</v>
      </c>
      <c r="AN19" s="20" t="s">
        <v>76</v>
      </c>
      <c r="AO19" s="15">
        <v>17.5</v>
      </c>
      <c r="AP19" s="15">
        <v>18.181818181818201</v>
      </c>
      <c r="AQ19" s="15">
        <v>30.769230769230798</v>
      </c>
      <c r="AR19" s="15">
        <v>20</v>
      </c>
      <c r="AS19" s="20" t="s">
        <v>76</v>
      </c>
      <c r="AT19" s="15">
        <v>26.153846153846199</v>
      </c>
      <c r="AU19" s="15">
        <v>34.6938775510204</v>
      </c>
      <c r="AV19" s="15">
        <v>21.917808219178099</v>
      </c>
      <c r="AW19" s="15">
        <v>43.965517241379303</v>
      </c>
      <c r="AX19" s="15">
        <v>43.75</v>
      </c>
      <c r="AY19" s="15">
        <v>45.714285714285701</v>
      </c>
      <c r="AZ19" s="15">
        <v>44</v>
      </c>
      <c r="BA19" s="15">
        <v>47.169811320754697</v>
      </c>
      <c r="BB19" s="15">
        <v>44.776119402985103</v>
      </c>
      <c r="BC19" s="15">
        <v>41.891891891891902</v>
      </c>
      <c r="BD19" s="15">
        <v>24.3589743589744</v>
      </c>
      <c r="BE19" s="15">
        <v>44.827586206896598</v>
      </c>
      <c r="BF19" s="15">
        <v>43.3734939759036</v>
      </c>
      <c r="BG19" s="15">
        <v>16.417910447761201</v>
      </c>
      <c r="BH19" s="15">
        <v>37.5</v>
      </c>
      <c r="BI19" s="15">
        <v>47.368421052631597</v>
      </c>
      <c r="BJ19" s="15">
        <v>30.3571428571429</v>
      </c>
      <c r="BK19" s="15">
        <v>40</v>
      </c>
      <c r="BL19" s="15">
        <v>22.65625</v>
      </c>
      <c r="BM19" s="15">
        <v>56.435643564356397</v>
      </c>
      <c r="BN19" s="15">
        <v>32.773109243697498</v>
      </c>
      <c r="BO19" s="15">
        <v>33.3333333333333</v>
      </c>
      <c r="BP19" s="15">
        <v>46.6666666666667</v>
      </c>
      <c r="BQ19" s="15">
        <v>20.5479452054795</v>
      </c>
      <c r="BR19" s="15">
        <v>25</v>
      </c>
      <c r="BS19" s="15">
        <v>55.421686746988001</v>
      </c>
      <c r="BT19" s="15">
        <v>35.365853658536601</v>
      </c>
      <c r="BU19" s="15">
        <v>60.747663551401899</v>
      </c>
      <c r="BV19" s="15">
        <v>50.505050505050498</v>
      </c>
      <c r="BW19" s="15">
        <v>27.536231884058001</v>
      </c>
      <c r="BX19" s="20" t="s">
        <v>76</v>
      </c>
      <c r="BY19" s="15">
        <v>26.984126984126998</v>
      </c>
      <c r="BZ19" s="15">
        <v>25.850340136054399</v>
      </c>
      <c r="CA19" s="32">
        <v>28.079957972895301</v>
      </c>
      <c r="CB19" s="15">
        <v>30.031948881789098</v>
      </c>
      <c r="CC19" s="15">
        <v>31.761006289308199</v>
      </c>
      <c r="CD19" s="15">
        <v>40</v>
      </c>
      <c r="CE19" s="20" t="s">
        <v>76</v>
      </c>
      <c r="CF19" s="15">
        <v>34.730538922155702</v>
      </c>
      <c r="CG19" s="15">
        <v>34.636871508379897</v>
      </c>
      <c r="CH19" s="15">
        <v>24.080882352941199</v>
      </c>
      <c r="CI19" s="15">
        <v>35.523613963038997</v>
      </c>
      <c r="CJ19" s="15">
        <v>36.078431372548998</v>
      </c>
      <c r="CK19" s="15">
        <v>22.869955156950699</v>
      </c>
      <c r="CL19" s="15">
        <v>22.727272727272702</v>
      </c>
      <c r="CM19" s="24">
        <v>25.695931477516101</v>
      </c>
      <c r="CN19" s="37"/>
    </row>
    <row r="20" spans="1:92">
      <c r="A20" s="9" t="s">
        <v>275</v>
      </c>
      <c r="B20" s="35">
        <v>14.478615034573499</v>
      </c>
      <c r="C20" s="32">
        <v>13.452205782947701</v>
      </c>
      <c r="D20" s="32">
        <v>13.5245883620087</v>
      </c>
      <c r="E20" s="32">
        <v>15.5007307847647</v>
      </c>
      <c r="F20" s="20" t="s">
        <v>76</v>
      </c>
      <c r="G20" s="15">
        <v>58.823529411764703</v>
      </c>
      <c r="H20" s="20" t="s">
        <v>76</v>
      </c>
      <c r="I20" s="20" t="s">
        <v>76</v>
      </c>
      <c r="J20" s="15">
        <v>11.1111111111111</v>
      </c>
      <c r="K20" s="15">
        <v>12.8205128205128</v>
      </c>
      <c r="L20" s="15">
        <v>13.1147540983607</v>
      </c>
      <c r="M20" s="15">
        <v>19.7368421052632</v>
      </c>
      <c r="N20" s="15">
        <v>12.9411764705882</v>
      </c>
      <c r="O20" s="15">
        <v>27.906976744186</v>
      </c>
      <c r="P20" s="15">
        <v>19.7183098591549</v>
      </c>
      <c r="Q20" s="15">
        <v>12.6760563380282</v>
      </c>
      <c r="R20" s="20" t="s">
        <v>76</v>
      </c>
      <c r="S20" s="20" t="s">
        <v>76</v>
      </c>
      <c r="T20" s="20" t="s">
        <v>76</v>
      </c>
      <c r="U20" s="15">
        <v>23.8095238095238</v>
      </c>
      <c r="V20" s="20" t="s">
        <v>76</v>
      </c>
      <c r="W20" s="15">
        <v>23.728813559321999</v>
      </c>
      <c r="X20" s="20" t="s">
        <v>76</v>
      </c>
      <c r="Y20" s="20" t="s">
        <v>76</v>
      </c>
      <c r="Z20" s="15">
        <v>8.9743589743589691</v>
      </c>
      <c r="AA20" s="15">
        <v>29.357798165137599</v>
      </c>
      <c r="AB20" s="15">
        <v>17.647058823529399</v>
      </c>
      <c r="AC20" s="15">
        <v>14.3939393939394</v>
      </c>
      <c r="AD20" s="15">
        <v>25</v>
      </c>
      <c r="AE20" s="20" t="s">
        <v>76</v>
      </c>
      <c r="AF20" s="20" t="s">
        <v>76</v>
      </c>
      <c r="AG20" s="15">
        <v>7.6190476190476204</v>
      </c>
      <c r="AH20" s="15">
        <v>8.9285714285714306</v>
      </c>
      <c r="AI20" s="20" t="s">
        <v>76</v>
      </c>
      <c r="AJ20" s="15">
        <v>16.2162162162162</v>
      </c>
      <c r="AK20" s="15">
        <v>30</v>
      </c>
      <c r="AL20" s="15">
        <v>11.1111111111111</v>
      </c>
      <c r="AM20" s="15">
        <v>28.125</v>
      </c>
      <c r="AN20" s="20" t="s">
        <v>76</v>
      </c>
      <c r="AO20" s="15">
        <v>12.5</v>
      </c>
      <c r="AP20" s="15">
        <v>18.181818181818201</v>
      </c>
      <c r="AQ20" s="15">
        <v>20.5128205128205</v>
      </c>
      <c r="AR20" s="15">
        <v>21.818181818181799</v>
      </c>
      <c r="AS20" s="20" t="s">
        <v>76</v>
      </c>
      <c r="AT20" s="15">
        <v>20</v>
      </c>
      <c r="AU20" s="15">
        <v>10.2040816326531</v>
      </c>
      <c r="AV20" s="20" t="s">
        <v>76</v>
      </c>
      <c r="AW20" s="15">
        <v>17.241379310344801</v>
      </c>
      <c r="AX20" s="20" t="s">
        <v>76</v>
      </c>
      <c r="AY20" s="15">
        <v>14.285714285714301</v>
      </c>
      <c r="AZ20" s="15">
        <v>26</v>
      </c>
      <c r="BA20" s="20" t="s">
        <v>76</v>
      </c>
      <c r="BB20" s="15">
        <v>16.417910447761201</v>
      </c>
      <c r="BC20" s="15">
        <v>13.5135135135135</v>
      </c>
      <c r="BD20" s="15">
        <v>14.1025641025641</v>
      </c>
      <c r="BE20" s="15">
        <v>20.689655172413801</v>
      </c>
      <c r="BF20" s="15">
        <v>15.662650602409601</v>
      </c>
      <c r="BG20" s="15">
        <v>17.910447761194</v>
      </c>
      <c r="BH20" s="20" t="s">
        <v>76</v>
      </c>
      <c r="BI20" s="20" t="s">
        <v>76</v>
      </c>
      <c r="BJ20" s="15">
        <v>14.285714285714301</v>
      </c>
      <c r="BK20" s="15">
        <v>25</v>
      </c>
      <c r="BL20" s="15">
        <v>14.0625</v>
      </c>
      <c r="BM20" s="15">
        <v>9.9009900990098991</v>
      </c>
      <c r="BN20" s="15">
        <v>22.689075630252098</v>
      </c>
      <c r="BO20" s="15">
        <v>21.1111111111111</v>
      </c>
      <c r="BP20" s="15">
        <v>40</v>
      </c>
      <c r="BQ20" s="15">
        <v>8.2191780821917799</v>
      </c>
      <c r="BR20" s="15">
        <v>10</v>
      </c>
      <c r="BS20" s="15">
        <v>18.0722891566265</v>
      </c>
      <c r="BT20" s="15">
        <v>14.634146341463399</v>
      </c>
      <c r="BU20" s="15">
        <v>16.822429906542101</v>
      </c>
      <c r="BV20" s="15">
        <v>14.141414141414099</v>
      </c>
      <c r="BW20" s="20" t="s">
        <v>76</v>
      </c>
      <c r="BX20" s="20" t="s">
        <v>76</v>
      </c>
      <c r="BY20" s="15">
        <v>14.285714285714301</v>
      </c>
      <c r="BZ20" s="15">
        <v>13.605442176870699</v>
      </c>
      <c r="CA20" s="32">
        <v>11.928713709277</v>
      </c>
      <c r="CB20" s="15">
        <v>9.2651757188498394</v>
      </c>
      <c r="CC20" s="15">
        <v>12.8930817610063</v>
      </c>
      <c r="CD20" s="15">
        <v>9.67741935483871</v>
      </c>
      <c r="CE20" s="20" t="s">
        <v>76</v>
      </c>
      <c r="CF20" s="15">
        <v>14.9700598802395</v>
      </c>
      <c r="CG20" s="15">
        <v>18.435754189944099</v>
      </c>
      <c r="CH20" s="15">
        <v>11.764705882352899</v>
      </c>
      <c r="CI20" s="15">
        <v>14.7843942505133</v>
      </c>
      <c r="CJ20" s="15">
        <v>13.7254901960784</v>
      </c>
      <c r="CK20" s="15">
        <v>9.8654708520179408</v>
      </c>
      <c r="CL20" s="15">
        <v>13.030303030302999</v>
      </c>
      <c r="CM20" s="24">
        <v>8.5653104925053505</v>
      </c>
      <c r="CN20" s="37"/>
    </row>
    <row r="21" spans="1:92">
      <c r="A21" s="9" t="s">
        <v>276</v>
      </c>
      <c r="B21" s="35">
        <v>10.4819656850404</v>
      </c>
      <c r="C21" s="32">
        <v>10.0906072660303</v>
      </c>
      <c r="D21" s="32">
        <v>10.926132054708599</v>
      </c>
      <c r="E21" s="32">
        <v>12.090001701197799</v>
      </c>
      <c r="F21" s="20" t="s">
        <v>76</v>
      </c>
      <c r="G21" s="20" t="s">
        <v>76</v>
      </c>
      <c r="H21" s="20" t="s">
        <v>76</v>
      </c>
      <c r="I21" s="20" t="s">
        <v>76</v>
      </c>
      <c r="J21" s="15">
        <v>8.3333333333333304</v>
      </c>
      <c r="K21" s="20" t="s">
        <v>76</v>
      </c>
      <c r="L21" s="15">
        <v>8.1967213114754092</v>
      </c>
      <c r="M21" s="15">
        <v>25</v>
      </c>
      <c r="N21" s="15">
        <v>18.823529411764699</v>
      </c>
      <c r="O21" s="20" t="s">
        <v>76</v>
      </c>
      <c r="P21" s="15">
        <v>16.901408450704199</v>
      </c>
      <c r="Q21" s="15">
        <v>14.084507042253501</v>
      </c>
      <c r="R21" s="20" t="s">
        <v>76</v>
      </c>
      <c r="S21" s="15">
        <v>12.1951219512195</v>
      </c>
      <c r="T21" s="20" t="s">
        <v>76</v>
      </c>
      <c r="U21" s="15">
        <v>23.8095238095238</v>
      </c>
      <c r="V21" s="20" t="s">
        <v>76</v>
      </c>
      <c r="W21" s="20" t="s">
        <v>76</v>
      </c>
      <c r="X21" s="20" t="s">
        <v>76</v>
      </c>
      <c r="Y21" s="20" t="s">
        <v>76</v>
      </c>
      <c r="Z21" s="15">
        <v>32.051282051282101</v>
      </c>
      <c r="AA21" s="15">
        <v>14.678899082568799</v>
      </c>
      <c r="AB21" s="15">
        <v>25</v>
      </c>
      <c r="AC21" s="15">
        <v>8.3333333333333304</v>
      </c>
      <c r="AD21" s="20" t="s">
        <v>76</v>
      </c>
      <c r="AE21" s="20" t="s">
        <v>76</v>
      </c>
      <c r="AF21" s="15">
        <v>42.857142857142897</v>
      </c>
      <c r="AG21" s="15">
        <v>8.5714285714285694</v>
      </c>
      <c r="AH21" s="20" t="s">
        <v>76</v>
      </c>
      <c r="AI21" s="20" t="s">
        <v>76</v>
      </c>
      <c r="AJ21" s="15">
        <v>7.20720720720721</v>
      </c>
      <c r="AK21" s="15">
        <v>26.6666666666667</v>
      </c>
      <c r="AL21" s="15">
        <v>12.2222222222222</v>
      </c>
      <c r="AM21" s="15">
        <v>21.875</v>
      </c>
      <c r="AN21" s="20" t="s">
        <v>76</v>
      </c>
      <c r="AO21" s="15">
        <v>17.5</v>
      </c>
      <c r="AP21" s="15">
        <v>6.4935064935064899</v>
      </c>
      <c r="AQ21" s="20" t="s">
        <v>76</v>
      </c>
      <c r="AR21" s="15">
        <v>14.545454545454501</v>
      </c>
      <c r="AS21" s="20" t="s">
        <v>76</v>
      </c>
      <c r="AT21" s="15">
        <v>7.6923076923076898</v>
      </c>
      <c r="AU21" s="15">
        <v>14.285714285714301</v>
      </c>
      <c r="AV21" s="15">
        <v>6.8493150684931496</v>
      </c>
      <c r="AW21" s="15">
        <v>5.1724137931034502</v>
      </c>
      <c r="AX21" s="20" t="s">
        <v>76</v>
      </c>
      <c r="AY21" s="20" t="s">
        <v>76</v>
      </c>
      <c r="AZ21" s="15">
        <v>12</v>
      </c>
      <c r="BA21" s="15">
        <v>9.4339622641509404</v>
      </c>
      <c r="BB21" s="15">
        <v>8.9552238805970106</v>
      </c>
      <c r="BC21" s="15">
        <v>8.1081081081081106</v>
      </c>
      <c r="BD21" s="15">
        <v>10.2564102564103</v>
      </c>
      <c r="BE21" s="15">
        <v>15.517241379310301</v>
      </c>
      <c r="BF21" s="15">
        <v>19.277108433734899</v>
      </c>
      <c r="BG21" s="15">
        <v>10.4477611940298</v>
      </c>
      <c r="BH21" s="20" t="s">
        <v>76</v>
      </c>
      <c r="BI21" s="20" t="s">
        <v>76</v>
      </c>
      <c r="BJ21" s="15">
        <v>15.1785714285714</v>
      </c>
      <c r="BK21" s="20" t="s">
        <v>76</v>
      </c>
      <c r="BL21" s="15">
        <v>10.9375</v>
      </c>
      <c r="BM21" s="15">
        <v>5.9405940594059397</v>
      </c>
      <c r="BN21" s="15">
        <v>9.2436974789915993</v>
      </c>
      <c r="BO21" s="15">
        <v>14.4444444444444</v>
      </c>
      <c r="BP21" s="20" t="s">
        <v>76</v>
      </c>
      <c r="BQ21" s="15">
        <v>13.698630136986299</v>
      </c>
      <c r="BR21" s="15">
        <v>8.3333333333333304</v>
      </c>
      <c r="BS21" s="20" t="s">
        <v>76</v>
      </c>
      <c r="BT21" s="15">
        <v>9.7560975609756095</v>
      </c>
      <c r="BU21" s="15">
        <v>14.018691588785</v>
      </c>
      <c r="BV21" s="15">
        <v>17.171717171717201</v>
      </c>
      <c r="BW21" s="20" t="s">
        <v>76</v>
      </c>
      <c r="BX21" s="20" t="s">
        <v>76</v>
      </c>
      <c r="BY21" s="15">
        <v>11.1111111111111</v>
      </c>
      <c r="BZ21" s="15">
        <v>6.8027210884353702</v>
      </c>
      <c r="CA21" s="32">
        <v>9.9862250689937397</v>
      </c>
      <c r="CB21" s="15">
        <v>6.0702875399360998</v>
      </c>
      <c r="CC21" s="15">
        <v>5.0314465408805003</v>
      </c>
      <c r="CD21" s="15">
        <v>9.0322580645161299</v>
      </c>
      <c r="CE21" s="20" t="s">
        <v>76</v>
      </c>
      <c r="CF21" s="15">
        <v>17.065868263473099</v>
      </c>
      <c r="CG21" s="15">
        <v>12.849162011173201</v>
      </c>
      <c r="CH21" s="15">
        <v>16.176470588235301</v>
      </c>
      <c r="CI21" s="15">
        <v>10.8829568788501</v>
      </c>
      <c r="CJ21" s="15">
        <v>15.294117647058799</v>
      </c>
      <c r="CK21" s="15">
        <v>13.004484304932699</v>
      </c>
      <c r="CL21" s="15">
        <v>8.7878787878787907</v>
      </c>
      <c r="CM21" s="24">
        <v>6.6381156316916501</v>
      </c>
      <c r="CN21" s="37"/>
    </row>
    <row r="22" spans="1:92">
      <c r="A22" s="9" t="s">
        <v>277</v>
      </c>
      <c r="B22" s="35">
        <v>18.5121454220392</v>
      </c>
      <c r="C22" s="32">
        <v>18.773043344847501</v>
      </c>
      <c r="D22" s="32">
        <v>18.818020227189798</v>
      </c>
      <c r="E22" s="32">
        <v>24.999343967298199</v>
      </c>
      <c r="F22" s="15">
        <v>29.411764705882401</v>
      </c>
      <c r="G22" s="15">
        <v>41.176470588235297</v>
      </c>
      <c r="H22" s="15">
        <v>34.7826086956522</v>
      </c>
      <c r="I22" s="20" t="s">
        <v>76</v>
      </c>
      <c r="J22" s="15">
        <v>25</v>
      </c>
      <c r="K22" s="15">
        <v>28.205128205128201</v>
      </c>
      <c r="L22" s="15">
        <v>21.311475409836099</v>
      </c>
      <c r="M22" s="15">
        <v>26.315789473684202</v>
      </c>
      <c r="N22" s="15">
        <v>21.176470588235301</v>
      </c>
      <c r="O22" s="15">
        <v>41.860465116279101</v>
      </c>
      <c r="P22" s="15">
        <v>29.577464788732399</v>
      </c>
      <c r="Q22" s="15">
        <v>21.126760563380302</v>
      </c>
      <c r="R22" s="20" t="s">
        <v>76</v>
      </c>
      <c r="S22" s="15">
        <v>26.829268292682901</v>
      </c>
      <c r="T22" s="15">
        <v>14.5833333333333</v>
      </c>
      <c r="U22" s="15">
        <v>28.571428571428601</v>
      </c>
      <c r="V22" s="15">
        <v>29.411764705882401</v>
      </c>
      <c r="W22" s="15">
        <v>18.644067796610202</v>
      </c>
      <c r="X22" s="20" t="s">
        <v>76</v>
      </c>
      <c r="Y22" s="20" t="s">
        <v>76</v>
      </c>
      <c r="Z22" s="15">
        <v>26.923076923076898</v>
      </c>
      <c r="AA22" s="15">
        <v>38.5321100917431</v>
      </c>
      <c r="AB22" s="15">
        <v>38.235294117647101</v>
      </c>
      <c r="AC22" s="15">
        <v>29.545454545454501</v>
      </c>
      <c r="AD22" s="15">
        <v>15.625</v>
      </c>
      <c r="AE22" s="15">
        <v>25.925925925925899</v>
      </c>
      <c r="AF22" s="20" t="s">
        <v>76</v>
      </c>
      <c r="AG22" s="15">
        <v>18.095238095238098</v>
      </c>
      <c r="AH22" s="15">
        <v>17.8571428571429</v>
      </c>
      <c r="AI22" s="20" t="s">
        <v>76</v>
      </c>
      <c r="AJ22" s="15">
        <v>22.5225225225225</v>
      </c>
      <c r="AK22" s="15">
        <v>46.6666666666667</v>
      </c>
      <c r="AL22" s="15">
        <v>18.8888888888889</v>
      </c>
      <c r="AM22" s="15">
        <v>28.125</v>
      </c>
      <c r="AN22" s="20" t="s">
        <v>76</v>
      </c>
      <c r="AO22" s="20" t="s">
        <v>76</v>
      </c>
      <c r="AP22" s="15">
        <v>20.7792207792208</v>
      </c>
      <c r="AQ22" s="15">
        <v>25.6410256410256</v>
      </c>
      <c r="AR22" s="15">
        <v>29.090909090909101</v>
      </c>
      <c r="AS22" s="20" t="s">
        <v>76</v>
      </c>
      <c r="AT22" s="15">
        <v>21.538461538461501</v>
      </c>
      <c r="AU22" s="15">
        <v>16.326530612244898</v>
      </c>
      <c r="AV22" s="15">
        <v>21.917808219178099</v>
      </c>
      <c r="AW22" s="15">
        <v>23.275862068965498</v>
      </c>
      <c r="AX22" s="15">
        <v>31.25</v>
      </c>
      <c r="AY22" s="15">
        <v>25.714285714285701</v>
      </c>
      <c r="AZ22" s="15">
        <v>20</v>
      </c>
      <c r="BA22" s="15">
        <v>18.867924528301899</v>
      </c>
      <c r="BB22" s="15">
        <v>22.388059701492502</v>
      </c>
      <c r="BC22" s="15">
        <v>29.729729729729701</v>
      </c>
      <c r="BD22" s="15">
        <v>28.205128205128201</v>
      </c>
      <c r="BE22" s="15">
        <v>34.482758620689701</v>
      </c>
      <c r="BF22" s="15">
        <v>31.325301204819301</v>
      </c>
      <c r="BG22" s="15">
        <v>26.865671641791</v>
      </c>
      <c r="BH22" s="15">
        <v>29.1666666666667</v>
      </c>
      <c r="BI22" s="15">
        <v>26.315789473684202</v>
      </c>
      <c r="BJ22" s="15">
        <v>24.1071428571429</v>
      </c>
      <c r="BK22" s="15">
        <v>35</v>
      </c>
      <c r="BL22" s="15">
        <v>19.53125</v>
      </c>
      <c r="BM22" s="15">
        <v>23.762376237623801</v>
      </c>
      <c r="BN22" s="15">
        <v>25.210084033613398</v>
      </c>
      <c r="BO22" s="15">
        <v>18.8888888888889</v>
      </c>
      <c r="BP22" s="15">
        <v>33.3333333333333</v>
      </c>
      <c r="BQ22" s="15">
        <v>21.917808219178099</v>
      </c>
      <c r="BR22" s="15">
        <v>25</v>
      </c>
      <c r="BS22" s="15">
        <v>22.891566265060199</v>
      </c>
      <c r="BT22" s="15">
        <v>20.731707317073202</v>
      </c>
      <c r="BU22" s="15">
        <v>27.1028037383178</v>
      </c>
      <c r="BV22" s="15">
        <v>26.262626262626299</v>
      </c>
      <c r="BW22" s="15">
        <v>17.3913043478261</v>
      </c>
      <c r="BX22" s="20" t="s">
        <v>76</v>
      </c>
      <c r="BY22" s="15">
        <v>22.2222222222222</v>
      </c>
      <c r="BZ22" s="15">
        <v>26.530612244897998</v>
      </c>
      <c r="CA22" s="32">
        <v>13.8261644967663</v>
      </c>
      <c r="CB22" s="15">
        <v>12.4600638977636</v>
      </c>
      <c r="CC22" s="15">
        <v>19.811320754716998</v>
      </c>
      <c r="CD22" s="15">
        <v>14.193548387096801</v>
      </c>
      <c r="CE22" s="20" t="s">
        <v>76</v>
      </c>
      <c r="CF22" s="15">
        <v>16.4670658682635</v>
      </c>
      <c r="CG22" s="15">
        <v>13.966480446927401</v>
      </c>
      <c r="CH22" s="15">
        <v>12.867647058823501</v>
      </c>
      <c r="CI22" s="15">
        <v>14.9897330595483</v>
      </c>
      <c r="CJ22" s="15">
        <v>15.6862745098039</v>
      </c>
      <c r="CK22" s="15">
        <v>11.6591928251121</v>
      </c>
      <c r="CL22" s="15">
        <v>17.272727272727298</v>
      </c>
      <c r="CM22" s="24">
        <v>12.633832976445399</v>
      </c>
      <c r="CN22" s="37"/>
    </row>
    <row r="23" spans="1:92">
      <c r="A23" s="9" t="s">
        <v>278</v>
      </c>
      <c r="B23" s="35">
        <v>17.871181014412201</v>
      </c>
      <c r="C23" s="32">
        <v>18.443625914676101</v>
      </c>
      <c r="D23" s="32">
        <v>18.312682862510801</v>
      </c>
      <c r="E23" s="32">
        <v>19.409064865328101</v>
      </c>
      <c r="F23" s="20" t="s">
        <v>76</v>
      </c>
      <c r="G23" s="15">
        <v>29.411764705882401</v>
      </c>
      <c r="H23" s="15">
        <v>34.7826086956522</v>
      </c>
      <c r="I23" s="20" t="s">
        <v>76</v>
      </c>
      <c r="J23" s="15">
        <v>13.1944444444444</v>
      </c>
      <c r="K23" s="15">
        <v>12.8205128205128</v>
      </c>
      <c r="L23" s="15">
        <v>27.868852459016399</v>
      </c>
      <c r="M23" s="15">
        <v>34.210526315789501</v>
      </c>
      <c r="N23" s="15">
        <v>43.529411764705898</v>
      </c>
      <c r="O23" s="15">
        <v>37.209302325581397</v>
      </c>
      <c r="P23" s="15">
        <v>25.352112676056301</v>
      </c>
      <c r="Q23" s="15">
        <v>28.169014084507001</v>
      </c>
      <c r="R23" s="20" t="s">
        <v>76</v>
      </c>
      <c r="S23" s="15">
        <v>19.512195121951201</v>
      </c>
      <c r="T23" s="20" t="s">
        <v>76</v>
      </c>
      <c r="U23" s="20" t="s">
        <v>76</v>
      </c>
      <c r="V23" s="15">
        <v>17.647058823529399</v>
      </c>
      <c r="W23" s="15">
        <v>22.033898305084701</v>
      </c>
      <c r="X23" s="20" t="s">
        <v>76</v>
      </c>
      <c r="Y23" s="20" t="s">
        <v>76</v>
      </c>
      <c r="Z23" s="15">
        <v>12.8205128205128</v>
      </c>
      <c r="AA23" s="15">
        <v>21.100917431192698</v>
      </c>
      <c r="AB23" s="15">
        <v>25</v>
      </c>
      <c r="AC23" s="15">
        <v>15.909090909090899</v>
      </c>
      <c r="AD23" s="15">
        <v>18.75</v>
      </c>
      <c r="AE23" s="20" t="s">
        <v>76</v>
      </c>
      <c r="AF23" s="15">
        <v>35.714285714285701</v>
      </c>
      <c r="AG23" s="15">
        <v>21.904761904761902</v>
      </c>
      <c r="AH23" s="15">
        <v>19.6428571428571</v>
      </c>
      <c r="AI23" s="20" t="s">
        <v>76</v>
      </c>
      <c r="AJ23" s="15">
        <v>17.1171171171171</v>
      </c>
      <c r="AK23" s="15">
        <v>16.6666666666667</v>
      </c>
      <c r="AL23" s="15">
        <v>14.4444444444444</v>
      </c>
      <c r="AM23" s="15">
        <v>23.4375</v>
      </c>
      <c r="AN23" s="20" t="s">
        <v>76</v>
      </c>
      <c r="AO23" s="20" t="s">
        <v>76</v>
      </c>
      <c r="AP23" s="15">
        <v>11.6883116883117</v>
      </c>
      <c r="AQ23" s="20" t="s">
        <v>76</v>
      </c>
      <c r="AR23" s="15">
        <v>9.0909090909090899</v>
      </c>
      <c r="AS23" s="20" t="s">
        <v>76</v>
      </c>
      <c r="AT23" s="15">
        <v>7.6923076923076898</v>
      </c>
      <c r="AU23" s="15">
        <v>22.4489795918367</v>
      </c>
      <c r="AV23" s="15">
        <v>8.2191780821917799</v>
      </c>
      <c r="AW23" s="15">
        <v>18.1034482758621</v>
      </c>
      <c r="AX23" s="15">
        <v>31.25</v>
      </c>
      <c r="AY23" s="15">
        <v>25.714285714285701</v>
      </c>
      <c r="AZ23" s="15">
        <v>32</v>
      </c>
      <c r="BA23" s="15">
        <v>16.981132075471699</v>
      </c>
      <c r="BB23" s="15">
        <v>23.880597014925399</v>
      </c>
      <c r="BC23" s="15">
        <v>16.2162162162162</v>
      </c>
      <c r="BD23" s="15">
        <v>15.384615384615399</v>
      </c>
      <c r="BE23" s="15">
        <v>27.586206896551701</v>
      </c>
      <c r="BF23" s="15">
        <v>20.481927710843401</v>
      </c>
      <c r="BG23" s="15">
        <v>14.9253731343284</v>
      </c>
      <c r="BH23" s="20" t="s">
        <v>76</v>
      </c>
      <c r="BI23" s="15">
        <v>26.315789473684202</v>
      </c>
      <c r="BJ23" s="15">
        <v>18.75</v>
      </c>
      <c r="BK23" s="20" t="s">
        <v>76</v>
      </c>
      <c r="BL23" s="15">
        <v>15.625</v>
      </c>
      <c r="BM23" s="15">
        <v>24.752475247524799</v>
      </c>
      <c r="BN23" s="15">
        <v>18.487394957983199</v>
      </c>
      <c r="BO23" s="15">
        <v>20</v>
      </c>
      <c r="BP23" s="15">
        <v>40</v>
      </c>
      <c r="BQ23" s="15">
        <v>17.808219178082201</v>
      </c>
      <c r="BR23" s="15">
        <v>20</v>
      </c>
      <c r="BS23" s="15">
        <v>21.6867469879518</v>
      </c>
      <c r="BT23" s="15">
        <v>19.512195121951201</v>
      </c>
      <c r="BU23" s="15">
        <v>14.953271028037401</v>
      </c>
      <c r="BV23" s="15">
        <v>27.272727272727298</v>
      </c>
      <c r="BW23" s="15">
        <v>10.144927536231901</v>
      </c>
      <c r="BX23" s="20" t="s">
        <v>76</v>
      </c>
      <c r="BY23" s="15">
        <v>23.8095238095238</v>
      </c>
      <c r="BZ23" s="15">
        <v>19.047619047619001</v>
      </c>
      <c r="CA23" s="32">
        <v>17.427276918152199</v>
      </c>
      <c r="CB23" s="15">
        <v>12.779552715655001</v>
      </c>
      <c r="CC23" s="15">
        <v>17.295597484276701</v>
      </c>
      <c r="CD23" s="15">
        <v>15.4838709677419</v>
      </c>
      <c r="CE23" s="20" t="s">
        <v>76</v>
      </c>
      <c r="CF23" s="15">
        <v>15.868263473053901</v>
      </c>
      <c r="CG23" s="15">
        <v>18.435754189944099</v>
      </c>
      <c r="CH23" s="15">
        <v>17.647058823529399</v>
      </c>
      <c r="CI23" s="15">
        <v>16.427104722792599</v>
      </c>
      <c r="CJ23" s="15">
        <v>16.078431372549002</v>
      </c>
      <c r="CK23" s="15">
        <v>22.421524663677101</v>
      </c>
      <c r="CL23" s="15">
        <v>17.727272727272702</v>
      </c>
      <c r="CM23" s="24">
        <v>19.271948608136999</v>
      </c>
      <c r="CN23" s="37"/>
    </row>
    <row r="24" spans="1:92">
      <c r="A24" s="9" t="s">
        <v>279</v>
      </c>
      <c r="B24" s="35">
        <v>42.9094988306665</v>
      </c>
      <c r="C24" s="32">
        <v>42.889927961572702</v>
      </c>
      <c r="D24" s="32">
        <v>43.387407912629399</v>
      </c>
      <c r="E24" s="32">
        <v>50.475535450622097</v>
      </c>
      <c r="F24" s="15">
        <v>47.058823529411796</v>
      </c>
      <c r="G24" s="15">
        <v>35.294117647058798</v>
      </c>
      <c r="H24" s="15">
        <v>65.2173913043478</v>
      </c>
      <c r="I24" s="15">
        <v>50</v>
      </c>
      <c r="J24" s="15">
        <v>47.2222222222222</v>
      </c>
      <c r="K24" s="15">
        <v>35.897435897435898</v>
      </c>
      <c r="L24" s="15">
        <v>50.819672131147499</v>
      </c>
      <c r="M24" s="15">
        <v>46.052631578947398</v>
      </c>
      <c r="N24" s="15">
        <v>63.529411764705898</v>
      </c>
      <c r="O24" s="15">
        <v>53.488372093023301</v>
      </c>
      <c r="P24" s="15">
        <v>63.380281690140798</v>
      </c>
      <c r="Q24" s="15">
        <v>57.746478873239397</v>
      </c>
      <c r="R24" s="15">
        <v>26.923076923076898</v>
      </c>
      <c r="S24" s="15">
        <v>70.731707317073202</v>
      </c>
      <c r="T24" s="15">
        <v>41.6666666666667</v>
      </c>
      <c r="U24" s="15">
        <v>47.619047619047599</v>
      </c>
      <c r="V24" s="15">
        <v>47.058823529411796</v>
      </c>
      <c r="W24" s="15">
        <v>54.237288135593197</v>
      </c>
      <c r="X24" s="15">
        <v>69.230769230769198</v>
      </c>
      <c r="Y24" s="15">
        <v>62.5</v>
      </c>
      <c r="Z24" s="15">
        <v>42.307692307692299</v>
      </c>
      <c r="AA24" s="15">
        <v>60.550458715596299</v>
      </c>
      <c r="AB24" s="15">
        <v>48.529411764705898</v>
      </c>
      <c r="AC24" s="15">
        <v>48.484848484848499</v>
      </c>
      <c r="AD24" s="15">
        <v>65.625</v>
      </c>
      <c r="AE24" s="15">
        <v>66.6666666666667</v>
      </c>
      <c r="AF24" s="15">
        <v>50</v>
      </c>
      <c r="AG24" s="15">
        <v>37.142857142857103</v>
      </c>
      <c r="AH24" s="15">
        <v>37.5</v>
      </c>
      <c r="AI24" s="20" t="s">
        <v>76</v>
      </c>
      <c r="AJ24" s="15">
        <v>47.747747747747702</v>
      </c>
      <c r="AK24" s="15">
        <v>70</v>
      </c>
      <c r="AL24" s="15">
        <v>35.5555555555556</v>
      </c>
      <c r="AM24" s="15">
        <v>50</v>
      </c>
      <c r="AN24" s="20" t="s">
        <v>76</v>
      </c>
      <c r="AO24" s="15">
        <v>35</v>
      </c>
      <c r="AP24" s="15">
        <v>54.545454545454497</v>
      </c>
      <c r="AQ24" s="15">
        <v>46.153846153846203</v>
      </c>
      <c r="AR24" s="15">
        <v>41.818181818181799</v>
      </c>
      <c r="AS24" s="15">
        <v>54.545454545454497</v>
      </c>
      <c r="AT24" s="15">
        <v>44.615384615384599</v>
      </c>
      <c r="AU24" s="15">
        <v>42.857142857142897</v>
      </c>
      <c r="AV24" s="15">
        <v>39.726027397260303</v>
      </c>
      <c r="AW24" s="15">
        <v>46.551724137930997</v>
      </c>
      <c r="AX24" s="15">
        <v>50</v>
      </c>
      <c r="AY24" s="15">
        <v>62.857142857142897</v>
      </c>
      <c r="AZ24" s="15">
        <v>54</v>
      </c>
      <c r="BA24" s="15">
        <v>41.509433962264097</v>
      </c>
      <c r="BB24" s="15">
        <v>68.656716417910403</v>
      </c>
      <c r="BC24" s="15">
        <v>60.8108108108108</v>
      </c>
      <c r="BD24" s="15">
        <v>48.717948717948701</v>
      </c>
      <c r="BE24" s="15">
        <v>63.7931034482759</v>
      </c>
      <c r="BF24" s="15">
        <v>44.578313253011999</v>
      </c>
      <c r="BG24" s="15">
        <v>40.298507462686601</v>
      </c>
      <c r="BH24" s="15">
        <v>41.6666666666667</v>
      </c>
      <c r="BI24" s="15">
        <v>47.368421052631597</v>
      </c>
      <c r="BJ24" s="15">
        <v>55.357142857142897</v>
      </c>
      <c r="BK24" s="15">
        <v>40</v>
      </c>
      <c r="BL24" s="15">
        <v>51.5625</v>
      </c>
      <c r="BM24" s="15">
        <v>56.435643564356397</v>
      </c>
      <c r="BN24" s="15">
        <v>48.739495798319297</v>
      </c>
      <c r="BO24" s="15">
        <v>45.5555555555556</v>
      </c>
      <c r="BP24" s="15">
        <v>40</v>
      </c>
      <c r="BQ24" s="15">
        <v>47.945205479452099</v>
      </c>
      <c r="BR24" s="15">
        <v>41.6666666666667</v>
      </c>
      <c r="BS24" s="15">
        <v>51.807228915662698</v>
      </c>
      <c r="BT24" s="15">
        <v>52.439024390243901</v>
      </c>
      <c r="BU24" s="15">
        <v>56.074766355140198</v>
      </c>
      <c r="BV24" s="15">
        <v>71.717171717171695</v>
      </c>
      <c r="BW24" s="15">
        <v>34.7826086956522</v>
      </c>
      <c r="BX24" s="15">
        <v>66.6666666666667</v>
      </c>
      <c r="BY24" s="15">
        <v>31.746031746031701</v>
      </c>
      <c r="BZ24" s="15">
        <v>55.782312925170103</v>
      </c>
      <c r="CA24" s="32">
        <v>37.663244035090599</v>
      </c>
      <c r="CB24" s="15">
        <v>30.9904153354633</v>
      </c>
      <c r="CC24" s="15">
        <v>40.251572327044002</v>
      </c>
      <c r="CD24" s="15">
        <v>46.451612903225801</v>
      </c>
      <c r="CE24" s="15">
        <v>60</v>
      </c>
      <c r="CF24" s="15">
        <v>38.323353293413199</v>
      </c>
      <c r="CG24" s="15">
        <v>36.312849162011197</v>
      </c>
      <c r="CH24" s="15">
        <v>33.455882352941202</v>
      </c>
      <c r="CI24" s="15">
        <v>39.219712525667298</v>
      </c>
      <c r="CJ24" s="15">
        <v>35.686274509803901</v>
      </c>
      <c r="CK24" s="15">
        <v>37.668161434977598</v>
      </c>
      <c r="CL24" s="15">
        <v>44.2424242424242</v>
      </c>
      <c r="CM24" s="24">
        <v>42.826552462526799</v>
      </c>
      <c r="CN24" s="37"/>
    </row>
    <row r="25" spans="1:92">
      <c r="A25" s="9" t="s">
        <v>280</v>
      </c>
      <c r="B25" s="35">
        <v>4.0444835170720701</v>
      </c>
      <c r="C25" s="32">
        <v>3.8417123607642099</v>
      </c>
      <c r="D25" s="32">
        <v>3.2857136982027302</v>
      </c>
      <c r="E25" s="32">
        <v>4.4289029442712398</v>
      </c>
      <c r="F25" s="20" t="s">
        <v>76</v>
      </c>
      <c r="G25" s="20" t="s">
        <v>76</v>
      </c>
      <c r="H25" s="20" t="s">
        <v>76</v>
      </c>
      <c r="I25" s="20" t="s">
        <v>76</v>
      </c>
      <c r="J25" s="20" t="s">
        <v>76</v>
      </c>
      <c r="K25" s="20" t="s">
        <v>76</v>
      </c>
      <c r="L25" s="20" t="s">
        <v>76</v>
      </c>
      <c r="M25" s="15">
        <v>14.473684210526301</v>
      </c>
      <c r="N25" s="20" t="s">
        <v>76</v>
      </c>
      <c r="O25" s="20" t="s">
        <v>76</v>
      </c>
      <c r="P25" s="15">
        <v>7.0422535211267601</v>
      </c>
      <c r="Q25" s="20" t="s">
        <v>76</v>
      </c>
      <c r="R25" s="20" t="s">
        <v>76</v>
      </c>
      <c r="S25" s="20" t="s">
        <v>76</v>
      </c>
      <c r="T25" s="20" t="s">
        <v>76</v>
      </c>
      <c r="U25" s="20" t="s">
        <v>76</v>
      </c>
      <c r="V25" s="20" t="s">
        <v>76</v>
      </c>
      <c r="W25" s="15">
        <v>13.559322033898299</v>
      </c>
      <c r="X25" s="20" t="s">
        <v>76</v>
      </c>
      <c r="Y25" s="20" t="s">
        <v>76</v>
      </c>
      <c r="Z25" s="20" t="s">
        <v>76</v>
      </c>
      <c r="AA25" s="15">
        <v>4.5871559633027497</v>
      </c>
      <c r="AB25" s="15">
        <v>7.3529411764705896</v>
      </c>
      <c r="AC25" s="20" t="s">
        <v>76</v>
      </c>
      <c r="AD25" s="20" t="s">
        <v>76</v>
      </c>
      <c r="AE25" s="20" t="s">
        <v>76</v>
      </c>
      <c r="AF25" s="20" t="s">
        <v>76</v>
      </c>
      <c r="AG25" s="20" t="s">
        <v>76</v>
      </c>
      <c r="AH25" s="20" t="s">
        <v>76</v>
      </c>
      <c r="AI25" s="20" t="s">
        <v>76</v>
      </c>
      <c r="AJ25" s="15">
        <v>4.5045045045045002</v>
      </c>
      <c r="AK25" s="20" t="s">
        <v>76</v>
      </c>
      <c r="AL25" s="20" t="s">
        <v>76</v>
      </c>
      <c r="AM25" s="20" t="s">
        <v>76</v>
      </c>
      <c r="AN25" s="20" t="s">
        <v>76</v>
      </c>
      <c r="AO25" s="20" t="s">
        <v>76</v>
      </c>
      <c r="AP25" s="15">
        <v>9.0909090909090899</v>
      </c>
      <c r="AQ25" s="20" t="s">
        <v>76</v>
      </c>
      <c r="AR25" s="20" t="s">
        <v>76</v>
      </c>
      <c r="AS25" s="20" t="s">
        <v>76</v>
      </c>
      <c r="AT25" s="20" t="s">
        <v>76</v>
      </c>
      <c r="AU25" s="20" t="s">
        <v>76</v>
      </c>
      <c r="AV25" s="20" t="s">
        <v>76</v>
      </c>
      <c r="AW25" s="20" t="s">
        <v>76</v>
      </c>
      <c r="AX25" s="20" t="s">
        <v>76</v>
      </c>
      <c r="AY25" s="15">
        <v>14.285714285714301</v>
      </c>
      <c r="AZ25" s="20" t="s">
        <v>76</v>
      </c>
      <c r="BA25" s="20" t="s">
        <v>76</v>
      </c>
      <c r="BB25" s="15">
        <v>8.9552238805970106</v>
      </c>
      <c r="BC25" s="20" t="s">
        <v>76</v>
      </c>
      <c r="BD25" s="20" t="s">
        <v>76</v>
      </c>
      <c r="BE25" s="20" t="s">
        <v>76</v>
      </c>
      <c r="BF25" s="15">
        <v>8.4337349397590398</v>
      </c>
      <c r="BG25" s="20" t="s">
        <v>76</v>
      </c>
      <c r="BH25" s="20" t="s">
        <v>76</v>
      </c>
      <c r="BI25" s="20" t="s">
        <v>76</v>
      </c>
      <c r="BJ25" s="20" t="s">
        <v>76</v>
      </c>
      <c r="BK25" s="20" t="s">
        <v>76</v>
      </c>
      <c r="BL25" s="20" t="s">
        <v>76</v>
      </c>
      <c r="BM25" s="20" t="s">
        <v>76</v>
      </c>
      <c r="BN25" s="15">
        <v>4.2016806722689104</v>
      </c>
      <c r="BO25" s="15">
        <v>5.5555555555555598</v>
      </c>
      <c r="BP25" s="20" t="s">
        <v>76</v>
      </c>
      <c r="BQ25" s="20" t="s">
        <v>76</v>
      </c>
      <c r="BR25" s="20" t="s">
        <v>76</v>
      </c>
      <c r="BS25" s="20" t="s">
        <v>76</v>
      </c>
      <c r="BT25" s="20" t="s">
        <v>76</v>
      </c>
      <c r="BU25" s="15">
        <v>6.5420560747663501</v>
      </c>
      <c r="BV25" s="20" t="s">
        <v>76</v>
      </c>
      <c r="BW25" s="20" t="s">
        <v>76</v>
      </c>
      <c r="BX25" s="20" t="s">
        <v>76</v>
      </c>
      <c r="BY25" s="20" t="s">
        <v>76</v>
      </c>
      <c r="BZ25" s="20" t="s">
        <v>76</v>
      </c>
      <c r="CA25" s="32">
        <v>2.3625075972316099</v>
      </c>
      <c r="CB25" s="20" t="s">
        <v>76</v>
      </c>
      <c r="CC25" s="15">
        <v>1.88679245283019</v>
      </c>
      <c r="CD25" s="20" t="s">
        <v>76</v>
      </c>
      <c r="CE25" s="20" t="s">
        <v>76</v>
      </c>
      <c r="CF25" s="15">
        <v>3.8922155688622802</v>
      </c>
      <c r="CG25" s="20" t="s">
        <v>76</v>
      </c>
      <c r="CH25" s="15">
        <v>1.47058823529412</v>
      </c>
      <c r="CI25" s="15">
        <v>3.2854209445585201</v>
      </c>
      <c r="CJ25" s="15">
        <v>1.9607843137254899</v>
      </c>
      <c r="CK25" s="20" t="s">
        <v>76</v>
      </c>
      <c r="CL25" s="15">
        <v>3.7878787878787898</v>
      </c>
      <c r="CM25" s="24">
        <v>1.7130620985010701</v>
      </c>
      <c r="CN25" s="37"/>
    </row>
    <row r="26" spans="1:92">
      <c r="A26" s="9" t="s">
        <v>281</v>
      </c>
      <c r="B26" s="35">
        <v>28.035472576459998</v>
      </c>
      <c r="C26" s="32">
        <v>27.627232551117601</v>
      </c>
      <c r="D26" s="32">
        <v>28.486820212791901</v>
      </c>
      <c r="E26" s="32">
        <v>34.917697669382001</v>
      </c>
      <c r="F26" s="15">
        <v>35.294117647058798</v>
      </c>
      <c r="G26" s="15">
        <v>58.823529411764703</v>
      </c>
      <c r="H26" s="15">
        <v>34.7826086956522</v>
      </c>
      <c r="I26" s="15">
        <v>50</v>
      </c>
      <c r="J26" s="15">
        <v>37.5</v>
      </c>
      <c r="K26" s="15">
        <v>33.3333333333333</v>
      </c>
      <c r="L26" s="15">
        <v>34.426229508196698</v>
      </c>
      <c r="M26" s="15">
        <v>40.789473684210499</v>
      </c>
      <c r="N26" s="15">
        <v>29.411764705882401</v>
      </c>
      <c r="O26" s="15">
        <v>55.8139534883721</v>
      </c>
      <c r="P26" s="15">
        <v>42.253521126760603</v>
      </c>
      <c r="Q26" s="15">
        <v>36.619718309859202</v>
      </c>
      <c r="R26" s="20" t="s">
        <v>76</v>
      </c>
      <c r="S26" s="15">
        <v>39.024390243902403</v>
      </c>
      <c r="T26" s="15">
        <v>25</v>
      </c>
      <c r="U26" s="20" t="s">
        <v>76</v>
      </c>
      <c r="V26" s="15">
        <v>26.470588235294102</v>
      </c>
      <c r="W26" s="15">
        <v>32.203389830508499</v>
      </c>
      <c r="X26" s="15">
        <v>38.461538461538503</v>
      </c>
      <c r="Y26" s="20" t="s">
        <v>76</v>
      </c>
      <c r="Z26" s="15">
        <v>25.6410256410256</v>
      </c>
      <c r="AA26" s="15">
        <v>39.449541284403701</v>
      </c>
      <c r="AB26" s="15">
        <v>44.117647058823501</v>
      </c>
      <c r="AC26" s="15">
        <v>33.3333333333333</v>
      </c>
      <c r="AD26" s="20" t="s">
        <v>76</v>
      </c>
      <c r="AE26" s="15">
        <v>33.3333333333333</v>
      </c>
      <c r="AF26" s="15">
        <v>57.142857142857103</v>
      </c>
      <c r="AG26" s="15">
        <v>28.571428571428601</v>
      </c>
      <c r="AH26" s="15">
        <v>32.142857142857103</v>
      </c>
      <c r="AI26" s="20" t="s">
        <v>76</v>
      </c>
      <c r="AJ26" s="15">
        <v>24.324324324324301</v>
      </c>
      <c r="AK26" s="15">
        <v>40</v>
      </c>
      <c r="AL26" s="15">
        <v>27.7777777777778</v>
      </c>
      <c r="AM26" s="15">
        <v>35.9375</v>
      </c>
      <c r="AN26" s="20" t="s">
        <v>76</v>
      </c>
      <c r="AO26" s="15">
        <v>30</v>
      </c>
      <c r="AP26" s="15">
        <v>31.168831168831201</v>
      </c>
      <c r="AQ26" s="15">
        <v>30.769230769230798</v>
      </c>
      <c r="AR26" s="15">
        <v>41.818181818181799</v>
      </c>
      <c r="AS26" s="20" t="s">
        <v>76</v>
      </c>
      <c r="AT26" s="15">
        <v>38.461538461538503</v>
      </c>
      <c r="AU26" s="15">
        <v>38.775510204081598</v>
      </c>
      <c r="AV26" s="15">
        <v>23.287671232876701</v>
      </c>
      <c r="AW26" s="15">
        <v>26.724137931034502</v>
      </c>
      <c r="AX26" s="15">
        <v>50</v>
      </c>
      <c r="AY26" s="15">
        <v>28.571428571428601</v>
      </c>
      <c r="AZ26" s="15">
        <v>34</v>
      </c>
      <c r="BA26" s="15">
        <v>22.641509433962302</v>
      </c>
      <c r="BB26" s="15">
        <v>43.283582089552198</v>
      </c>
      <c r="BC26" s="15">
        <v>37.837837837837803</v>
      </c>
      <c r="BD26" s="15">
        <v>41.025641025641001</v>
      </c>
      <c r="BE26" s="15">
        <v>37.931034482758598</v>
      </c>
      <c r="BF26" s="15">
        <v>33.734939759036102</v>
      </c>
      <c r="BG26" s="15">
        <v>32.835820895522403</v>
      </c>
      <c r="BH26" s="15">
        <v>33.3333333333333</v>
      </c>
      <c r="BI26" s="15">
        <v>36.842105263157897</v>
      </c>
      <c r="BJ26" s="15">
        <v>43.75</v>
      </c>
      <c r="BK26" s="15">
        <v>27.5</v>
      </c>
      <c r="BL26" s="15">
        <v>32.8125</v>
      </c>
      <c r="BM26" s="15">
        <v>34.653465346534702</v>
      </c>
      <c r="BN26" s="15">
        <v>40.336134453781497</v>
      </c>
      <c r="BO26" s="15">
        <v>32.2222222222222</v>
      </c>
      <c r="BP26" s="15">
        <v>33.3333333333333</v>
      </c>
      <c r="BQ26" s="15">
        <v>31.5068493150685</v>
      </c>
      <c r="BR26" s="15">
        <v>31.6666666666667</v>
      </c>
      <c r="BS26" s="15">
        <v>37.349397590361399</v>
      </c>
      <c r="BT26" s="15">
        <v>28.048780487804901</v>
      </c>
      <c r="BU26" s="15">
        <v>45.7943925233645</v>
      </c>
      <c r="BV26" s="15">
        <v>62.626262626262601</v>
      </c>
      <c r="BW26" s="15">
        <v>23.188405797101499</v>
      </c>
      <c r="BX26" s="15">
        <v>55.5555555555556</v>
      </c>
      <c r="BY26" s="15">
        <v>31.746031746031701</v>
      </c>
      <c r="BZ26" s="15">
        <v>37.414965986394598</v>
      </c>
      <c r="CA26" s="32">
        <v>23.293432221311601</v>
      </c>
      <c r="CB26" s="15">
        <v>19.808306709265199</v>
      </c>
      <c r="CC26" s="15">
        <v>26.100628930817599</v>
      </c>
      <c r="CD26" s="15">
        <v>23.870967741935502</v>
      </c>
      <c r="CE26" s="20" t="s">
        <v>76</v>
      </c>
      <c r="CF26" s="15">
        <v>18.263473053892199</v>
      </c>
      <c r="CG26" s="15">
        <v>21.229050279329599</v>
      </c>
      <c r="CH26" s="15">
        <v>20.220588235294102</v>
      </c>
      <c r="CI26" s="15">
        <v>26.2833675564682</v>
      </c>
      <c r="CJ26" s="15">
        <v>22.352941176470601</v>
      </c>
      <c r="CK26" s="15">
        <v>29.596412556053799</v>
      </c>
      <c r="CL26" s="15">
        <v>28.636363636363601</v>
      </c>
      <c r="CM26" s="24">
        <v>25.267665952890798</v>
      </c>
      <c r="CN26" s="37"/>
    </row>
    <row r="27" spans="1:92">
      <c r="A27" s="9" t="s">
        <v>282</v>
      </c>
      <c r="B27" s="35">
        <v>20.3353658627851</v>
      </c>
      <c r="C27" s="32">
        <v>19.988573970494102</v>
      </c>
      <c r="D27" s="32">
        <v>20.350159512301801</v>
      </c>
      <c r="E27" s="32">
        <v>27.9461865607528</v>
      </c>
      <c r="F27" s="20" t="s">
        <v>76</v>
      </c>
      <c r="G27" s="15">
        <v>52.941176470588204</v>
      </c>
      <c r="H27" s="20" t="s">
        <v>76</v>
      </c>
      <c r="I27" s="20" t="s">
        <v>76</v>
      </c>
      <c r="J27" s="15">
        <v>22.9166666666667</v>
      </c>
      <c r="K27" s="15">
        <v>41.025641025641001</v>
      </c>
      <c r="L27" s="15">
        <v>39.344262295081997</v>
      </c>
      <c r="M27" s="15">
        <v>42.105263157894697</v>
      </c>
      <c r="N27" s="15">
        <v>29.411764705882401</v>
      </c>
      <c r="O27" s="15">
        <v>37.209302325581397</v>
      </c>
      <c r="P27" s="15">
        <v>23.943661971830998</v>
      </c>
      <c r="Q27" s="15">
        <v>30.985915492957702</v>
      </c>
      <c r="R27" s="15">
        <v>26.923076923076898</v>
      </c>
      <c r="S27" s="15">
        <v>29.268292682926798</v>
      </c>
      <c r="T27" s="15">
        <v>10.4166666666667</v>
      </c>
      <c r="U27" s="15">
        <v>42.857142857142897</v>
      </c>
      <c r="V27" s="15">
        <v>32.352941176470601</v>
      </c>
      <c r="W27" s="15">
        <v>20.338983050847499</v>
      </c>
      <c r="X27" s="20" t="s">
        <v>76</v>
      </c>
      <c r="Y27" s="20" t="s">
        <v>76</v>
      </c>
      <c r="Z27" s="15">
        <v>24.3589743589744</v>
      </c>
      <c r="AA27" s="15">
        <v>33.0275229357798</v>
      </c>
      <c r="AB27" s="15">
        <v>38.235294117647101</v>
      </c>
      <c r="AC27" s="15">
        <v>26.515151515151501</v>
      </c>
      <c r="AD27" s="15">
        <v>34.375</v>
      </c>
      <c r="AE27" s="15">
        <v>40.740740740740698</v>
      </c>
      <c r="AF27" s="15">
        <v>35.714285714285701</v>
      </c>
      <c r="AG27" s="15">
        <v>27.619047619047599</v>
      </c>
      <c r="AH27" s="15">
        <v>30.3571428571429</v>
      </c>
      <c r="AI27" s="20" t="s">
        <v>76</v>
      </c>
      <c r="AJ27" s="15">
        <v>35.135135135135101</v>
      </c>
      <c r="AK27" s="15">
        <v>23.3333333333333</v>
      </c>
      <c r="AL27" s="15">
        <v>25.5555555555556</v>
      </c>
      <c r="AM27" s="15">
        <v>25</v>
      </c>
      <c r="AN27" s="20" t="s">
        <v>76</v>
      </c>
      <c r="AO27" s="15">
        <v>12.5</v>
      </c>
      <c r="AP27" s="15">
        <v>33.766233766233803</v>
      </c>
      <c r="AQ27" s="15">
        <v>17.948717948717899</v>
      </c>
      <c r="AR27" s="15">
        <v>25.454545454545499</v>
      </c>
      <c r="AS27" s="20" t="s">
        <v>76</v>
      </c>
      <c r="AT27" s="15">
        <v>26.153846153846199</v>
      </c>
      <c r="AU27" s="15">
        <v>36.734693877551003</v>
      </c>
      <c r="AV27" s="15">
        <v>20.5479452054795</v>
      </c>
      <c r="AW27" s="15">
        <v>36.2068965517241</v>
      </c>
      <c r="AX27" s="15">
        <v>31.25</v>
      </c>
      <c r="AY27" s="15">
        <v>25.714285714285701</v>
      </c>
      <c r="AZ27" s="15">
        <v>38</v>
      </c>
      <c r="BA27" s="15">
        <v>26.415094339622598</v>
      </c>
      <c r="BB27" s="15">
        <v>25.373134328358201</v>
      </c>
      <c r="BC27" s="15">
        <v>33.783783783783797</v>
      </c>
      <c r="BD27" s="15">
        <v>30.769230769230798</v>
      </c>
      <c r="BE27" s="15">
        <v>32.758620689655203</v>
      </c>
      <c r="BF27" s="15">
        <v>21.6867469879518</v>
      </c>
      <c r="BG27" s="15">
        <v>22.388059701492502</v>
      </c>
      <c r="BH27" s="20" t="s">
        <v>76</v>
      </c>
      <c r="BI27" s="15">
        <v>31.578947368421101</v>
      </c>
      <c r="BJ27" s="15">
        <v>25</v>
      </c>
      <c r="BK27" s="15">
        <v>25</v>
      </c>
      <c r="BL27" s="15">
        <v>29.6875</v>
      </c>
      <c r="BM27" s="15">
        <v>23.762376237623801</v>
      </c>
      <c r="BN27" s="15">
        <v>31.932773109243701</v>
      </c>
      <c r="BO27" s="15">
        <v>35.5555555555556</v>
      </c>
      <c r="BP27" s="20" t="s">
        <v>76</v>
      </c>
      <c r="BQ27" s="15">
        <v>21.917808219178099</v>
      </c>
      <c r="BR27" s="15">
        <v>31.6666666666667</v>
      </c>
      <c r="BS27" s="15">
        <v>22.891566265060199</v>
      </c>
      <c r="BT27" s="15">
        <v>36.585365853658502</v>
      </c>
      <c r="BU27" s="15">
        <v>25.233644859813101</v>
      </c>
      <c r="BV27" s="15">
        <v>31.313131313131301</v>
      </c>
      <c r="BW27" s="15">
        <v>28.985507246376802</v>
      </c>
      <c r="BX27" s="20" t="s">
        <v>76</v>
      </c>
      <c r="BY27" s="15">
        <v>34.920634920634903</v>
      </c>
      <c r="BZ27" s="15">
        <v>35.374149659863903</v>
      </c>
      <c r="CA27" s="32">
        <v>14.2158308887701</v>
      </c>
      <c r="CB27" s="15">
        <v>12.779552715655001</v>
      </c>
      <c r="CC27" s="15">
        <v>13.207547169811299</v>
      </c>
      <c r="CD27" s="15">
        <v>12.9032258064516</v>
      </c>
      <c r="CE27" s="15">
        <v>60</v>
      </c>
      <c r="CF27" s="15">
        <v>21.257485029940099</v>
      </c>
      <c r="CG27" s="15">
        <v>13.407821229050301</v>
      </c>
      <c r="CH27" s="15">
        <v>15.257352941176499</v>
      </c>
      <c r="CI27" s="15">
        <v>13.963039014373701</v>
      </c>
      <c r="CJ27" s="15">
        <v>17.254901960784299</v>
      </c>
      <c r="CK27" s="15">
        <v>15.2466367713004</v>
      </c>
      <c r="CL27" s="15">
        <v>14.3939393939394</v>
      </c>
      <c r="CM27" s="24">
        <v>15.4175588865096</v>
      </c>
      <c r="CN27" s="37"/>
    </row>
    <row r="28" spans="1:92">
      <c r="A28" s="9" t="s">
        <v>283</v>
      </c>
      <c r="B28" s="35">
        <v>27.792107356032101</v>
      </c>
      <c r="C28" s="32">
        <v>27.236339283375202</v>
      </c>
      <c r="D28" s="32">
        <v>28.419701327665301</v>
      </c>
      <c r="E28" s="32">
        <v>37.606761840277699</v>
      </c>
      <c r="F28" s="15">
        <v>41.176470588235297</v>
      </c>
      <c r="G28" s="15">
        <v>58.823529411764703</v>
      </c>
      <c r="H28" s="15">
        <v>34.7826086956522</v>
      </c>
      <c r="I28" s="15">
        <v>50</v>
      </c>
      <c r="J28" s="15">
        <v>38.8888888888889</v>
      </c>
      <c r="K28" s="15">
        <v>53.846153846153797</v>
      </c>
      <c r="L28" s="15">
        <v>32.786885245901601</v>
      </c>
      <c r="M28" s="15">
        <v>47.368421052631597</v>
      </c>
      <c r="N28" s="15">
        <v>30.588235294117599</v>
      </c>
      <c r="O28" s="15">
        <v>39.534883720930203</v>
      </c>
      <c r="P28" s="15">
        <v>39.436619718309899</v>
      </c>
      <c r="Q28" s="15">
        <v>52.112676056338003</v>
      </c>
      <c r="R28" s="15">
        <v>34.615384615384599</v>
      </c>
      <c r="S28" s="15">
        <v>36.585365853658502</v>
      </c>
      <c r="T28" s="15">
        <v>14.5833333333333</v>
      </c>
      <c r="U28" s="15">
        <v>42.857142857142897</v>
      </c>
      <c r="V28" s="15">
        <v>38.235294117647101</v>
      </c>
      <c r="W28" s="15">
        <v>33.8983050847458</v>
      </c>
      <c r="X28" s="15">
        <v>46.153846153846203</v>
      </c>
      <c r="Y28" s="20" t="s">
        <v>76</v>
      </c>
      <c r="Z28" s="15">
        <v>44.871794871794897</v>
      </c>
      <c r="AA28" s="15">
        <v>50.4587155963303</v>
      </c>
      <c r="AB28" s="15">
        <v>51.470588235294102</v>
      </c>
      <c r="AC28" s="15">
        <v>40.151515151515099</v>
      </c>
      <c r="AD28" s="15">
        <v>46.875</v>
      </c>
      <c r="AE28" s="15">
        <v>37.037037037037003</v>
      </c>
      <c r="AF28" s="15">
        <v>57.142857142857103</v>
      </c>
      <c r="AG28" s="15">
        <v>21.904761904761902</v>
      </c>
      <c r="AH28" s="15">
        <v>30.3571428571429</v>
      </c>
      <c r="AI28" s="20" t="s">
        <v>76</v>
      </c>
      <c r="AJ28" s="15">
        <v>33.3333333333333</v>
      </c>
      <c r="AK28" s="15">
        <v>36.6666666666667</v>
      </c>
      <c r="AL28" s="15">
        <v>34.4444444444444</v>
      </c>
      <c r="AM28" s="15">
        <v>35.9375</v>
      </c>
      <c r="AN28" s="20" t="s">
        <v>76</v>
      </c>
      <c r="AO28" s="15">
        <v>27.5</v>
      </c>
      <c r="AP28" s="15">
        <v>40.259740259740298</v>
      </c>
      <c r="AQ28" s="15">
        <v>28.205128205128201</v>
      </c>
      <c r="AR28" s="15">
        <v>34.545454545454497</v>
      </c>
      <c r="AS28" s="20" t="s">
        <v>76</v>
      </c>
      <c r="AT28" s="15">
        <v>27.692307692307701</v>
      </c>
      <c r="AU28" s="15">
        <v>46.938775510204103</v>
      </c>
      <c r="AV28" s="15">
        <v>23.287671232876701</v>
      </c>
      <c r="AW28" s="15">
        <v>38.7931034482759</v>
      </c>
      <c r="AX28" s="15">
        <v>37.5</v>
      </c>
      <c r="AY28" s="15">
        <v>51.428571428571402</v>
      </c>
      <c r="AZ28" s="15">
        <v>50</v>
      </c>
      <c r="BA28" s="15">
        <v>43.396226415094297</v>
      </c>
      <c r="BB28" s="15">
        <v>38.805970149253703</v>
      </c>
      <c r="BC28" s="15">
        <v>36.486486486486498</v>
      </c>
      <c r="BD28" s="15">
        <v>38.461538461538503</v>
      </c>
      <c r="BE28" s="15">
        <v>50</v>
      </c>
      <c r="BF28" s="15">
        <v>30.120481927710799</v>
      </c>
      <c r="BG28" s="15">
        <v>44.776119402985103</v>
      </c>
      <c r="BH28" s="15">
        <v>25</v>
      </c>
      <c r="BI28" s="15">
        <v>63.157894736842103</v>
      </c>
      <c r="BJ28" s="15">
        <v>40.178571428571402</v>
      </c>
      <c r="BK28" s="15">
        <v>27.5</v>
      </c>
      <c r="BL28" s="15">
        <v>28.90625</v>
      </c>
      <c r="BM28" s="15">
        <v>39.603960396039597</v>
      </c>
      <c r="BN28" s="15">
        <v>45.378151260504197</v>
      </c>
      <c r="BO28" s="15">
        <v>42.2222222222222</v>
      </c>
      <c r="BP28" s="15">
        <v>66.6666666666667</v>
      </c>
      <c r="BQ28" s="15">
        <v>36.986301369863</v>
      </c>
      <c r="BR28" s="15">
        <v>33.3333333333333</v>
      </c>
      <c r="BS28" s="15">
        <v>37.349397590361399</v>
      </c>
      <c r="BT28" s="15">
        <v>30.487804878048799</v>
      </c>
      <c r="BU28" s="15">
        <v>41.121495327102799</v>
      </c>
      <c r="BV28" s="15">
        <v>48.484848484848499</v>
      </c>
      <c r="BW28" s="15">
        <v>33.3333333333333</v>
      </c>
      <c r="BX28" s="20" t="s">
        <v>76</v>
      </c>
      <c r="BY28" s="15">
        <v>36.507936507936499</v>
      </c>
      <c r="BZ28" s="15">
        <v>31.9727891156463</v>
      </c>
      <c r="CA28" s="32">
        <v>21.0005007496306</v>
      </c>
      <c r="CB28" s="15">
        <v>20.1277955271566</v>
      </c>
      <c r="CC28" s="15">
        <v>22.955974842767301</v>
      </c>
      <c r="CD28" s="15">
        <v>21.935483870967701</v>
      </c>
      <c r="CE28" s="15">
        <v>80</v>
      </c>
      <c r="CF28" s="15">
        <v>24.550898203592801</v>
      </c>
      <c r="CG28" s="15">
        <v>24.581005586592202</v>
      </c>
      <c r="CH28" s="15">
        <v>21.6911764705882</v>
      </c>
      <c r="CI28" s="15">
        <v>22.792607802874699</v>
      </c>
      <c r="CJ28" s="15">
        <v>28.627450980392201</v>
      </c>
      <c r="CK28" s="15">
        <v>24.6636771300448</v>
      </c>
      <c r="CL28" s="15">
        <v>19.393939393939402</v>
      </c>
      <c r="CM28" s="24">
        <v>18.201284796573901</v>
      </c>
      <c r="CN28" s="37"/>
    </row>
    <row r="29" spans="1:92">
      <c r="A29" s="9" t="s">
        <v>284</v>
      </c>
      <c r="B29" s="35">
        <v>10.542809903992699</v>
      </c>
      <c r="C29" s="32">
        <v>9.7405264246469407</v>
      </c>
      <c r="D29" s="32">
        <v>10.326235292891001</v>
      </c>
      <c r="E29" s="32">
        <v>12.089897435774001</v>
      </c>
      <c r="F29" s="20" t="s">
        <v>76</v>
      </c>
      <c r="G29" s="15">
        <v>29.411764705882401</v>
      </c>
      <c r="H29" s="20" t="s">
        <v>76</v>
      </c>
      <c r="I29" s="20" t="s">
        <v>76</v>
      </c>
      <c r="J29" s="15">
        <v>11.1111111111111</v>
      </c>
      <c r="K29" s="20" t="s">
        <v>76</v>
      </c>
      <c r="L29" s="15">
        <v>8.1967213114754092</v>
      </c>
      <c r="M29" s="15">
        <v>23.684210526315798</v>
      </c>
      <c r="N29" s="15">
        <v>14.117647058823501</v>
      </c>
      <c r="O29" s="20" t="s">
        <v>76</v>
      </c>
      <c r="P29" s="15">
        <v>12.6760563380282</v>
      </c>
      <c r="Q29" s="15">
        <v>8.4507042253521103</v>
      </c>
      <c r="R29" s="20" t="s">
        <v>76</v>
      </c>
      <c r="S29" s="15">
        <v>12.1951219512195</v>
      </c>
      <c r="T29" s="20" t="s">
        <v>76</v>
      </c>
      <c r="U29" s="20" t="s">
        <v>76</v>
      </c>
      <c r="V29" s="20" t="s">
        <v>76</v>
      </c>
      <c r="W29" s="15">
        <v>15.254237288135601</v>
      </c>
      <c r="X29" s="20" t="s">
        <v>76</v>
      </c>
      <c r="Y29" s="20" t="s">
        <v>76</v>
      </c>
      <c r="Z29" s="15">
        <v>8.9743589743589691</v>
      </c>
      <c r="AA29" s="15">
        <v>25.688073394495401</v>
      </c>
      <c r="AB29" s="15">
        <v>11.764705882352899</v>
      </c>
      <c r="AC29" s="15">
        <v>13.636363636363599</v>
      </c>
      <c r="AD29" s="20" t="s">
        <v>76</v>
      </c>
      <c r="AE29" s="15">
        <v>18.518518518518501</v>
      </c>
      <c r="AF29" s="15">
        <v>42.857142857142897</v>
      </c>
      <c r="AG29" s="15">
        <v>6.6666666666666696</v>
      </c>
      <c r="AH29" s="20" t="s">
        <v>76</v>
      </c>
      <c r="AI29" s="20" t="s">
        <v>76</v>
      </c>
      <c r="AJ29" s="15">
        <v>12.612612612612599</v>
      </c>
      <c r="AK29" s="15">
        <v>23.3333333333333</v>
      </c>
      <c r="AL29" s="15">
        <v>7.7777777777777803</v>
      </c>
      <c r="AM29" s="15">
        <v>17.1875</v>
      </c>
      <c r="AN29" s="20" t="s">
        <v>76</v>
      </c>
      <c r="AO29" s="15">
        <v>12.5</v>
      </c>
      <c r="AP29" s="15">
        <v>7.7922077922077904</v>
      </c>
      <c r="AQ29" s="20" t="s">
        <v>76</v>
      </c>
      <c r="AR29" s="15">
        <v>18.181818181818201</v>
      </c>
      <c r="AS29" s="20" t="s">
        <v>76</v>
      </c>
      <c r="AT29" s="15">
        <v>7.6923076923076898</v>
      </c>
      <c r="AU29" s="15">
        <v>14.285714285714301</v>
      </c>
      <c r="AV29" s="15">
        <v>12.328767123287699</v>
      </c>
      <c r="AW29" s="15">
        <v>10.3448275862069</v>
      </c>
      <c r="AX29" s="20" t="s">
        <v>76</v>
      </c>
      <c r="AY29" s="20" t="s">
        <v>76</v>
      </c>
      <c r="AZ29" s="15">
        <v>12</v>
      </c>
      <c r="BA29" s="15">
        <v>9.4339622641509404</v>
      </c>
      <c r="BB29" s="15">
        <v>11.9402985074627</v>
      </c>
      <c r="BC29" s="15">
        <v>9.4594594594594597</v>
      </c>
      <c r="BD29" s="15">
        <v>10.2564102564103</v>
      </c>
      <c r="BE29" s="20" t="s">
        <v>76</v>
      </c>
      <c r="BF29" s="15">
        <v>14.4578313253012</v>
      </c>
      <c r="BG29" s="15">
        <v>13.4328358208955</v>
      </c>
      <c r="BH29" s="20" t="s">
        <v>76</v>
      </c>
      <c r="BI29" s="20" t="s">
        <v>76</v>
      </c>
      <c r="BJ29" s="15">
        <v>9.8214285714285694</v>
      </c>
      <c r="BK29" s="20" t="s">
        <v>76</v>
      </c>
      <c r="BL29" s="15">
        <v>10.9375</v>
      </c>
      <c r="BM29" s="15">
        <v>10.891089108910901</v>
      </c>
      <c r="BN29" s="15">
        <v>13.445378151260501</v>
      </c>
      <c r="BO29" s="15">
        <v>17.7777777777778</v>
      </c>
      <c r="BP29" s="20" t="s">
        <v>76</v>
      </c>
      <c r="BQ29" s="15">
        <v>10.958904109589</v>
      </c>
      <c r="BR29" s="15">
        <v>11.6666666666667</v>
      </c>
      <c r="BS29" s="15">
        <v>12.048192771084301</v>
      </c>
      <c r="BT29" s="15">
        <v>17.0731707317073</v>
      </c>
      <c r="BU29" s="15">
        <v>13.0841121495327</v>
      </c>
      <c r="BV29" s="15">
        <v>14.141414141414099</v>
      </c>
      <c r="BW29" s="20" t="s">
        <v>76</v>
      </c>
      <c r="BX29" s="20" t="s">
        <v>76</v>
      </c>
      <c r="BY29" s="20" t="s">
        <v>76</v>
      </c>
      <c r="BZ29" s="15">
        <v>11.5646258503401</v>
      </c>
      <c r="CA29" s="32">
        <v>8.9019534813178591</v>
      </c>
      <c r="CB29" s="15">
        <v>5.1118210862619797</v>
      </c>
      <c r="CC29" s="15">
        <v>7.5471698113207504</v>
      </c>
      <c r="CD29" s="15">
        <v>5.1612903225806503</v>
      </c>
      <c r="CE29" s="20" t="s">
        <v>76</v>
      </c>
      <c r="CF29" s="15">
        <v>9.2814371257485</v>
      </c>
      <c r="CG29" s="15">
        <v>10.614525139664799</v>
      </c>
      <c r="CH29" s="15">
        <v>9.375</v>
      </c>
      <c r="CI29" s="15">
        <v>8.6242299794661204</v>
      </c>
      <c r="CJ29" s="15">
        <v>9.4117647058823497</v>
      </c>
      <c r="CK29" s="15">
        <v>10.762331838565</v>
      </c>
      <c r="CL29" s="15">
        <v>8.7878787878787907</v>
      </c>
      <c r="CM29" s="24">
        <v>11.349036402569601</v>
      </c>
      <c r="CN29" s="37"/>
    </row>
    <row r="30" spans="1:92">
      <c r="A30" s="9" t="s">
        <v>285</v>
      </c>
      <c r="B30" s="35">
        <v>13.690403834283</v>
      </c>
      <c r="C30" s="32">
        <v>14.1133531553153</v>
      </c>
      <c r="D30" s="32">
        <v>14.190162360236901</v>
      </c>
      <c r="E30" s="32">
        <v>16.276635140974001</v>
      </c>
      <c r="F30" s="15">
        <v>35.294117647058798</v>
      </c>
      <c r="G30" s="15">
        <v>29.411764705882401</v>
      </c>
      <c r="H30" s="20" t="s">
        <v>76</v>
      </c>
      <c r="I30" s="20" t="s">
        <v>76</v>
      </c>
      <c r="J30" s="15">
        <v>15.9722222222222</v>
      </c>
      <c r="K30" s="20" t="s">
        <v>76</v>
      </c>
      <c r="L30" s="15">
        <v>19.672131147540998</v>
      </c>
      <c r="M30" s="15">
        <v>27.6315789473684</v>
      </c>
      <c r="N30" s="15">
        <v>20</v>
      </c>
      <c r="O30" s="15">
        <v>16.2790697674419</v>
      </c>
      <c r="P30" s="15">
        <v>19.7183098591549</v>
      </c>
      <c r="Q30" s="15">
        <v>11.2676056338028</v>
      </c>
      <c r="R30" s="20" t="s">
        <v>76</v>
      </c>
      <c r="S30" s="15">
        <v>21.951219512195099</v>
      </c>
      <c r="T30" s="15">
        <v>12.5</v>
      </c>
      <c r="U30" s="20" t="s">
        <v>76</v>
      </c>
      <c r="V30" s="20" t="s">
        <v>76</v>
      </c>
      <c r="W30" s="15">
        <v>27.118644067796598</v>
      </c>
      <c r="X30" s="20" t="s">
        <v>76</v>
      </c>
      <c r="Y30" s="20" t="s">
        <v>76</v>
      </c>
      <c r="Z30" s="15">
        <v>6.4102564102564097</v>
      </c>
      <c r="AA30" s="15">
        <v>24.7706422018349</v>
      </c>
      <c r="AB30" s="15">
        <v>17.647058823529399</v>
      </c>
      <c r="AC30" s="15">
        <v>12.1212121212121</v>
      </c>
      <c r="AD30" s="15">
        <v>15.625</v>
      </c>
      <c r="AE30" s="15">
        <v>22.2222222222222</v>
      </c>
      <c r="AF30" s="15">
        <v>35.714285714285701</v>
      </c>
      <c r="AG30" s="15">
        <v>9.5238095238095202</v>
      </c>
      <c r="AH30" s="15">
        <v>12.5</v>
      </c>
      <c r="AI30" s="20" t="s">
        <v>76</v>
      </c>
      <c r="AJ30" s="15">
        <v>27.9279279279279</v>
      </c>
      <c r="AK30" s="15">
        <v>30</v>
      </c>
      <c r="AL30" s="15">
        <v>15.5555555555556</v>
      </c>
      <c r="AM30" s="15">
        <v>12.5</v>
      </c>
      <c r="AN30" s="20" t="s">
        <v>76</v>
      </c>
      <c r="AO30" s="20" t="s">
        <v>76</v>
      </c>
      <c r="AP30" s="15">
        <v>23.3766233766234</v>
      </c>
      <c r="AQ30" s="20" t="s">
        <v>76</v>
      </c>
      <c r="AR30" s="15">
        <v>16.363636363636399</v>
      </c>
      <c r="AS30" s="20" t="s">
        <v>76</v>
      </c>
      <c r="AT30" s="15">
        <v>9.2307692307692299</v>
      </c>
      <c r="AU30" s="20" t="s">
        <v>76</v>
      </c>
      <c r="AV30" s="15">
        <v>12.328767123287699</v>
      </c>
      <c r="AW30" s="15">
        <v>17.241379310344801</v>
      </c>
      <c r="AX30" s="20" t="s">
        <v>76</v>
      </c>
      <c r="AY30" s="15">
        <v>25.714285714285701</v>
      </c>
      <c r="AZ30" s="15">
        <v>10</v>
      </c>
      <c r="BA30" s="15">
        <v>16.981132075471699</v>
      </c>
      <c r="BB30" s="15">
        <v>8.9552238805970106</v>
      </c>
      <c r="BC30" s="15">
        <v>18.918918918918902</v>
      </c>
      <c r="BD30" s="15">
        <v>21.794871794871799</v>
      </c>
      <c r="BE30" s="15">
        <v>10.3448275862069</v>
      </c>
      <c r="BF30" s="15">
        <v>16.867469879518101</v>
      </c>
      <c r="BG30" s="15">
        <v>17.910447761194</v>
      </c>
      <c r="BH30" s="20" t="s">
        <v>76</v>
      </c>
      <c r="BI30" s="20" t="s">
        <v>76</v>
      </c>
      <c r="BJ30" s="15">
        <v>15.1785714285714</v>
      </c>
      <c r="BK30" s="15">
        <v>17.5</v>
      </c>
      <c r="BL30" s="15">
        <v>12.5</v>
      </c>
      <c r="BM30" s="15">
        <v>7.9207920792079198</v>
      </c>
      <c r="BN30" s="15">
        <v>21.848739495798299</v>
      </c>
      <c r="BO30" s="15">
        <v>25.5555555555556</v>
      </c>
      <c r="BP30" s="20" t="s">
        <v>76</v>
      </c>
      <c r="BQ30" s="15">
        <v>13.698630136986299</v>
      </c>
      <c r="BR30" s="15">
        <v>10</v>
      </c>
      <c r="BS30" s="15">
        <v>21.6867469879518</v>
      </c>
      <c r="BT30" s="15">
        <v>13.4146341463415</v>
      </c>
      <c r="BU30" s="15">
        <v>15.887850467289701</v>
      </c>
      <c r="BV30" s="15">
        <v>13.1313131313131</v>
      </c>
      <c r="BW30" s="15">
        <v>13.0434782608696</v>
      </c>
      <c r="BX30" s="20" t="s">
        <v>76</v>
      </c>
      <c r="BY30" s="15">
        <v>9.5238095238095202</v>
      </c>
      <c r="BZ30" s="15">
        <v>11.5646258503401</v>
      </c>
      <c r="CA30" s="32">
        <v>12.5051881468149</v>
      </c>
      <c r="CB30" s="15">
        <v>13.418530351437701</v>
      </c>
      <c r="CC30" s="15">
        <v>14.7798742138365</v>
      </c>
      <c r="CD30" s="15">
        <v>16.129032258064498</v>
      </c>
      <c r="CE30" s="20" t="s">
        <v>76</v>
      </c>
      <c r="CF30" s="15">
        <v>14.0718562874252</v>
      </c>
      <c r="CG30" s="15">
        <v>15.6424581005587</v>
      </c>
      <c r="CH30" s="15">
        <v>9.9264705882352899</v>
      </c>
      <c r="CI30" s="15">
        <v>12.936344969199199</v>
      </c>
      <c r="CJ30" s="15">
        <v>16.862745098039198</v>
      </c>
      <c r="CK30" s="15">
        <v>9.4170403587443907</v>
      </c>
      <c r="CL30" s="15">
        <v>13.3333333333333</v>
      </c>
      <c r="CM30" s="24">
        <v>12.419700214132799</v>
      </c>
      <c r="CN30" s="37"/>
    </row>
    <row r="31" spans="1:92">
      <c r="A31" s="9" t="s">
        <v>286</v>
      </c>
      <c r="B31" s="35">
        <v>22.086676376214999</v>
      </c>
      <c r="C31" s="32">
        <v>21.2065883927812</v>
      </c>
      <c r="D31" s="32">
        <v>20.7317176770391</v>
      </c>
      <c r="E31" s="32">
        <v>27.080315796027701</v>
      </c>
      <c r="F31" s="20" t="s">
        <v>76</v>
      </c>
      <c r="G31" s="15">
        <v>41.176470588235297</v>
      </c>
      <c r="H31" s="15">
        <v>30.434782608695699</v>
      </c>
      <c r="I31" s="15">
        <v>50</v>
      </c>
      <c r="J31" s="15">
        <v>28.4722222222222</v>
      </c>
      <c r="K31" s="15">
        <v>30.769230769230798</v>
      </c>
      <c r="L31" s="15">
        <v>24.590163934426201</v>
      </c>
      <c r="M31" s="15">
        <v>27.6315789473684</v>
      </c>
      <c r="N31" s="15">
        <v>30.588235294117599</v>
      </c>
      <c r="O31" s="15">
        <v>34.883720930232599</v>
      </c>
      <c r="P31" s="15">
        <v>36.619718309859202</v>
      </c>
      <c r="Q31" s="15">
        <v>18.309859154929601</v>
      </c>
      <c r="R31" s="20" t="s">
        <v>76</v>
      </c>
      <c r="S31" s="15">
        <v>29.268292682926798</v>
      </c>
      <c r="T31" s="15">
        <v>10.4166666666667</v>
      </c>
      <c r="U31" s="15">
        <v>28.571428571428601</v>
      </c>
      <c r="V31" s="15">
        <v>29.411764705882401</v>
      </c>
      <c r="W31" s="15">
        <v>30.508474576271201</v>
      </c>
      <c r="X31" s="20" t="s">
        <v>76</v>
      </c>
      <c r="Y31" s="20" t="s">
        <v>76</v>
      </c>
      <c r="Z31" s="15">
        <v>16.6666666666667</v>
      </c>
      <c r="AA31" s="15">
        <v>34.862385321100902</v>
      </c>
      <c r="AB31" s="15">
        <v>32.352941176470601</v>
      </c>
      <c r="AC31" s="15">
        <v>25</v>
      </c>
      <c r="AD31" s="15">
        <v>34.375</v>
      </c>
      <c r="AE31" s="15">
        <v>25.925925925925899</v>
      </c>
      <c r="AF31" s="15">
        <v>35.714285714285701</v>
      </c>
      <c r="AG31" s="15">
        <v>19.047619047619001</v>
      </c>
      <c r="AH31" s="15">
        <v>14.285714285714301</v>
      </c>
      <c r="AI31" s="20" t="s">
        <v>76</v>
      </c>
      <c r="AJ31" s="15">
        <v>27.027027027027</v>
      </c>
      <c r="AK31" s="15">
        <v>26.6666666666667</v>
      </c>
      <c r="AL31" s="15">
        <v>32.2222222222222</v>
      </c>
      <c r="AM31" s="15">
        <v>31.25</v>
      </c>
      <c r="AN31" s="20" t="s">
        <v>76</v>
      </c>
      <c r="AO31" s="15">
        <v>15</v>
      </c>
      <c r="AP31" s="15">
        <v>25.974025974025999</v>
      </c>
      <c r="AQ31" s="15">
        <v>25.6410256410256</v>
      </c>
      <c r="AR31" s="15">
        <v>30.909090909090899</v>
      </c>
      <c r="AS31" s="20" t="s">
        <v>76</v>
      </c>
      <c r="AT31" s="15">
        <v>27.692307692307701</v>
      </c>
      <c r="AU31" s="15">
        <v>14.285714285714301</v>
      </c>
      <c r="AV31" s="15">
        <v>19.178082191780799</v>
      </c>
      <c r="AW31" s="15">
        <v>27.586206896551701</v>
      </c>
      <c r="AX31" s="20" t="s">
        <v>76</v>
      </c>
      <c r="AY31" s="15">
        <v>31.428571428571399</v>
      </c>
      <c r="AZ31" s="15">
        <v>26</v>
      </c>
      <c r="BA31" s="15">
        <v>32.075471698113198</v>
      </c>
      <c r="BB31" s="15">
        <v>23.880597014925399</v>
      </c>
      <c r="BC31" s="15">
        <v>28.3783783783784</v>
      </c>
      <c r="BD31" s="15">
        <v>24.3589743589744</v>
      </c>
      <c r="BE31" s="15">
        <v>20.689655172413801</v>
      </c>
      <c r="BF31" s="15">
        <v>25.3012048192771</v>
      </c>
      <c r="BG31" s="15">
        <v>22.388059701492502</v>
      </c>
      <c r="BH31" s="15">
        <v>29.1666666666667</v>
      </c>
      <c r="BI31" s="20" t="s">
        <v>76</v>
      </c>
      <c r="BJ31" s="15">
        <v>33.928571428571402</v>
      </c>
      <c r="BK31" s="15">
        <v>27.5</v>
      </c>
      <c r="BL31" s="15">
        <v>25.78125</v>
      </c>
      <c r="BM31" s="15">
        <v>21.782178217821802</v>
      </c>
      <c r="BN31" s="15">
        <v>36.134453781512597</v>
      </c>
      <c r="BO31" s="15">
        <v>37.7777777777778</v>
      </c>
      <c r="BP31" s="20" t="s">
        <v>76</v>
      </c>
      <c r="BQ31" s="15">
        <v>38.356164383561598</v>
      </c>
      <c r="BR31" s="15">
        <v>28.3333333333333</v>
      </c>
      <c r="BS31" s="15">
        <v>24.096385542168701</v>
      </c>
      <c r="BT31" s="15">
        <v>34.146341463414601</v>
      </c>
      <c r="BU31" s="15">
        <v>21.495327102803699</v>
      </c>
      <c r="BV31" s="15">
        <v>32.323232323232297</v>
      </c>
      <c r="BW31" s="15">
        <v>24.6376811594203</v>
      </c>
      <c r="BX31" s="20" t="s">
        <v>76</v>
      </c>
      <c r="BY31" s="15">
        <v>23.8095238095238</v>
      </c>
      <c r="BZ31" s="15">
        <v>20.408163265306101</v>
      </c>
      <c r="CA31" s="32">
        <v>15.6047760650352</v>
      </c>
      <c r="CB31" s="15">
        <v>15.654952076677301</v>
      </c>
      <c r="CC31" s="15">
        <v>14.7798742138365</v>
      </c>
      <c r="CD31" s="15">
        <v>20.645161290322601</v>
      </c>
      <c r="CE31" s="20" t="s">
        <v>76</v>
      </c>
      <c r="CF31" s="15">
        <v>17.964071856287401</v>
      </c>
      <c r="CG31" s="15">
        <v>18.994413407821199</v>
      </c>
      <c r="CH31" s="15">
        <v>14.338235294117601</v>
      </c>
      <c r="CI31" s="15">
        <v>14.1683778234086</v>
      </c>
      <c r="CJ31" s="15">
        <v>24.705882352941199</v>
      </c>
      <c r="CK31" s="15">
        <v>13.004484304932699</v>
      </c>
      <c r="CL31" s="15">
        <v>14.696969696969701</v>
      </c>
      <c r="CM31" s="24">
        <v>16.916488222698099</v>
      </c>
      <c r="CN31" s="37"/>
    </row>
    <row r="32" spans="1:92">
      <c r="A32" s="9" t="s">
        <v>287</v>
      </c>
      <c r="B32" s="35">
        <v>5.0232156705145004</v>
      </c>
      <c r="C32" s="32">
        <v>4.9297072956837296</v>
      </c>
      <c r="D32" s="32">
        <v>4.7798875967732499</v>
      </c>
      <c r="E32" s="32">
        <v>4.3968886119965296</v>
      </c>
      <c r="F32" s="20" t="s">
        <v>76</v>
      </c>
      <c r="G32" s="20" t="s">
        <v>76</v>
      </c>
      <c r="H32" s="20" t="s">
        <v>76</v>
      </c>
      <c r="I32" s="20" t="s">
        <v>76</v>
      </c>
      <c r="J32" s="15">
        <v>4.1666666666666696</v>
      </c>
      <c r="K32" s="20" t="s">
        <v>76</v>
      </c>
      <c r="L32" s="20" t="s">
        <v>76</v>
      </c>
      <c r="M32" s="15">
        <v>10.526315789473699</v>
      </c>
      <c r="N32" s="20" t="s">
        <v>76</v>
      </c>
      <c r="O32" s="20" t="s">
        <v>76</v>
      </c>
      <c r="P32" s="15">
        <v>9.8591549295774694</v>
      </c>
      <c r="Q32" s="15">
        <v>7.0422535211267601</v>
      </c>
      <c r="R32" s="20" t="s">
        <v>76</v>
      </c>
      <c r="S32" s="20" t="s">
        <v>76</v>
      </c>
      <c r="T32" s="20" t="s">
        <v>76</v>
      </c>
      <c r="U32" s="20" t="s">
        <v>76</v>
      </c>
      <c r="V32" s="20" t="s">
        <v>76</v>
      </c>
      <c r="W32" s="20" t="s">
        <v>76</v>
      </c>
      <c r="X32" s="20" t="s">
        <v>76</v>
      </c>
      <c r="Y32" s="20" t="s">
        <v>76</v>
      </c>
      <c r="Z32" s="20" t="s">
        <v>76</v>
      </c>
      <c r="AA32" s="15">
        <v>10.0917431192661</v>
      </c>
      <c r="AB32" s="20" t="s">
        <v>76</v>
      </c>
      <c r="AC32" s="15">
        <v>3.7878787878787898</v>
      </c>
      <c r="AD32" s="20" t="s">
        <v>76</v>
      </c>
      <c r="AE32" s="20" t="s">
        <v>76</v>
      </c>
      <c r="AF32" s="20" t="s">
        <v>76</v>
      </c>
      <c r="AG32" s="15">
        <v>4.7619047619047601</v>
      </c>
      <c r="AH32" s="20" t="s">
        <v>76</v>
      </c>
      <c r="AI32" s="20" t="s">
        <v>76</v>
      </c>
      <c r="AJ32" s="15">
        <v>6.3063063063063103</v>
      </c>
      <c r="AK32" s="20" t="s">
        <v>76</v>
      </c>
      <c r="AL32" s="15">
        <v>5.5555555555555598</v>
      </c>
      <c r="AM32" s="15">
        <v>9.375</v>
      </c>
      <c r="AN32" s="20" t="s">
        <v>76</v>
      </c>
      <c r="AO32" s="20" t="s">
        <v>76</v>
      </c>
      <c r="AP32" s="20" t="s">
        <v>76</v>
      </c>
      <c r="AQ32" s="20" t="s">
        <v>76</v>
      </c>
      <c r="AR32" s="20" t="s">
        <v>76</v>
      </c>
      <c r="AS32" s="20" t="s">
        <v>76</v>
      </c>
      <c r="AT32" s="20" t="s">
        <v>76</v>
      </c>
      <c r="AU32" s="20" t="s">
        <v>76</v>
      </c>
      <c r="AV32" s="20" t="s">
        <v>76</v>
      </c>
      <c r="AW32" s="20" t="s">
        <v>76</v>
      </c>
      <c r="AX32" s="20" t="s">
        <v>76</v>
      </c>
      <c r="AY32" s="20" t="s">
        <v>76</v>
      </c>
      <c r="AZ32" s="20" t="s">
        <v>76</v>
      </c>
      <c r="BA32" s="20" t="s">
        <v>76</v>
      </c>
      <c r="BB32" s="20" t="s">
        <v>76</v>
      </c>
      <c r="BC32" s="20" t="s">
        <v>76</v>
      </c>
      <c r="BD32" s="20" t="s">
        <v>76</v>
      </c>
      <c r="BE32" s="20" t="s">
        <v>76</v>
      </c>
      <c r="BF32" s="15">
        <v>8.4337349397590398</v>
      </c>
      <c r="BG32" s="20" t="s">
        <v>76</v>
      </c>
      <c r="BH32" s="20" t="s">
        <v>76</v>
      </c>
      <c r="BI32" s="20" t="s">
        <v>76</v>
      </c>
      <c r="BJ32" s="20" t="s">
        <v>76</v>
      </c>
      <c r="BK32" s="20" t="s">
        <v>76</v>
      </c>
      <c r="BL32" s="20" t="s">
        <v>76</v>
      </c>
      <c r="BM32" s="20" t="s">
        <v>76</v>
      </c>
      <c r="BN32" s="20" t="s">
        <v>76</v>
      </c>
      <c r="BO32" s="20" t="s">
        <v>76</v>
      </c>
      <c r="BP32" s="20" t="s">
        <v>76</v>
      </c>
      <c r="BQ32" s="20" t="s">
        <v>76</v>
      </c>
      <c r="BR32" s="20" t="s">
        <v>76</v>
      </c>
      <c r="BS32" s="20" t="s">
        <v>76</v>
      </c>
      <c r="BT32" s="15">
        <v>6.0975609756097597</v>
      </c>
      <c r="BU32" s="20" t="s">
        <v>76</v>
      </c>
      <c r="BV32" s="15">
        <v>6.0606060606060597</v>
      </c>
      <c r="BW32" s="20" t="s">
        <v>76</v>
      </c>
      <c r="BX32" s="20" t="s">
        <v>76</v>
      </c>
      <c r="BY32" s="20" t="s">
        <v>76</v>
      </c>
      <c r="BZ32" s="20" t="s">
        <v>76</v>
      </c>
      <c r="CA32" s="32">
        <v>5.0891863420401604</v>
      </c>
      <c r="CB32" s="15">
        <v>2.8753993610223598</v>
      </c>
      <c r="CC32" s="15">
        <v>4.4025157232704402</v>
      </c>
      <c r="CD32" s="20" t="s">
        <v>76</v>
      </c>
      <c r="CE32" s="20" t="s">
        <v>76</v>
      </c>
      <c r="CF32" s="15">
        <v>6.88622754491018</v>
      </c>
      <c r="CG32" s="15">
        <v>7.8212290502793298</v>
      </c>
      <c r="CH32" s="15">
        <v>4.4117647058823497</v>
      </c>
      <c r="CI32" s="15">
        <v>6.3655030800821404</v>
      </c>
      <c r="CJ32" s="15">
        <v>9.8039215686274499</v>
      </c>
      <c r="CK32" s="15">
        <v>6.7264573991031398</v>
      </c>
      <c r="CL32" s="15">
        <v>3.48484848484848</v>
      </c>
      <c r="CM32" s="24">
        <v>2.5695931477516099</v>
      </c>
      <c r="CN32" s="37"/>
    </row>
    <row r="33" spans="1:92">
      <c r="A33" s="9" t="s">
        <v>288</v>
      </c>
      <c r="B33" s="35">
        <v>13.8148645650865</v>
      </c>
      <c r="C33" s="32">
        <v>14.0395196916487</v>
      </c>
      <c r="D33" s="32">
        <v>13.6262055436741</v>
      </c>
      <c r="E33" s="32">
        <v>15.9583788609962</v>
      </c>
      <c r="F33" s="20" t="s">
        <v>76</v>
      </c>
      <c r="G33" s="15">
        <v>29.411764705882401</v>
      </c>
      <c r="H33" s="15">
        <v>30.434782608695699</v>
      </c>
      <c r="I33" s="20" t="s">
        <v>76</v>
      </c>
      <c r="J33" s="15">
        <v>9.0277777777777803</v>
      </c>
      <c r="K33" s="15">
        <v>20.5128205128205</v>
      </c>
      <c r="L33" s="15">
        <v>22.9508196721311</v>
      </c>
      <c r="M33" s="15">
        <v>17.105263157894701</v>
      </c>
      <c r="N33" s="15">
        <v>18.823529411764699</v>
      </c>
      <c r="O33" s="20" t="s">
        <v>76</v>
      </c>
      <c r="P33" s="15">
        <v>12.6760563380282</v>
      </c>
      <c r="Q33" s="15">
        <v>19.7183098591549</v>
      </c>
      <c r="R33" s="20" t="s">
        <v>76</v>
      </c>
      <c r="S33" s="15">
        <v>19.512195121951201</v>
      </c>
      <c r="T33" s="20" t="s">
        <v>76</v>
      </c>
      <c r="U33" s="20" t="s">
        <v>76</v>
      </c>
      <c r="V33" s="15">
        <v>14.705882352941201</v>
      </c>
      <c r="W33" s="15">
        <v>10.1694915254237</v>
      </c>
      <c r="X33" s="20" t="s">
        <v>76</v>
      </c>
      <c r="Y33" s="20" t="s">
        <v>76</v>
      </c>
      <c r="Z33" s="15">
        <v>14.1025641025641</v>
      </c>
      <c r="AA33" s="15">
        <v>22.0183486238532</v>
      </c>
      <c r="AB33" s="15">
        <v>14.705882352941201</v>
      </c>
      <c r="AC33" s="15">
        <v>23.484848484848499</v>
      </c>
      <c r="AD33" s="15">
        <v>18.75</v>
      </c>
      <c r="AE33" s="15">
        <v>18.518518518518501</v>
      </c>
      <c r="AF33" s="20" t="s">
        <v>76</v>
      </c>
      <c r="AG33" s="15">
        <v>17.1428571428571</v>
      </c>
      <c r="AH33" s="15">
        <v>8.9285714285714306</v>
      </c>
      <c r="AI33" s="20" t="s">
        <v>76</v>
      </c>
      <c r="AJ33" s="15">
        <v>19.819819819819799</v>
      </c>
      <c r="AK33" s="15">
        <v>30</v>
      </c>
      <c r="AL33" s="15">
        <v>8.8888888888888893</v>
      </c>
      <c r="AM33" s="15">
        <v>12.5</v>
      </c>
      <c r="AN33" s="20" t="s">
        <v>76</v>
      </c>
      <c r="AO33" s="20" t="s">
        <v>76</v>
      </c>
      <c r="AP33" s="15">
        <v>15.5844155844156</v>
      </c>
      <c r="AQ33" s="20" t="s">
        <v>76</v>
      </c>
      <c r="AR33" s="15">
        <v>23.636363636363601</v>
      </c>
      <c r="AS33" s="20" t="s">
        <v>76</v>
      </c>
      <c r="AT33" s="15">
        <v>16.923076923076898</v>
      </c>
      <c r="AU33" s="15">
        <v>16.326530612244898</v>
      </c>
      <c r="AV33" s="15">
        <v>9.5890410958904102</v>
      </c>
      <c r="AW33" s="15">
        <v>16.379310344827601</v>
      </c>
      <c r="AX33" s="20" t="s">
        <v>76</v>
      </c>
      <c r="AY33" s="15">
        <v>14.285714285714301</v>
      </c>
      <c r="AZ33" s="15">
        <v>30</v>
      </c>
      <c r="BA33" s="15">
        <v>20.754716981132098</v>
      </c>
      <c r="BB33" s="15">
        <v>17.910447761194</v>
      </c>
      <c r="BC33" s="15">
        <v>8.1081081081081106</v>
      </c>
      <c r="BD33" s="15">
        <v>14.1025641025641</v>
      </c>
      <c r="BE33" s="15">
        <v>18.965517241379299</v>
      </c>
      <c r="BF33" s="15">
        <v>13.253012048192801</v>
      </c>
      <c r="BG33" s="15">
        <v>10.4477611940298</v>
      </c>
      <c r="BH33" s="20" t="s">
        <v>76</v>
      </c>
      <c r="BI33" s="20" t="s">
        <v>76</v>
      </c>
      <c r="BJ33" s="15">
        <v>16.071428571428601</v>
      </c>
      <c r="BK33" s="20" t="s">
        <v>76</v>
      </c>
      <c r="BL33" s="15">
        <v>17.1875</v>
      </c>
      <c r="BM33" s="15">
        <v>11.881188118811901</v>
      </c>
      <c r="BN33" s="15">
        <v>20.168067226890798</v>
      </c>
      <c r="BO33" s="15">
        <v>13.3333333333333</v>
      </c>
      <c r="BP33" s="15">
        <v>40</v>
      </c>
      <c r="BQ33" s="15">
        <v>13.698630136986299</v>
      </c>
      <c r="BR33" s="15">
        <v>16.6666666666667</v>
      </c>
      <c r="BS33" s="15">
        <v>18.0722891566265</v>
      </c>
      <c r="BT33" s="15">
        <v>14.634146341463399</v>
      </c>
      <c r="BU33" s="15">
        <v>14.018691588785</v>
      </c>
      <c r="BV33" s="15">
        <v>27.272727272727298</v>
      </c>
      <c r="BW33" s="15">
        <v>8.6956521739130395</v>
      </c>
      <c r="BX33" s="20" t="s">
        <v>76</v>
      </c>
      <c r="BY33" s="15">
        <v>30.158730158730201</v>
      </c>
      <c r="BZ33" s="15">
        <v>16.326530612244898</v>
      </c>
      <c r="CA33" s="32">
        <v>11.7428107842514</v>
      </c>
      <c r="CB33" s="15">
        <v>10.8626198083067</v>
      </c>
      <c r="CC33" s="15">
        <v>11.0062893081761</v>
      </c>
      <c r="CD33" s="15">
        <v>10.322580645161301</v>
      </c>
      <c r="CE33" s="20" t="s">
        <v>76</v>
      </c>
      <c r="CF33" s="15">
        <v>12.275449101796401</v>
      </c>
      <c r="CG33" s="15">
        <v>14.525139664804501</v>
      </c>
      <c r="CH33" s="15">
        <v>9.375</v>
      </c>
      <c r="CI33" s="15">
        <v>12.320328542094501</v>
      </c>
      <c r="CJ33" s="15">
        <v>14.509803921568601</v>
      </c>
      <c r="CK33" s="15">
        <v>14.7982062780269</v>
      </c>
      <c r="CL33" s="15">
        <v>11.6666666666667</v>
      </c>
      <c r="CM33" s="24">
        <v>10.7066381156317</v>
      </c>
      <c r="CN33" s="37"/>
    </row>
    <row r="34" spans="1:92">
      <c r="A34" s="9" t="s">
        <v>289</v>
      </c>
      <c r="B34" s="35">
        <v>32.341964656762499</v>
      </c>
      <c r="C34" s="32">
        <v>33.573689501337803</v>
      </c>
      <c r="D34" s="32">
        <v>35.561403887132201</v>
      </c>
      <c r="E34" s="32">
        <v>33.837968112721498</v>
      </c>
      <c r="F34" s="15">
        <v>41.176470588235297</v>
      </c>
      <c r="G34" s="15">
        <v>47.058823529411796</v>
      </c>
      <c r="H34" s="15">
        <v>39.130434782608702</v>
      </c>
      <c r="I34" s="15">
        <v>70</v>
      </c>
      <c r="J34" s="15">
        <v>33.3333333333333</v>
      </c>
      <c r="K34" s="15">
        <v>30.769230769230798</v>
      </c>
      <c r="L34" s="15">
        <v>44.262295081967203</v>
      </c>
      <c r="M34" s="15">
        <v>36.842105263157897</v>
      </c>
      <c r="N34" s="15">
        <v>37.647058823529399</v>
      </c>
      <c r="O34" s="15">
        <v>25.581395348837201</v>
      </c>
      <c r="P34" s="15">
        <v>30.985915492957702</v>
      </c>
      <c r="Q34" s="15">
        <v>40.845070422535201</v>
      </c>
      <c r="R34" s="20" t="s">
        <v>76</v>
      </c>
      <c r="S34" s="15">
        <v>36.585365853658502</v>
      </c>
      <c r="T34" s="15">
        <v>25</v>
      </c>
      <c r="U34" s="15">
        <v>33.3333333333333</v>
      </c>
      <c r="V34" s="15">
        <v>41.176470588235297</v>
      </c>
      <c r="W34" s="15">
        <v>37.288135593220296</v>
      </c>
      <c r="X34" s="15">
        <v>46.153846153846203</v>
      </c>
      <c r="Y34" s="20" t="s">
        <v>76</v>
      </c>
      <c r="Z34" s="15">
        <v>43.589743589743598</v>
      </c>
      <c r="AA34" s="15">
        <v>55.9633027522936</v>
      </c>
      <c r="AB34" s="15">
        <v>32.352941176470601</v>
      </c>
      <c r="AC34" s="15">
        <v>33.3333333333333</v>
      </c>
      <c r="AD34" s="15">
        <v>40.625</v>
      </c>
      <c r="AE34" s="15">
        <v>18.518518518518501</v>
      </c>
      <c r="AF34" s="15">
        <v>50</v>
      </c>
      <c r="AG34" s="15">
        <v>22.8571428571429</v>
      </c>
      <c r="AH34" s="15">
        <v>17.8571428571429</v>
      </c>
      <c r="AI34" s="20" t="s">
        <v>76</v>
      </c>
      <c r="AJ34" s="15">
        <v>31.531531531531499</v>
      </c>
      <c r="AK34" s="15">
        <v>60</v>
      </c>
      <c r="AL34" s="15">
        <v>30</v>
      </c>
      <c r="AM34" s="15">
        <v>34.375</v>
      </c>
      <c r="AN34" s="20" t="s">
        <v>76</v>
      </c>
      <c r="AO34" s="15">
        <v>27.5</v>
      </c>
      <c r="AP34" s="15">
        <v>29.870129870129901</v>
      </c>
      <c r="AQ34" s="15">
        <v>38.461538461538503</v>
      </c>
      <c r="AR34" s="15">
        <v>36.363636363636402</v>
      </c>
      <c r="AS34" s="20" t="s">
        <v>76</v>
      </c>
      <c r="AT34" s="15">
        <v>46.153846153846203</v>
      </c>
      <c r="AU34" s="15">
        <v>34.6938775510204</v>
      </c>
      <c r="AV34" s="15">
        <v>26.027397260274</v>
      </c>
      <c r="AW34" s="15">
        <v>30.172413793103502</v>
      </c>
      <c r="AX34" s="15">
        <v>50</v>
      </c>
      <c r="AY34" s="15">
        <v>31.428571428571399</v>
      </c>
      <c r="AZ34" s="15">
        <v>40</v>
      </c>
      <c r="BA34" s="15">
        <v>18.867924528301899</v>
      </c>
      <c r="BB34" s="15">
        <v>32.835820895522403</v>
      </c>
      <c r="BC34" s="15">
        <v>22.972972972973</v>
      </c>
      <c r="BD34" s="15">
        <v>32.051282051282101</v>
      </c>
      <c r="BE34" s="15">
        <v>36.2068965517241</v>
      </c>
      <c r="BF34" s="15">
        <v>32.530120481927703</v>
      </c>
      <c r="BG34" s="15">
        <v>25.373134328358201</v>
      </c>
      <c r="BH34" s="15">
        <v>41.6666666666667</v>
      </c>
      <c r="BI34" s="20" t="s">
        <v>76</v>
      </c>
      <c r="BJ34" s="15">
        <v>33.035714285714299</v>
      </c>
      <c r="BK34" s="15">
        <v>20</v>
      </c>
      <c r="BL34" s="15">
        <v>32.8125</v>
      </c>
      <c r="BM34" s="15">
        <v>40.594059405940598</v>
      </c>
      <c r="BN34" s="15">
        <v>39.495798319327697</v>
      </c>
      <c r="BO34" s="15">
        <v>26.6666666666667</v>
      </c>
      <c r="BP34" s="15">
        <v>46.6666666666667</v>
      </c>
      <c r="BQ34" s="15">
        <v>34.246575342465803</v>
      </c>
      <c r="BR34" s="15">
        <v>35</v>
      </c>
      <c r="BS34" s="15">
        <v>45.783132530120497</v>
      </c>
      <c r="BT34" s="15">
        <v>31.707317073170699</v>
      </c>
      <c r="BU34" s="15">
        <v>33.644859813084103</v>
      </c>
      <c r="BV34" s="15">
        <v>48.484848484848499</v>
      </c>
      <c r="BW34" s="15">
        <v>18.840579710144901</v>
      </c>
      <c r="BX34" s="20" t="s">
        <v>76</v>
      </c>
      <c r="BY34" s="15">
        <v>31.746031746031701</v>
      </c>
      <c r="BZ34" s="15">
        <v>35.374149659863903</v>
      </c>
      <c r="CA34" s="32">
        <v>36.953200063521798</v>
      </c>
      <c r="CB34" s="15">
        <v>30.351437699680499</v>
      </c>
      <c r="CC34" s="15">
        <v>36.477987421383602</v>
      </c>
      <c r="CD34" s="15">
        <v>43.225806451612897</v>
      </c>
      <c r="CE34" s="20" t="s">
        <v>76</v>
      </c>
      <c r="CF34" s="15">
        <v>37.125748502994</v>
      </c>
      <c r="CG34" s="15">
        <v>37.430167597765397</v>
      </c>
      <c r="CH34" s="15">
        <v>38.786764705882298</v>
      </c>
      <c r="CI34" s="15">
        <v>40.246406570841899</v>
      </c>
      <c r="CJ34" s="15">
        <v>41.568627450980401</v>
      </c>
      <c r="CK34" s="15">
        <v>39.461883408071699</v>
      </c>
      <c r="CL34" s="15">
        <v>41.515151515151501</v>
      </c>
      <c r="CM34" s="24">
        <v>35.117773019272001</v>
      </c>
      <c r="CN34" s="37"/>
    </row>
    <row r="35" spans="1:92">
      <c r="A35" s="9" t="s">
        <v>290</v>
      </c>
      <c r="B35" s="35">
        <v>24.858609843316302</v>
      </c>
      <c r="C35" s="32">
        <v>24.3203816617482</v>
      </c>
      <c r="D35" s="32">
        <v>25.817264456894499</v>
      </c>
      <c r="E35" s="32">
        <v>28.426967728118498</v>
      </c>
      <c r="F35" s="15">
        <v>35.294117647058798</v>
      </c>
      <c r="G35" s="15">
        <v>58.823529411764703</v>
      </c>
      <c r="H35" s="15">
        <v>34.7826086956522</v>
      </c>
      <c r="I35" s="20" t="s">
        <v>76</v>
      </c>
      <c r="J35" s="15">
        <v>30.5555555555556</v>
      </c>
      <c r="K35" s="15">
        <v>33.3333333333333</v>
      </c>
      <c r="L35" s="15">
        <v>31.1475409836066</v>
      </c>
      <c r="M35" s="15">
        <v>31.578947368421101</v>
      </c>
      <c r="N35" s="15">
        <v>29.411764705882401</v>
      </c>
      <c r="O35" s="15">
        <v>23.255813953488399</v>
      </c>
      <c r="P35" s="15">
        <v>15.492957746478901</v>
      </c>
      <c r="Q35" s="15">
        <v>22.5352112676056</v>
      </c>
      <c r="R35" s="20" t="s">
        <v>76</v>
      </c>
      <c r="S35" s="15">
        <v>43.902439024390198</v>
      </c>
      <c r="T35" s="15">
        <v>20.8333333333333</v>
      </c>
      <c r="U35" s="15">
        <v>42.857142857142897</v>
      </c>
      <c r="V35" s="15">
        <v>17.647058823529399</v>
      </c>
      <c r="W35" s="15">
        <v>22.033898305084701</v>
      </c>
      <c r="X35" s="20" t="s">
        <v>76</v>
      </c>
      <c r="Y35" s="20" t="s">
        <v>76</v>
      </c>
      <c r="Z35" s="15">
        <v>23.076923076923102</v>
      </c>
      <c r="AA35" s="15">
        <v>37.614678899082598</v>
      </c>
      <c r="AB35" s="15">
        <v>39.705882352941202</v>
      </c>
      <c r="AC35" s="15">
        <v>31.818181818181799</v>
      </c>
      <c r="AD35" s="15">
        <v>31.25</v>
      </c>
      <c r="AE35" s="15">
        <v>25.925925925925899</v>
      </c>
      <c r="AF35" s="15">
        <v>50</v>
      </c>
      <c r="AG35" s="15">
        <v>20.952380952380999</v>
      </c>
      <c r="AH35" s="15">
        <v>12.5</v>
      </c>
      <c r="AI35" s="20" t="s">
        <v>76</v>
      </c>
      <c r="AJ35" s="15">
        <v>29.729729729729701</v>
      </c>
      <c r="AK35" s="15">
        <v>43.3333333333333</v>
      </c>
      <c r="AL35" s="15">
        <v>32.2222222222222</v>
      </c>
      <c r="AM35" s="15">
        <v>28.125</v>
      </c>
      <c r="AN35" s="20" t="s">
        <v>76</v>
      </c>
      <c r="AO35" s="15">
        <v>15</v>
      </c>
      <c r="AP35" s="15">
        <v>23.3766233766234</v>
      </c>
      <c r="AQ35" s="15">
        <v>12.8205128205128</v>
      </c>
      <c r="AR35" s="15">
        <v>30.909090909090899</v>
      </c>
      <c r="AS35" s="20" t="s">
        <v>76</v>
      </c>
      <c r="AT35" s="15">
        <v>29.230769230769202</v>
      </c>
      <c r="AU35" s="15">
        <v>26.530612244897998</v>
      </c>
      <c r="AV35" s="15">
        <v>17.808219178082201</v>
      </c>
      <c r="AW35" s="15">
        <v>20.689655172413801</v>
      </c>
      <c r="AX35" s="15">
        <v>37.5</v>
      </c>
      <c r="AY35" s="15">
        <v>25.714285714285701</v>
      </c>
      <c r="AZ35" s="15">
        <v>36</v>
      </c>
      <c r="BA35" s="15">
        <v>16.981132075471699</v>
      </c>
      <c r="BB35" s="15">
        <v>34.328358208955201</v>
      </c>
      <c r="BC35" s="15">
        <v>21.6216216216216</v>
      </c>
      <c r="BD35" s="15">
        <v>35.897435897435898</v>
      </c>
      <c r="BE35" s="15">
        <v>29.310344827586199</v>
      </c>
      <c r="BF35" s="15">
        <v>30.120481927710799</v>
      </c>
      <c r="BG35" s="15">
        <v>23.880597014925399</v>
      </c>
      <c r="BH35" s="20" t="s">
        <v>76</v>
      </c>
      <c r="BI35" s="15">
        <v>36.842105263157897</v>
      </c>
      <c r="BJ35" s="15">
        <v>33.928571428571402</v>
      </c>
      <c r="BK35" s="15">
        <v>27.5</v>
      </c>
      <c r="BL35" s="15">
        <v>26.5625</v>
      </c>
      <c r="BM35" s="15">
        <v>39.603960396039597</v>
      </c>
      <c r="BN35" s="15">
        <v>36.974789915966397</v>
      </c>
      <c r="BO35" s="15">
        <v>16.6666666666667</v>
      </c>
      <c r="BP35" s="15">
        <v>46.6666666666667</v>
      </c>
      <c r="BQ35" s="15">
        <v>26.027397260274</v>
      </c>
      <c r="BR35" s="15">
        <v>21.6666666666667</v>
      </c>
      <c r="BS35" s="15">
        <v>36.144578313253</v>
      </c>
      <c r="BT35" s="15">
        <v>29.268292682926798</v>
      </c>
      <c r="BU35" s="15">
        <v>27.1028037383178</v>
      </c>
      <c r="BV35" s="15">
        <v>44.4444444444444</v>
      </c>
      <c r="BW35" s="15">
        <v>14.492753623188401</v>
      </c>
      <c r="BX35" s="20" t="s">
        <v>76</v>
      </c>
      <c r="BY35" s="15">
        <v>26.984126984126998</v>
      </c>
      <c r="BZ35" s="15">
        <v>36.734693877551003</v>
      </c>
      <c r="CA35" s="32">
        <v>23.7097446477256</v>
      </c>
      <c r="CB35" s="15">
        <v>20.447284345047901</v>
      </c>
      <c r="CC35" s="15">
        <v>18.238993710691801</v>
      </c>
      <c r="CD35" s="15">
        <v>30.322580645161299</v>
      </c>
      <c r="CE35" s="20" t="s">
        <v>76</v>
      </c>
      <c r="CF35" s="15">
        <v>23.652694610778401</v>
      </c>
      <c r="CG35" s="15">
        <v>24.022346368715102</v>
      </c>
      <c r="CH35" s="15">
        <v>24.264705882352899</v>
      </c>
      <c r="CI35" s="15">
        <v>25.872689938398398</v>
      </c>
      <c r="CJ35" s="15">
        <v>27.843137254902</v>
      </c>
      <c r="CK35" s="15">
        <v>25.112107623318401</v>
      </c>
      <c r="CL35" s="15">
        <v>25.7575757575758</v>
      </c>
      <c r="CM35" s="24">
        <v>29.5503211991435</v>
      </c>
      <c r="CN35" s="37"/>
    </row>
    <row r="36" spans="1:92">
      <c r="A36" s="9" t="s">
        <v>291</v>
      </c>
      <c r="B36" s="35">
        <v>19.9339502820118</v>
      </c>
      <c r="C36" s="32">
        <v>21.0090081495572</v>
      </c>
      <c r="D36" s="32">
        <v>20.330102516237201</v>
      </c>
      <c r="E36" s="32">
        <v>21.792638574949699</v>
      </c>
      <c r="F36" s="20" t="s">
        <v>76</v>
      </c>
      <c r="G36" s="20" t="s">
        <v>76</v>
      </c>
      <c r="H36" s="20" t="s">
        <v>76</v>
      </c>
      <c r="I36" s="20" t="s">
        <v>76</v>
      </c>
      <c r="J36" s="15">
        <v>11.8055555555556</v>
      </c>
      <c r="K36" s="15">
        <v>12.8205128205128</v>
      </c>
      <c r="L36" s="15">
        <v>26.229508196721302</v>
      </c>
      <c r="M36" s="15">
        <v>34.210526315789501</v>
      </c>
      <c r="N36" s="15">
        <v>25.882352941176499</v>
      </c>
      <c r="O36" s="15">
        <v>27.906976744186</v>
      </c>
      <c r="P36" s="15">
        <v>30.985915492957702</v>
      </c>
      <c r="Q36" s="15">
        <v>29.577464788732399</v>
      </c>
      <c r="R36" s="20" t="s">
        <v>76</v>
      </c>
      <c r="S36" s="15">
        <v>24.390243902439</v>
      </c>
      <c r="T36" s="15">
        <v>14.5833333333333</v>
      </c>
      <c r="U36" s="15">
        <v>23.8095238095238</v>
      </c>
      <c r="V36" s="15">
        <v>20.588235294117599</v>
      </c>
      <c r="W36" s="15">
        <v>23.728813559321999</v>
      </c>
      <c r="X36" s="20" t="s">
        <v>76</v>
      </c>
      <c r="Y36" s="20" t="s">
        <v>76</v>
      </c>
      <c r="Z36" s="15">
        <v>14.1025641025641</v>
      </c>
      <c r="AA36" s="15">
        <v>26.605504587155998</v>
      </c>
      <c r="AB36" s="15">
        <v>11.764705882352899</v>
      </c>
      <c r="AC36" s="15">
        <v>15.1515151515152</v>
      </c>
      <c r="AD36" s="15">
        <v>37.5</v>
      </c>
      <c r="AE36" s="20" t="s">
        <v>76</v>
      </c>
      <c r="AF36" s="15">
        <v>35.714285714285701</v>
      </c>
      <c r="AG36" s="15">
        <v>15.2380952380952</v>
      </c>
      <c r="AH36" s="15">
        <v>16.071428571428601</v>
      </c>
      <c r="AI36" s="20" t="s">
        <v>76</v>
      </c>
      <c r="AJ36" s="15">
        <v>15.315315315315299</v>
      </c>
      <c r="AK36" s="15">
        <v>26.6666666666667</v>
      </c>
      <c r="AL36" s="15">
        <v>21.1111111111111</v>
      </c>
      <c r="AM36" s="15">
        <v>35.9375</v>
      </c>
      <c r="AN36" s="20" t="s">
        <v>76</v>
      </c>
      <c r="AO36" s="15">
        <v>15</v>
      </c>
      <c r="AP36" s="15">
        <v>20.7792207792208</v>
      </c>
      <c r="AQ36" s="15">
        <v>28.205128205128201</v>
      </c>
      <c r="AR36" s="15">
        <v>9.0909090909090899</v>
      </c>
      <c r="AS36" s="20" t="s">
        <v>76</v>
      </c>
      <c r="AT36" s="15">
        <v>21.538461538461501</v>
      </c>
      <c r="AU36" s="15">
        <v>18.367346938775501</v>
      </c>
      <c r="AV36" s="15">
        <v>10.958904109589</v>
      </c>
      <c r="AW36" s="15">
        <v>24.137931034482801</v>
      </c>
      <c r="AX36" s="20" t="s">
        <v>76</v>
      </c>
      <c r="AY36" s="15">
        <v>17.1428571428571</v>
      </c>
      <c r="AZ36" s="15">
        <v>34</v>
      </c>
      <c r="BA36" s="15">
        <v>18.867924528301899</v>
      </c>
      <c r="BB36" s="15">
        <v>32.835820895522403</v>
      </c>
      <c r="BC36" s="15">
        <v>21.6216216216216</v>
      </c>
      <c r="BD36" s="15">
        <v>28.205128205128201</v>
      </c>
      <c r="BE36" s="15">
        <v>41.379310344827601</v>
      </c>
      <c r="BF36" s="15">
        <v>25.3012048192771</v>
      </c>
      <c r="BG36" s="15">
        <v>35.820895522388099</v>
      </c>
      <c r="BH36" s="20" t="s">
        <v>76</v>
      </c>
      <c r="BI36" s="20" t="s">
        <v>76</v>
      </c>
      <c r="BJ36" s="15">
        <v>16.964285714285701</v>
      </c>
      <c r="BK36" s="15">
        <v>25</v>
      </c>
      <c r="BL36" s="15">
        <v>19.53125</v>
      </c>
      <c r="BM36" s="15">
        <v>28.712871287128699</v>
      </c>
      <c r="BN36" s="15">
        <v>13.445378151260501</v>
      </c>
      <c r="BO36" s="15">
        <v>24.4444444444444</v>
      </c>
      <c r="BP36" s="20" t="s">
        <v>76</v>
      </c>
      <c r="BQ36" s="15">
        <v>12.328767123287699</v>
      </c>
      <c r="BR36" s="15">
        <v>25</v>
      </c>
      <c r="BS36" s="15">
        <v>32.530120481927703</v>
      </c>
      <c r="BT36" s="15">
        <v>7.3170731707317103</v>
      </c>
      <c r="BU36" s="15">
        <v>29.906542056074802</v>
      </c>
      <c r="BV36" s="15">
        <v>35.353535353535399</v>
      </c>
      <c r="BW36" s="15">
        <v>10.144927536231901</v>
      </c>
      <c r="BX36" s="20" t="s">
        <v>76</v>
      </c>
      <c r="BY36" s="15">
        <v>19.047619047619001</v>
      </c>
      <c r="BZ36" s="15">
        <v>19.047619047619001</v>
      </c>
      <c r="CA36" s="32">
        <v>19.149001297049601</v>
      </c>
      <c r="CB36" s="15">
        <v>14.057507987220401</v>
      </c>
      <c r="CC36" s="15">
        <v>17.6100628930818</v>
      </c>
      <c r="CD36" s="15">
        <v>21.935483870967701</v>
      </c>
      <c r="CE36" s="20" t="s">
        <v>76</v>
      </c>
      <c r="CF36" s="15">
        <v>18.562874251497</v>
      </c>
      <c r="CG36" s="15">
        <v>26.815642458100601</v>
      </c>
      <c r="CH36" s="15">
        <v>20.404411764705898</v>
      </c>
      <c r="CI36" s="15">
        <v>15.605749486653</v>
      </c>
      <c r="CJ36" s="15">
        <v>26.2745098039216</v>
      </c>
      <c r="CK36" s="15">
        <v>21.973094170403598</v>
      </c>
      <c r="CL36" s="15">
        <v>20.7575757575758</v>
      </c>
      <c r="CM36" s="24">
        <v>23.340471092077099</v>
      </c>
      <c r="CN36" s="37"/>
    </row>
    <row r="37" spans="1:92">
      <c r="A37" s="9" t="s">
        <v>292</v>
      </c>
      <c r="B37" s="35">
        <v>23.045320647667999</v>
      </c>
      <c r="C37" s="32">
        <v>25.542653184215101</v>
      </c>
      <c r="D37" s="32">
        <v>25.0503279038338</v>
      </c>
      <c r="E37" s="32">
        <v>25.1177743020314</v>
      </c>
      <c r="F37" s="20" t="s">
        <v>76</v>
      </c>
      <c r="G37" s="15">
        <v>47.058823529411796</v>
      </c>
      <c r="H37" s="20" t="s">
        <v>76</v>
      </c>
      <c r="I37" s="20" t="s">
        <v>76</v>
      </c>
      <c r="J37" s="15">
        <v>25</v>
      </c>
      <c r="K37" s="15">
        <v>25.6410256410256</v>
      </c>
      <c r="L37" s="15">
        <v>37.7049180327869</v>
      </c>
      <c r="M37" s="15">
        <v>25</v>
      </c>
      <c r="N37" s="15">
        <v>27.0588235294118</v>
      </c>
      <c r="O37" s="15">
        <v>34.883720930232599</v>
      </c>
      <c r="P37" s="15">
        <v>18.309859154929601</v>
      </c>
      <c r="Q37" s="15">
        <v>26.760563380281699</v>
      </c>
      <c r="R37" s="15">
        <v>19.230769230769202</v>
      </c>
      <c r="S37" s="15">
        <v>26.829268292682901</v>
      </c>
      <c r="T37" s="15">
        <v>12.5</v>
      </c>
      <c r="U37" s="20" t="s">
        <v>76</v>
      </c>
      <c r="V37" s="15">
        <v>23.529411764705898</v>
      </c>
      <c r="W37" s="15">
        <v>25.4237288135593</v>
      </c>
      <c r="X37" s="20" t="s">
        <v>76</v>
      </c>
      <c r="Y37" s="20" t="s">
        <v>76</v>
      </c>
      <c r="Z37" s="15">
        <v>20.5128205128205</v>
      </c>
      <c r="AA37" s="15">
        <v>33.944954128440401</v>
      </c>
      <c r="AB37" s="15">
        <v>35.294117647058798</v>
      </c>
      <c r="AC37" s="15">
        <v>25.7575757575758</v>
      </c>
      <c r="AD37" s="20" t="s">
        <v>76</v>
      </c>
      <c r="AE37" s="20" t="s">
        <v>76</v>
      </c>
      <c r="AF37" s="15">
        <v>42.857142857142897</v>
      </c>
      <c r="AG37" s="15">
        <v>15.2380952380952</v>
      </c>
      <c r="AH37" s="15">
        <v>26.785714285714299</v>
      </c>
      <c r="AI37" s="20" t="s">
        <v>76</v>
      </c>
      <c r="AJ37" s="15">
        <v>24.324324324324301</v>
      </c>
      <c r="AK37" s="15">
        <v>43.3333333333333</v>
      </c>
      <c r="AL37" s="15">
        <v>22.2222222222222</v>
      </c>
      <c r="AM37" s="15">
        <v>26.5625</v>
      </c>
      <c r="AN37" s="20" t="s">
        <v>76</v>
      </c>
      <c r="AO37" s="15">
        <v>15</v>
      </c>
      <c r="AP37" s="15">
        <v>24.675324675324699</v>
      </c>
      <c r="AQ37" s="15">
        <v>25.6410256410256</v>
      </c>
      <c r="AR37" s="15">
        <v>25.454545454545499</v>
      </c>
      <c r="AS37" s="20" t="s">
        <v>76</v>
      </c>
      <c r="AT37" s="15">
        <v>35.384615384615401</v>
      </c>
      <c r="AU37" s="15">
        <v>30.612244897959201</v>
      </c>
      <c r="AV37" s="15">
        <v>13.698630136986299</v>
      </c>
      <c r="AW37" s="15">
        <v>21.551724137931</v>
      </c>
      <c r="AX37" s="20" t="s">
        <v>76</v>
      </c>
      <c r="AY37" s="15">
        <v>28.571428571428601</v>
      </c>
      <c r="AZ37" s="15">
        <v>50</v>
      </c>
      <c r="BA37" s="15">
        <v>26.415094339622598</v>
      </c>
      <c r="BB37" s="15">
        <v>26.865671641791</v>
      </c>
      <c r="BC37" s="15">
        <v>25.675675675675699</v>
      </c>
      <c r="BD37" s="15">
        <v>26.923076923076898</v>
      </c>
      <c r="BE37" s="15">
        <v>29.310344827586199</v>
      </c>
      <c r="BF37" s="15">
        <v>25.3012048192771</v>
      </c>
      <c r="BG37" s="15">
        <v>22.388059701492502</v>
      </c>
      <c r="BH37" s="20" t="s">
        <v>76</v>
      </c>
      <c r="BI37" s="20" t="s">
        <v>76</v>
      </c>
      <c r="BJ37" s="15">
        <v>21.428571428571399</v>
      </c>
      <c r="BK37" s="15">
        <v>12.5</v>
      </c>
      <c r="BL37" s="15">
        <v>21.875</v>
      </c>
      <c r="BM37" s="15">
        <v>15.841584158415801</v>
      </c>
      <c r="BN37" s="15">
        <v>31.932773109243701</v>
      </c>
      <c r="BO37" s="15">
        <v>23.3333333333333</v>
      </c>
      <c r="BP37" s="20" t="s">
        <v>76</v>
      </c>
      <c r="BQ37" s="15">
        <v>16.438356164383599</v>
      </c>
      <c r="BR37" s="15">
        <v>23.3333333333333</v>
      </c>
      <c r="BS37" s="15">
        <v>32.530120481927703</v>
      </c>
      <c r="BT37" s="15">
        <v>24.390243902439</v>
      </c>
      <c r="BU37" s="15">
        <v>24.299065420560702</v>
      </c>
      <c r="BV37" s="15">
        <v>44.4444444444444</v>
      </c>
      <c r="BW37" s="15">
        <v>13.0434782608696</v>
      </c>
      <c r="BX37" s="20" t="s">
        <v>76</v>
      </c>
      <c r="BY37" s="15">
        <v>23.8095238095238</v>
      </c>
      <c r="BZ37" s="15">
        <v>37.414965986394598</v>
      </c>
      <c r="CA37" s="32">
        <v>24.9958601711126</v>
      </c>
      <c r="CB37" s="15">
        <v>22.044728434504801</v>
      </c>
      <c r="CC37" s="15">
        <v>18.238993710691801</v>
      </c>
      <c r="CD37" s="15">
        <v>23.870967741935502</v>
      </c>
      <c r="CE37" s="20" t="s">
        <v>76</v>
      </c>
      <c r="CF37" s="15">
        <v>20.6586826347305</v>
      </c>
      <c r="CG37" s="15">
        <v>27.374301675977701</v>
      </c>
      <c r="CH37" s="15">
        <v>27.389705882352899</v>
      </c>
      <c r="CI37" s="15">
        <v>25.0513347022587</v>
      </c>
      <c r="CJ37" s="15">
        <v>25.490196078431399</v>
      </c>
      <c r="CK37" s="15">
        <v>27.3542600896861</v>
      </c>
      <c r="CL37" s="15">
        <v>28.7878787878788</v>
      </c>
      <c r="CM37" s="24">
        <v>27.837259100642399</v>
      </c>
      <c r="CN37" s="37"/>
    </row>
    <row r="38" spans="1:92">
      <c r="A38" s="9" t="s">
        <v>293</v>
      </c>
      <c r="B38" s="35">
        <v>29.689677745083799</v>
      </c>
      <c r="C38" s="32">
        <v>28.767581090010601</v>
      </c>
      <c r="D38" s="32">
        <v>30.394979437734399</v>
      </c>
      <c r="E38" s="32">
        <v>39.594654953993199</v>
      </c>
      <c r="F38" s="15">
        <v>41.176470588235297</v>
      </c>
      <c r="G38" s="15">
        <v>58.823529411764703</v>
      </c>
      <c r="H38" s="15">
        <v>65.2173913043478</v>
      </c>
      <c r="I38" s="15">
        <v>60</v>
      </c>
      <c r="J38" s="15">
        <v>41.6666666666667</v>
      </c>
      <c r="K38" s="15">
        <v>23.076923076923102</v>
      </c>
      <c r="L38" s="15">
        <v>44.262295081967203</v>
      </c>
      <c r="M38" s="15">
        <v>43.421052631578902</v>
      </c>
      <c r="N38" s="15">
        <v>37.647058823529399</v>
      </c>
      <c r="O38" s="15">
        <v>37.209302325581397</v>
      </c>
      <c r="P38" s="15">
        <v>47.887323943661997</v>
      </c>
      <c r="Q38" s="15">
        <v>32.394366197183103</v>
      </c>
      <c r="R38" s="20" t="s">
        <v>76</v>
      </c>
      <c r="S38" s="15">
        <v>46.341463414634099</v>
      </c>
      <c r="T38" s="15">
        <v>33.3333333333333</v>
      </c>
      <c r="U38" s="15">
        <v>33.3333333333333</v>
      </c>
      <c r="V38" s="15">
        <v>29.411764705882401</v>
      </c>
      <c r="W38" s="15">
        <v>47.457627118644098</v>
      </c>
      <c r="X38" s="15">
        <v>38.461538461538503</v>
      </c>
      <c r="Y38" s="20" t="s">
        <v>76</v>
      </c>
      <c r="Z38" s="15">
        <v>25.6410256410256</v>
      </c>
      <c r="AA38" s="15">
        <v>51.376146788990802</v>
      </c>
      <c r="AB38" s="15">
        <v>48.529411764705898</v>
      </c>
      <c r="AC38" s="15">
        <v>40.151515151515099</v>
      </c>
      <c r="AD38" s="15">
        <v>50</v>
      </c>
      <c r="AE38" s="15">
        <v>44.4444444444444</v>
      </c>
      <c r="AF38" s="15">
        <v>42.857142857142897</v>
      </c>
      <c r="AG38" s="15">
        <v>35.238095238095198</v>
      </c>
      <c r="AH38" s="15">
        <v>21.428571428571399</v>
      </c>
      <c r="AI38" s="20" t="s">
        <v>76</v>
      </c>
      <c r="AJ38" s="15">
        <v>38.738738738738697</v>
      </c>
      <c r="AK38" s="15">
        <v>40</v>
      </c>
      <c r="AL38" s="15">
        <v>50</v>
      </c>
      <c r="AM38" s="15">
        <v>56.25</v>
      </c>
      <c r="AN38" s="20" t="s">
        <v>76</v>
      </c>
      <c r="AO38" s="15">
        <v>27.5</v>
      </c>
      <c r="AP38" s="15">
        <v>33.766233766233803</v>
      </c>
      <c r="AQ38" s="15">
        <v>38.461538461538503</v>
      </c>
      <c r="AR38" s="15">
        <v>36.363636363636402</v>
      </c>
      <c r="AS38" s="20" t="s">
        <v>76</v>
      </c>
      <c r="AT38" s="15">
        <v>35.384615384615401</v>
      </c>
      <c r="AU38" s="15">
        <v>36.734693877551003</v>
      </c>
      <c r="AV38" s="15">
        <v>35.616438356164402</v>
      </c>
      <c r="AW38" s="15">
        <v>43.1034482758621</v>
      </c>
      <c r="AX38" s="15">
        <v>37.5</v>
      </c>
      <c r="AY38" s="15">
        <v>45.714285714285701</v>
      </c>
      <c r="AZ38" s="15">
        <v>36</v>
      </c>
      <c r="BA38" s="15">
        <v>41.509433962264097</v>
      </c>
      <c r="BB38" s="15">
        <v>47.761194029850699</v>
      </c>
      <c r="BC38" s="15">
        <v>29.729729729729701</v>
      </c>
      <c r="BD38" s="15">
        <v>34.615384615384599</v>
      </c>
      <c r="BE38" s="15">
        <v>39.655172413793103</v>
      </c>
      <c r="BF38" s="15">
        <v>37.349397590361399</v>
      </c>
      <c r="BG38" s="15">
        <v>32.835820895522403</v>
      </c>
      <c r="BH38" s="15">
        <v>25</v>
      </c>
      <c r="BI38" s="15">
        <v>26.315789473684202</v>
      </c>
      <c r="BJ38" s="15">
        <v>38.392857142857103</v>
      </c>
      <c r="BK38" s="15">
        <v>32.5</v>
      </c>
      <c r="BL38" s="15">
        <v>39.84375</v>
      </c>
      <c r="BM38" s="15">
        <v>44.554455445544598</v>
      </c>
      <c r="BN38" s="15">
        <v>47.058823529411796</v>
      </c>
      <c r="BO38" s="15">
        <v>40</v>
      </c>
      <c r="BP38" s="15">
        <v>46.6666666666667</v>
      </c>
      <c r="BQ38" s="15">
        <v>32.876712328767098</v>
      </c>
      <c r="BR38" s="15">
        <v>41.6666666666667</v>
      </c>
      <c r="BS38" s="15">
        <v>50.602409638554199</v>
      </c>
      <c r="BT38" s="15">
        <v>41.463414634146297</v>
      </c>
      <c r="BU38" s="15">
        <v>51.401869158878498</v>
      </c>
      <c r="BV38" s="15">
        <v>48.484848484848499</v>
      </c>
      <c r="BW38" s="15">
        <v>26.086956521739101</v>
      </c>
      <c r="BX38" s="20" t="s">
        <v>76</v>
      </c>
      <c r="BY38" s="15">
        <v>38.095238095238102</v>
      </c>
      <c r="BZ38" s="15">
        <v>34.6938775510204</v>
      </c>
      <c r="CA38" s="32">
        <v>22.965591352801599</v>
      </c>
      <c r="CB38" s="15">
        <v>21.405750798722</v>
      </c>
      <c r="CC38" s="15">
        <v>24.2138364779874</v>
      </c>
      <c r="CD38" s="15">
        <v>25.806451612903199</v>
      </c>
      <c r="CE38" s="20" t="s">
        <v>76</v>
      </c>
      <c r="CF38" s="15">
        <v>27.245508982035901</v>
      </c>
      <c r="CG38" s="15">
        <v>27.374301675977701</v>
      </c>
      <c r="CH38" s="15">
        <v>23.345588235294102</v>
      </c>
      <c r="CI38" s="15">
        <v>26.488706365503099</v>
      </c>
      <c r="CJ38" s="15">
        <v>30.588235294117599</v>
      </c>
      <c r="CK38" s="15">
        <v>22.869955156950699</v>
      </c>
      <c r="CL38" s="15">
        <v>24.090909090909101</v>
      </c>
      <c r="CM38" s="24">
        <v>23.126338329764501</v>
      </c>
      <c r="CN38" s="37"/>
    </row>
    <row r="39" spans="1:92">
      <c r="A39" s="9" t="s">
        <v>294</v>
      </c>
      <c r="B39" s="35">
        <v>32.182801910492103</v>
      </c>
      <c r="C39" s="32">
        <v>32.475270092270897</v>
      </c>
      <c r="D39" s="32">
        <v>34.163448828886601</v>
      </c>
      <c r="E39" s="32">
        <v>34.673532883641499</v>
      </c>
      <c r="F39" s="15">
        <v>29.411764705882401</v>
      </c>
      <c r="G39" s="20" t="s">
        <v>76</v>
      </c>
      <c r="H39" s="15">
        <v>26.086956521739101</v>
      </c>
      <c r="I39" s="15">
        <v>60</v>
      </c>
      <c r="J39" s="15">
        <v>37.5</v>
      </c>
      <c r="K39" s="15">
        <v>35.897435897435898</v>
      </c>
      <c r="L39" s="15">
        <v>34.426229508196698</v>
      </c>
      <c r="M39" s="15">
        <v>39.473684210526301</v>
      </c>
      <c r="N39" s="15">
        <v>35.294117647058798</v>
      </c>
      <c r="O39" s="15">
        <v>39.534883720930203</v>
      </c>
      <c r="P39" s="15">
        <v>39.436619718309899</v>
      </c>
      <c r="Q39" s="15">
        <v>39.436619718309899</v>
      </c>
      <c r="R39" s="20" t="s">
        <v>76</v>
      </c>
      <c r="S39" s="15">
        <v>36.585365853658502</v>
      </c>
      <c r="T39" s="15">
        <v>18.75</v>
      </c>
      <c r="U39" s="15">
        <v>38.095238095238102</v>
      </c>
      <c r="V39" s="15">
        <v>26.470588235294102</v>
      </c>
      <c r="W39" s="15">
        <v>30.508474576271201</v>
      </c>
      <c r="X39" s="15">
        <v>38.461538461538503</v>
      </c>
      <c r="Y39" s="20" t="s">
        <v>76</v>
      </c>
      <c r="Z39" s="15">
        <v>28.205128205128201</v>
      </c>
      <c r="AA39" s="15">
        <v>43.119266055045898</v>
      </c>
      <c r="AB39" s="15">
        <v>47.058823529411796</v>
      </c>
      <c r="AC39" s="15">
        <v>35.606060606060602</v>
      </c>
      <c r="AD39" s="15">
        <v>28.125</v>
      </c>
      <c r="AE39" s="15">
        <v>51.851851851851798</v>
      </c>
      <c r="AF39" s="15">
        <v>42.857142857142897</v>
      </c>
      <c r="AG39" s="15">
        <v>29.523809523809501</v>
      </c>
      <c r="AH39" s="15">
        <v>28.571428571428601</v>
      </c>
      <c r="AI39" s="20" t="s">
        <v>76</v>
      </c>
      <c r="AJ39" s="15">
        <v>22.5225225225225</v>
      </c>
      <c r="AK39" s="15">
        <v>56.6666666666667</v>
      </c>
      <c r="AL39" s="15">
        <v>27.7777777777778</v>
      </c>
      <c r="AM39" s="15">
        <v>50</v>
      </c>
      <c r="AN39" s="20" t="s">
        <v>76</v>
      </c>
      <c r="AO39" s="15">
        <v>22.5</v>
      </c>
      <c r="AP39" s="15">
        <v>27.272727272727298</v>
      </c>
      <c r="AQ39" s="15">
        <v>38.461538461538503</v>
      </c>
      <c r="AR39" s="15">
        <v>30.909090909090899</v>
      </c>
      <c r="AS39" s="20" t="s">
        <v>76</v>
      </c>
      <c r="AT39" s="15">
        <v>35.384615384615401</v>
      </c>
      <c r="AU39" s="15">
        <v>32.653061224489797</v>
      </c>
      <c r="AV39" s="15">
        <v>26.027397260274</v>
      </c>
      <c r="AW39" s="15">
        <v>29.310344827586199</v>
      </c>
      <c r="AX39" s="15">
        <v>56.25</v>
      </c>
      <c r="AY39" s="15">
        <v>20</v>
      </c>
      <c r="AZ39" s="15">
        <v>50</v>
      </c>
      <c r="BA39" s="15">
        <v>30.188679245283002</v>
      </c>
      <c r="BB39" s="15">
        <v>37.313432835820898</v>
      </c>
      <c r="BC39" s="15">
        <v>36.486486486486498</v>
      </c>
      <c r="BD39" s="15">
        <v>30.769230769230798</v>
      </c>
      <c r="BE39" s="15">
        <v>48.275862068965502</v>
      </c>
      <c r="BF39" s="15">
        <v>33.734939759036102</v>
      </c>
      <c r="BG39" s="15">
        <v>25.373134328358201</v>
      </c>
      <c r="BH39" s="15">
        <v>45.8333333333333</v>
      </c>
      <c r="BI39" s="15">
        <v>26.315789473684202</v>
      </c>
      <c r="BJ39" s="15">
        <v>35.714285714285701</v>
      </c>
      <c r="BK39" s="15">
        <v>35</v>
      </c>
      <c r="BL39" s="15">
        <v>32.03125</v>
      </c>
      <c r="BM39" s="15">
        <v>39.603960396039597</v>
      </c>
      <c r="BN39" s="15">
        <v>36.974789915966397</v>
      </c>
      <c r="BO39" s="15">
        <v>30</v>
      </c>
      <c r="BP39" s="15">
        <v>60</v>
      </c>
      <c r="BQ39" s="15">
        <v>35.616438356164402</v>
      </c>
      <c r="BR39" s="15">
        <v>41.6666666666667</v>
      </c>
      <c r="BS39" s="15">
        <v>28.9156626506024</v>
      </c>
      <c r="BT39" s="15">
        <v>29.268292682926798</v>
      </c>
      <c r="BU39" s="15">
        <v>42.056074766355103</v>
      </c>
      <c r="BV39" s="15">
        <v>38.383838383838402</v>
      </c>
      <c r="BW39" s="15">
        <v>18.840579710144901</v>
      </c>
      <c r="BX39" s="15">
        <v>66.6666666666667</v>
      </c>
      <c r="BY39" s="15">
        <v>28.571428571428601</v>
      </c>
      <c r="BZ39" s="15">
        <v>38.095238095238102</v>
      </c>
      <c r="CA39" s="32">
        <v>33.751519909000997</v>
      </c>
      <c r="CB39" s="15">
        <v>30.6709265175719</v>
      </c>
      <c r="CC39" s="15">
        <v>38.050314465408803</v>
      </c>
      <c r="CD39" s="15">
        <v>32.903225806451601</v>
      </c>
      <c r="CE39" s="15">
        <v>50</v>
      </c>
      <c r="CF39" s="15">
        <v>29.3413173652695</v>
      </c>
      <c r="CG39" s="15">
        <v>34.078212290502798</v>
      </c>
      <c r="CH39" s="15">
        <v>32.904411764705898</v>
      </c>
      <c r="CI39" s="15">
        <v>34.702258726899402</v>
      </c>
      <c r="CJ39" s="15">
        <v>38.431372549019599</v>
      </c>
      <c r="CK39" s="15">
        <v>30.4932735426009</v>
      </c>
      <c r="CL39" s="15">
        <v>40.303030303030297</v>
      </c>
      <c r="CM39" s="24">
        <v>34.475374732333997</v>
      </c>
      <c r="CN39" s="37"/>
    </row>
    <row r="40" spans="1:92">
      <c r="A40" s="9" t="s">
        <v>295</v>
      </c>
      <c r="B40" s="35">
        <v>19.109923258119501</v>
      </c>
      <c r="C40" s="32">
        <v>18.784516550205201</v>
      </c>
      <c r="D40" s="32">
        <v>18.485109503915702</v>
      </c>
      <c r="E40" s="32">
        <v>23.060162943721998</v>
      </c>
      <c r="F40" s="15">
        <v>29.411764705882401</v>
      </c>
      <c r="G40" s="15">
        <v>52.941176470588204</v>
      </c>
      <c r="H40" s="15">
        <v>26.086956521739101</v>
      </c>
      <c r="I40" s="20" t="s">
        <v>76</v>
      </c>
      <c r="J40" s="15">
        <v>25.6944444444444</v>
      </c>
      <c r="K40" s="15">
        <v>15.384615384615399</v>
      </c>
      <c r="L40" s="15">
        <v>27.868852459016399</v>
      </c>
      <c r="M40" s="15">
        <v>30.2631578947368</v>
      </c>
      <c r="N40" s="15">
        <v>22.352941176470601</v>
      </c>
      <c r="O40" s="15">
        <v>30.232558139534898</v>
      </c>
      <c r="P40" s="15">
        <v>25.352112676056301</v>
      </c>
      <c r="Q40" s="15">
        <v>25.352112676056301</v>
      </c>
      <c r="R40" s="20" t="s">
        <v>76</v>
      </c>
      <c r="S40" s="15">
        <v>26.829268292682901</v>
      </c>
      <c r="T40" s="15">
        <v>20.8333333333333</v>
      </c>
      <c r="U40" s="15">
        <v>23.8095238095238</v>
      </c>
      <c r="V40" s="15">
        <v>32.352941176470601</v>
      </c>
      <c r="W40" s="15">
        <v>32.203389830508499</v>
      </c>
      <c r="X40" s="20" t="s">
        <v>76</v>
      </c>
      <c r="Y40" s="20" t="s">
        <v>76</v>
      </c>
      <c r="Z40" s="15">
        <v>17.948717948717899</v>
      </c>
      <c r="AA40" s="15">
        <v>32.110091743119298</v>
      </c>
      <c r="AB40" s="15">
        <v>23.529411764705898</v>
      </c>
      <c r="AC40" s="15">
        <v>18.939393939393899</v>
      </c>
      <c r="AD40" s="15">
        <v>18.75</v>
      </c>
      <c r="AE40" s="15">
        <v>18.518518518518501</v>
      </c>
      <c r="AF40" s="20" t="s">
        <v>76</v>
      </c>
      <c r="AG40" s="15">
        <v>20</v>
      </c>
      <c r="AH40" s="15">
        <v>14.285714285714301</v>
      </c>
      <c r="AI40" s="20" t="s">
        <v>76</v>
      </c>
      <c r="AJ40" s="15">
        <v>29.729729729729701</v>
      </c>
      <c r="AK40" s="15">
        <v>23.3333333333333</v>
      </c>
      <c r="AL40" s="15">
        <v>18.8888888888889</v>
      </c>
      <c r="AM40" s="15">
        <v>28.125</v>
      </c>
      <c r="AN40" s="20" t="s">
        <v>76</v>
      </c>
      <c r="AO40" s="15">
        <v>12.5</v>
      </c>
      <c r="AP40" s="15">
        <v>22.0779220779221</v>
      </c>
      <c r="AQ40" s="15">
        <v>30.769230769230798</v>
      </c>
      <c r="AR40" s="15">
        <v>14.545454545454501</v>
      </c>
      <c r="AS40" s="20" t="s">
        <v>76</v>
      </c>
      <c r="AT40" s="15">
        <v>29.230769230769202</v>
      </c>
      <c r="AU40" s="15">
        <v>24.4897959183673</v>
      </c>
      <c r="AV40" s="15">
        <v>12.328767123287699</v>
      </c>
      <c r="AW40" s="15">
        <v>24.137931034482801</v>
      </c>
      <c r="AX40" s="15">
        <v>37.5</v>
      </c>
      <c r="AY40" s="15">
        <v>25.714285714285701</v>
      </c>
      <c r="AZ40" s="15">
        <v>26</v>
      </c>
      <c r="BA40" s="15">
        <v>26.415094339622598</v>
      </c>
      <c r="BB40" s="15">
        <v>26.865671641791</v>
      </c>
      <c r="BC40" s="15">
        <v>24.324324324324301</v>
      </c>
      <c r="BD40" s="15">
        <v>17.948717948717899</v>
      </c>
      <c r="BE40" s="15">
        <v>27.586206896551701</v>
      </c>
      <c r="BF40" s="15">
        <v>25.3012048192771</v>
      </c>
      <c r="BG40" s="15">
        <v>22.388059701492502</v>
      </c>
      <c r="BH40" s="15">
        <v>25</v>
      </c>
      <c r="BI40" s="20" t="s">
        <v>76</v>
      </c>
      <c r="BJ40" s="15">
        <v>29.464285714285701</v>
      </c>
      <c r="BK40" s="15">
        <v>20</v>
      </c>
      <c r="BL40" s="15">
        <v>13.28125</v>
      </c>
      <c r="BM40" s="15">
        <v>10.891089108910901</v>
      </c>
      <c r="BN40" s="15">
        <v>28.571428571428601</v>
      </c>
      <c r="BO40" s="15">
        <v>28.8888888888889</v>
      </c>
      <c r="BP40" s="20" t="s">
        <v>76</v>
      </c>
      <c r="BQ40" s="15">
        <v>15.068493150684899</v>
      </c>
      <c r="BR40" s="15">
        <v>13.3333333333333</v>
      </c>
      <c r="BS40" s="15">
        <v>24.096385542168701</v>
      </c>
      <c r="BT40" s="15">
        <v>26.829268292682901</v>
      </c>
      <c r="BU40" s="15">
        <v>26.1682242990654</v>
      </c>
      <c r="BV40" s="15">
        <v>30.303030303030301</v>
      </c>
      <c r="BW40" s="15">
        <v>11.5942028985507</v>
      </c>
      <c r="BX40" s="20" t="s">
        <v>76</v>
      </c>
      <c r="BY40" s="15">
        <v>28.571428571428601</v>
      </c>
      <c r="BZ40" s="15">
        <v>19.047619047619001</v>
      </c>
      <c r="CA40" s="32">
        <v>14.7904305499072</v>
      </c>
      <c r="CB40" s="15">
        <v>10.5431309904153</v>
      </c>
      <c r="CC40" s="15">
        <v>14.4654088050314</v>
      </c>
      <c r="CD40" s="15">
        <v>7.7419354838709697</v>
      </c>
      <c r="CE40" s="20" t="s">
        <v>76</v>
      </c>
      <c r="CF40" s="15">
        <v>14.6706586826347</v>
      </c>
      <c r="CG40" s="15">
        <v>16.759776536312799</v>
      </c>
      <c r="CH40" s="15">
        <v>13.051470588235301</v>
      </c>
      <c r="CI40" s="15">
        <v>17.659137577002099</v>
      </c>
      <c r="CJ40" s="15">
        <v>21.960784313725501</v>
      </c>
      <c r="CK40" s="15">
        <v>13.452914798206301</v>
      </c>
      <c r="CL40" s="15">
        <v>15.909090909090899</v>
      </c>
      <c r="CM40" s="24">
        <v>15.203426124197</v>
      </c>
      <c r="CN40" s="37"/>
    </row>
    <row r="41" spans="1:92">
      <c r="A41" s="9" t="s">
        <v>296</v>
      </c>
      <c r="B41" s="35">
        <v>22.321807527942301</v>
      </c>
      <c r="C41" s="32">
        <v>23.361248092777501</v>
      </c>
      <c r="D41" s="32">
        <v>24.920487964455798</v>
      </c>
      <c r="E41" s="32">
        <v>28.067990453234199</v>
      </c>
      <c r="F41" s="15">
        <v>29.411764705882401</v>
      </c>
      <c r="G41" s="15">
        <v>41.176470588235297</v>
      </c>
      <c r="H41" s="15">
        <v>30.434782608695699</v>
      </c>
      <c r="I41" s="20" t="s">
        <v>76</v>
      </c>
      <c r="J41" s="15">
        <v>27.0833333333333</v>
      </c>
      <c r="K41" s="15">
        <v>30.769230769230798</v>
      </c>
      <c r="L41" s="15">
        <v>34.426229508196698</v>
      </c>
      <c r="M41" s="15">
        <v>30.2631578947368</v>
      </c>
      <c r="N41" s="15">
        <v>34.117647058823501</v>
      </c>
      <c r="O41" s="15">
        <v>34.883720930232599</v>
      </c>
      <c r="P41" s="15">
        <v>39.436619718309899</v>
      </c>
      <c r="Q41" s="15">
        <v>45.0704225352113</v>
      </c>
      <c r="R41" s="20" t="s">
        <v>76</v>
      </c>
      <c r="S41" s="15">
        <v>17.0731707317073</v>
      </c>
      <c r="T41" s="15">
        <v>18.75</v>
      </c>
      <c r="U41" s="15">
        <v>28.571428571428601</v>
      </c>
      <c r="V41" s="15">
        <v>26.470588235294102</v>
      </c>
      <c r="W41" s="15">
        <v>25.4237288135593</v>
      </c>
      <c r="X41" s="15">
        <v>38.461538461538503</v>
      </c>
      <c r="Y41" s="20" t="s">
        <v>76</v>
      </c>
      <c r="Z41" s="15">
        <v>30.769230769230798</v>
      </c>
      <c r="AA41" s="15">
        <v>22.935779816513801</v>
      </c>
      <c r="AB41" s="15">
        <v>13.235294117647101</v>
      </c>
      <c r="AC41" s="15">
        <v>21.969696969697001</v>
      </c>
      <c r="AD41" s="15">
        <v>40.625</v>
      </c>
      <c r="AE41" s="15">
        <v>37.037037037037003</v>
      </c>
      <c r="AF41" s="15">
        <v>50</v>
      </c>
      <c r="AG41" s="15">
        <v>27.619047619047599</v>
      </c>
      <c r="AH41" s="15">
        <v>25</v>
      </c>
      <c r="AI41" s="20" t="s">
        <v>76</v>
      </c>
      <c r="AJ41" s="15">
        <v>18.018018018018001</v>
      </c>
      <c r="AK41" s="15">
        <v>60</v>
      </c>
      <c r="AL41" s="15">
        <v>33.3333333333333</v>
      </c>
      <c r="AM41" s="15">
        <v>43.75</v>
      </c>
      <c r="AN41" s="20" t="s">
        <v>76</v>
      </c>
      <c r="AO41" s="15">
        <v>25</v>
      </c>
      <c r="AP41" s="15">
        <v>31.168831168831201</v>
      </c>
      <c r="AQ41" s="15">
        <v>17.948717948717899</v>
      </c>
      <c r="AR41" s="15">
        <v>20</v>
      </c>
      <c r="AS41" s="20" t="s">
        <v>76</v>
      </c>
      <c r="AT41" s="15">
        <v>26.153846153846199</v>
      </c>
      <c r="AU41" s="15">
        <v>38.775510204081598</v>
      </c>
      <c r="AV41" s="15">
        <v>6.8493150684931496</v>
      </c>
      <c r="AW41" s="15">
        <v>25.862068965517199</v>
      </c>
      <c r="AX41" s="15">
        <v>31.25</v>
      </c>
      <c r="AY41" s="15">
        <v>42.857142857142897</v>
      </c>
      <c r="AZ41" s="15">
        <v>54</v>
      </c>
      <c r="BA41" s="15">
        <v>26.415094339622598</v>
      </c>
      <c r="BB41" s="15">
        <v>23.880597014925399</v>
      </c>
      <c r="BC41" s="15">
        <v>32.4324324324324</v>
      </c>
      <c r="BD41" s="15">
        <v>26.923076923076898</v>
      </c>
      <c r="BE41" s="15">
        <v>39.655172413793103</v>
      </c>
      <c r="BF41" s="15">
        <v>22.891566265060199</v>
      </c>
      <c r="BG41" s="15">
        <v>32.835820895522403</v>
      </c>
      <c r="BH41" s="15">
        <v>29.1666666666667</v>
      </c>
      <c r="BI41" s="15">
        <v>47.368421052631597</v>
      </c>
      <c r="BJ41" s="15">
        <v>25.8928571428571</v>
      </c>
      <c r="BK41" s="15">
        <v>27.5</v>
      </c>
      <c r="BL41" s="15">
        <v>27.34375</v>
      </c>
      <c r="BM41" s="15">
        <v>41.5841584158416</v>
      </c>
      <c r="BN41" s="15">
        <v>34.453781512604998</v>
      </c>
      <c r="BO41" s="15">
        <v>26.6666666666667</v>
      </c>
      <c r="BP41" s="15">
        <v>46.6666666666667</v>
      </c>
      <c r="BQ41" s="15">
        <v>32.876712328767098</v>
      </c>
      <c r="BR41" s="15">
        <v>15</v>
      </c>
      <c r="BS41" s="15">
        <v>31.325301204819301</v>
      </c>
      <c r="BT41" s="15">
        <v>26.829268292682901</v>
      </c>
      <c r="BU41" s="15">
        <v>22.429906542056099</v>
      </c>
      <c r="BV41" s="15">
        <v>43.434343434343397</v>
      </c>
      <c r="BW41" s="15">
        <v>7.2463768115942004</v>
      </c>
      <c r="BX41" s="20" t="s">
        <v>76</v>
      </c>
      <c r="BY41" s="15">
        <v>31.746031746031701</v>
      </c>
      <c r="BZ41" s="15">
        <v>10.8843537414966</v>
      </c>
      <c r="CA41" s="32">
        <v>22.378657282917199</v>
      </c>
      <c r="CB41" s="15">
        <v>17.571884984025601</v>
      </c>
      <c r="CC41" s="15">
        <v>25.157232704402499</v>
      </c>
      <c r="CD41" s="15">
        <v>30.322580645161299</v>
      </c>
      <c r="CE41" s="20" t="s">
        <v>76</v>
      </c>
      <c r="CF41" s="15">
        <v>24.550898203592801</v>
      </c>
      <c r="CG41" s="15">
        <v>26.256983240223501</v>
      </c>
      <c r="CH41" s="15">
        <v>17.830882352941199</v>
      </c>
      <c r="CI41" s="15">
        <v>26.694045174538001</v>
      </c>
      <c r="CJ41" s="15">
        <v>25.490196078431399</v>
      </c>
      <c r="CK41" s="15">
        <v>28.699551569506699</v>
      </c>
      <c r="CL41" s="15">
        <v>22.1212121212121</v>
      </c>
      <c r="CM41" s="24">
        <v>27.837259100642399</v>
      </c>
      <c r="CN41" s="37"/>
    </row>
    <row r="42" spans="1:92">
      <c r="A42" s="9" t="s">
        <v>297</v>
      </c>
      <c r="B42" s="35">
        <v>11.439386042220599</v>
      </c>
      <c r="C42" s="32">
        <v>11.325044288168501</v>
      </c>
      <c r="D42" s="32">
        <v>11.8105638207168</v>
      </c>
      <c r="E42" s="32">
        <v>13.8396814019851</v>
      </c>
      <c r="F42" s="20" t="s">
        <v>76</v>
      </c>
      <c r="G42" s="15">
        <v>41.176470588235297</v>
      </c>
      <c r="H42" s="20" t="s">
        <v>76</v>
      </c>
      <c r="I42" s="20" t="s">
        <v>76</v>
      </c>
      <c r="J42" s="15">
        <v>14.5833333333333</v>
      </c>
      <c r="K42" s="15">
        <v>20.5128205128205</v>
      </c>
      <c r="L42" s="15">
        <v>14.7540983606557</v>
      </c>
      <c r="M42" s="15">
        <v>13.157894736842101</v>
      </c>
      <c r="N42" s="15">
        <v>14.117647058823501</v>
      </c>
      <c r="O42" s="15">
        <v>16.2790697674419</v>
      </c>
      <c r="P42" s="15">
        <v>11.2676056338028</v>
      </c>
      <c r="Q42" s="15">
        <v>11.2676056338028</v>
      </c>
      <c r="R42" s="20" t="s">
        <v>76</v>
      </c>
      <c r="S42" s="15">
        <v>12.1951219512195</v>
      </c>
      <c r="T42" s="20" t="s">
        <v>76</v>
      </c>
      <c r="U42" s="20" t="s">
        <v>76</v>
      </c>
      <c r="V42" s="15">
        <v>17.647058823529399</v>
      </c>
      <c r="W42" s="15">
        <v>13.559322033898299</v>
      </c>
      <c r="X42" s="20" t="s">
        <v>76</v>
      </c>
      <c r="Y42" s="20" t="s">
        <v>76</v>
      </c>
      <c r="Z42" s="15">
        <v>8.9743589743589691</v>
      </c>
      <c r="AA42" s="15">
        <v>20.183486238532101</v>
      </c>
      <c r="AB42" s="15">
        <v>25</v>
      </c>
      <c r="AC42" s="15">
        <v>15.1515151515152</v>
      </c>
      <c r="AD42" s="20" t="s">
        <v>76</v>
      </c>
      <c r="AE42" s="15">
        <v>18.518518518518501</v>
      </c>
      <c r="AF42" s="15">
        <v>42.857142857142897</v>
      </c>
      <c r="AG42" s="15">
        <v>6.6666666666666696</v>
      </c>
      <c r="AH42" s="20" t="s">
        <v>76</v>
      </c>
      <c r="AI42" s="20" t="s">
        <v>76</v>
      </c>
      <c r="AJ42" s="15">
        <v>12.612612612612599</v>
      </c>
      <c r="AK42" s="15">
        <v>30</v>
      </c>
      <c r="AL42" s="15">
        <v>8.8888888888888893</v>
      </c>
      <c r="AM42" s="15">
        <v>10.9375</v>
      </c>
      <c r="AN42" s="20" t="s">
        <v>76</v>
      </c>
      <c r="AO42" s="20" t="s">
        <v>76</v>
      </c>
      <c r="AP42" s="15">
        <v>10.3896103896104</v>
      </c>
      <c r="AQ42" s="15">
        <v>15.384615384615399</v>
      </c>
      <c r="AR42" s="15">
        <v>20</v>
      </c>
      <c r="AS42" s="20" t="s">
        <v>76</v>
      </c>
      <c r="AT42" s="15">
        <v>18.461538461538499</v>
      </c>
      <c r="AU42" s="15">
        <v>14.285714285714301</v>
      </c>
      <c r="AV42" s="20" t="s">
        <v>76</v>
      </c>
      <c r="AW42" s="15">
        <v>12.9310344827586</v>
      </c>
      <c r="AX42" s="20" t="s">
        <v>76</v>
      </c>
      <c r="AY42" s="20" t="s">
        <v>76</v>
      </c>
      <c r="AZ42" s="15">
        <v>26</v>
      </c>
      <c r="BA42" s="20" t="s">
        <v>76</v>
      </c>
      <c r="BB42" s="15">
        <v>8.9552238805970106</v>
      </c>
      <c r="BC42" s="15">
        <v>10.8108108108108</v>
      </c>
      <c r="BD42" s="15">
        <v>11.538461538461499</v>
      </c>
      <c r="BE42" s="15">
        <v>20.689655172413801</v>
      </c>
      <c r="BF42" s="15">
        <v>14.4578313253012</v>
      </c>
      <c r="BG42" s="15">
        <v>13.4328358208955</v>
      </c>
      <c r="BH42" s="15">
        <v>20.8333333333333</v>
      </c>
      <c r="BI42" s="20" t="s">
        <v>76</v>
      </c>
      <c r="BJ42" s="15">
        <v>11.6071428571429</v>
      </c>
      <c r="BK42" s="15">
        <v>12.5</v>
      </c>
      <c r="BL42" s="15">
        <v>11.71875</v>
      </c>
      <c r="BM42" s="15">
        <v>13.8613861386139</v>
      </c>
      <c r="BN42" s="15">
        <v>16.806722689075599</v>
      </c>
      <c r="BO42" s="15">
        <v>16.6666666666667</v>
      </c>
      <c r="BP42" s="15">
        <v>33.3333333333333</v>
      </c>
      <c r="BQ42" s="15">
        <v>13.698630136986299</v>
      </c>
      <c r="BR42" s="15">
        <v>18.3333333333333</v>
      </c>
      <c r="BS42" s="15">
        <v>19.277108433734899</v>
      </c>
      <c r="BT42" s="15">
        <v>9.7560975609756095</v>
      </c>
      <c r="BU42" s="15">
        <v>12.1495327102804</v>
      </c>
      <c r="BV42" s="15">
        <v>24.2424242424242</v>
      </c>
      <c r="BW42" s="20" t="s">
        <v>76</v>
      </c>
      <c r="BX42" s="20" t="s">
        <v>76</v>
      </c>
      <c r="BY42" s="15">
        <v>7.9365079365079403</v>
      </c>
      <c r="BZ42" s="15">
        <v>15.6462585034014</v>
      </c>
      <c r="CA42" s="32">
        <v>10.171907983936499</v>
      </c>
      <c r="CB42" s="15">
        <v>7.9872204472843498</v>
      </c>
      <c r="CC42" s="15">
        <v>7.5471698113207504</v>
      </c>
      <c r="CD42" s="15">
        <v>8.3870967741935498</v>
      </c>
      <c r="CE42" s="20" t="s">
        <v>76</v>
      </c>
      <c r="CF42" s="15">
        <v>9.8802395209580904</v>
      </c>
      <c r="CG42" s="15">
        <v>14.525139664804501</v>
      </c>
      <c r="CH42" s="15">
        <v>9.5588235294117592</v>
      </c>
      <c r="CI42" s="15">
        <v>12.5256673511294</v>
      </c>
      <c r="CJ42" s="15">
        <v>17.254901960784299</v>
      </c>
      <c r="CK42" s="15">
        <v>12.556053811659201</v>
      </c>
      <c r="CL42" s="15">
        <v>10.7575757575758</v>
      </c>
      <c r="CM42" s="24">
        <v>8.3511777301927204</v>
      </c>
      <c r="CN42" s="37"/>
    </row>
    <row r="43" spans="1:92">
      <c r="A43" s="9" t="s">
        <v>298</v>
      </c>
      <c r="B43" s="35">
        <v>21.495499806940298</v>
      </c>
      <c r="C43" s="32">
        <v>24.2023574079975</v>
      </c>
      <c r="D43" s="32">
        <v>26.408890992715001</v>
      </c>
      <c r="E43" s="32">
        <v>28.8802713466002</v>
      </c>
      <c r="F43" s="15">
        <v>41.176470588235297</v>
      </c>
      <c r="G43" s="20" t="s">
        <v>76</v>
      </c>
      <c r="H43" s="20" t="s">
        <v>76</v>
      </c>
      <c r="I43" s="20" t="s">
        <v>76</v>
      </c>
      <c r="J43" s="15">
        <v>22.2222222222222</v>
      </c>
      <c r="K43" s="15">
        <v>35.897435897435898</v>
      </c>
      <c r="L43" s="15">
        <v>32.786885245901601</v>
      </c>
      <c r="M43" s="15">
        <v>35.526315789473699</v>
      </c>
      <c r="N43" s="15">
        <v>44.705882352941202</v>
      </c>
      <c r="O43" s="15">
        <v>23.255813953488399</v>
      </c>
      <c r="P43" s="15">
        <v>25.352112676056301</v>
      </c>
      <c r="Q43" s="15">
        <v>26.760563380281699</v>
      </c>
      <c r="R43" s="20" t="s">
        <v>76</v>
      </c>
      <c r="S43" s="15">
        <v>31.707317073170699</v>
      </c>
      <c r="T43" s="15">
        <v>20.8333333333333</v>
      </c>
      <c r="U43" s="15">
        <v>23.8095238095238</v>
      </c>
      <c r="V43" s="15">
        <v>32.352941176470601</v>
      </c>
      <c r="W43" s="15">
        <v>23.728813559321999</v>
      </c>
      <c r="X43" s="20" t="s">
        <v>76</v>
      </c>
      <c r="Y43" s="20" t="s">
        <v>76</v>
      </c>
      <c r="Z43" s="15">
        <v>20.5128205128205</v>
      </c>
      <c r="AA43" s="15">
        <v>34.862385321100902</v>
      </c>
      <c r="AB43" s="15">
        <v>26.470588235294102</v>
      </c>
      <c r="AC43" s="15">
        <v>25.7575757575758</v>
      </c>
      <c r="AD43" s="15">
        <v>50</v>
      </c>
      <c r="AE43" s="15">
        <v>37.037037037037003</v>
      </c>
      <c r="AF43" s="15">
        <v>50</v>
      </c>
      <c r="AG43" s="15">
        <v>21.904761904761902</v>
      </c>
      <c r="AH43" s="15">
        <v>21.428571428571399</v>
      </c>
      <c r="AI43" s="20" t="s">
        <v>76</v>
      </c>
      <c r="AJ43" s="15">
        <v>23.423423423423401</v>
      </c>
      <c r="AK43" s="15">
        <v>50</v>
      </c>
      <c r="AL43" s="15">
        <v>22.2222222222222</v>
      </c>
      <c r="AM43" s="15">
        <v>37.5</v>
      </c>
      <c r="AN43" s="20" t="s">
        <v>76</v>
      </c>
      <c r="AO43" s="15">
        <v>27.5</v>
      </c>
      <c r="AP43" s="15">
        <v>33.766233766233803</v>
      </c>
      <c r="AQ43" s="15">
        <v>12.8205128205128</v>
      </c>
      <c r="AR43" s="15">
        <v>20</v>
      </c>
      <c r="AS43" s="15">
        <v>45.454545454545503</v>
      </c>
      <c r="AT43" s="15">
        <v>36.923076923076898</v>
      </c>
      <c r="AU43" s="15">
        <v>44.8979591836735</v>
      </c>
      <c r="AV43" s="15">
        <v>23.287671232876701</v>
      </c>
      <c r="AW43" s="15">
        <v>20.689655172413801</v>
      </c>
      <c r="AX43" s="15">
        <v>37.5</v>
      </c>
      <c r="AY43" s="15">
        <v>34.285714285714299</v>
      </c>
      <c r="AZ43" s="15">
        <v>38</v>
      </c>
      <c r="BA43" s="15">
        <v>28.301886792452802</v>
      </c>
      <c r="BB43" s="15">
        <v>53.731343283582099</v>
      </c>
      <c r="BC43" s="15">
        <v>31.081081081081098</v>
      </c>
      <c r="BD43" s="15">
        <v>26.923076923076898</v>
      </c>
      <c r="BE43" s="15">
        <v>18.965517241379299</v>
      </c>
      <c r="BF43" s="15">
        <v>31.325301204819301</v>
      </c>
      <c r="BG43" s="15">
        <v>20.8955223880597</v>
      </c>
      <c r="BH43" s="15">
        <v>33.3333333333333</v>
      </c>
      <c r="BI43" s="20" t="s">
        <v>76</v>
      </c>
      <c r="BJ43" s="15">
        <v>32.142857142857103</v>
      </c>
      <c r="BK43" s="15">
        <v>32.5</v>
      </c>
      <c r="BL43" s="15">
        <v>29.6875</v>
      </c>
      <c r="BM43" s="15">
        <v>38.613861386138602</v>
      </c>
      <c r="BN43" s="15">
        <v>31.932773109243701</v>
      </c>
      <c r="BO43" s="15">
        <v>18.8888888888889</v>
      </c>
      <c r="BP43" s="15">
        <v>40</v>
      </c>
      <c r="BQ43" s="15">
        <v>42.4657534246575</v>
      </c>
      <c r="BR43" s="15">
        <v>36.6666666666667</v>
      </c>
      <c r="BS43" s="15">
        <v>27.710843373494001</v>
      </c>
      <c r="BT43" s="15">
        <v>25.609756097561</v>
      </c>
      <c r="BU43" s="15">
        <v>36.448598130841098</v>
      </c>
      <c r="BV43" s="15">
        <v>38.383838383838402</v>
      </c>
      <c r="BW43" s="15">
        <v>11.5942028985507</v>
      </c>
      <c r="BX43" s="20" t="s">
        <v>76</v>
      </c>
      <c r="BY43" s="15">
        <v>28.571428571428601</v>
      </c>
      <c r="BZ43" s="15">
        <v>19.727891156462601</v>
      </c>
      <c r="CA43" s="32">
        <v>24.4130767140438</v>
      </c>
      <c r="CB43" s="15">
        <v>19.169329073482398</v>
      </c>
      <c r="CC43" s="15">
        <v>19.811320754716998</v>
      </c>
      <c r="CD43" s="15">
        <v>31.612903225806502</v>
      </c>
      <c r="CE43" s="20" t="s">
        <v>76</v>
      </c>
      <c r="CF43" s="15">
        <v>18.862275449101801</v>
      </c>
      <c r="CG43" s="15">
        <v>16.759776536312799</v>
      </c>
      <c r="CH43" s="15">
        <v>25.919117647058801</v>
      </c>
      <c r="CI43" s="15">
        <v>27.720739219712499</v>
      </c>
      <c r="CJ43" s="15">
        <v>21.568627450980401</v>
      </c>
      <c r="CK43" s="15">
        <v>26.457399103139</v>
      </c>
      <c r="CL43" s="15">
        <v>29.848484848484901</v>
      </c>
      <c r="CM43" s="24">
        <v>34.475374732333997</v>
      </c>
      <c r="CN43" s="37"/>
    </row>
    <row r="44" spans="1:92">
      <c r="A44" s="9" t="s">
        <v>299</v>
      </c>
      <c r="B44" s="35">
        <v>36.960989177524603</v>
      </c>
      <c r="C44" s="32">
        <v>37.856600622986399</v>
      </c>
      <c r="D44" s="32">
        <v>38.921471647242299</v>
      </c>
      <c r="E44" s="32">
        <v>46.022256487047997</v>
      </c>
      <c r="F44" s="15">
        <v>41.176470588235297</v>
      </c>
      <c r="G44" s="15">
        <v>35.294117647058798</v>
      </c>
      <c r="H44" s="15">
        <v>56.521739130434803</v>
      </c>
      <c r="I44" s="15">
        <v>60</v>
      </c>
      <c r="J44" s="15">
        <v>49.3055555555556</v>
      </c>
      <c r="K44" s="15">
        <v>33.3333333333333</v>
      </c>
      <c r="L44" s="15">
        <v>40.983606557377101</v>
      </c>
      <c r="M44" s="15">
        <v>46.052631578947398</v>
      </c>
      <c r="N44" s="15">
        <v>43.529411764705898</v>
      </c>
      <c r="O44" s="15">
        <v>55.8139534883721</v>
      </c>
      <c r="P44" s="15">
        <v>52.112676056338003</v>
      </c>
      <c r="Q44" s="15">
        <v>60.563380281690101</v>
      </c>
      <c r="R44" s="15">
        <v>26.923076923076898</v>
      </c>
      <c r="S44" s="15">
        <v>34.146341463414601</v>
      </c>
      <c r="T44" s="15">
        <v>35.4166666666667</v>
      </c>
      <c r="U44" s="15">
        <v>38.095238095238102</v>
      </c>
      <c r="V44" s="15">
        <v>41.176470588235297</v>
      </c>
      <c r="W44" s="15">
        <v>35.593220338983102</v>
      </c>
      <c r="X44" s="15">
        <v>38.461538461538503</v>
      </c>
      <c r="Y44" s="15">
        <v>62.5</v>
      </c>
      <c r="Z44" s="15">
        <v>37.179487179487197</v>
      </c>
      <c r="AA44" s="15">
        <v>42.201834862385297</v>
      </c>
      <c r="AB44" s="15">
        <v>47.058823529411796</v>
      </c>
      <c r="AC44" s="15">
        <v>39.393939393939398</v>
      </c>
      <c r="AD44" s="15">
        <v>34.375</v>
      </c>
      <c r="AE44" s="15">
        <v>40.740740740740698</v>
      </c>
      <c r="AF44" s="15">
        <v>50</v>
      </c>
      <c r="AG44" s="15">
        <v>43.809523809523803</v>
      </c>
      <c r="AH44" s="15">
        <v>35.714285714285701</v>
      </c>
      <c r="AI44" s="20" t="s">
        <v>76</v>
      </c>
      <c r="AJ44" s="15">
        <v>37.837837837837803</v>
      </c>
      <c r="AK44" s="15">
        <v>63.3333333333333</v>
      </c>
      <c r="AL44" s="15">
        <v>35.5555555555556</v>
      </c>
      <c r="AM44" s="15">
        <v>56.25</v>
      </c>
      <c r="AN44" s="20" t="s">
        <v>76</v>
      </c>
      <c r="AO44" s="15">
        <v>35</v>
      </c>
      <c r="AP44" s="15">
        <v>45.454545454545503</v>
      </c>
      <c r="AQ44" s="15">
        <v>56.410256410256402</v>
      </c>
      <c r="AR44" s="15">
        <v>29.090909090909101</v>
      </c>
      <c r="AS44" s="20" t="s">
        <v>76</v>
      </c>
      <c r="AT44" s="15">
        <v>46.153846153846203</v>
      </c>
      <c r="AU44" s="15">
        <v>55.1020408163265</v>
      </c>
      <c r="AV44" s="15">
        <v>28.7671232876712</v>
      </c>
      <c r="AW44" s="15">
        <v>55.172413793103502</v>
      </c>
      <c r="AX44" s="15">
        <v>75</v>
      </c>
      <c r="AY44" s="15">
        <v>42.857142857142897</v>
      </c>
      <c r="AZ44" s="15">
        <v>78</v>
      </c>
      <c r="BA44" s="15">
        <v>52.830188679245303</v>
      </c>
      <c r="BB44" s="15">
        <v>58.208955223880601</v>
      </c>
      <c r="BC44" s="15">
        <v>41.891891891891902</v>
      </c>
      <c r="BD44" s="15">
        <v>34.615384615384599</v>
      </c>
      <c r="BE44" s="15">
        <v>74.137931034482804</v>
      </c>
      <c r="BF44" s="15">
        <v>55.421686746988001</v>
      </c>
      <c r="BG44" s="15">
        <v>40.298507462686601</v>
      </c>
      <c r="BH44" s="15">
        <v>29.1666666666667</v>
      </c>
      <c r="BI44" s="15">
        <v>47.368421052631597</v>
      </c>
      <c r="BJ44" s="15">
        <v>49.107142857142897</v>
      </c>
      <c r="BK44" s="15">
        <v>47.5</v>
      </c>
      <c r="BL44" s="15">
        <v>53.90625</v>
      </c>
      <c r="BM44" s="15">
        <v>55.445544554455402</v>
      </c>
      <c r="BN44" s="15">
        <v>49.579831932773097</v>
      </c>
      <c r="BO44" s="15">
        <v>42.2222222222222</v>
      </c>
      <c r="BP44" s="15">
        <v>73.3333333333333</v>
      </c>
      <c r="BQ44" s="15">
        <v>46.575342465753401</v>
      </c>
      <c r="BR44" s="15">
        <v>33.3333333333333</v>
      </c>
      <c r="BS44" s="15">
        <v>51.807228915662698</v>
      </c>
      <c r="BT44" s="15">
        <v>52.439024390243901</v>
      </c>
      <c r="BU44" s="15">
        <v>50.467289719626201</v>
      </c>
      <c r="BV44" s="15">
        <v>69.696969696969703</v>
      </c>
      <c r="BW44" s="15">
        <v>28.985507246376802</v>
      </c>
      <c r="BX44" s="15">
        <v>66.6666666666667</v>
      </c>
      <c r="BY44" s="15">
        <v>33.3333333333333</v>
      </c>
      <c r="BZ44" s="15">
        <v>39.455782312925201</v>
      </c>
      <c r="CA44" s="32">
        <v>33.187086104046799</v>
      </c>
      <c r="CB44" s="15">
        <v>28.434504792332302</v>
      </c>
      <c r="CC44" s="15">
        <v>38.679245283018901</v>
      </c>
      <c r="CD44" s="15">
        <v>43.225806451612897</v>
      </c>
      <c r="CE44" s="20" t="s">
        <v>76</v>
      </c>
      <c r="CF44" s="15">
        <v>32.934131736527</v>
      </c>
      <c r="CG44" s="15">
        <v>34.078212290502798</v>
      </c>
      <c r="CH44" s="15">
        <v>32.169117647058798</v>
      </c>
      <c r="CI44" s="15">
        <v>33.059548254620097</v>
      </c>
      <c r="CJ44" s="15">
        <v>35.686274509803901</v>
      </c>
      <c r="CK44" s="15">
        <v>34.977578475336301</v>
      </c>
      <c r="CL44" s="15">
        <v>33.636363636363598</v>
      </c>
      <c r="CM44" s="24">
        <v>40.899357601713099</v>
      </c>
      <c r="CN44" s="37"/>
    </row>
    <row r="45" spans="1:92">
      <c r="A45" s="9" t="s">
        <v>300</v>
      </c>
      <c r="B45" s="35">
        <v>11.9713357810746</v>
      </c>
      <c r="C45" s="32">
        <v>12.0650803416504</v>
      </c>
      <c r="D45" s="32">
        <v>11.318987962097699</v>
      </c>
      <c r="E45" s="32">
        <v>14.045897759901999</v>
      </c>
      <c r="F45" s="20" t="s">
        <v>76</v>
      </c>
      <c r="G45" s="15">
        <v>35.294117647058798</v>
      </c>
      <c r="H45" s="20" t="s">
        <v>76</v>
      </c>
      <c r="I45" s="20" t="s">
        <v>76</v>
      </c>
      <c r="J45" s="15">
        <v>13.1944444444444</v>
      </c>
      <c r="K45" s="20" t="s">
        <v>76</v>
      </c>
      <c r="L45" s="15">
        <v>14.7540983606557</v>
      </c>
      <c r="M45" s="15">
        <v>18.421052631578899</v>
      </c>
      <c r="N45" s="15">
        <v>17.647058823529399</v>
      </c>
      <c r="O45" s="15">
        <v>11.6279069767442</v>
      </c>
      <c r="P45" s="15">
        <v>15.492957746478901</v>
      </c>
      <c r="Q45" s="15">
        <v>15.492957746478901</v>
      </c>
      <c r="R45" s="20" t="s">
        <v>76</v>
      </c>
      <c r="S45" s="15">
        <v>12.1951219512195</v>
      </c>
      <c r="T45" s="15">
        <v>14.5833333333333</v>
      </c>
      <c r="U45" s="20" t="s">
        <v>76</v>
      </c>
      <c r="V45" s="20" t="s">
        <v>76</v>
      </c>
      <c r="W45" s="15">
        <v>16.9491525423729</v>
      </c>
      <c r="X45" s="20" t="s">
        <v>76</v>
      </c>
      <c r="Y45" s="20" t="s">
        <v>76</v>
      </c>
      <c r="Z45" s="15">
        <v>12.8205128205128</v>
      </c>
      <c r="AA45" s="15">
        <v>25.688073394495401</v>
      </c>
      <c r="AB45" s="15">
        <v>19.117647058823501</v>
      </c>
      <c r="AC45" s="15">
        <v>15.1515151515152</v>
      </c>
      <c r="AD45" s="20" t="s">
        <v>76</v>
      </c>
      <c r="AE45" s="20" t="s">
        <v>76</v>
      </c>
      <c r="AF45" s="15">
        <v>42.857142857142897</v>
      </c>
      <c r="AG45" s="15">
        <v>7.6190476190476204</v>
      </c>
      <c r="AH45" s="20" t="s">
        <v>76</v>
      </c>
      <c r="AI45" s="20" t="s">
        <v>76</v>
      </c>
      <c r="AJ45" s="15">
        <v>16.2162162162162</v>
      </c>
      <c r="AK45" s="15">
        <v>16.6666666666667</v>
      </c>
      <c r="AL45" s="15">
        <v>13.3333333333333</v>
      </c>
      <c r="AM45" s="15">
        <v>15.625</v>
      </c>
      <c r="AN45" s="20" t="s">
        <v>76</v>
      </c>
      <c r="AO45" s="20" t="s">
        <v>76</v>
      </c>
      <c r="AP45" s="15">
        <v>16.883116883116902</v>
      </c>
      <c r="AQ45" s="15">
        <v>17.948717948717899</v>
      </c>
      <c r="AR45" s="15">
        <v>20</v>
      </c>
      <c r="AS45" s="20" t="s">
        <v>76</v>
      </c>
      <c r="AT45" s="15">
        <v>16.923076923076898</v>
      </c>
      <c r="AU45" s="15">
        <v>14.285714285714301</v>
      </c>
      <c r="AV45" s="20" t="s">
        <v>76</v>
      </c>
      <c r="AW45" s="15">
        <v>17.241379310344801</v>
      </c>
      <c r="AX45" s="20" t="s">
        <v>76</v>
      </c>
      <c r="AY45" s="15">
        <v>20</v>
      </c>
      <c r="AZ45" s="15">
        <v>18</v>
      </c>
      <c r="BA45" s="15">
        <v>13.207547169811299</v>
      </c>
      <c r="BB45" s="15">
        <v>7.4626865671641802</v>
      </c>
      <c r="BC45" s="15">
        <v>13.5135135135135</v>
      </c>
      <c r="BD45" s="15">
        <v>14.1025641025641</v>
      </c>
      <c r="BE45" s="15">
        <v>13.7931034482759</v>
      </c>
      <c r="BF45" s="15">
        <v>15.662650602409601</v>
      </c>
      <c r="BG45" s="15">
        <v>13.4328358208955</v>
      </c>
      <c r="BH45" s="15">
        <v>20.8333333333333</v>
      </c>
      <c r="BI45" s="20" t="s">
        <v>76</v>
      </c>
      <c r="BJ45" s="15">
        <v>12.5</v>
      </c>
      <c r="BK45" s="20" t="s">
        <v>76</v>
      </c>
      <c r="BL45" s="15">
        <v>9.375</v>
      </c>
      <c r="BM45" s="15">
        <v>12.8712871287129</v>
      </c>
      <c r="BN45" s="15">
        <v>13.445378151260501</v>
      </c>
      <c r="BO45" s="15">
        <v>11.1111111111111</v>
      </c>
      <c r="BP45" s="20" t="s">
        <v>76</v>
      </c>
      <c r="BQ45" s="15">
        <v>9.5890410958904102</v>
      </c>
      <c r="BR45" s="20" t="s">
        <v>76</v>
      </c>
      <c r="BS45" s="15">
        <v>19.277108433734899</v>
      </c>
      <c r="BT45" s="15">
        <v>18.292682926829301</v>
      </c>
      <c r="BU45" s="15">
        <v>17.757009345794401</v>
      </c>
      <c r="BV45" s="15">
        <v>22.2222222222222</v>
      </c>
      <c r="BW45" s="20" t="s">
        <v>76</v>
      </c>
      <c r="BX45" s="20" t="s">
        <v>76</v>
      </c>
      <c r="BY45" s="15">
        <v>14.285714285714301</v>
      </c>
      <c r="BZ45" s="15">
        <v>9.5238095238095202</v>
      </c>
      <c r="CA45" s="32">
        <v>9.1168156001824006</v>
      </c>
      <c r="CB45" s="15">
        <v>7.3482428115016001</v>
      </c>
      <c r="CC45" s="15">
        <v>9.7484276729559696</v>
      </c>
      <c r="CD45" s="15">
        <v>7.7419354838709697</v>
      </c>
      <c r="CE45" s="20" t="s">
        <v>76</v>
      </c>
      <c r="CF45" s="15">
        <v>11.0778443113772</v>
      </c>
      <c r="CG45" s="15">
        <v>16.759776536312799</v>
      </c>
      <c r="CH45" s="15">
        <v>7.5367647058823497</v>
      </c>
      <c r="CI45" s="15">
        <v>9.2402464065708401</v>
      </c>
      <c r="CJ45" s="15">
        <v>10.1960784313726</v>
      </c>
      <c r="CK45" s="15">
        <v>9.8654708520179408</v>
      </c>
      <c r="CL45" s="15">
        <v>10.303030303030299</v>
      </c>
      <c r="CM45" s="24">
        <v>8.9935760171306196</v>
      </c>
      <c r="CN45" s="37"/>
    </row>
    <row r="46" spans="1:92">
      <c r="A46" s="9" t="s">
        <v>301</v>
      </c>
      <c r="B46" s="35">
        <v>23.372055116721601</v>
      </c>
      <c r="C46" s="32">
        <v>23.6097667571666</v>
      </c>
      <c r="D46" s="32">
        <v>22.3643456103052</v>
      </c>
      <c r="E46" s="32">
        <v>28.3261266590996</v>
      </c>
      <c r="F46" s="15">
        <v>47.058823529411796</v>
      </c>
      <c r="G46" s="15">
        <v>35.294117647058798</v>
      </c>
      <c r="H46" s="15">
        <v>34.7826086956522</v>
      </c>
      <c r="I46" s="15">
        <v>50</v>
      </c>
      <c r="J46" s="15">
        <v>36.8055555555556</v>
      </c>
      <c r="K46" s="15">
        <v>28.205128205128201</v>
      </c>
      <c r="L46" s="15">
        <v>36.065573770491802</v>
      </c>
      <c r="M46" s="15">
        <v>27.6315789473684</v>
      </c>
      <c r="N46" s="15">
        <v>32.941176470588204</v>
      </c>
      <c r="O46" s="15">
        <v>34.883720930232599</v>
      </c>
      <c r="P46" s="15">
        <v>29.577464788732399</v>
      </c>
      <c r="Q46" s="15">
        <v>29.577464788732399</v>
      </c>
      <c r="R46" s="15">
        <v>23.076923076923102</v>
      </c>
      <c r="S46" s="15">
        <v>31.707317073170699</v>
      </c>
      <c r="T46" s="15">
        <v>18.75</v>
      </c>
      <c r="U46" s="15">
        <v>33.3333333333333</v>
      </c>
      <c r="V46" s="15">
        <v>29.411764705882401</v>
      </c>
      <c r="W46" s="15">
        <v>28.8135593220339</v>
      </c>
      <c r="X46" s="20" t="s">
        <v>76</v>
      </c>
      <c r="Y46" s="20" t="s">
        <v>76</v>
      </c>
      <c r="Z46" s="15">
        <v>26.923076923076898</v>
      </c>
      <c r="AA46" s="15">
        <v>39.449541284403701</v>
      </c>
      <c r="AB46" s="15">
        <v>29.411764705882401</v>
      </c>
      <c r="AC46" s="15">
        <v>27.272727272727298</v>
      </c>
      <c r="AD46" s="15">
        <v>43.75</v>
      </c>
      <c r="AE46" s="20" t="s">
        <v>76</v>
      </c>
      <c r="AF46" s="20" t="s">
        <v>76</v>
      </c>
      <c r="AG46" s="15">
        <v>23.8095238095238</v>
      </c>
      <c r="AH46" s="20" t="s">
        <v>76</v>
      </c>
      <c r="AI46" s="20" t="s">
        <v>76</v>
      </c>
      <c r="AJ46" s="15">
        <v>32.4324324324324</v>
      </c>
      <c r="AK46" s="15">
        <v>26.6666666666667</v>
      </c>
      <c r="AL46" s="15">
        <v>25.5555555555556</v>
      </c>
      <c r="AM46" s="15">
        <v>32.8125</v>
      </c>
      <c r="AN46" s="20" t="s">
        <v>76</v>
      </c>
      <c r="AO46" s="20" t="s">
        <v>76</v>
      </c>
      <c r="AP46" s="15">
        <v>24.675324675324699</v>
      </c>
      <c r="AQ46" s="15">
        <v>20.5128205128205</v>
      </c>
      <c r="AR46" s="15">
        <v>25.454545454545499</v>
      </c>
      <c r="AS46" s="20" t="s">
        <v>76</v>
      </c>
      <c r="AT46" s="15">
        <v>27.692307692307701</v>
      </c>
      <c r="AU46" s="15">
        <v>34.6938775510204</v>
      </c>
      <c r="AV46" s="15">
        <v>21.917808219178099</v>
      </c>
      <c r="AW46" s="15">
        <v>27.586206896551701</v>
      </c>
      <c r="AX46" s="15">
        <v>37.5</v>
      </c>
      <c r="AY46" s="15">
        <v>37.142857142857103</v>
      </c>
      <c r="AZ46" s="15">
        <v>36</v>
      </c>
      <c r="BA46" s="15">
        <v>26.415094339622598</v>
      </c>
      <c r="BB46" s="15">
        <v>35.820895522388099</v>
      </c>
      <c r="BC46" s="15">
        <v>31.081081081081098</v>
      </c>
      <c r="BD46" s="15">
        <v>24.3589743589744</v>
      </c>
      <c r="BE46" s="15">
        <v>27.586206896551701</v>
      </c>
      <c r="BF46" s="15">
        <v>30.120481927710799</v>
      </c>
      <c r="BG46" s="15">
        <v>28.358208955223901</v>
      </c>
      <c r="BH46" s="15">
        <v>29.1666666666667</v>
      </c>
      <c r="BI46" s="15">
        <v>31.578947368421101</v>
      </c>
      <c r="BJ46" s="15">
        <v>24.1071428571429</v>
      </c>
      <c r="BK46" s="20" t="s">
        <v>76</v>
      </c>
      <c r="BL46" s="15">
        <v>21.09375</v>
      </c>
      <c r="BM46" s="15">
        <v>28.712871287128699</v>
      </c>
      <c r="BN46" s="15">
        <v>29.411764705882401</v>
      </c>
      <c r="BO46" s="15">
        <v>36.6666666666667</v>
      </c>
      <c r="BP46" s="15">
        <v>40</v>
      </c>
      <c r="BQ46" s="15">
        <v>21.917808219178099</v>
      </c>
      <c r="BR46" s="15">
        <v>18.3333333333333</v>
      </c>
      <c r="BS46" s="15">
        <v>33.734939759036102</v>
      </c>
      <c r="BT46" s="15">
        <v>31.707317073170699</v>
      </c>
      <c r="BU46" s="15">
        <v>35.514018691588802</v>
      </c>
      <c r="BV46" s="15">
        <v>39.393939393939398</v>
      </c>
      <c r="BW46" s="15">
        <v>13.0434782608696</v>
      </c>
      <c r="BX46" s="20" t="s">
        <v>76</v>
      </c>
      <c r="BY46" s="15">
        <v>26.984126984126998</v>
      </c>
      <c r="BZ46" s="15">
        <v>29.251700680272101</v>
      </c>
      <c r="CA46" s="32">
        <v>17.549786117352099</v>
      </c>
      <c r="CB46" s="15">
        <v>15.015974440894601</v>
      </c>
      <c r="CC46" s="15">
        <v>17.295597484276701</v>
      </c>
      <c r="CD46" s="15">
        <v>15.4838709677419</v>
      </c>
      <c r="CE46" s="20" t="s">
        <v>76</v>
      </c>
      <c r="CF46" s="15">
        <v>19.161676646706599</v>
      </c>
      <c r="CG46" s="15">
        <v>25.698324022346402</v>
      </c>
      <c r="CH46" s="15">
        <v>15.4411764705882</v>
      </c>
      <c r="CI46" s="15">
        <v>18.480492813141701</v>
      </c>
      <c r="CJ46" s="15">
        <v>22.352941176470601</v>
      </c>
      <c r="CK46" s="15">
        <v>19.282511210762301</v>
      </c>
      <c r="CL46" s="15">
        <v>16.818181818181799</v>
      </c>
      <c r="CM46" s="24">
        <v>19.9143468950749</v>
      </c>
      <c r="CN46" s="37"/>
    </row>
    <row r="47" spans="1:92">
      <c r="A47" s="9" t="s">
        <v>302</v>
      </c>
      <c r="B47" s="35">
        <v>20.858055729713801</v>
      </c>
      <c r="C47" s="32">
        <v>21.127006742747199</v>
      </c>
      <c r="D47" s="32">
        <v>22.088297359953099</v>
      </c>
      <c r="E47" s="32">
        <v>22.941359952508702</v>
      </c>
      <c r="F47" s="15">
        <v>29.411764705882401</v>
      </c>
      <c r="G47" s="15">
        <v>47.058823529411796</v>
      </c>
      <c r="H47" s="20" t="s">
        <v>76</v>
      </c>
      <c r="I47" s="20" t="s">
        <v>76</v>
      </c>
      <c r="J47" s="15">
        <v>22.9166666666667</v>
      </c>
      <c r="K47" s="15">
        <v>17.948717948717899</v>
      </c>
      <c r="L47" s="15">
        <v>24.590163934426201</v>
      </c>
      <c r="M47" s="15">
        <v>31.578947368421101</v>
      </c>
      <c r="N47" s="15">
        <v>30.588235294117599</v>
      </c>
      <c r="O47" s="15">
        <v>27.906976744186</v>
      </c>
      <c r="P47" s="15">
        <v>15.492957746478901</v>
      </c>
      <c r="Q47" s="15">
        <v>22.5352112676056</v>
      </c>
      <c r="R47" s="20" t="s">
        <v>76</v>
      </c>
      <c r="S47" s="15">
        <v>21.951219512195099</v>
      </c>
      <c r="T47" s="15">
        <v>14.5833333333333</v>
      </c>
      <c r="U47" s="20" t="s">
        <v>76</v>
      </c>
      <c r="V47" s="15">
        <v>14.705882352941201</v>
      </c>
      <c r="W47" s="15">
        <v>18.644067796610202</v>
      </c>
      <c r="X47" s="20" t="s">
        <v>76</v>
      </c>
      <c r="Y47" s="20" t="s">
        <v>76</v>
      </c>
      <c r="Z47" s="15">
        <v>19.230769230769202</v>
      </c>
      <c r="AA47" s="15">
        <v>33.0275229357798</v>
      </c>
      <c r="AB47" s="15">
        <v>27.9411764705882</v>
      </c>
      <c r="AC47" s="15">
        <v>26.515151515151501</v>
      </c>
      <c r="AD47" s="15">
        <v>31.25</v>
      </c>
      <c r="AE47" s="15">
        <v>18.518518518518501</v>
      </c>
      <c r="AF47" s="15">
        <v>35.714285714285701</v>
      </c>
      <c r="AG47" s="15">
        <v>12.380952380952399</v>
      </c>
      <c r="AH47" s="15">
        <v>14.285714285714301</v>
      </c>
      <c r="AI47" s="20" t="s">
        <v>76</v>
      </c>
      <c r="AJ47" s="15">
        <v>24.324324324324301</v>
      </c>
      <c r="AK47" s="15">
        <v>43.3333333333333</v>
      </c>
      <c r="AL47" s="15">
        <v>15.5555555555556</v>
      </c>
      <c r="AM47" s="15">
        <v>29.6875</v>
      </c>
      <c r="AN47" s="20" t="s">
        <v>76</v>
      </c>
      <c r="AO47" s="15">
        <v>20</v>
      </c>
      <c r="AP47" s="15">
        <v>22.0779220779221</v>
      </c>
      <c r="AQ47" s="15">
        <v>25.6410256410256</v>
      </c>
      <c r="AR47" s="15">
        <v>41.818181818181799</v>
      </c>
      <c r="AS47" s="20" t="s">
        <v>76</v>
      </c>
      <c r="AT47" s="15">
        <v>23.076923076923102</v>
      </c>
      <c r="AU47" s="15">
        <v>12.244897959183699</v>
      </c>
      <c r="AV47" s="15">
        <v>8.2191780821917799</v>
      </c>
      <c r="AW47" s="15">
        <v>23.275862068965498</v>
      </c>
      <c r="AX47" s="15">
        <v>31.25</v>
      </c>
      <c r="AY47" s="15">
        <v>25.714285714285701</v>
      </c>
      <c r="AZ47" s="15">
        <v>34</v>
      </c>
      <c r="BA47" s="15">
        <v>18.867924528301899</v>
      </c>
      <c r="BB47" s="15">
        <v>25.373134328358201</v>
      </c>
      <c r="BC47" s="15">
        <v>13.5135135135135</v>
      </c>
      <c r="BD47" s="15">
        <v>20.5128205128205</v>
      </c>
      <c r="BE47" s="15">
        <v>36.2068965517241</v>
      </c>
      <c r="BF47" s="15">
        <v>28.9156626506024</v>
      </c>
      <c r="BG47" s="15">
        <v>26.865671641791</v>
      </c>
      <c r="BH47" s="15">
        <v>25</v>
      </c>
      <c r="BI47" s="20" t="s">
        <v>76</v>
      </c>
      <c r="BJ47" s="15">
        <v>25.8928571428571</v>
      </c>
      <c r="BK47" s="15">
        <v>27.5</v>
      </c>
      <c r="BL47" s="15">
        <v>21.875</v>
      </c>
      <c r="BM47" s="15">
        <v>18.8118811881188</v>
      </c>
      <c r="BN47" s="15">
        <v>38.655462184873997</v>
      </c>
      <c r="BO47" s="15">
        <v>20</v>
      </c>
      <c r="BP47" s="20" t="s">
        <v>76</v>
      </c>
      <c r="BQ47" s="15">
        <v>16.438356164383599</v>
      </c>
      <c r="BR47" s="15">
        <v>26.6666666666667</v>
      </c>
      <c r="BS47" s="15">
        <v>25.3012048192771</v>
      </c>
      <c r="BT47" s="15">
        <v>15.853658536585399</v>
      </c>
      <c r="BU47" s="15">
        <v>19.6261682242991</v>
      </c>
      <c r="BV47" s="15">
        <v>34.343434343434303</v>
      </c>
      <c r="BW47" s="15">
        <v>14.492753623188401</v>
      </c>
      <c r="BX47" s="20" t="s">
        <v>76</v>
      </c>
      <c r="BY47" s="15">
        <v>15.8730158730159</v>
      </c>
      <c r="BZ47" s="15">
        <v>23.1292517006803</v>
      </c>
      <c r="CA47" s="32">
        <v>21.3993890338242</v>
      </c>
      <c r="CB47" s="15">
        <v>17.252396166134201</v>
      </c>
      <c r="CC47" s="15">
        <v>18.5534591194969</v>
      </c>
      <c r="CD47" s="15">
        <v>20</v>
      </c>
      <c r="CE47" s="15">
        <v>50</v>
      </c>
      <c r="CF47" s="15">
        <v>19.461077844311401</v>
      </c>
      <c r="CG47" s="15">
        <v>25.139664804469302</v>
      </c>
      <c r="CH47" s="15">
        <v>19.301470588235301</v>
      </c>
      <c r="CI47" s="15">
        <v>22.5872689938398</v>
      </c>
      <c r="CJ47" s="15">
        <v>21.568627450980401</v>
      </c>
      <c r="CK47" s="15">
        <v>24.6636771300448</v>
      </c>
      <c r="CL47" s="15">
        <v>25</v>
      </c>
      <c r="CM47" s="24">
        <v>23.768736616702402</v>
      </c>
      <c r="CN47" s="37"/>
    </row>
    <row r="48" spans="1:92">
      <c r="A48" s="9" t="s">
        <v>303</v>
      </c>
      <c r="B48" s="35">
        <v>12.5778288117999</v>
      </c>
      <c r="C48" s="32">
        <v>12.0135309339417</v>
      </c>
      <c r="D48" s="32">
        <v>12.885747577818201</v>
      </c>
      <c r="E48" s="32">
        <v>13.7150884142587</v>
      </c>
      <c r="F48" s="20" t="s">
        <v>76</v>
      </c>
      <c r="G48" s="15">
        <v>29.411764705882401</v>
      </c>
      <c r="H48" s="20" t="s">
        <v>76</v>
      </c>
      <c r="I48" s="20" t="s">
        <v>76</v>
      </c>
      <c r="J48" s="15">
        <v>6.9444444444444402</v>
      </c>
      <c r="K48" s="20" t="s">
        <v>76</v>
      </c>
      <c r="L48" s="15">
        <v>11.4754098360656</v>
      </c>
      <c r="M48" s="15">
        <v>30.2631578947368</v>
      </c>
      <c r="N48" s="15">
        <v>15.294117647058799</v>
      </c>
      <c r="O48" s="15">
        <v>25.581395348837201</v>
      </c>
      <c r="P48" s="15">
        <v>16.901408450704199</v>
      </c>
      <c r="Q48" s="15">
        <v>11.2676056338028</v>
      </c>
      <c r="R48" s="20" t="s">
        <v>76</v>
      </c>
      <c r="S48" s="15">
        <v>19.512195121951201</v>
      </c>
      <c r="T48" s="15">
        <v>10.4166666666667</v>
      </c>
      <c r="U48" s="20" t="s">
        <v>76</v>
      </c>
      <c r="V48" s="20" t="s">
        <v>76</v>
      </c>
      <c r="W48" s="15">
        <v>10.1694915254237</v>
      </c>
      <c r="X48" s="20" t="s">
        <v>76</v>
      </c>
      <c r="Y48" s="20" t="s">
        <v>76</v>
      </c>
      <c r="Z48" s="15">
        <v>14.1025641025641</v>
      </c>
      <c r="AA48" s="15">
        <v>25.688073394495401</v>
      </c>
      <c r="AB48" s="15">
        <v>29.411764705882401</v>
      </c>
      <c r="AC48" s="15">
        <v>12.1212121212121</v>
      </c>
      <c r="AD48" s="20" t="s">
        <v>76</v>
      </c>
      <c r="AE48" s="15">
        <v>22.2222222222222</v>
      </c>
      <c r="AF48" s="15">
        <v>42.857142857142897</v>
      </c>
      <c r="AG48" s="15">
        <v>6.6666666666666696</v>
      </c>
      <c r="AH48" s="15">
        <v>19.6428571428571</v>
      </c>
      <c r="AI48" s="20" t="s">
        <v>76</v>
      </c>
      <c r="AJ48" s="15">
        <v>11.7117117117117</v>
      </c>
      <c r="AK48" s="20" t="s">
        <v>76</v>
      </c>
      <c r="AL48" s="15">
        <v>6.6666666666666696</v>
      </c>
      <c r="AM48" s="15">
        <v>10.9375</v>
      </c>
      <c r="AN48" s="20" t="s">
        <v>76</v>
      </c>
      <c r="AO48" s="20" t="s">
        <v>76</v>
      </c>
      <c r="AP48" s="15">
        <v>12.987012987012999</v>
      </c>
      <c r="AQ48" s="15">
        <v>15.384615384615399</v>
      </c>
      <c r="AR48" s="15">
        <v>9.0909090909090899</v>
      </c>
      <c r="AS48" s="20" t="s">
        <v>76</v>
      </c>
      <c r="AT48" s="15">
        <v>13.846153846153801</v>
      </c>
      <c r="AU48" s="20" t="s">
        <v>76</v>
      </c>
      <c r="AV48" s="20" t="s">
        <v>76</v>
      </c>
      <c r="AW48" s="15">
        <v>5.1724137931034502</v>
      </c>
      <c r="AX48" s="20" t="s">
        <v>76</v>
      </c>
      <c r="AY48" s="20" t="s">
        <v>76</v>
      </c>
      <c r="AZ48" s="15">
        <v>16</v>
      </c>
      <c r="BA48" s="15">
        <v>15.094339622641501</v>
      </c>
      <c r="BB48" s="15">
        <v>13.4328358208955</v>
      </c>
      <c r="BC48" s="15">
        <v>16.2162162162162</v>
      </c>
      <c r="BD48" s="15">
        <v>16.6666666666667</v>
      </c>
      <c r="BE48" s="15">
        <v>18.965517241379299</v>
      </c>
      <c r="BF48" s="15">
        <v>20.481927710843401</v>
      </c>
      <c r="BG48" s="15">
        <v>19.402985074626901</v>
      </c>
      <c r="BH48" s="20" t="s">
        <v>76</v>
      </c>
      <c r="BI48" s="15">
        <v>31.578947368421101</v>
      </c>
      <c r="BJ48" s="15">
        <v>6.25</v>
      </c>
      <c r="BK48" s="15">
        <v>12.5</v>
      </c>
      <c r="BL48" s="15">
        <v>14.0625</v>
      </c>
      <c r="BM48" s="15">
        <v>7.9207920792079198</v>
      </c>
      <c r="BN48" s="15">
        <v>13.445378151260501</v>
      </c>
      <c r="BO48" s="15">
        <v>15.5555555555556</v>
      </c>
      <c r="BP48" s="20" t="s">
        <v>76</v>
      </c>
      <c r="BQ48" s="20" t="s">
        <v>76</v>
      </c>
      <c r="BR48" s="15">
        <v>10</v>
      </c>
      <c r="BS48" s="15">
        <v>13.253012048192801</v>
      </c>
      <c r="BT48" s="15">
        <v>13.4146341463415</v>
      </c>
      <c r="BU48" s="15">
        <v>17.757009345794401</v>
      </c>
      <c r="BV48" s="15">
        <v>22.2222222222222</v>
      </c>
      <c r="BW48" s="20" t="s">
        <v>76</v>
      </c>
      <c r="BX48" s="20" t="s">
        <v>76</v>
      </c>
      <c r="BY48" s="20" t="s">
        <v>76</v>
      </c>
      <c r="BZ48" s="15">
        <v>14.285714285714301</v>
      </c>
      <c r="CA48" s="32">
        <v>12.2159962460772</v>
      </c>
      <c r="CB48" s="15">
        <v>12.1405750798722</v>
      </c>
      <c r="CC48" s="15">
        <v>11.6352201257862</v>
      </c>
      <c r="CD48" s="15">
        <v>10.322580645161301</v>
      </c>
      <c r="CE48" s="20" t="s">
        <v>76</v>
      </c>
      <c r="CF48" s="15">
        <v>12.5748502994012</v>
      </c>
      <c r="CG48" s="15">
        <v>18.435754189944099</v>
      </c>
      <c r="CH48" s="15">
        <v>9.375</v>
      </c>
      <c r="CI48" s="15">
        <v>11.088295687884999</v>
      </c>
      <c r="CJ48" s="15">
        <v>11.372549019607799</v>
      </c>
      <c r="CK48" s="15">
        <v>13.004484304932699</v>
      </c>
      <c r="CL48" s="15">
        <v>15</v>
      </c>
      <c r="CM48" s="24">
        <v>12.419700214132799</v>
      </c>
      <c r="CN48" s="37"/>
    </row>
    <row r="49" spans="1:92">
      <c r="A49" s="9" t="s">
        <v>304</v>
      </c>
      <c r="B49" s="35">
        <v>25.520505170376001</v>
      </c>
      <c r="C49" s="32">
        <v>29.8071499020582</v>
      </c>
      <c r="D49" s="32">
        <v>28.1691588616963</v>
      </c>
      <c r="E49" s="32">
        <v>29.501565937199999</v>
      </c>
      <c r="F49" s="15">
        <v>29.411764705882401</v>
      </c>
      <c r="G49" s="15">
        <v>47.058823529411796</v>
      </c>
      <c r="H49" s="15">
        <v>30.434782608695699</v>
      </c>
      <c r="I49" s="15">
        <v>50</v>
      </c>
      <c r="J49" s="15">
        <v>29.8611111111111</v>
      </c>
      <c r="K49" s="15">
        <v>35.897435897435898</v>
      </c>
      <c r="L49" s="15">
        <v>36.065573770491802</v>
      </c>
      <c r="M49" s="15">
        <v>28.947368421052602</v>
      </c>
      <c r="N49" s="15">
        <v>29.411764705882401</v>
      </c>
      <c r="O49" s="15">
        <v>32.558139534883701</v>
      </c>
      <c r="P49" s="15">
        <v>28.169014084507001</v>
      </c>
      <c r="Q49" s="15">
        <v>29.577464788732399</v>
      </c>
      <c r="R49" s="15">
        <v>23.076923076923102</v>
      </c>
      <c r="S49" s="15">
        <v>34.146341463414601</v>
      </c>
      <c r="T49" s="15">
        <v>20.8333333333333</v>
      </c>
      <c r="U49" s="15">
        <v>42.857142857142897</v>
      </c>
      <c r="V49" s="15">
        <v>26.470588235294102</v>
      </c>
      <c r="W49" s="15">
        <v>27.118644067796598</v>
      </c>
      <c r="X49" s="20" t="s">
        <v>76</v>
      </c>
      <c r="Y49" s="20" t="s">
        <v>76</v>
      </c>
      <c r="Z49" s="15">
        <v>32.051282051282101</v>
      </c>
      <c r="AA49" s="15">
        <v>36.697247706421997</v>
      </c>
      <c r="AB49" s="15">
        <v>33.823529411764703</v>
      </c>
      <c r="AC49" s="15">
        <v>32.575757575757599</v>
      </c>
      <c r="AD49" s="15">
        <v>50</v>
      </c>
      <c r="AE49" s="15">
        <v>18.518518518518501</v>
      </c>
      <c r="AF49" s="15">
        <v>50</v>
      </c>
      <c r="AG49" s="15">
        <v>19.047619047619001</v>
      </c>
      <c r="AH49" s="15">
        <v>19.6428571428571</v>
      </c>
      <c r="AI49" s="20" t="s">
        <v>76</v>
      </c>
      <c r="AJ49" s="15">
        <v>36.936936936936902</v>
      </c>
      <c r="AK49" s="15">
        <v>63.3333333333333</v>
      </c>
      <c r="AL49" s="15">
        <v>18.8888888888889</v>
      </c>
      <c r="AM49" s="15">
        <v>26.5625</v>
      </c>
      <c r="AN49" s="20" t="s">
        <v>76</v>
      </c>
      <c r="AO49" s="15">
        <v>27.5</v>
      </c>
      <c r="AP49" s="15">
        <v>29.870129870129901</v>
      </c>
      <c r="AQ49" s="15">
        <v>23.076923076923102</v>
      </c>
      <c r="AR49" s="15">
        <v>32.727272727272698</v>
      </c>
      <c r="AS49" s="20" t="s">
        <v>76</v>
      </c>
      <c r="AT49" s="15">
        <v>24.615384615384599</v>
      </c>
      <c r="AU49" s="15">
        <v>22.4489795918367</v>
      </c>
      <c r="AV49" s="15">
        <v>19.178082191780799</v>
      </c>
      <c r="AW49" s="15">
        <v>33.620689655172399</v>
      </c>
      <c r="AX49" s="15">
        <v>37.5</v>
      </c>
      <c r="AY49" s="15">
        <v>45.714285714285701</v>
      </c>
      <c r="AZ49" s="15">
        <v>40</v>
      </c>
      <c r="BA49" s="15">
        <v>20.754716981132098</v>
      </c>
      <c r="BB49" s="15">
        <v>32.835820895522403</v>
      </c>
      <c r="BC49" s="15">
        <v>25.675675675675699</v>
      </c>
      <c r="BD49" s="15">
        <v>21.794871794871799</v>
      </c>
      <c r="BE49" s="15">
        <v>36.2068965517241</v>
      </c>
      <c r="BF49" s="15">
        <v>32.530120481927703</v>
      </c>
      <c r="BG49" s="15">
        <v>31.343283582089601</v>
      </c>
      <c r="BH49" s="15">
        <v>29.1666666666667</v>
      </c>
      <c r="BI49" s="15">
        <v>31.578947368421101</v>
      </c>
      <c r="BJ49" s="15">
        <v>25.8928571428571</v>
      </c>
      <c r="BK49" s="15">
        <v>12.5</v>
      </c>
      <c r="BL49" s="15">
        <v>31.25</v>
      </c>
      <c r="BM49" s="15">
        <v>24.752475247524799</v>
      </c>
      <c r="BN49" s="15">
        <v>37.815126050420197</v>
      </c>
      <c r="BO49" s="15">
        <v>38.8888888888889</v>
      </c>
      <c r="BP49" s="20" t="s">
        <v>76</v>
      </c>
      <c r="BQ49" s="15">
        <v>28.7671232876712</v>
      </c>
      <c r="BR49" s="15">
        <v>41.6666666666667</v>
      </c>
      <c r="BS49" s="15">
        <v>24.096385542168701</v>
      </c>
      <c r="BT49" s="15">
        <v>20.731707317073202</v>
      </c>
      <c r="BU49" s="15">
        <v>26.1682242990654</v>
      </c>
      <c r="BV49" s="15">
        <v>46.464646464646499</v>
      </c>
      <c r="BW49" s="15">
        <v>18.840579710144901</v>
      </c>
      <c r="BX49" s="20" t="s">
        <v>76</v>
      </c>
      <c r="BY49" s="15">
        <v>26.984126984126998</v>
      </c>
      <c r="BZ49" s="15">
        <v>26.530612244897998</v>
      </c>
      <c r="CA49" s="32">
        <v>27.0931459921627</v>
      </c>
      <c r="CB49" s="15">
        <v>23.961661341852999</v>
      </c>
      <c r="CC49" s="15">
        <v>22.641509433962302</v>
      </c>
      <c r="CD49" s="15">
        <v>30.322580645161299</v>
      </c>
      <c r="CE49" s="20" t="s">
        <v>76</v>
      </c>
      <c r="CF49" s="15">
        <v>22.754491017964099</v>
      </c>
      <c r="CG49" s="15">
        <v>35.195530726256997</v>
      </c>
      <c r="CH49" s="15">
        <v>26.470588235294102</v>
      </c>
      <c r="CI49" s="15">
        <v>26.488706365503099</v>
      </c>
      <c r="CJ49" s="15">
        <v>23.921568627450998</v>
      </c>
      <c r="CK49" s="15">
        <v>26.008968609865502</v>
      </c>
      <c r="CL49" s="15">
        <v>30</v>
      </c>
      <c r="CM49" s="24">
        <v>30.406852248393999</v>
      </c>
      <c r="CN49" s="37"/>
    </row>
    <row r="50" spans="1:92">
      <c r="A50" s="9" t="s">
        <v>305</v>
      </c>
      <c r="B50" s="35">
        <v>48.440299269119002</v>
      </c>
      <c r="C50" s="32">
        <v>47.8789201849143</v>
      </c>
      <c r="D50" s="32">
        <v>49.632469513852598</v>
      </c>
      <c r="E50" s="32">
        <v>57.982945477833198</v>
      </c>
      <c r="F50" s="15">
        <v>52.941176470588204</v>
      </c>
      <c r="G50" s="15">
        <v>70.588235294117595</v>
      </c>
      <c r="H50" s="15">
        <v>82.608695652173907</v>
      </c>
      <c r="I50" s="15">
        <v>70</v>
      </c>
      <c r="J50" s="15">
        <v>53.4722222222222</v>
      </c>
      <c r="K50" s="15">
        <v>71.794871794871796</v>
      </c>
      <c r="L50" s="15">
        <v>75.409836065573799</v>
      </c>
      <c r="M50" s="15">
        <v>44.7368421052632</v>
      </c>
      <c r="N50" s="15">
        <v>52.941176470588204</v>
      </c>
      <c r="O50" s="15">
        <v>65.116279069767401</v>
      </c>
      <c r="P50" s="15">
        <v>61.971830985915503</v>
      </c>
      <c r="Q50" s="15">
        <v>67.605633802816897</v>
      </c>
      <c r="R50" s="15">
        <v>30.769230769230798</v>
      </c>
      <c r="S50" s="15">
        <v>48.780487804878</v>
      </c>
      <c r="T50" s="15">
        <v>43.75</v>
      </c>
      <c r="U50" s="15">
        <v>57.142857142857103</v>
      </c>
      <c r="V50" s="15">
        <v>73.529411764705898</v>
      </c>
      <c r="W50" s="15">
        <v>42.372881355932201</v>
      </c>
      <c r="X50" s="15">
        <v>53.846153846153797</v>
      </c>
      <c r="Y50" s="15">
        <v>62.5</v>
      </c>
      <c r="Z50" s="15">
        <v>57.692307692307701</v>
      </c>
      <c r="AA50" s="15">
        <v>61.4678899082569</v>
      </c>
      <c r="AB50" s="15">
        <v>66.176470588235304</v>
      </c>
      <c r="AC50" s="15">
        <v>56.060606060606098</v>
      </c>
      <c r="AD50" s="15">
        <v>62.5</v>
      </c>
      <c r="AE50" s="15">
        <v>51.851851851851798</v>
      </c>
      <c r="AF50" s="15">
        <v>71.428571428571402</v>
      </c>
      <c r="AG50" s="15">
        <v>45.714285714285701</v>
      </c>
      <c r="AH50" s="15">
        <v>37.5</v>
      </c>
      <c r="AI50" s="20" t="s">
        <v>76</v>
      </c>
      <c r="AJ50" s="15">
        <v>50.450450450450397</v>
      </c>
      <c r="AK50" s="15">
        <v>66.6666666666667</v>
      </c>
      <c r="AL50" s="15">
        <v>62.2222222222222</v>
      </c>
      <c r="AM50" s="15">
        <v>60.9375</v>
      </c>
      <c r="AN50" s="15">
        <v>75</v>
      </c>
      <c r="AO50" s="15">
        <v>42.5</v>
      </c>
      <c r="AP50" s="15">
        <v>61.038961038960998</v>
      </c>
      <c r="AQ50" s="15">
        <v>58.974358974358999</v>
      </c>
      <c r="AR50" s="15">
        <v>38.181818181818201</v>
      </c>
      <c r="AS50" s="15">
        <v>63.636363636363598</v>
      </c>
      <c r="AT50" s="15">
        <v>70.769230769230802</v>
      </c>
      <c r="AU50" s="15">
        <v>67.346938775510196</v>
      </c>
      <c r="AV50" s="15">
        <v>36.986301369863</v>
      </c>
      <c r="AW50" s="15">
        <v>68.103448275862107</v>
      </c>
      <c r="AX50" s="15">
        <v>87.5</v>
      </c>
      <c r="AY50" s="15">
        <v>54.285714285714299</v>
      </c>
      <c r="AZ50" s="15">
        <v>76</v>
      </c>
      <c r="BA50" s="15">
        <v>60.377358490566003</v>
      </c>
      <c r="BB50" s="15">
        <v>61.194029850746297</v>
      </c>
      <c r="BC50" s="15">
        <v>60.8108108108108</v>
      </c>
      <c r="BD50" s="15">
        <v>52.564102564102598</v>
      </c>
      <c r="BE50" s="15">
        <v>72.413793103448299</v>
      </c>
      <c r="BF50" s="15">
        <v>45.783132530120497</v>
      </c>
      <c r="BG50" s="15">
        <v>52.238805970149301</v>
      </c>
      <c r="BH50" s="15">
        <v>37.5</v>
      </c>
      <c r="BI50" s="15">
        <v>63.157894736842103</v>
      </c>
      <c r="BJ50" s="15">
        <v>61.607142857142897</v>
      </c>
      <c r="BK50" s="15">
        <v>47.5</v>
      </c>
      <c r="BL50" s="15">
        <v>58.59375</v>
      </c>
      <c r="BM50" s="15">
        <v>66.3366336633663</v>
      </c>
      <c r="BN50" s="15">
        <v>66.386554621848703</v>
      </c>
      <c r="BO50" s="15">
        <v>52.2222222222222</v>
      </c>
      <c r="BP50" s="15">
        <v>73.3333333333333</v>
      </c>
      <c r="BQ50" s="15">
        <v>67.123287671232902</v>
      </c>
      <c r="BR50" s="15">
        <v>51.6666666666667</v>
      </c>
      <c r="BS50" s="15">
        <v>57.831325301204799</v>
      </c>
      <c r="BT50" s="15">
        <v>63.414634146341498</v>
      </c>
      <c r="BU50" s="15">
        <v>59.813084112149497</v>
      </c>
      <c r="BV50" s="15">
        <v>76.767676767676804</v>
      </c>
      <c r="BW50" s="15">
        <v>43.478260869565197</v>
      </c>
      <c r="BX50" s="15">
        <v>77.7777777777778</v>
      </c>
      <c r="BY50" s="15">
        <v>52.380952380952401</v>
      </c>
      <c r="BZ50" s="15">
        <v>55.782312925170103</v>
      </c>
      <c r="CA50" s="32">
        <v>42.888870077038398</v>
      </c>
      <c r="CB50" s="15">
        <v>41.214057507987199</v>
      </c>
      <c r="CC50" s="15">
        <v>45.283018867924497</v>
      </c>
      <c r="CD50" s="15">
        <v>53.548387096774199</v>
      </c>
      <c r="CE50" s="15">
        <v>80</v>
      </c>
      <c r="CF50" s="15">
        <v>43.113772455089801</v>
      </c>
      <c r="CG50" s="15">
        <v>50.279329608938497</v>
      </c>
      <c r="CH50" s="15">
        <v>39.154411764705898</v>
      </c>
      <c r="CI50" s="15">
        <v>43.121149897330604</v>
      </c>
      <c r="CJ50" s="15">
        <v>47.058823529411796</v>
      </c>
      <c r="CK50" s="15">
        <v>44.394618834080703</v>
      </c>
      <c r="CL50" s="15">
        <v>41.969696969696997</v>
      </c>
      <c r="CM50" s="24">
        <v>45.396145610278403</v>
      </c>
      <c r="CN50" s="37"/>
    </row>
    <row r="51" spans="1:92">
      <c r="A51" s="9" t="s">
        <v>306</v>
      </c>
      <c r="B51" s="35">
        <v>32.186628592877398</v>
      </c>
      <c r="C51" s="32">
        <v>32.382723918595602</v>
      </c>
      <c r="D51" s="32">
        <v>32.321905746697503</v>
      </c>
      <c r="E51" s="32">
        <v>34.863720147125797</v>
      </c>
      <c r="F51" s="15">
        <v>35.294117647058798</v>
      </c>
      <c r="G51" s="15">
        <v>52.941176470588204</v>
      </c>
      <c r="H51" s="15">
        <v>26.086956521739101</v>
      </c>
      <c r="I51" s="15">
        <v>50</v>
      </c>
      <c r="J51" s="15">
        <v>27.7777777777778</v>
      </c>
      <c r="K51" s="15">
        <v>35.897435897435898</v>
      </c>
      <c r="L51" s="15">
        <v>39.344262295081997</v>
      </c>
      <c r="M51" s="15">
        <v>31.578947368421101</v>
      </c>
      <c r="N51" s="15">
        <v>30.588235294117599</v>
      </c>
      <c r="O51" s="15">
        <v>51.162790697674403</v>
      </c>
      <c r="P51" s="15">
        <v>35.2112676056338</v>
      </c>
      <c r="Q51" s="15">
        <v>36.619718309859202</v>
      </c>
      <c r="R51" s="20" t="s">
        <v>76</v>
      </c>
      <c r="S51" s="15">
        <v>41.463414634146297</v>
      </c>
      <c r="T51" s="15">
        <v>29.1666666666667</v>
      </c>
      <c r="U51" s="20" t="s">
        <v>76</v>
      </c>
      <c r="V51" s="15">
        <v>17.647058823529399</v>
      </c>
      <c r="W51" s="15">
        <v>32.203389830508499</v>
      </c>
      <c r="X51" s="20" t="s">
        <v>76</v>
      </c>
      <c r="Y51" s="20" t="s">
        <v>76</v>
      </c>
      <c r="Z51" s="15">
        <v>25.6410256410256</v>
      </c>
      <c r="AA51" s="15">
        <v>46.788990825688103</v>
      </c>
      <c r="AB51" s="15">
        <v>47.058823529411796</v>
      </c>
      <c r="AC51" s="15">
        <v>38.636363636363598</v>
      </c>
      <c r="AD51" s="15">
        <v>25</v>
      </c>
      <c r="AE51" s="15">
        <v>44.4444444444444</v>
      </c>
      <c r="AF51" s="15">
        <v>50</v>
      </c>
      <c r="AG51" s="15">
        <v>23.8095238095238</v>
      </c>
      <c r="AH51" s="15">
        <v>25</v>
      </c>
      <c r="AI51" s="20" t="s">
        <v>76</v>
      </c>
      <c r="AJ51" s="15">
        <v>36.036036036036002</v>
      </c>
      <c r="AK51" s="15">
        <v>40</v>
      </c>
      <c r="AL51" s="15">
        <v>30</v>
      </c>
      <c r="AM51" s="15">
        <v>43.75</v>
      </c>
      <c r="AN51" s="20" t="s">
        <v>76</v>
      </c>
      <c r="AO51" s="15">
        <v>22.5</v>
      </c>
      <c r="AP51" s="15">
        <v>27.272727272727298</v>
      </c>
      <c r="AQ51" s="15">
        <v>38.461538461538503</v>
      </c>
      <c r="AR51" s="15">
        <v>30.909090909090899</v>
      </c>
      <c r="AS51" s="20" t="s">
        <v>76</v>
      </c>
      <c r="AT51" s="15">
        <v>38.461538461538503</v>
      </c>
      <c r="AU51" s="15">
        <v>38.775510204081598</v>
      </c>
      <c r="AV51" s="15">
        <v>12.328767123287699</v>
      </c>
      <c r="AW51" s="15">
        <v>36.2068965517241</v>
      </c>
      <c r="AX51" s="15">
        <v>50</v>
      </c>
      <c r="AY51" s="15">
        <v>40</v>
      </c>
      <c r="AZ51" s="15">
        <v>60</v>
      </c>
      <c r="BA51" s="15">
        <v>28.301886792452802</v>
      </c>
      <c r="BB51" s="15">
        <v>44.776119402985103</v>
      </c>
      <c r="BC51" s="15">
        <v>39.1891891891892</v>
      </c>
      <c r="BD51" s="15">
        <v>29.4871794871795</v>
      </c>
      <c r="BE51" s="15">
        <v>53.448275862069003</v>
      </c>
      <c r="BF51" s="15">
        <v>37.349397590361399</v>
      </c>
      <c r="BG51" s="15">
        <v>35.820895522388099</v>
      </c>
      <c r="BH51" s="15">
        <v>20.8333333333333</v>
      </c>
      <c r="BI51" s="20" t="s">
        <v>76</v>
      </c>
      <c r="BJ51" s="15">
        <v>42.857142857142897</v>
      </c>
      <c r="BK51" s="15">
        <v>35</v>
      </c>
      <c r="BL51" s="15">
        <v>34.375</v>
      </c>
      <c r="BM51" s="15">
        <v>40.594059405940598</v>
      </c>
      <c r="BN51" s="15">
        <v>37.815126050420197</v>
      </c>
      <c r="BO51" s="15">
        <v>30</v>
      </c>
      <c r="BP51" s="15">
        <v>40</v>
      </c>
      <c r="BQ51" s="15">
        <v>38.356164383561598</v>
      </c>
      <c r="BR51" s="15">
        <v>33.3333333333333</v>
      </c>
      <c r="BS51" s="15">
        <v>42.168674698795201</v>
      </c>
      <c r="BT51" s="15">
        <v>26.829268292682901</v>
      </c>
      <c r="BU51" s="15">
        <v>35.514018691588802</v>
      </c>
      <c r="BV51" s="15">
        <v>56.565656565656603</v>
      </c>
      <c r="BW51" s="15">
        <v>17.3913043478261</v>
      </c>
      <c r="BX51" s="15">
        <v>55.5555555555556</v>
      </c>
      <c r="BY51" s="15">
        <v>28.571428571428601</v>
      </c>
      <c r="BZ51" s="15">
        <v>31.292517006802701</v>
      </c>
      <c r="CA51" s="32">
        <v>30.269210998140501</v>
      </c>
      <c r="CB51" s="15">
        <v>28.753993610223599</v>
      </c>
      <c r="CC51" s="15">
        <v>29.245283018867902</v>
      </c>
      <c r="CD51" s="15">
        <v>28.387096774193498</v>
      </c>
      <c r="CE51" s="20" t="s">
        <v>76</v>
      </c>
      <c r="CF51" s="15">
        <v>27.245508982035901</v>
      </c>
      <c r="CG51" s="15">
        <v>39.664804469273697</v>
      </c>
      <c r="CH51" s="15">
        <v>27.389705882352899</v>
      </c>
      <c r="CI51" s="15">
        <v>31.622176591375801</v>
      </c>
      <c r="CJ51" s="15">
        <v>33.3333333333333</v>
      </c>
      <c r="CK51" s="15">
        <v>30.941704035874402</v>
      </c>
      <c r="CL51" s="15">
        <v>35.454545454545503</v>
      </c>
      <c r="CM51" s="24">
        <v>33.190578158458202</v>
      </c>
      <c r="CN51" s="37"/>
    </row>
    <row r="52" spans="1:92">
      <c r="A52" s="9" t="s">
        <v>307</v>
      </c>
      <c r="B52" s="35">
        <v>27.210214309519301</v>
      </c>
      <c r="C52" s="32">
        <v>26.8221782238648</v>
      </c>
      <c r="D52" s="32">
        <v>28.1377749203278</v>
      </c>
      <c r="E52" s="32">
        <v>26.987712555220199</v>
      </c>
      <c r="F52" s="20" t="s">
        <v>76</v>
      </c>
      <c r="G52" s="20" t="s">
        <v>76</v>
      </c>
      <c r="H52" s="15">
        <v>30.434782608695699</v>
      </c>
      <c r="I52" s="15">
        <v>50</v>
      </c>
      <c r="J52" s="15">
        <v>27.7777777777778</v>
      </c>
      <c r="K52" s="15">
        <v>15.384615384615399</v>
      </c>
      <c r="L52" s="15">
        <v>31.1475409836066</v>
      </c>
      <c r="M52" s="15">
        <v>26.315789473684202</v>
      </c>
      <c r="N52" s="15">
        <v>25.882352941176499</v>
      </c>
      <c r="O52" s="15">
        <v>20.930232558139501</v>
      </c>
      <c r="P52" s="15">
        <v>29.577464788732399</v>
      </c>
      <c r="Q52" s="15">
        <v>26.760563380281699</v>
      </c>
      <c r="R52" s="20" t="s">
        <v>76</v>
      </c>
      <c r="S52" s="15">
        <v>14.634146341463399</v>
      </c>
      <c r="T52" s="15">
        <v>18.75</v>
      </c>
      <c r="U52" s="15">
        <v>38.095238095238102</v>
      </c>
      <c r="V52" s="15">
        <v>26.470588235294102</v>
      </c>
      <c r="W52" s="15">
        <v>35.593220338983102</v>
      </c>
      <c r="X52" s="20" t="s">
        <v>76</v>
      </c>
      <c r="Y52" s="20" t="s">
        <v>76</v>
      </c>
      <c r="Z52" s="15">
        <v>21.794871794871799</v>
      </c>
      <c r="AA52" s="15">
        <v>33.0275229357798</v>
      </c>
      <c r="AB52" s="15">
        <v>26.470588235294102</v>
      </c>
      <c r="AC52" s="15">
        <v>27.272727272727298</v>
      </c>
      <c r="AD52" s="15">
        <v>15.625</v>
      </c>
      <c r="AE52" s="15">
        <v>44.4444444444444</v>
      </c>
      <c r="AF52" s="15">
        <v>50</v>
      </c>
      <c r="AG52" s="15">
        <v>17.1428571428571</v>
      </c>
      <c r="AH52" s="15">
        <v>14.285714285714301</v>
      </c>
      <c r="AI52" s="20" t="s">
        <v>76</v>
      </c>
      <c r="AJ52" s="15">
        <v>35.135135135135101</v>
      </c>
      <c r="AK52" s="15">
        <v>30</v>
      </c>
      <c r="AL52" s="15">
        <v>28.8888888888889</v>
      </c>
      <c r="AM52" s="15">
        <v>34.375</v>
      </c>
      <c r="AN52" s="20" t="s">
        <v>76</v>
      </c>
      <c r="AO52" s="15">
        <v>20</v>
      </c>
      <c r="AP52" s="15">
        <v>23.3766233766234</v>
      </c>
      <c r="AQ52" s="15">
        <v>35.897435897435898</v>
      </c>
      <c r="AR52" s="15">
        <v>34.545454545454497</v>
      </c>
      <c r="AS52" s="20" t="s">
        <v>76</v>
      </c>
      <c r="AT52" s="15">
        <v>23.076923076923102</v>
      </c>
      <c r="AU52" s="15">
        <v>20.408163265306101</v>
      </c>
      <c r="AV52" s="15">
        <v>13.698630136986299</v>
      </c>
      <c r="AW52" s="15">
        <v>28.448275862069</v>
      </c>
      <c r="AX52" s="15">
        <v>43.75</v>
      </c>
      <c r="AY52" s="15">
        <v>25.714285714285701</v>
      </c>
      <c r="AZ52" s="15">
        <v>36</v>
      </c>
      <c r="BA52" s="15">
        <v>18.867924528301899</v>
      </c>
      <c r="BB52" s="15">
        <v>32.835820895522403</v>
      </c>
      <c r="BC52" s="15">
        <v>28.3783783783784</v>
      </c>
      <c r="BD52" s="15">
        <v>26.923076923076898</v>
      </c>
      <c r="BE52" s="15">
        <v>31.034482758620701</v>
      </c>
      <c r="BF52" s="15">
        <v>33.734939759036102</v>
      </c>
      <c r="BG52" s="15">
        <v>20.8955223880597</v>
      </c>
      <c r="BH52" s="15">
        <v>41.6666666666667</v>
      </c>
      <c r="BI52" s="20" t="s">
        <v>76</v>
      </c>
      <c r="BJ52" s="15">
        <v>24.1071428571429</v>
      </c>
      <c r="BK52" s="15">
        <v>32.5</v>
      </c>
      <c r="BL52" s="15">
        <v>20.3125</v>
      </c>
      <c r="BM52" s="15">
        <v>29.702970297029701</v>
      </c>
      <c r="BN52" s="15">
        <v>36.134453781512597</v>
      </c>
      <c r="BO52" s="15">
        <v>30</v>
      </c>
      <c r="BP52" s="15">
        <v>33.3333333333333</v>
      </c>
      <c r="BQ52" s="15">
        <v>16.438356164383599</v>
      </c>
      <c r="BR52" s="15">
        <v>21.6666666666667</v>
      </c>
      <c r="BS52" s="15">
        <v>32.530120481927703</v>
      </c>
      <c r="BT52" s="15">
        <v>25.609756097561</v>
      </c>
      <c r="BU52" s="15">
        <v>32.7102803738318</v>
      </c>
      <c r="BV52" s="15">
        <v>33.3333333333333</v>
      </c>
      <c r="BW52" s="15">
        <v>20.289855072463801</v>
      </c>
      <c r="BX52" s="20" t="s">
        <v>76</v>
      </c>
      <c r="BY52" s="15">
        <v>20.634920634920601</v>
      </c>
      <c r="BZ52" s="15">
        <v>23.8095238095238</v>
      </c>
      <c r="CA52" s="32">
        <v>29.0665315506197</v>
      </c>
      <c r="CB52" s="15">
        <v>24.9201277955272</v>
      </c>
      <c r="CC52" s="15">
        <v>35.849056603773597</v>
      </c>
      <c r="CD52" s="15">
        <v>29.0322580645161</v>
      </c>
      <c r="CE52" s="20" t="s">
        <v>76</v>
      </c>
      <c r="CF52" s="15">
        <v>31.736526946107801</v>
      </c>
      <c r="CG52" s="15">
        <v>36.312849162011197</v>
      </c>
      <c r="CH52" s="15">
        <v>31.0661764705882</v>
      </c>
      <c r="CI52" s="15">
        <v>34.291581108829597</v>
      </c>
      <c r="CJ52" s="15">
        <v>38.431372549019599</v>
      </c>
      <c r="CK52" s="15">
        <v>25.112107623318401</v>
      </c>
      <c r="CL52" s="15">
        <v>27.8787878787879</v>
      </c>
      <c r="CM52" s="24">
        <v>24.197002141327602</v>
      </c>
      <c r="CN52" s="37"/>
    </row>
    <row r="53" spans="1:92">
      <c r="A53" s="9" t="s">
        <v>308</v>
      </c>
      <c r="B53" s="35">
        <v>37.786350904544499</v>
      </c>
      <c r="C53" s="32">
        <v>38.111072715052202</v>
      </c>
      <c r="D53" s="32">
        <v>39.289802247892403</v>
      </c>
      <c r="E53" s="32">
        <v>41.605764987001201</v>
      </c>
      <c r="F53" s="15">
        <v>41.176470588235297</v>
      </c>
      <c r="G53" s="15">
        <v>52.941176470588204</v>
      </c>
      <c r="H53" s="15">
        <v>47.826086956521699</v>
      </c>
      <c r="I53" s="15">
        <v>70</v>
      </c>
      <c r="J53" s="15">
        <v>30.5555555555556</v>
      </c>
      <c r="K53" s="15">
        <v>30.769230769230798</v>
      </c>
      <c r="L53" s="15">
        <v>54.0983606557377</v>
      </c>
      <c r="M53" s="15">
        <v>43.421052631578902</v>
      </c>
      <c r="N53" s="15">
        <v>37.647058823529399</v>
      </c>
      <c r="O53" s="15">
        <v>58.139534883720899</v>
      </c>
      <c r="P53" s="15">
        <v>45.0704225352113</v>
      </c>
      <c r="Q53" s="15">
        <v>57.746478873239397</v>
      </c>
      <c r="R53" s="20" t="s">
        <v>76</v>
      </c>
      <c r="S53" s="15">
        <v>56.097560975609802</v>
      </c>
      <c r="T53" s="15">
        <v>27.0833333333333</v>
      </c>
      <c r="U53" s="15">
        <v>47.619047619047599</v>
      </c>
      <c r="V53" s="15">
        <v>29.411764705882401</v>
      </c>
      <c r="W53" s="15">
        <v>50.847457627118601</v>
      </c>
      <c r="X53" s="15">
        <v>53.846153846153797</v>
      </c>
      <c r="Y53" s="20" t="s">
        <v>76</v>
      </c>
      <c r="Z53" s="15">
        <v>46.153846153846203</v>
      </c>
      <c r="AA53" s="15">
        <v>44.954128440367001</v>
      </c>
      <c r="AB53" s="15">
        <v>47.058823529411796</v>
      </c>
      <c r="AC53" s="15">
        <v>40.909090909090899</v>
      </c>
      <c r="AD53" s="15">
        <v>53.125</v>
      </c>
      <c r="AE53" s="15">
        <v>48.148148148148103</v>
      </c>
      <c r="AF53" s="15">
        <v>78.571428571428598</v>
      </c>
      <c r="AG53" s="15">
        <v>19.047619047619001</v>
      </c>
      <c r="AH53" s="15">
        <v>30.3571428571429</v>
      </c>
      <c r="AI53" s="20" t="s">
        <v>76</v>
      </c>
      <c r="AJ53" s="15">
        <v>40.540540540540498</v>
      </c>
      <c r="AK53" s="15">
        <v>46.6666666666667</v>
      </c>
      <c r="AL53" s="15">
        <v>44.4444444444444</v>
      </c>
      <c r="AM53" s="15">
        <v>64.0625</v>
      </c>
      <c r="AN53" s="20" t="s">
        <v>76</v>
      </c>
      <c r="AO53" s="15">
        <v>27.5</v>
      </c>
      <c r="AP53" s="15">
        <v>31.168831168831201</v>
      </c>
      <c r="AQ53" s="15">
        <v>41.025641025641001</v>
      </c>
      <c r="AR53" s="15">
        <v>43.636363636363598</v>
      </c>
      <c r="AS53" s="20" t="s">
        <v>76</v>
      </c>
      <c r="AT53" s="15">
        <v>36.923076923076898</v>
      </c>
      <c r="AU53" s="15">
        <v>34.6938775510204</v>
      </c>
      <c r="AV53" s="15">
        <v>27.397260273972599</v>
      </c>
      <c r="AW53" s="15">
        <v>34.482758620689701</v>
      </c>
      <c r="AX53" s="15">
        <v>50</v>
      </c>
      <c r="AY53" s="15">
        <v>34.285714285714299</v>
      </c>
      <c r="AZ53" s="15">
        <v>60</v>
      </c>
      <c r="BA53" s="15">
        <v>45.283018867924497</v>
      </c>
      <c r="BB53" s="15">
        <v>55.223880597014897</v>
      </c>
      <c r="BC53" s="15">
        <v>45.945945945945901</v>
      </c>
      <c r="BD53" s="15">
        <v>42.307692307692299</v>
      </c>
      <c r="BE53" s="15">
        <v>51.724137931034498</v>
      </c>
      <c r="BF53" s="15">
        <v>40.963855421686802</v>
      </c>
      <c r="BG53" s="15">
        <v>41.791044776119399</v>
      </c>
      <c r="BH53" s="15">
        <v>25</v>
      </c>
      <c r="BI53" s="15">
        <v>36.842105263157897</v>
      </c>
      <c r="BJ53" s="15">
        <v>36.607142857142897</v>
      </c>
      <c r="BK53" s="15">
        <v>32.5</v>
      </c>
      <c r="BL53" s="15">
        <v>35.9375</v>
      </c>
      <c r="BM53" s="15">
        <v>40.594059405940598</v>
      </c>
      <c r="BN53" s="15">
        <v>48.739495798319297</v>
      </c>
      <c r="BO53" s="15">
        <v>38.8888888888889</v>
      </c>
      <c r="BP53" s="15">
        <v>46.6666666666667</v>
      </c>
      <c r="BQ53" s="15">
        <v>47.945205479452099</v>
      </c>
      <c r="BR53" s="15">
        <v>33.3333333333333</v>
      </c>
      <c r="BS53" s="15">
        <v>56.6265060240964</v>
      </c>
      <c r="BT53" s="15">
        <v>28.048780487804901</v>
      </c>
      <c r="BU53" s="15">
        <v>42.990654205607498</v>
      </c>
      <c r="BV53" s="15">
        <v>64.646464646464693</v>
      </c>
      <c r="BW53" s="15">
        <v>27.536231884058001</v>
      </c>
      <c r="BX53" s="15">
        <v>66.6666666666667</v>
      </c>
      <c r="BY53" s="15">
        <v>47.619047619047599</v>
      </c>
      <c r="BZ53" s="15">
        <v>39.455782312925201</v>
      </c>
      <c r="CA53" s="32">
        <v>37.419498675915897</v>
      </c>
      <c r="CB53" s="15">
        <v>30.031948881789098</v>
      </c>
      <c r="CC53" s="15">
        <v>37.421383647798699</v>
      </c>
      <c r="CD53" s="15">
        <v>44.5161290322581</v>
      </c>
      <c r="CE53" s="20" t="s">
        <v>76</v>
      </c>
      <c r="CF53" s="15">
        <v>40.419161676646702</v>
      </c>
      <c r="CG53" s="15">
        <v>40.782122905027897</v>
      </c>
      <c r="CH53" s="15">
        <v>37.867647058823501</v>
      </c>
      <c r="CI53" s="15">
        <v>36.3449691991786</v>
      </c>
      <c r="CJ53" s="15">
        <v>43.137254901960802</v>
      </c>
      <c r="CK53" s="15">
        <v>42.152466367712996</v>
      </c>
      <c r="CL53" s="15">
        <v>38.484848484848499</v>
      </c>
      <c r="CM53" s="24">
        <v>42.184154175588901</v>
      </c>
      <c r="CN53" s="37"/>
    </row>
    <row r="54" spans="1:92">
      <c r="A54" s="9" t="s">
        <v>309</v>
      </c>
      <c r="B54" s="35">
        <v>40.428610396401503</v>
      </c>
      <c r="C54" s="32">
        <v>39.213249897089497</v>
      </c>
      <c r="D54" s="32">
        <v>40.839691211936298</v>
      </c>
      <c r="E54" s="32">
        <v>50.962655627389097</v>
      </c>
      <c r="F54" s="15">
        <v>41.176470588235297</v>
      </c>
      <c r="G54" s="15">
        <v>58.823529411764703</v>
      </c>
      <c r="H54" s="15">
        <v>69.565217391304301</v>
      </c>
      <c r="I54" s="15">
        <v>60</v>
      </c>
      <c r="J54" s="15">
        <v>45.1388888888889</v>
      </c>
      <c r="K54" s="15">
        <v>48.717948717948701</v>
      </c>
      <c r="L54" s="15">
        <v>59.016393442622899</v>
      </c>
      <c r="M54" s="15">
        <v>51.315789473684198</v>
      </c>
      <c r="N54" s="15">
        <v>48.235294117647101</v>
      </c>
      <c r="O54" s="15">
        <v>60.465116279069797</v>
      </c>
      <c r="P54" s="15">
        <v>69.014084507042298</v>
      </c>
      <c r="Q54" s="15">
        <v>56.338028169014102</v>
      </c>
      <c r="R54" s="15">
        <v>38.461538461538503</v>
      </c>
      <c r="S54" s="15">
        <v>60.975609756097597</v>
      </c>
      <c r="T54" s="15">
        <v>35.4166666666667</v>
      </c>
      <c r="U54" s="15">
        <v>33.3333333333333</v>
      </c>
      <c r="V54" s="15">
        <v>58.823529411764703</v>
      </c>
      <c r="W54" s="15">
        <v>49.152542372881399</v>
      </c>
      <c r="X54" s="15">
        <v>53.846153846153797</v>
      </c>
      <c r="Y54" s="15">
        <v>62.5</v>
      </c>
      <c r="Z54" s="15">
        <v>42.307692307692299</v>
      </c>
      <c r="AA54" s="15">
        <v>57.798165137614703</v>
      </c>
      <c r="AB54" s="15">
        <v>52.941176470588204</v>
      </c>
      <c r="AC54" s="15">
        <v>51.515151515151501</v>
      </c>
      <c r="AD54" s="15">
        <v>53.125</v>
      </c>
      <c r="AE54" s="15">
        <v>40.740740740740698</v>
      </c>
      <c r="AF54" s="15">
        <v>57.142857142857103</v>
      </c>
      <c r="AG54" s="15">
        <v>37.142857142857103</v>
      </c>
      <c r="AH54" s="15">
        <v>35.714285714285701</v>
      </c>
      <c r="AI54" s="20" t="s">
        <v>76</v>
      </c>
      <c r="AJ54" s="15">
        <v>53.153153153153099</v>
      </c>
      <c r="AK54" s="15">
        <v>46.6666666666667</v>
      </c>
      <c r="AL54" s="15">
        <v>52.2222222222222</v>
      </c>
      <c r="AM54" s="15">
        <v>59.375</v>
      </c>
      <c r="AN54" s="15">
        <v>75</v>
      </c>
      <c r="AO54" s="15">
        <v>35</v>
      </c>
      <c r="AP54" s="15">
        <v>54.545454545454497</v>
      </c>
      <c r="AQ54" s="15">
        <v>43.589743589743598</v>
      </c>
      <c r="AR54" s="15">
        <v>45.454545454545503</v>
      </c>
      <c r="AS54" s="20" t="s">
        <v>76</v>
      </c>
      <c r="AT54" s="15">
        <v>52.307692307692299</v>
      </c>
      <c r="AU54" s="15">
        <v>61.224489795918402</v>
      </c>
      <c r="AV54" s="15">
        <v>34.246575342465803</v>
      </c>
      <c r="AW54" s="15">
        <v>59.482758620689701</v>
      </c>
      <c r="AX54" s="15">
        <v>56.25</v>
      </c>
      <c r="AY54" s="15">
        <v>45.714285714285701</v>
      </c>
      <c r="AZ54" s="15">
        <v>68</v>
      </c>
      <c r="BA54" s="15">
        <v>62.264150943396203</v>
      </c>
      <c r="BB54" s="15">
        <v>70.149253731343293</v>
      </c>
      <c r="BC54" s="15">
        <v>47.297297297297298</v>
      </c>
      <c r="BD54" s="15">
        <v>43.589743589743598</v>
      </c>
      <c r="BE54" s="15">
        <v>58.620689655172399</v>
      </c>
      <c r="BF54" s="15">
        <v>50.602409638554199</v>
      </c>
      <c r="BG54" s="15">
        <v>35.820895522388099</v>
      </c>
      <c r="BH54" s="15">
        <v>54.1666666666667</v>
      </c>
      <c r="BI54" s="15">
        <v>68.421052631578902</v>
      </c>
      <c r="BJ54" s="15">
        <v>57.142857142857103</v>
      </c>
      <c r="BK54" s="15">
        <v>35</v>
      </c>
      <c r="BL54" s="15">
        <v>53.90625</v>
      </c>
      <c r="BM54" s="15">
        <v>52.475247524752497</v>
      </c>
      <c r="BN54" s="15">
        <v>50.420168067226903</v>
      </c>
      <c r="BO54" s="15">
        <v>42.2222222222222</v>
      </c>
      <c r="BP54" s="15">
        <v>53.3333333333333</v>
      </c>
      <c r="BQ54" s="15">
        <v>56.164383561643803</v>
      </c>
      <c r="BR54" s="15">
        <v>56.6666666666667</v>
      </c>
      <c r="BS54" s="15">
        <v>63.855421686747</v>
      </c>
      <c r="BT54" s="15">
        <v>50</v>
      </c>
      <c r="BU54" s="15">
        <v>57.009345794392502</v>
      </c>
      <c r="BV54" s="15">
        <v>66.6666666666667</v>
      </c>
      <c r="BW54" s="15">
        <v>28.985507246376802</v>
      </c>
      <c r="BX54" s="15">
        <v>66.6666666666667</v>
      </c>
      <c r="BY54" s="15">
        <v>46.031746031746003</v>
      </c>
      <c r="BZ54" s="15">
        <v>48.299319727891202</v>
      </c>
      <c r="CA54" s="32">
        <v>32.6646820956421</v>
      </c>
      <c r="CB54" s="15">
        <v>30.6709265175719</v>
      </c>
      <c r="CC54" s="15">
        <v>35.534591194968499</v>
      </c>
      <c r="CD54" s="15">
        <v>35.4838709677419</v>
      </c>
      <c r="CE54" s="15">
        <v>50</v>
      </c>
      <c r="CF54" s="15">
        <v>29.940119760479</v>
      </c>
      <c r="CG54" s="15">
        <v>32.960893854748598</v>
      </c>
      <c r="CH54" s="15">
        <v>31.4338235294118</v>
      </c>
      <c r="CI54" s="15">
        <v>37.166324435318302</v>
      </c>
      <c r="CJ54" s="15">
        <v>38.431372549019599</v>
      </c>
      <c r="CK54" s="15">
        <v>39.013452914798201</v>
      </c>
      <c r="CL54" s="15">
        <v>36.969696969696997</v>
      </c>
      <c r="CM54" s="24">
        <v>32.762312633832998</v>
      </c>
      <c r="CN54" s="37"/>
    </row>
    <row r="55" spans="1:92">
      <c r="A55" s="9" t="s">
        <v>310</v>
      </c>
      <c r="B55" s="35">
        <v>9.7911944015172097</v>
      </c>
      <c r="C55" s="32">
        <v>10.9903951564719</v>
      </c>
      <c r="D55" s="32">
        <v>11.4503339624471</v>
      </c>
      <c r="E55" s="32">
        <v>14.2888734565684</v>
      </c>
      <c r="F55" s="20" t="s">
        <v>76</v>
      </c>
      <c r="G55" s="15">
        <v>29.411764705882401</v>
      </c>
      <c r="H55" s="20" t="s">
        <v>76</v>
      </c>
      <c r="I55" s="20" t="s">
        <v>76</v>
      </c>
      <c r="J55" s="15">
        <v>5.5555555555555598</v>
      </c>
      <c r="K55" s="15">
        <v>17.948717948717899</v>
      </c>
      <c r="L55" s="15">
        <v>13.1147540983607</v>
      </c>
      <c r="M55" s="15">
        <v>17.105263157894701</v>
      </c>
      <c r="N55" s="15">
        <v>11.764705882352899</v>
      </c>
      <c r="O55" s="15">
        <v>18.604651162790699</v>
      </c>
      <c r="P55" s="15">
        <v>11.2676056338028</v>
      </c>
      <c r="Q55" s="15">
        <v>8.4507042253521103</v>
      </c>
      <c r="R55" s="20" t="s">
        <v>76</v>
      </c>
      <c r="S55" s="15">
        <v>14.634146341463399</v>
      </c>
      <c r="T55" s="20" t="s">
        <v>76</v>
      </c>
      <c r="U55" s="15">
        <v>23.8095238095238</v>
      </c>
      <c r="V55" s="15">
        <v>23.529411764705898</v>
      </c>
      <c r="W55" s="15">
        <v>15.254237288135601</v>
      </c>
      <c r="X55" s="20" t="s">
        <v>76</v>
      </c>
      <c r="Y55" s="20" t="s">
        <v>76</v>
      </c>
      <c r="Z55" s="15">
        <v>10.2564102564103</v>
      </c>
      <c r="AA55" s="15">
        <v>29.357798165137599</v>
      </c>
      <c r="AB55" s="15">
        <v>19.117647058823501</v>
      </c>
      <c r="AC55" s="15">
        <v>13.636363636363599</v>
      </c>
      <c r="AD55" s="15">
        <v>31.25</v>
      </c>
      <c r="AE55" s="20" t="s">
        <v>76</v>
      </c>
      <c r="AF55" s="20" t="s">
        <v>76</v>
      </c>
      <c r="AG55" s="15">
        <v>15.2380952380952</v>
      </c>
      <c r="AH55" s="20" t="s">
        <v>76</v>
      </c>
      <c r="AI55" s="20" t="s">
        <v>76</v>
      </c>
      <c r="AJ55" s="15">
        <v>20.720720720720699</v>
      </c>
      <c r="AK55" s="15">
        <v>36.6666666666667</v>
      </c>
      <c r="AL55" s="15">
        <v>7.7777777777777803</v>
      </c>
      <c r="AM55" s="15">
        <v>14.0625</v>
      </c>
      <c r="AN55" s="20" t="s">
        <v>76</v>
      </c>
      <c r="AO55" s="20" t="s">
        <v>76</v>
      </c>
      <c r="AP55" s="15">
        <v>11.6883116883117</v>
      </c>
      <c r="AQ55" s="15">
        <v>15.384615384615399</v>
      </c>
      <c r="AR55" s="15">
        <v>16.363636363636399</v>
      </c>
      <c r="AS55" s="20" t="s">
        <v>76</v>
      </c>
      <c r="AT55" s="15">
        <v>16.923076923076898</v>
      </c>
      <c r="AU55" s="15">
        <v>10.2040816326531</v>
      </c>
      <c r="AV55" s="20" t="s">
        <v>76</v>
      </c>
      <c r="AW55" s="15">
        <v>6.8965517241379297</v>
      </c>
      <c r="AX55" s="20" t="s">
        <v>76</v>
      </c>
      <c r="AY55" s="20" t="s">
        <v>76</v>
      </c>
      <c r="AZ55" s="15">
        <v>20</v>
      </c>
      <c r="BA55" s="15">
        <v>9.4339622641509404</v>
      </c>
      <c r="BB55" s="15">
        <v>16.417910447761201</v>
      </c>
      <c r="BC55" s="15">
        <v>10.8108108108108</v>
      </c>
      <c r="BD55" s="15">
        <v>15.384615384615399</v>
      </c>
      <c r="BE55" s="15">
        <v>17.241379310344801</v>
      </c>
      <c r="BF55" s="15">
        <v>15.662650602409601</v>
      </c>
      <c r="BG55" s="15">
        <v>17.910447761194</v>
      </c>
      <c r="BH55" s="20" t="s">
        <v>76</v>
      </c>
      <c r="BI55" s="20" t="s">
        <v>76</v>
      </c>
      <c r="BJ55" s="15">
        <v>13.3928571428571</v>
      </c>
      <c r="BK55" s="20" t="s">
        <v>76</v>
      </c>
      <c r="BL55" s="15">
        <v>17.1875</v>
      </c>
      <c r="BM55" s="15">
        <v>10.891089108910901</v>
      </c>
      <c r="BN55" s="15">
        <v>21.008403361344499</v>
      </c>
      <c r="BO55" s="15">
        <v>12.2222222222222</v>
      </c>
      <c r="BP55" s="20" t="s">
        <v>76</v>
      </c>
      <c r="BQ55" s="15">
        <v>16.438356164383599</v>
      </c>
      <c r="BR55" s="15">
        <v>8.3333333333333304</v>
      </c>
      <c r="BS55" s="15">
        <v>9.6385542168674707</v>
      </c>
      <c r="BT55" s="15">
        <v>28.048780487804901</v>
      </c>
      <c r="BU55" s="15">
        <v>13.0841121495327</v>
      </c>
      <c r="BV55" s="15">
        <v>23.2323232323232</v>
      </c>
      <c r="BW55" s="20" t="s">
        <v>76</v>
      </c>
      <c r="BX55" s="20" t="s">
        <v>76</v>
      </c>
      <c r="BY55" s="15">
        <v>14.285714285714301</v>
      </c>
      <c r="BZ55" s="15">
        <v>15.6462585034014</v>
      </c>
      <c r="CA55" s="32">
        <v>9.15801273231612</v>
      </c>
      <c r="CB55" s="15">
        <v>6.38977635782748</v>
      </c>
      <c r="CC55" s="15">
        <v>7.5471698113207504</v>
      </c>
      <c r="CD55" s="15">
        <v>9.0322580645161299</v>
      </c>
      <c r="CE55" s="20" t="s">
        <v>76</v>
      </c>
      <c r="CF55" s="15">
        <v>11.976047904191599</v>
      </c>
      <c r="CG55" s="15">
        <v>8.3798882681564208</v>
      </c>
      <c r="CH55" s="15">
        <v>9.0073529411764692</v>
      </c>
      <c r="CI55" s="15">
        <v>11.2936344969199</v>
      </c>
      <c r="CJ55" s="15">
        <v>9.4117647058823497</v>
      </c>
      <c r="CK55" s="15">
        <v>12.556053811659201</v>
      </c>
      <c r="CL55" s="15">
        <v>11.0606060606061</v>
      </c>
      <c r="CM55" s="24">
        <v>9.4218415417558905</v>
      </c>
      <c r="CN55" s="37"/>
    </row>
    <row r="56" spans="1:92">
      <c r="A56" s="9" t="s">
        <v>311</v>
      </c>
      <c r="B56" s="35">
        <v>16.335106745216098</v>
      </c>
      <c r="C56" s="32">
        <v>16.690420040354699</v>
      </c>
      <c r="D56" s="32">
        <v>16.8100205968442</v>
      </c>
      <c r="E56" s="32">
        <v>16.053878851180599</v>
      </c>
      <c r="F56" s="20" t="s">
        <v>76</v>
      </c>
      <c r="G56" s="20" t="s">
        <v>76</v>
      </c>
      <c r="H56" s="20" t="s">
        <v>76</v>
      </c>
      <c r="I56" s="20" t="s">
        <v>76</v>
      </c>
      <c r="J56" s="15">
        <v>12.5</v>
      </c>
      <c r="K56" s="20" t="s">
        <v>76</v>
      </c>
      <c r="L56" s="15">
        <v>19.672131147540998</v>
      </c>
      <c r="M56" s="15">
        <v>23.684210526315798</v>
      </c>
      <c r="N56" s="15">
        <v>23.529411764705898</v>
      </c>
      <c r="O56" s="15">
        <v>30.232558139534898</v>
      </c>
      <c r="P56" s="15">
        <v>21.126760563380302</v>
      </c>
      <c r="Q56" s="15">
        <v>26.760563380281699</v>
      </c>
      <c r="R56" s="20" t="s">
        <v>76</v>
      </c>
      <c r="S56" s="20" t="s">
        <v>76</v>
      </c>
      <c r="T56" s="20" t="s">
        <v>76</v>
      </c>
      <c r="U56" s="20" t="s">
        <v>76</v>
      </c>
      <c r="V56" s="20" t="s">
        <v>76</v>
      </c>
      <c r="W56" s="15">
        <v>23.728813559321999</v>
      </c>
      <c r="X56" s="20" t="s">
        <v>76</v>
      </c>
      <c r="Y56" s="20" t="s">
        <v>76</v>
      </c>
      <c r="Z56" s="15">
        <v>6.4102564102564097</v>
      </c>
      <c r="AA56" s="15">
        <v>20.183486238532101</v>
      </c>
      <c r="AB56" s="15">
        <v>14.705882352941201</v>
      </c>
      <c r="AC56" s="15">
        <v>9.8484848484848495</v>
      </c>
      <c r="AD56" s="15">
        <v>21.875</v>
      </c>
      <c r="AE56" s="15">
        <v>18.518518518518501</v>
      </c>
      <c r="AF56" s="15">
        <v>35.714285714285701</v>
      </c>
      <c r="AG56" s="15">
        <v>18.095238095238098</v>
      </c>
      <c r="AH56" s="15">
        <v>10.714285714285699</v>
      </c>
      <c r="AI56" s="20" t="s">
        <v>76</v>
      </c>
      <c r="AJ56" s="15">
        <v>12.612612612612599</v>
      </c>
      <c r="AK56" s="15">
        <v>23.3333333333333</v>
      </c>
      <c r="AL56" s="15">
        <v>14.4444444444444</v>
      </c>
      <c r="AM56" s="15">
        <v>26.5625</v>
      </c>
      <c r="AN56" s="20" t="s">
        <v>76</v>
      </c>
      <c r="AO56" s="20" t="s">
        <v>76</v>
      </c>
      <c r="AP56" s="15">
        <v>16.883116883116902</v>
      </c>
      <c r="AQ56" s="15">
        <v>15.384615384615399</v>
      </c>
      <c r="AR56" s="15">
        <v>9.0909090909090899</v>
      </c>
      <c r="AS56" s="20" t="s">
        <v>76</v>
      </c>
      <c r="AT56" s="15">
        <v>12.307692307692299</v>
      </c>
      <c r="AU56" s="15">
        <v>14.285714285714301</v>
      </c>
      <c r="AV56" s="20" t="s">
        <v>76</v>
      </c>
      <c r="AW56" s="15">
        <v>18.1034482758621</v>
      </c>
      <c r="AX56" s="20" t="s">
        <v>76</v>
      </c>
      <c r="AY56" s="20" t="s">
        <v>76</v>
      </c>
      <c r="AZ56" s="15">
        <v>34</v>
      </c>
      <c r="BA56" s="15">
        <v>18.867924528301899</v>
      </c>
      <c r="BB56" s="15">
        <v>19.402985074626901</v>
      </c>
      <c r="BC56" s="15">
        <v>20.270270270270299</v>
      </c>
      <c r="BD56" s="15">
        <v>16.6666666666667</v>
      </c>
      <c r="BE56" s="15">
        <v>15.517241379310301</v>
      </c>
      <c r="BF56" s="15">
        <v>20.481927710843401</v>
      </c>
      <c r="BG56" s="15">
        <v>13.4328358208955</v>
      </c>
      <c r="BH56" s="15">
        <v>37.5</v>
      </c>
      <c r="BI56" s="20" t="s">
        <v>76</v>
      </c>
      <c r="BJ56" s="15">
        <v>15.1785714285714</v>
      </c>
      <c r="BK56" s="20" t="s">
        <v>76</v>
      </c>
      <c r="BL56" s="15">
        <v>11.71875</v>
      </c>
      <c r="BM56" s="15">
        <v>21.782178217821802</v>
      </c>
      <c r="BN56" s="15">
        <v>17.647058823529399</v>
      </c>
      <c r="BO56" s="15">
        <v>18.8888888888889</v>
      </c>
      <c r="BP56" s="20" t="s">
        <v>76</v>
      </c>
      <c r="BQ56" s="15">
        <v>9.5890410958904102</v>
      </c>
      <c r="BR56" s="15">
        <v>10</v>
      </c>
      <c r="BS56" s="15">
        <v>18.0722891566265</v>
      </c>
      <c r="BT56" s="15">
        <v>10.975609756097599</v>
      </c>
      <c r="BU56" s="15">
        <v>20.5607476635514</v>
      </c>
      <c r="BV56" s="15">
        <v>24.2424242424242</v>
      </c>
      <c r="BW56" s="15">
        <v>8.6956521739130395</v>
      </c>
      <c r="BX56" s="20" t="s">
        <v>76</v>
      </c>
      <c r="BY56" s="20" t="s">
        <v>76</v>
      </c>
      <c r="BZ56" s="15">
        <v>12.244897959183699</v>
      </c>
      <c r="CA56" s="32">
        <v>17.4206584900857</v>
      </c>
      <c r="CB56" s="15">
        <v>14.3769968051118</v>
      </c>
      <c r="CC56" s="15">
        <v>16.6666666666667</v>
      </c>
      <c r="CD56" s="15">
        <v>21.935483870967701</v>
      </c>
      <c r="CE56" s="20" t="s">
        <v>76</v>
      </c>
      <c r="CF56" s="15">
        <v>16.766467065868301</v>
      </c>
      <c r="CG56" s="15">
        <v>28.491620111731802</v>
      </c>
      <c r="CH56" s="15">
        <v>10.661764705882399</v>
      </c>
      <c r="CI56" s="15">
        <v>19.3018480492813</v>
      </c>
      <c r="CJ56" s="15">
        <v>20</v>
      </c>
      <c r="CK56" s="15">
        <v>16.5919282511211</v>
      </c>
      <c r="CL56" s="15">
        <v>17.424242424242401</v>
      </c>
      <c r="CM56" s="24">
        <v>19.271948608136999</v>
      </c>
      <c r="CN56" s="37"/>
    </row>
    <row r="57" spans="1:92">
      <c r="A57" s="9" t="s">
        <v>312</v>
      </c>
      <c r="B57" s="35">
        <v>13.7379250945341</v>
      </c>
      <c r="C57" s="32">
        <v>13.476736591051401</v>
      </c>
      <c r="D57" s="32">
        <v>13.7418256650421</v>
      </c>
      <c r="E57" s="32">
        <v>17.262071120448802</v>
      </c>
      <c r="F57" s="20" t="s">
        <v>76</v>
      </c>
      <c r="G57" s="20" t="s">
        <v>76</v>
      </c>
      <c r="H57" s="20" t="s">
        <v>76</v>
      </c>
      <c r="I57" s="20" t="s">
        <v>76</v>
      </c>
      <c r="J57" s="15">
        <v>11.8055555555556</v>
      </c>
      <c r="K57" s="20" t="s">
        <v>76</v>
      </c>
      <c r="L57" s="15">
        <v>22.9508196721311</v>
      </c>
      <c r="M57" s="15">
        <v>21.052631578947398</v>
      </c>
      <c r="N57" s="15">
        <v>15.294117647058799</v>
      </c>
      <c r="O57" s="15">
        <v>20.930232558139501</v>
      </c>
      <c r="P57" s="15">
        <v>25.352112676056301</v>
      </c>
      <c r="Q57" s="15">
        <v>16.901408450704199</v>
      </c>
      <c r="R57" s="20" t="s">
        <v>76</v>
      </c>
      <c r="S57" s="15">
        <v>24.390243902439</v>
      </c>
      <c r="T57" s="15">
        <v>12.5</v>
      </c>
      <c r="U57" s="20" t="s">
        <v>76</v>
      </c>
      <c r="V57" s="15">
        <v>20.588235294117599</v>
      </c>
      <c r="W57" s="15">
        <v>20.338983050847499</v>
      </c>
      <c r="X57" s="20" t="s">
        <v>76</v>
      </c>
      <c r="Y57" s="20" t="s">
        <v>76</v>
      </c>
      <c r="Z57" s="20" t="s">
        <v>76</v>
      </c>
      <c r="AA57" s="15">
        <v>27.5229357798165</v>
      </c>
      <c r="AB57" s="15">
        <v>29.411764705882401</v>
      </c>
      <c r="AC57" s="15">
        <v>16.6666666666667</v>
      </c>
      <c r="AD57" s="15">
        <v>37.5</v>
      </c>
      <c r="AE57" s="20" t="s">
        <v>76</v>
      </c>
      <c r="AF57" s="15">
        <v>42.857142857142897</v>
      </c>
      <c r="AG57" s="15">
        <v>10.476190476190499</v>
      </c>
      <c r="AH57" s="20" t="s">
        <v>76</v>
      </c>
      <c r="AI57" s="20" t="s">
        <v>76</v>
      </c>
      <c r="AJ57" s="15">
        <v>12.612612612612599</v>
      </c>
      <c r="AK57" s="15">
        <v>20</v>
      </c>
      <c r="AL57" s="15">
        <v>17.7777777777778</v>
      </c>
      <c r="AM57" s="15">
        <v>21.875</v>
      </c>
      <c r="AN57" s="20" t="s">
        <v>76</v>
      </c>
      <c r="AO57" s="20" t="s">
        <v>76</v>
      </c>
      <c r="AP57" s="15">
        <v>20.7792207792208</v>
      </c>
      <c r="AQ57" s="15">
        <v>17.948717948717899</v>
      </c>
      <c r="AR57" s="15">
        <v>23.636363636363601</v>
      </c>
      <c r="AS57" s="20" t="s">
        <v>76</v>
      </c>
      <c r="AT57" s="15">
        <v>20</v>
      </c>
      <c r="AU57" s="15">
        <v>16.326530612244898</v>
      </c>
      <c r="AV57" s="15">
        <v>6.8493150684931496</v>
      </c>
      <c r="AW57" s="15">
        <v>19.827586206896601</v>
      </c>
      <c r="AX57" s="20" t="s">
        <v>76</v>
      </c>
      <c r="AY57" s="20" t="s">
        <v>76</v>
      </c>
      <c r="AZ57" s="15">
        <v>24</v>
      </c>
      <c r="BA57" s="15">
        <v>11.320754716981099</v>
      </c>
      <c r="BB57" s="15">
        <v>16.417910447761201</v>
      </c>
      <c r="BC57" s="15">
        <v>9.4594594594594597</v>
      </c>
      <c r="BD57" s="15">
        <v>12.8205128205128</v>
      </c>
      <c r="BE57" s="15">
        <v>12.0689655172414</v>
      </c>
      <c r="BF57" s="15">
        <v>20.481927710843401</v>
      </c>
      <c r="BG57" s="15">
        <v>14.9253731343284</v>
      </c>
      <c r="BH57" s="20" t="s">
        <v>76</v>
      </c>
      <c r="BI57" s="20" t="s">
        <v>76</v>
      </c>
      <c r="BJ57" s="15">
        <v>16.071428571428601</v>
      </c>
      <c r="BK57" s="15">
        <v>12.5</v>
      </c>
      <c r="BL57" s="15">
        <v>14.84375</v>
      </c>
      <c r="BM57" s="15">
        <v>15.841584158415801</v>
      </c>
      <c r="BN57" s="15">
        <v>19.327731092436998</v>
      </c>
      <c r="BO57" s="15">
        <v>18.8888888888889</v>
      </c>
      <c r="BP57" s="20" t="s">
        <v>76</v>
      </c>
      <c r="BQ57" s="15">
        <v>19.178082191780799</v>
      </c>
      <c r="BR57" s="15">
        <v>23.3333333333333</v>
      </c>
      <c r="BS57" s="15">
        <v>16.867469879518101</v>
      </c>
      <c r="BT57" s="15">
        <v>20.731707317073202</v>
      </c>
      <c r="BU57" s="15">
        <v>13.0841121495327</v>
      </c>
      <c r="BV57" s="15">
        <v>24.2424242424242</v>
      </c>
      <c r="BW57" s="15">
        <v>11.5942028985507</v>
      </c>
      <c r="BX57" s="20" t="s">
        <v>76</v>
      </c>
      <c r="BY57" s="15">
        <v>11.1111111111111</v>
      </c>
      <c r="BZ57" s="15">
        <v>15.6462585034014</v>
      </c>
      <c r="CA57" s="32">
        <v>10.898978697644599</v>
      </c>
      <c r="CB57" s="15">
        <v>8.3067092651757193</v>
      </c>
      <c r="CC57" s="15">
        <v>10.062893081761001</v>
      </c>
      <c r="CD57" s="15">
        <v>9.67741935483871</v>
      </c>
      <c r="CE57" s="20" t="s">
        <v>76</v>
      </c>
      <c r="CF57" s="15">
        <v>11.976047904191599</v>
      </c>
      <c r="CG57" s="15">
        <v>10.614525139664799</v>
      </c>
      <c r="CH57" s="15">
        <v>8.6397058823529402</v>
      </c>
      <c r="CI57" s="15">
        <v>10.6776180698152</v>
      </c>
      <c r="CJ57" s="15">
        <v>14.509803921568601</v>
      </c>
      <c r="CK57" s="15">
        <v>11.2107623318386</v>
      </c>
      <c r="CL57" s="15">
        <v>13.181818181818199</v>
      </c>
      <c r="CM57" s="24">
        <v>12.419700214132799</v>
      </c>
      <c r="CN57" s="37"/>
    </row>
    <row r="58" spans="1:92">
      <c r="A58" s="9" t="s">
        <v>313</v>
      </c>
      <c r="B58" s="35">
        <v>28.341441952680299</v>
      </c>
      <c r="C58" s="32">
        <v>29.543842200310198</v>
      </c>
      <c r="D58" s="32">
        <v>31.685933046987302</v>
      </c>
      <c r="E58" s="32">
        <v>28.542858858796901</v>
      </c>
      <c r="F58" s="15">
        <v>35.294117647058798</v>
      </c>
      <c r="G58" s="20" t="s">
        <v>76</v>
      </c>
      <c r="H58" s="20" t="s">
        <v>76</v>
      </c>
      <c r="I58" s="15">
        <v>60</v>
      </c>
      <c r="J58" s="15">
        <v>30.5555555555556</v>
      </c>
      <c r="K58" s="15">
        <v>20.5128205128205</v>
      </c>
      <c r="L58" s="15">
        <v>29.508196721311499</v>
      </c>
      <c r="M58" s="15">
        <v>30.2631578947368</v>
      </c>
      <c r="N58" s="15">
        <v>21.176470588235301</v>
      </c>
      <c r="O58" s="15">
        <v>46.511627906976699</v>
      </c>
      <c r="P58" s="15">
        <v>32.394366197183103</v>
      </c>
      <c r="Q58" s="15">
        <v>30.985915492957702</v>
      </c>
      <c r="R58" s="20" t="s">
        <v>76</v>
      </c>
      <c r="S58" s="15">
        <v>29.268292682926798</v>
      </c>
      <c r="T58" s="15">
        <v>25</v>
      </c>
      <c r="U58" s="15">
        <v>28.571428571428601</v>
      </c>
      <c r="V58" s="15">
        <v>20.588235294117599</v>
      </c>
      <c r="W58" s="15">
        <v>25.4237288135593</v>
      </c>
      <c r="X58" s="20" t="s">
        <v>76</v>
      </c>
      <c r="Y58" s="20" t="s">
        <v>76</v>
      </c>
      <c r="Z58" s="15">
        <v>23.076923076923102</v>
      </c>
      <c r="AA58" s="15">
        <v>38.5321100917431</v>
      </c>
      <c r="AB58" s="15">
        <v>26.470588235294102</v>
      </c>
      <c r="AC58" s="15">
        <v>29.545454545454501</v>
      </c>
      <c r="AD58" s="15">
        <v>31.25</v>
      </c>
      <c r="AE58" s="15">
        <v>37.037037037037003</v>
      </c>
      <c r="AF58" s="15">
        <v>35.714285714285701</v>
      </c>
      <c r="AG58" s="15">
        <v>20.952380952380999</v>
      </c>
      <c r="AH58" s="15">
        <v>12.5</v>
      </c>
      <c r="AI58" s="20" t="s">
        <v>76</v>
      </c>
      <c r="AJ58" s="15">
        <v>32.4324324324324</v>
      </c>
      <c r="AK58" s="15">
        <v>16.6666666666667</v>
      </c>
      <c r="AL58" s="15">
        <v>30</v>
      </c>
      <c r="AM58" s="15">
        <v>29.6875</v>
      </c>
      <c r="AN58" s="20" t="s">
        <v>76</v>
      </c>
      <c r="AO58" s="15">
        <v>17.5</v>
      </c>
      <c r="AP58" s="15">
        <v>19.480519480519501</v>
      </c>
      <c r="AQ58" s="15">
        <v>28.205128205128201</v>
      </c>
      <c r="AR58" s="15">
        <v>36.363636363636402</v>
      </c>
      <c r="AS58" s="20" t="s">
        <v>76</v>
      </c>
      <c r="AT58" s="15">
        <v>27.692307692307701</v>
      </c>
      <c r="AU58" s="15">
        <v>26.530612244897998</v>
      </c>
      <c r="AV58" s="15">
        <v>17.808219178082201</v>
      </c>
      <c r="AW58" s="15">
        <v>30.172413793103502</v>
      </c>
      <c r="AX58" s="15">
        <v>43.75</v>
      </c>
      <c r="AY58" s="15">
        <v>22.8571428571429</v>
      </c>
      <c r="AZ58" s="15">
        <v>30</v>
      </c>
      <c r="BA58" s="15">
        <v>24.528301886792502</v>
      </c>
      <c r="BB58" s="15">
        <v>25.373134328358201</v>
      </c>
      <c r="BC58" s="15">
        <v>25.675675675675699</v>
      </c>
      <c r="BD58" s="15">
        <v>33.3333333333333</v>
      </c>
      <c r="BE58" s="15">
        <v>34.482758620689701</v>
      </c>
      <c r="BF58" s="15">
        <v>30.120481927710799</v>
      </c>
      <c r="BG58" s="15">
        <v>25.373134328358201</v>
      </c>
      <c r="BH58" s="15">
        <v>33.3333333333333</v>
      </c>
      <c r="BI58" s="15">
        <v>26.315789473684202</v>
      </c>
      <c r="BJ58" s="15">
        <v>29.464285714285701</v>
      </c>
      <c r="BK58" s="15">
        <v>22.5</v>
      </c>
      <c r="BL58" s="15">
        <v>28.125</v>
      </c>
      <c r="BM58" s="15">
        <v>26.7326732673267</v>
      </c>
      <c r="BN58" s="15">
        <v>39.495798319327697</v>
      </c>
      <c r="BO58" s="15">
        <v>21.1111111111111</v>
      </c>
      <c r="BP58" s="20" t="s">
        <v>76</v>
      </c>
      <c r="BQ58" s="15">
        <v>35.616438356164402</v>
      </c>
      <c r="BR58" s="15">
        <v>33.3333333333333</v>
      </c>
      <c r="BS58" s="15">
        <v>25.3012048192771</v>
      </c>
      <c r="BT58" s="15">
        <v>32.9268292682927</v>
      </c>
      <c r="BU58" s="15">
        <v>33.644859813084103</v>
      </c>
      <c r="BV58" s="15">
        <v>43.434343434343397</v>
      </c>
      <c r="BW58" s="15">
        <v>18.840579710144901</v>
      </c>
      <c r="BX58" s="20" t="s">
        <v>76</v>
      </c>
      <c r="BY58" s="15">
        <v>20.634920634920601</v>
      </c>
      <c r="BZ58" s="15">
        <v>27.891156462584998</v>
      </c>
      <c r="CA58" s="32">
        <v>34.224187562870199</v>
      </c>
      <c r="CB58" s="15">
        <v>28.434504792332302</v>
      </c>
      <c r="CC58" s="15">
        <v>27.987421383647799</v>
      </c>
      <c r="CD58" s="15">
        <v>41.290322580645203</v>
      </c>
      <c r="CE58" s="20" t="s">
        <v>76</v>
      </c>
      <c r="CF58" s="15">
        <v>31.437125748503</v>
      </c>
      <c r="CG58" s="15">
        <v>35.754189944134097</v>
      </c>
      <c r="CH58" s="15">
        <v>32.169117647058798</v>
      </c>
      <c r="CI58" s="15">
        <v>35.112936344969199</v>
      </c>
      <c r="CJ58" s="15">
        <v>32.941176470588204</v>
      </c>
      <c r="CK58" s="15">
        <v>35.874439461883398</v>
      </c>
      <c r="CL58" s="15">
        <v>35.151515151515198</v>
      </c>
      <c r="CM58" s="24">
        <v>41.9700214132762</v>
      </c>
      <c r="CN58" s="37"/>
    </row>
    <row r="59" spans="1:92">
      <c r="A59" s="9" t="s">
        <v>314</v>
      </c>
      <c r="B59" s="35">
        <v>3.2935584346224198</v>
      </c>
      <c r="C59" s="32">
        <v>3.0994556334127901</v>
      </c>
      <c r="D59" s="32">
        <v>2.25818455921643</v>
      </c>
      <c r="E59" s="32">
        <v>2.52386691390151</v>
      </c>
      <c r="F59" s="20" t="s">
        <v>76</v>
      </c>
      <c r="G59" s="20" t="s">
        <v>76</v>
      </c>
      <c r="H59" s="20" t="s">
        <v>76</v>
      </c>
      <c r="I59" s="20" t="s">
        <v>76</v>
      </c>
      <c r="J59" s="20" t="s">
        <v>76</v>
      </c>
      <c r="K59" s="20" t="s">
        <v>76</v>
      </c>
      <c r="L59" s="20" t="s">
        <v>76</v>
      </c>
      <c r="M59" s="15">
        <v>7.8947368421052602</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15">
        <v>4.5871559633027497</v>
      </c>
      <c r="AB59" s="20" t="s">
        <v>76</v>
      </c>
      <c r="AC59" s="20" t="s">
        <v>76</v>
      </c>
      <c r="AD59" s="20" t="s">
        <v>76</v>
      </c>
      <c r="AE59" s="20" t="s">
        <v>76</v>
      </c>
      <c r="AF59" s="20" t="s">
        <v>76</v>
      </c>
      <c r="AG59" s="20" t="s">
        <v>76</v>
      </c>
      <c r="AH59" s="20" t="s">
        <v>76</v>
      </c>
      <c r="AI59" s="20" t="s">
        <v>76</v>
      </c>
      <c r="AJ59" s="20" t="s">
        <v>76</v>
      </c>
      <c r="AK59" s="20" t="s">
        <v>76</v>
      </c>
      <c r="AL59" s="20" t="s">
        <v>76</v>
      </c>
      <c r="AM59" s="20" t="s">
        <v>76</v>
      </c>
      <c r="AN59" s="20" t="s">
        <v>76</v>
      </c>
      <c r="AO59" s="20" t="s">
        <v>76</v>
      </c>
      <c r="AP59" s="20" t="s">
        <v>76</v>
      </c>
      <c r="AQ59" s="20" t="s">
        <v>76</v>
      </c>
      <c r="AR59" s="20" t="s">
        <v>76</v>
      </c>
      <c r="AS59" s="20" t="s">
        <v>76</v>
      </c>
      <c r="AT59" s="20" t="s">
        <v>76</v>
      </c>
      <c r="AU59" s="20" t="s">
        <v>76</v>
      </c>
      <c r="AV59" s="20" t="s">
        <v>76</v>
      </c>
      <c r="AW59" s="20" t="s">
        <v>76</v>
      </c>
      <c r="AX59" s="20" t="s">
        <v>76</v>
      </c>
      <c r="AY59" s="20" t="s">
        <v>76</v>
      </c>
      <c r="AZ59" s="20" t="s">
        <v>76</v>
      </c>
      <c r="BA59" s="20" t="s">
        <v>76</v>
      </c>
      <c r="BB59" s="20" t="s">
        <v>76</v>
      </c>
      <c r="BC59" s="20" t="s">
        <v>76</v>
      </c>
      <c r="BD59" s="20" t="s">
        <v>76</v>
      </c>
      <c r="BE59" s="20" t="s">
        <v>76</v>
      </c>
      <c r="BF59" s="15">
        <v>6.0240963855421699</v>
      </c>
      <c r="BG59" s="20" t="s">
        <v>76</v>
      </c>
      <c r="BH59" s="20" t="s">
        <v>76</v>
      </c>
      <c r="BI59" s="20" t="s">
        <v>76</v>
      </c>
      <c r="BJ59" s="20" t="s">
        <v>76</v>
      </c>
      <c r="BK59" s="20" t="s">
        <v>76</v>
      </c>
      <c r="BL59" s="20" t="s">
        <v>76</v>
      </c>
      <c r="BM59" s="20" t="s">
        <v>76</v>
      </c>
      <c r="BN59" s="20" t="s">
        <v>76</v>
      </c>
      <c r="BO59" s="20" t="s">
        <v>76</v>
      </c>
      <c r="BP59" s="20" t="s">
        <v>76</v>
      </c>
      <c r="BQ59" s="20" t="s">
        <v>76</v>
      </c>
      <c r="BR59" s="20" t="s">
        <v>76</v>
      </c>
      <c r="BS59" s="20" t="s">
        <v>76</v>
      </c>
      <c r="BT59" s="20" t="s">
        <v>76</v>
      </c>
      <c r="BU59" s="20" t="s">
        <v>76</v>
      </c>
      <c r="BV59" s="15">
        <v>5.0505050505050502</v>
      </c>
      <c r="BW59" s="20" t="s">
        <v>76</v>
      </c>
      <c r="BX59" s="20" t="s">
        <v>76</v>
      </c>
      <c r="BY59" s="20" t="s">
        <v>76</v>
      </c>
      <c r="BZ59" s="20" t="s">
        <v>76</v>
      </c>
      <c r="CA59" s="32">
        <v>2.0436272830618698</v>
      </c>
      <c r="CB59" s="15">
        <v>2.5559105431309899</v>
      </c>
      <c r="CC59" s="15">
        <v>3.1446540880503102</v>
      </c>
      <c r="CD59" s="20" t="s">
        <v>76</v>
      </c>
      <c r="CE59" s="20" t="s">
        <v>76</v>
      </c>
      <c r="CF59" s="15">
        <v>2.6946107784431099</v>
      </c>
      <c r="CG59" s="20" t="s">
        <v>76</v>
      </c>
      <c r="CH59" s="20" t="s">
        <v>76</v>
      </c>
      <c r="CI59" s="15">
        <v>1.84804928131417</v>
      </c>
      <c r="CJ59" s="15">
        <v>3.52941176470588</v>
      </c>
      <c r="CK59" s="20" t="s">
        <v>76</v>
      </c>
      <c r="CL59" s="15">
        <v>2.4242424242424199</v>
      </c>
      <c r="CM59" s="24">
        <v>1.7130620985010701</v>
      </c>
      <c r="CN59" s="37"/>
    </row>
    <row r="60" spans="1:92">
      <c r="A60" s="9" t="s">
        <v>315</v>
      </c>
      <c r="B60" s="35">
        <v>3.12136901906756</v>
      </c>
      <c r="C60" s="32">
        <v>3.05542214564879</v>
      </c>
      <c r="D60" s="32">
        <v>2.4732440085446799</v>
      </c>
      <c r="E60" s="32">
        <v>2.7546476207405202</v>
      </c>
      <c r="F60" s="20" t="s">
        <v>76</v>
      </c>
      <c r="G60" s="20" t="s">
        <v>76</v>
      </c>
      <c r="H60" s="20" t="s">
        <v>76</v>
      </c>
      <c r="I60" s="20" t="s">
        <v>76</v>
      </c>
      <c r="J60" s="20" t="s">
        <v>76</v>
      </c>
      <c r="K60" s="20" t="s">
        <v>76</v>
      </c>
      <c r="L60" s="20" t="s">
        <v>76</v>
      </c>
      <c r="M60" s="15">
        <v>6.5789473684210504</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20" t="s">
        <v>76</v>
      </c>
      <c r="AH60" s="20" t="s">
        <v>76</v>
      </c>
      <c r="AI60" s="20" t="s">
        <v>76</v>
      </c>
      <c r="AJ60" s="20" t="s">
        <v>76</v>
      </c>
      <c r="AK60" s="20" t="s">
        <v>76</v>
      </c>
      <c r="AL60" s="20" t="s">
        <v>76</v>
      </c>
      <c r="AM60" s="20" t="s">
        <v>76</v>
      </c>
      <c r="AN60" s="20" t="s">
        <v>76</v>
      </c>
      <c r="AO60" s="20" t="s">
        <v>76</v>
      </c>
      <c r="AP60" s="20" t="s">
        <v>76</v>
      </c>
      <c r="AQ60" s="20" t="s">
        <v>76</v>
      </c>
      <c r="AR60" s="20" t="s">
        <v>76</v>
      </c>
      <c r="AS60" s="20" t="s">
        <v>76</v>
      </c>
      <c r="AT60" s="20" t="s">
        <v>76</v>
      </c>
      <c r="AU60" s="20" t="s">
        <v>76</v>
      </c>
      <c r="AV60" s="20" t="s">
        <v>76</v>
      </c>
      <c r="AW60" s="20" t="s">
        <v>76</v>
      </c>
      <c r="AX60" s="20" t="s">
        <v>76</v>
      </c>
      <c r="AY60" s="20" t="s">
        <v>76</v>
      </c>
      <c r="AZ60" s="20" t="s">
        <v>76</v>
      </c>
      <c r="BA60" s="20" t="s">
        <v>76</v>
      </c>
      <c r="BB60" s="20" t="s">
        <v>76</v>
      </c>
      <c r="BC60" s="20" t="s">
        <v>76</v>
      </c>
      <c r="BD60" s="20" t="s">
        <v>76</v>
      </c>
      <c r="BE60" s="20" t="s">
        <v>76</v>
      </c>
      <c r="BF60" s="15">
        <v>6.0240963855421699</v>
      </c>
      <c r="BG60" s="20" t="s">
        <v>76</v>
      </c>
      <c r="BH60" s="20" t="s">
        <v>76</v>
      </c>
      <c r="BI60" s="20" t="s">
        <v>76</v>
      </c>
      <c r="BJ60" s="20" t="s">
        <v>76</v>
      </c>
      <c r="BK60" s="20" t="s">
        <v>76</v>
      </c>
      <c r="BL60" s="20" t="s">
        <v>76</v>
      </c>
      <c r="BM60" s="20" t="s">
        <v>76</v>
      </c>
      <c r="BN60" s="15">
        <v>4.2016806722689104</v>
      </c>
      <c r="BO60" s="20" t="s">
        <v>76</v>
      </c>
      <c r="BP60" s="20" t="s">
        <v>76</v>
      </c>
      <c r="BQ60" s="20" t="s">
        <v>76</v>
      </c>
      <c r="BR60" s="20" t="s">
        <v>76</v>
      </c>
      <c r="BS60" s="20" t="s">
        <v>76</v>
      </c>
      <c r="BT60" s="20" t="s">
        <v>76</v>
      </c>
      <c r="BU60" s="20" t="s">
        <v>76</v>
      </c>
      <c r="BV60" s="15">
        <v>5.0505050505050502</v>
      </c>
      <c r="BW60" s="20" t="s">
        <v>76</v>
      </c>
      <c r="BX60" s="20" t="s">
        <v>76</v>
      </c>
      <c r="BY60" s="20" t="s">
        <v>76</v>
      </c>
      <c r="BZ60" s="20" t="s">
        <v>76</v>
      </c>
      <c r="CA60" s="32">
        <v>2.2459907059896098</v>
      </c>
      <c r="CB60" s="15">
        <v>1.59744408945687</v>
      </c>
      <c r="CC60" s="15">
        <v>1.88679245283019</v>
      </c>
      <c r="CD60" s="20" t="s">
        <v>76</v>
      </c>
      <c r="CE60" s="20" t="s">
        <v>76</v>
      </c>
      <c r="CF60" s="15">
        <v>2.0958083832335301</v>
      </c>
      <c r="CG60" s="20" t="s">
        <v>76</v>
      </c>
      <c r="CH60" s="20" t="s">
        <v>76</v>
      </c>
      <c r="CI60" s="15">
        <v>2.4640657084188899</v>
      </c>
      <c r="CJ60" s="15">
        <v>4.31372549019608</v>
      </c>
      <c r="CK60" s="15">
        <v>2.6905829596412598</v>
      </c>
      <c r="CL60" s="15">
        <v>3.48484848484848</v>
      </c>
      <c r="CM60" s="24">
        <v>2.78372591006424</v>
      </c>
      <c r="CN60" s="37"/>
    </row>
    <row r="61" spans="1:92">
      <c r="A61" s="9" t="s">
        <v>316</v>
      </c>
      <c r="B61" s="35">
        <v>4.30825136490677</v>
      </c>
      <c r="C61" s="32">
        <v>4.0717527447509401</v>
      </c>
      <c r="D61" s="32">
        <v>3.5021703603574199</v>
      </c>
      <c r="E61" s="32">
        <v>3.8302899817931202</v>
      </c>
      <c r="F61" s="20" t="s">
        <v>76</v>
      </c>
      <c r="G61" s="20" t="s">
        <v>76</v>
      </c>
      <c r="H61" s="20" t="s">
        <v>76</v>
      </c>
      <c r="I61" s="20" t="s">
        <v>76</v>
      </c>
      <c r="J61" s="20" t="s">
        <v>76</v>
      </c>
      <c r="K61" s="20" t="s">
        <v>76</v>
      </c>
      <c r="L61" s="20" t="s">
        <v>76</v>
      </c>
      <c r="M61" s="15">
        <v>11.842105263157899</v>
      </c>
      <c r="N61" s="20" t="s">
        <v>76</v>
      </c>
      <c r="O61" s="20" t="s">
        <v>76</v>
      </c>
      <c r="P61" s="20" t="s">
        <v>76</v>
      </c>
      <c r="Q61" s="20" t="s">
        <v>76</v>
      </c>
      <c r="R61" s="20" t="s">
        <v>76</v>
      </c>
      <c r="S61" s="20" t="s">
        <v>76</v>
      </c>
      <c r="T61" s="20" t="s">
        <v>76</v>
      </c>
      <c r="U61" s="20" t="s">
        <v>76</v>
      </c>
      <c r="V61" s="20" t="s">
        <v>76</v>
      </c>
      <c r="W61" s="20" t="s">
        <v>76</v>
      </c>
      <c r="X61" s="20" t="s">
        <v>76</v>
      </c>
      <c r="Y61" s="20" t="s">
        <v>76</v>
      </c>
      <c r="Z61" s="15">
        <v>6.4102564102564097</v>
      </c>
      <c r="AA61" s="15">
        <v>5.5045871559632999</v>
      </c>
      <c r="AB61" s="20" t="s">
        <v>76</v>
      </c>
      <c r="AC61" s="20" t="s">
        <v>76</v>
      </c>
      <c r="AD61" s="20" t="s">
        <v>76</v>
      </c>
      <c r="AE61" s="20" t="s">
        <v>76</v>
      </c>
      <c r="AF61" s="20" t="s">
        <v>76</v>
      </c>
      <c r="AG61" s="15">
        <v>4.7619047619047601</v>
      </c>
      <c r="AH61" s="20" t="s">
        <v>76</v>
      </c>
      <c r="AI61" s="20" t="s">
        <v>76</v>
      </c>
      <c r="AJ61" s="20" t="s">
        <v>76</v>
      </c>
      <c r="AK61" s="20" t="s">
        <v>76</v>
      </c>
      <c r="AL61" s="20" t="s">
        <v>76</v>
      </c>
      <c r="AM61" s="20" t="s">
        <v>76</v>
      </c>
      <c r="AN61" s="20" t="s">
        <v>76</v>
      </c>
      <c r="AO61" s="20" t="s">
        <v>76</v>
      </c>
      <c r="AP61" s="20" t="s">
        <v>76</v>
      </c>
      <c r="AQ61" s="20" t="s">
        <v>76</v>
      </c>
      <c r="AR61" s="20" t="s">
        <v>76</v>
      </c>
      <c r="AS61" s="20" t="s">
        <v>76</v>
      </c>
      <c r="AT61" s="20" t="s">
        <v>76</v>
      </c>
      <c r="AU61" s="20" t="s">
        <v>76</v>
      </c>
      <c r="AV61" s="20" t="s">
        <v>76</v>
      </c>
      <c r="AW61" s="20" t="s">
        <v>76</v>
      </c>
      <c r="AX61" s="20" t="s">
        <v>76</v>
      </c>
      <c r="AY61" s="15">
        <v>14.285714285714301</v>
      </c>
      <c r="AZ61" s="20" t="s">
        <v>76</v>
      </c>
      <c r="BA61" s="20" t="s">
        <v>76</v>
      </c>
      <c r="BB61" s="20" t="s">
        <v>76</v>
      </c>
      <c r="BC61" s="20" t="s">
        <v>76</v>
      </c>
      <c r="BD61" s="20" t="s">
        <v>76</v>
      </c>
      <c r="BE61" s="20" t="s">
        <v>76</v>
      </c>
      <c r="BF61" s="15">
        <v>6.0240963855421699</v>
      </c>
      <c r="BG61" s="20" t="s">
        <v>76</v>
      </c>
      <c r="BH61" s="20" t="s">
        <v>76</v>
      </c>
      <c r="BI61" s="20" t="s">
        <v>76</v>
      </c>
      <c r="BJ61" s="20" t="s">
        <v>76</v>
      </c>
      <c r="BK61" s="20" t="s">
        <v>76</v>
      </c>
      <c r="BL61" s="20" t="s">
        <v>76</v>
      </c>
      <c r="BM61" s="20" t="s">
        <v>76</v>
      </c>
      <c r="BN61" s="20" t="s">
        <v>76</v>
      </c>
      <c r="BO61" s="15">
        <v>5.5555555555555598</v>
      </c>
      <c r="BP61" s="20" t="s">
        <v>76</v>
      </c>
      <c r="BQ61" s="20" t="s">
        <v>76</v>
      </c>
      <c r="BR61" s="20" t="s">
        <v>76</v>
      </c>
      <c r="BS61" s="20" t="s">
        <v>76</v>
      </c>
      <c r="BT61" s="15">
        <v>6.0975609756097597</v>
      </c>
      <c r="BU61" s="20" t="s">
        <v>76</v>
      </c>
      <c r="BV61" s="15">
        <v>7.0707070707070701</v>
      </c>
      <c r="BW61" s="20" t="s">
        <v>76</v>
      </c>
      <c r="BX61" s="20" t="s">
        <v>76</v>
      </c>
      <c r="BY61" s="20" t="s">
        <v>76</v>
      </c>
      <c r="BZ61" s="20" t="s">
        <v>76</v>
      </c>
      <c r="CA61" s="32">
        <v>3.2371905791011399</v>
      </c>
      <c r="CB61" s="15">
        <v>1.91693290734824</v>
      </c>
      <c r="CC61" s="15">
        <v>3.7735849056603801</v>
      </c>
      <c r="CD61" s="20" t="s">
        <v>76</v>
      </c>
      <c r="CE61" s="20" t="s">
        <v>76</v>
      </c>
      <c r="CF61" s="15">
        <v>3.2934131736526902</v>
      </c>
      <c r="CG61" s="15">
        <v>3.3519553072625698</v>
      </c>
      <c r="CH61" s="15">
        <v>1.8382352941176501</v>
      </c>
      <c r="CI61" s="15">
        <v>3.2854209445585201</v>
      </c>
      <c r="CJ61" s="15">
        <v>5.8823529411764701</v>
      </c>
      <c r="CK61" s="15">
        <v>2.2421524663677102</v>
      </c>
      <c r="CL61" s="15">
        <v>4.5454545454545503</v>
      </c>
      <c r="CM61" s="24">
        <v>3.21199143468951</v>
      </c>
      <c r="CN61" s="37"/>
    </row>
    <row r="62" spans="1:92">
      <c r="A62" s="9" t="s">
        <v>317</v>
      </c>
      <c r="B62" s="35">
        <v>11.167208743126301</v>
      </c>
      <c r="C62" s="32">
        <v>11.1182190804487</v>
      </c>
      <c r="D62" s="32">
        <v>11.0489162842856</v>
      </c>
      <c r="E62" s="32">
        <v>13.0012652544453</v>
      </c>
      <c r="F62" s="20" t="s">
        <v>76</v>
      </c>
      <c r="G62" s="15">
        <v>29.411764705882401</v>
      </c>
      <c r="H62" s="20" t="s">
        <v>76</v>
      </c>
      <c r="I62" s="20" t="s">
        <v>76</v>
      </c>
      <c r="J62" s="15">
        <v>10.4166666666667</v>
      </c>
      <c r="K62" s="20" t="s">
        <v>76</v>
      </c>
      <c r="L62" s="15">
        <v>16.393442622950801</v>
      </c>
      <c r="M62" s="15">
        <v>18.421052631578899</v>
      </c>
      <c r="N62" s="15">
        <v>14.117647058823501</v>
      </c>
      <c r="O62" s="15">
        <v>18.604651162790699</v>
      </c>
      <c r="P62" s="15">
        <v>9.8591549295774694</v>
      </c>
      <c r="Q62" s="15">
        <v>8.4507042253521103</v>
      </c>
      <c r="R62" s="20" t="s">
        <v>76</v>
      </c>
      <c r="S62" s="15">
        <v>17.0731707317073</v>
      </c>
      <c r="T62" s="20" t="s">
        <v>76</v>
      </c>
      <c r="U62" s="20" t="s">
        <v>76</v>
      </c>
      <c r="V62" s="20" t="s">
        <v>76</v>
      </c>
      <c r="W62" s="15">
        <v>15.254237288135601</v>
      </c>
      <c r="X62" s="20" t="s">
        <v>76</v>
      </c>
      <c r="Y62" s="20" t="s">
        <v>76</v>
      </c>
      <c r="Z62" s="15">
        <v>15.384615384615399</v>
      </c>
      <c r="AA62" s="15">
        <v>24.7706422018349</v>
      </c>
      <c r="AB62" s="15">
        <v>22.0588235294118</v>
      </c>
      <c r="AC62" s="15">
        <v>10.6060606060606</v>
      </c>
      <c r="AD62" s="20" t="s">
        <v>76</v>
      </c>
      <c r="AE62" s="20" t="s">
        <v>76</v>
      </c>
      <c r="AF62" s="20" t="s">
        <v>76</v>
      </c>
      <c r="AG62" s="15">
        <v>6.6666666666666696</v>
      </c>
      <c r="AH62" s="20" t="s">
        <v>76</v>
      </c>
      <c r="AI62" s="20" t="s">
        <v>76</v>
      </c>
      <c r="AJ62" s="15">
        <v>14.4144144144144</v>
      </c>
      <c r="AK62" s="15">
        <v>23.3333333333333</v>
      </c>
      <c r="AL62" s="15">
        <v>14.4444444444444</v>
      </c>
      <c r="AM62" s="15">
        <v>14.0625</v>
      </c>
      <c r="AN62" s="20" t="s">
        <v>76</v>
      </c>
      <c r="AO62" s="20" t="s">
        <v>76</v>
      </c>
      <c r="AP62" s="15">
        <v>14.285714285714301</v>
      </c>
      <c r="AQ62" s="15">
        <v>17.948717948717899</v>
      </c>
      <c r="AR62" s="15">
        <v>16.363636363636399</v>
      </c>
      <c r="AS62" s="20" t="s">
        <v>76</v>
      </c>
      <c r="AT62" s="15">
        <v>21.538461538461501</v>
      </c>
      <c r="AU62" s="15">
        <v>10.2040816326531</v>
      </c>
      <c r="AV62" s="20" t="s">
        <v>76</v>
      </c>
      <c r="AW62" s="15">
        <v>12.0689655172414</v>
      </c>
      <c r="AX62" s="20" t="s">
        <v>76</v>
      </c>
      <c r="AY62" s="15">
        <v>22.8571428571429</v>
      </c>
      <c r="AZ62" s="15">
        <v>16</v>
      </c>
      <c r="BA62" s="15">
        <v>13.207547169811299</v>
      </c>
      <c r="BB62" s="15">
        <v>8.9552238805970106</v>
      </c>
      <c r="BC62" s="15">
        <v>10.8108108108108</v>
      </c>
      <c r="BD62" s="15">
        <v>14.1025641025641</v>
      </c>
      <c r="BE62" s="15">
        <v>13.7931034482759</v>
      </c>
      <c r="BF62" s="15">
        <v>18.0722891566265</v>
      </c>
      <c r="BG62" s="15">
        <v>16.417910447761201</v>
      </c>
      <c r="BH62" s="20" t="s">
        <v>76</v>
      </c>
      <c r="BI62" s="20" t="s">
        <v>76</v>
      </c>
      <c r="BJ62" s="15">
        <v>10.714285714285699</v>
      </c>
      <c r="BK62" s="20" t="s">
        <v>76</v>
      </c>
      <c r="BL62" s="15">
        <v>14.0625</v>
      </c>
      <c r="BM62" s="15">
        <v>7.9207920792079198</v>
      </c>
      <c r="BN62" s="15">
        <v>13.445378151260501</v>
      </c>
      <c r="BO62" s="15">
        <v>13.3333333333333</v>
      </c>
      <c r="BP62" s="20" t="s">
        <v>76</v>
      </c>
      <c r="BQ62" s="15">
        <v>9.5890410958904102</v>
      </c>
      <c r="BR62" s="15">
        <v>15</v>
      </c>
      <c r="BS62" s="15">
        <v>12.048192771084301</v>
      </c>
      <c r="BT62" s="15">
        <v>9.7560975609756095</v>
      </c>
      <c r="BU62" s="15">
        <v>12.1495327102804</v>
      </c>
      <c r="BV62" s="15">
        <v>21.2121212121212</v>
      </c>
      <c r="BW62" s="15">
        <v>7.2463768115942004</v>
      </c>
      <c r="BX62" s="20" t="s">
        <v>76</v>
      </c>
      <c r="BY62" s="15">
        <v>11.1111111111111</v>
      </c>
      <c r="BZ62" s="15">
        <v>12.244897959183699</v>
      </c>
      <c r="CA62" s="32">
        <v>9.4722565259169293</v>
      </c>
      <c r="CB62" s="15">
        <v>7.6677316293929696</v>
      </c>
      <c r="CC62" s="15">
        <v>8.4905660377358494</v>
      </c>
      <c r="CD62" s="15">
        <v>10.322580645161301</v>
      </c>
      <c r="CE62" s="20" t="s">
        <v>76</v>
      </c>
      <c r="CF62" s="15">
        <v>10.4790419161677</v>
      </c>
      <c r="CG62" s="15">
        <v>15.083798882681601</v>
      </c>
      <c r="CH62" s="15">
        <v>8.4558823529411793</v>
      </c>
      <c r="CI62" s="15">
        <v>10.472279260780301</v>
      </c>
      <c r="CJ62" s="15">
        <v>12.156862745098</v>
      </c>
      <c r="CK62" s="15">
        <v>10.762331838565</v>
      </c>
      <c r="CL62" s="15">
        <v>11.0606060606061</v>
      </c>
      <c r="CM62" s="24">
        <v>8.1370449678800796</v>
      </c>
      <c r="CN62" s="37"/>
    </row>
    <row r="63" spans="1:92">
      <c r="A63" s="9" t="s">
        <v>318</v>
      </c>
      <c r="B63" s="35">
        <v>17.6682163190065</v>
      </c>
      <c r="C63" s="32">
        <v>16.674275137087101</v>
      </c>
      <c r="D63" s="32">
        <v>16.310294666315901</v>
      </c>
      <c r="E63" s="32">
        <v>20.5834337980504</v>
      </c>
      <c r="F63" s="20" t="s">
        <v>76</v>
      </c>
      <c r="G63" s="20" t="s">
        <v>76</v>
      </c>
      <c r="H63" s="15">
        <v>39.130434782608702</v>
      </c>
      <c r="I63" s="15">
        <v>50</v>
      </c>
      <c r="J63" s="15">
        <v>16.6666666666667</v>
      </c>
      <c r="K63" s="15">
        <v>20.5128205128205</v>
      </c>
      <c r="L63" s="15">
        <v>22.9508196721311</v>
      </c>
      <c r="M63" s="15">
        <v>25</v>
      </c>
      <c r="N63" s="15">
        <v>20</v>
      </c>
      <c r="O63" s="15">
        <v>25.581395348837201</v>
      </c>
      <c r="P63" s="15">
        <v>29.577464788732399</v>
      </c>
      <c r="Q63" s="15">
        <v>19.7183098591549</v>
      </c>
      <c r="R63" s="20" t="s">
        <v>76</v>
      </c>
      <c r="S63" s="15">
        <v>24.390243902439</v>
      </c>
      <c r="T63" s="15">
        <v>12.5</v>
      </c>
      <c r="U63" s="20" t="s">
        <v>76</v>
      </c>
      <c r="V63" s="20" t="s">
        <v>76</v>
      </c>
      <c r="W63" s="15">
        <v>27.118644067796598</v>
      </c>
      <c r="X63" s="20" t="s">
        <v>76</v>
      </c>
      <c r="Y63" s="20" t="s">
        <v>76</v>
      </c>
      <c r="Z63" s="15">
        <v>15.384615384615399</v>
      </c>
      <c r="AA63" s="15">
        <v>34.862385321100902</v>
      </c>
      <c r="AB63" s="15">
        <v>17.647058823529399</v>
      </c>
      <c r="AC63" s="15">
        <v>21.969696969697001</v>
      </c>
      <c r="AD63" s="15">
        <v>15.625</v>
      </c>
      <c r="AE63" s="20" t="s">
        <v>76</v>
      </c>
      <c r="AF63" s="20" t="s">
        <v>76</v>
      </c>
      <c r="AG63" s="15">
        <v>9.5238095238095202</v>
      </c>
      <c r="AH63" s="15">
        <v>8.9285714285714306</v>
      </c>
      <c r="AI63" s="20" t="s">
        <v>76</v>
      </c>
      <c r="AJ63" s="15">
        <v>26.126126126126099</v>
      </c>
      <c r="AK63" s="15">
        <v>16.6666666666667</v>
      </c>
      <c r="AL63" s="15">
        <v>20</v>
      </c>
      <c r="AM63" s="15">
        <v>14.0625</v>
      </c>
      <c r="AN63" s="20" t="s">
        <v>76</v>
      </c>
      <c r="AO63" s="15">
        <v>22.5</v>
      </c>
      <c r="AP63" s="15">
        <v>20.7792207792208</v>
      </c>
      <c r="AQ63" s="15">
        <v>33.3333333333333</v>
      </c>
      <c r="AR63" s="15">
        <v>23.636363636363601</v>
      </c>
      <c r="AS63" s="20" t="s">
        <v>76</v>
      </c>
      <c r="AT63" s="15">
        <v>20</v>
      </c>
      <c r="AU63" s="15">
        <v>18.367346938775501</v>
      </c>
      <c r="AV63" s="15">
        <v>13.698630136986299</v>
      </c>
      <c r="AW63" s="15">
        <v>14.6551724137931</v>
      </c>
      <c r="AX63" s="20" t="s">
        <v>76</v>
      </c>
      <c r="AY63" s="15">
        <v>22.8571428571429</v>
      </c>
      <c r="AZ63" s="15">
        <v>20</v>
      </c>
      <c r="BA63" s="15">
        <v>24.528301886792502</v>
      </c>
      <c r="BB63" s="15">
        <v>19.402985074626901</v>
      </c>
      <c r="BC63" s="15">
        <v>17.5675675675676</v>
      </c>
      <c r="BD63" s="15">
        <v>26.923076923076898</v>
      </c>
      <c r="BE63" s="15">
        <v>20.689655172413801</v>
      </c>
      <c r="BF63" s="15">
        <v>21.6867469879518</v>
      </c>
      <c r="BG63" s="15">
        <v>20.8955223880597</v>
      </c>
      <c r="BH63" s="15">
        <v>20.8333333333333</v>
      </c>
      <c r="BI63" s="20" t="s">
        <v>76</v>
      </c>
      <c r="BJ63" s="15">
        <v>22.321428571428601</v>
      </c>
      <c r="BK63" s="15">
        <v>15</v>
      </c>
      <c r="BL63" s="15">
        <v>22.65625</v>
      </c>
      <c r="BM63" s="15">
        <v>18.8118811881188</v>
      </c>
      <c r="BN63" s="15">
        <v>23.529411764705898</v>
      </c>
      <c r="BO63" s="15">
        <v>25.5555555555556</v>
      </c>
      <c r="BP63" s="20" t="s">
        <v>76</v>
      </c>
      <c r="BQ63" s="15">
        <v>17.808219178082201</v>
      </c>
      <c r="BR63" s="15">
        <v>21.6666666666667</v>
      </c>
      <c r="BS63" s="15">
        <v>20.481927710843401</v>
      </c>
      <c r="BT63" s="15">
        <v>21.951219512195099</v>
      </c>
      <c r="BU63" s="15">
        <v>18.691588785046701</v>
      </c>
      <c r="BV63" s="15">
        <v>31.313131313131301</v>
      </c>
      <c r="BW63" s="15">
        <v>13.0434782608696</v>
      </c>
      <c r="BX63" s="20" t="s">
        <v>76</v>
      </c>
      <c r="BY63" s="15">
        <v>12.698412698412699</v>
      </c>
      <c r="BZ63" s="15">
        <v>13.605442176870699</v>
      </c>
      <c r="CA63" s="32">
        <v>12.8594328511941</v>
      </c>
      <c r="CB63" s="15">
        <v>10.223642172524</v>
      </c>
      <c r="CC63" s="15">
        <v>16.6666666666667</v>
      </c>
      <c r="CD63" s="15">
        <v>12.258064516129</v>
      </c>
      <c r="CE63" s="20" t="s">
        <v>76</v>
      </c>
      <c r="CF63" s="15">
        <v>14.0718562874252</v>
      </c>
      <c r="CG63" s="15">
        <v>15.6424581005587</v>
      </c>
      <c r="CH63" s="15">
        <v>11.764705882352899</v>
      </c>
      <c r="CI63" s="15">
        <v>14.1683778234086</v>
      </c>
      <c r="CJ63" s="15">
        <v>15.294117647058799</v>
      </c>
      <c r="CK63" s="15">
        <v>13.004484304932699</v>
      </c>
      <c r="CL63" s="15">
        <v>13.030303030302999</v>
      </c>
      <c r="CM63" s="24">
        <v>11.9914346895075</v>
      </c>
      <c r="CN63" s="37"/>
    </row>
    <row r="64" spans="1:92">
      <c r="A64" s="11" t="s">
        <v>319</v>
      </c>
      <c r="B64" s="36">
        <v>3.62854876642167</v>
      </c>
      <c r="C64" s="33">
        <v>3.6591985963411</v>
      </c>
      <c r="D64" s="33">
        <v>3.2673522908272501</v>
      </c>
      <c r="E64" s="33">
        <v>4.9092837067638904</v>
      </c>
      <c r="F64" s="28" t="s">
        <v>76</v>
      </c>
      <c r="G64" s="28" t="s">
        <v>76</v>
      </c>
      <c r="H64" s="28" t="s">
        <v>76</v>
      </c>
      <c r="I64" s="28" t="s">
        <v>76</v>
      </c>
      <c r="J64" s="16">
        <v>6.25</v>
      </c>
      <c r="K64" s="28" t="s">
        <v>76</v>
      </c>
      <c r="L64" s="28" t="s">
        <v>76</v>
      </c>
      <c r="M64" s="28" t="s">
        <v>76</v>
      </c>
      <c r="N64" s="16">
        <v>5.8823529411764701</v>
      </c>
      <c r="O64" s="28" t="s">
        <v>76</v>
      </c>
      <c r="P64" s="16">
        <v>7.0422535211267601</v>
      </c>
      <c r="Q64" s="16">
        <v>8.4507042253521103</v>
      </c>
      <c r="R64" s="28" t="s">
        <v>76</v>
      </c>
      <c r="S64" s="28" t="s">
        <v>76</v>
      </c>
      <c r="T64" s="16">
        <v>14.5833333333333</v>
      </c>
      <c r="U64" s="28" t="s">
        <v>76</v>
      </c>
      <c r="V64" s="28" t="s">
        <v>76</v>
      </c>
      <c r="W64" s="16">
        <v>8.4745762711864394</v>
      </c>
      <c r="X64" s="28" t="s">
        <v>76</v>
      </c>
      <c r="Y64" s="28" t="s">
        <v>76</v>
      </c>
      <c r="Z64" s="28" t="s">
        <v>76</v>
      </c>
      <c r="AA64" s="28" t="s">
        <v>76</v>
      </c>
      <c r="AB64" s="28" t="s">
        <v>76</v>
      </c>
      <c r="AC64" s="16">
        <v>3.7878787878787898</v>
      </c>
      <c r="AD64" s="28" t="s">
        <v>76</v>
      </c>
      <c r="AE64" s="28" t="s">
        <v>76</v>
      </c>
      <c r="AF64" s="28" t="s">
        <v>76</v>
      </c>
      <c r="AG64" s="28" t="s">
        <v>76</v>
      </c>
      <c r="AH64" s="28" t="s">
        <v>76</v>
      </c>
      <c r="AI64" s="28" t="s">
        <v>76</v>
      </c>
      <c r="AJ64" s="16">
        <v>8.1081081081081106</v>
      </c>
      <c r="AK64" s="28" t="s">
        <v>76</v>
      </c>
      <c r="AL64" s="16">
        <v>5.5555555555555598</v>
      </c>
      <c r="AM64" s="28" t="s">
        <v>76</v>
      </c>
      <c r="AN64" s="28" t="s">
        <v>76</v>
      </c>
      <c r="AO64" s="28" t="s">
        <v>76</v>
      </c>
      <c r="AP64" s="28" t="s">
        <v>76</v>
      </c>
      <c r="AQ64" s="28" t="s">
        <v>76</v>
      </c>
      <c r="AR64" s="28" t="s">
        <v>76</v>
      </c>
      <c r="AS64" s="28" t="s">
        <v>76</v>
      </c>
      <c r="AT64" s="28" t="s">
        <v>76</v>
      </c>
      <c r="AU64" s="28" t="s">
        <v>76</v>
      </c>
      <c r="AV64" s="28" t="s">
        <v>76</v>
      </c>
      <c r="AW64" s="16">
        <v>5.1724137931034502</v>
      </c>
      <c r="AX64" s="28" t="s">
        <v>76</v>
      </c>
      <c r="AY64" s="28" t="s">
        <v>76</v>
      </c>
      <c r="AZ64" s="28" t="s">
        <v>76</v>
      </c>
      <c r="BA64" s="28" t="s">
        <v>76</v>
      </c>
      <c r="BB64" s="28" t="s">
        <v>76</v>
      </c>
      <c r="BC64" s="16">
        <v>9.4594594594594597</v>
      </c>
      <c r="BD64" s="28" t="s">
        <v>76</v>
      </c>
      <c r="BE64" s="28" t="s">
        <v>76</v>
      </c>
      <c r="BF64" s="16">
        <v>7.2289156626505999</v>
      </c>
      <c r="BG64" s="28" t="s">
        <v>76</v>
      </c>
      <c r="BH64" s="28" t="s">
        <v>76</v>
      </c>
      <c r="BI64" s="28" t="s">
        <v>76</v>
      </c>
      <c r="BJ64" s="16">
        <v>4.46428571428571</v>
      </c>
      <c r="BK64" s="28" t="s">
        <v>76</v>
      </c>
      <c r="BL64" s="28" t="s">
        <v>76</v>
      </c>
      <c r="BM64" s="28" t="s">
        <v>76</v>
      </c>
      <c r="BN64" s="28" t="s">
        <v>76</v>
      </c>
      <c r="BO64" s="16">
        <v>11.1111111111111</v>
      </c>
      <c r="BP64" s="28" t="s">
        <v>76</v>
      </c>
      <c r="BQ64" s="28" t="s">
        <v>76</v>
      </c>
      <c r="BR64" s="28" t="s">
        <v>76</v>
      </c>
      <c r="BS64" s="28" t="s">
        <v>76</v>
      </c>
      <c r="BT64" s="28" t="s">
        <v>76</v>
      </c>
      <c r="BU64" s="16">
        <v>8.4112149532710294</v>
      </c>
      <c r="BV64" s="16">
        <v>15.1515151515152</v>
      </c>
      <c r="BW64" s="28" t="s">
        <v>76</v>
      </c>
      <c r="BX64" s="28" t="s">
        <v>76</v>
      </c>
      <c r="BY64" s="28" t="s">
        <v>76</v>
      </c>
      <c r="BZ64" s="16">
        <v>4.0816326530612201</v>
      </c>
      <c r="CA64" s="33">
        <v>1.94137664350384</v>
      </c>
      <c r="CB64" s="28" t="s">
        <v>76</v>
      </c>
      <c r="CC64" s="16">
        <v>2.2012578616352201</v>
      </c>
      <c r="CD64" s="28" t="s">
        <v>76</v>
      </c>
      <c r="CE64" s="28" t="s">
        <v>76</v>
      </c>
      <c r="CF64" s="16">
        <v>1.4970059880239499</v>
      </c>
      <c r="CG64" s="28" t="s">
        <v>76</v>
      </c>
      <c r="CH64" s="16">
        <v>2.0220588235294099</v>
      </c>
      <c r="CI64" s="16">
        <v>1.84804928131417</v>
      </c>
      <c r="CJ64" s="16">
        <v>4.31372549019608</v>
      </c>
      <c r="CK64" s="28" t="s">
        <v>76</v>
      </c>
      <c r="CL64" s="16">
        <v>3.1818181818181799</v>
      </c>
      <c r="CM64" s="25">
        <v>2.5695931477516099</v>
      </c>
      <c r="CN64" s="37"/>
    </row>
    <row r="65" spans="1:1" ht="30" customHeight="1">
      <c r="A65" t="s">
        <v>252</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71"/>
  <sheetViews>
    <sheetView zoomScale="70" workbookViewId="0"/>
  </sheetViews>
  <sheetFormatPr defaultColWidth="10.88671875" defaultRowHeight="15"/>
  <cols>
    <col min="1" max="1" width="51.6640625" customWidth="1"/>
    <col min="2" max="4" width="15.88671875" customWidth="1"/>
  </cols>
  <sheetData>
    <row r="1" spans="1:4" ht="39.950000000000003" customHeight="1">
      <c r="A1" s="10" t="s">
        <v>353</v>
      </c>
      <c r="B1" s="12"/>
      <c r="C1" s="12"/>
      <c r="D1" s="12"/>
    </row>
    <row r="2" spans="1:4" ht="45">
      <c r="A2" s="7" t="s">
        <v>52</v>
      </c>
      <c r="B2" s="6" t="s">
        <v>68</v>
      </c>
      <c r="C2" s="6" t="s">
        <v>69</v>
      </c>
      <c r="D2" s="8" t="s">
        <v>70</v>
      </c>
    </row>
    <row r="3" spans="1:4">
      <c r="A3" s="9" t="s">
        <v>258</v>
      </c>
      <c r="B3" s="15">
        <v>36.905422439664299</v>
      </c>
      <c r="C3" s="15">
        <v>38.597533730202898</v>
      </c>
      <c r="D3" s="24">
        <v>34.600471676680002</v>
      </c>
    </row>
    <row r="4" spans="1:4">
      <c r="A4" s="9" t="s">
        <v>259</v>
      </c>
      <c r="B4" s="15">
        <v>20.5455108671155</v>
      </c>
      <c r="C4" s="15">
        <v>21.603166363373798</v>
      </c>
      <c r="D4" s="24">
        <v>20.125506967654701</v>
      </c>
    </row>
    <row r="5" spans="1:4">
      <c r="A5" s="9" t="s">
        <v>260</v>
      </c>
      <c r="B5" s="15">
        <v>25.979778082061902</v>
      </c>
      <c r="C5" s="15">
        <v>28.617715823013199</v>
      </c>
      <c r="D5" s="24">
        <v>22.421497818350101</v>
      </c>
    </row>
    <row r="6" spans="1:4">
      <c r="A6" s="9" t="s">
        <v>261</v>
      </c>
      <c r="B6" s="15">
        <v>45.049265183138097</v>
      </c>
      <c r="C6" s="15">
        <v>45.959930653830398</v>
      </c>
      <c r="D6" s="24">
        <v>39.961101294760198</v>
      </c>
    </row>
    <row r="7" spans="1:4">
      <c r="A7" s="9" t="s">
        <v>262</v>
      </c>
      <c r="B7" s="15">
        <v>29.304471416193099</v>
      </c>
      <c r="C7" s="15">
        <v>28.989780275738401</v>
      </c>
      <c r="D7" s="24">
        <v>31.585907223309299</v>
      </c>
    </row>
    <row r="8" spans="1:4">
      <c r="A8" s="9" t="s">
        <v>263</v>
      </c>
      <c r="B8" s="15">
        <v>7.3609573381902003</v>
      </c>
      <c r="C8" s="15">
        <v>5.5247612976016098</v>
      </c>
      <c r="D8" s="26" t="s">
        <v>76</v>
      </c>
    </row>
    <row r="9" spans="1:4">
      <c r="A9" s="9" t="s">
        <v>264</v>
      </c>
      <c r="B9" s="15">
        <v>16.015315661131201</v>
      </c>
      <c r="C9" s="15">
        <v>17.965007754442698</v>
      </c>
      <c r="D9" s="24">
        <v>18.548687779854401</v>
      </c>
    </row>
    <row r="10" spans="1:4">
      <c r="A10" s="9" t="s">
        <v>265</v>
      </c>
      <c r="B10" s="15">
        <v>34.168957855860597</v>
      </c>
      <c r="C10" s="15">
        <v>35.104821382041898</v>
      </c>
      <c r="D10" s="24">
        <v>34.261230374617497</v>
      </c>
    </row>
    <row r="11" spans="1:4">
      <c r="A11" s="9" t="s">
        <v>266</v>
      </c>
      <c r="B11" s="15">
        <v>26.608919592796401</v>
      </c>
      <c r="C11" s="15">
        <v>25.886978730075398</v>
      </c>
      <c r="D11" s="24">
        <v>25.766061520981399</v>
      </c>
    </row>
    <row r="12" spans="1:4">
      <c r="A12" s="9" t="s">
        <v>267</v>
      </c>
      <c r="B12" s="15">
        <v>21.680614083781201</v>
      </c>
      <c r="C12" s="15">
        <v>21.624094485610801</v>
      </c>
      <c r="D12" s="24">
        <v>22.236315569631</v>
      </c>
    </row>
    <row r="13" spans="1:4">
      <c r="A13" s="9" t="s">
        <v>268</v>
      </c>
      <c r="B13" s="15">
        <v>13.2047882252402</v>
      </c>
      <c r="C13" s="15">
        <v>12.253427003584701</v>
      </c>
      <c r="D13" s="24">
        <v>10.8555409982763</v>
      </c>
    </row>
    <row r="14" spans="1:4">
      <c r="A14" s="9" t="s">
        <v>269</v>
      </c>
      <c r="B14" s="15">
        <v>31.007797683414999</v>
      </c>
      <c r="C14" s="15">
        <v>33.055462116112899</v>
      </c>
      <c r="D14" s="24">
        <v>31.605214213432401</v>
      </c>
    </row>
    <row r="15" spans="1:4">
      <c r="A15" s="9" t="s">
        <v>270</v>
      </c>
      <c r="B15" s="15">
        <v>24.608277846089099</v>
      </c>
      <c r="C15" s="15">
        <v>26.203854125449499</v>
      </c>
      <c r="D15" s="24">
        <v>28.765312039236701</v>
      </c>
    </row>
    <row r="16" spans="1:4">
      <c r="A16" s="9" t="s">
        <v>271</v>
      </c>
      <c r="B16" s="15">
        <v>9.9101874480034002</v>
      </c>
      <c r="C16" s="15">
        <v>10.632945982342401</v>
      </c>
      <c r="D16" s="24">
        <v>10.2241203544146</v>
      </c>
    </row>
    <row r="17" spans="1:4">
      <c r="A17" s="9" t="s">
        <v>272</v>
      </c>
      <c r="B17" s="15">
        <v>42.864616918986002</v>
      </c>
      <c r="C17" s="15">
        <v>46.256676558147099</v>
      </c>
      <c r="D17" s="24">
        <v>46.917822621676002</v>
      </c>
    </row>
    <row r="18" spans="1:4">
      <c r="A18" s="9" t="s">
        <v>273</v>
      </c>
      <c r="B18" s="15">
        <v>26.062599315431999</v>
      </c>
      <c r="C18" s="15">
        <v>24.899747297978099</v>
      </c>
      <c r="D18" s="24">
        <v>26.803161041970998</v>
      </c>
    </row>
    <row r="19" spans="1:4">
      <c r="A19" s="9" t="s">
        <v>274</v>
      </c>
      <c r="B19" s="15">
        <v>31.348546152243301</v>
      </c>
      <c r="C19" s="15">
        <v>32.341644440805702</v>
      </c>
      <c r="D19" s="24">
        <v>31.1468118379956</v>
      </c>
    </row>
    <row r="20" spans="1:4">
      <c r="A20" s="9" t="s">
        <v>275</v>
      </c>
      <c r="B20" s="15">
        <v>16.2792318739004</v>
      </c>
      <c r="C20" s="15">
        <v>15.6669042309196</v>
      </c>
      <c r="D20" s="24">
        <v>14.3818632912258</v>
      </c>
    </row>
    <row r="21" spans="1:4">
      <c r="A21" s="9" t="s">
        <v>276</v>
      </c>
      <c r="B21" s="15">
        <v>10.5974697590633</v>
      </c>
      <c r="C21" s="15">
        <v>9.6614985847976094</v>
      </c>
      <c r="D21" s="24">
        <v>9.5986635823613202</v>
      </c>
    </row>
    <row r="22" spans="1:4">
      <c r="A22" s="9" t="s">
        <v>277</v>
      </c>
      <c r="B22" s="15">
        <v>22.359537317692801</v>
      </c>
      <c r="C22" s="15">
        <v>23.592712035861101</v>
      </c>
      <c r="D22" s="24">
        <v>26.2932465902309</v>
      </c>
    </row>
    <row r="23" spans="1:4">
      <c r="A23" s="9" t="s">
        <v>278</v>
      </c>
      <c r="B23" s="15">
        <v>18.276694572532101</v>
      </c>
      <c r="C23" s="15">
        <v>18.4293409699264</v>
      </c>
      <c r="D23" s="24">
        <v>16.795448672009002</v>
      </c>
    </row>
    <row r="24" spans="1:4">
      <c r="A24" s="9" t="s">
        <v>279</v>
      </c>
      <c r="B24" s="15">
        <v>40.118812590540998</v>
      </c>
      <c r="C24" s="15">
        <v>43.494182105784702</v>
      </c>
      <c r="D24" s="24">
        <v>43.118989886923799</v>
      </c>
    </row>
    <row r="25" spans="1:4">
      <c r="A25" s="9" t="s">
        <v>280</v>
      </c>
      <c r="B25" s="15">
        <v>6.39157031589935</v>
      </c>
      <c r="C25" s="15">
        <v>6.82242855557661</v>
      </c>
      <c r="D25" s="26" t="s">
        <v>76</v>
      </c>
    </row>
    <row r="26" spans="1:4">
      <c r="A26" s="9" t="s">
        <v>281</v>
      </c>
      <c r="B26" s="15">
        <v>29.7177530967246</v>
      </c>
      <c r="C26" s="15">
        <v>29.196807479217298</v>
      </c>
      <c r="D26" s="24">
        <v>28.413642827014101</v>
      </c>
    </row>
    <row r="27" spans="1:4">
      <c r="A27" s="9" t="s">
        <v>282</v>
      </c>
      <c r="B27" s="15">
        <v>19.556400761885399</v>
      </c>
      <c r="C27" s="15">
        <v>16.941068652277401</v>
      </c>
      <c r="D27" s="24">
        <v>18.764152968975001</v>
      </c>
    </row>
    <row r="28" spans="1:4">
      <c r="A28" s="9" t="s">
        <v>283</v>
      </c>
      <c r="B28" s="15">
        <v>27.9639090100552</v>
      </c>
      <c r="C28" s="15">
        <v>27.029337270577098</v>
      </c>
      <c r="D28" s="24">
        <v>27.084569705117399</v>
      </c>
    </row>
    <row r="29" spans="1:4">
      <c r="A29" s="9" t="s">
        <v>284</v>
      </c>
      <c r="B29" s="15">
        <v>11.9329632884495</v>
      </c>
      <c r="C29" s="15">
        <v>10.866865474194601</v>
      </c>
      <c r="D29" s="24">
        <v>10.4406574790127</v>
      </c>
    </row>
    <row r="30" spans="1:4">
      <c r="A30" s="9" t="s">
        <v>285</v>
      </c>
      <c r="B30" s="15">
        <v>16.755695176933401</v>
      </c>
      <c r="C30" s="15">
        <v>19.9882774660358</v>
      </c>
      <c r="D30" s="24">
        <v>22.999547669422299</v>
      </c>
    </row>
    <row r="31" spans="1:4">
      <c r="A31" s="9" t="s">
        <v>286</v>
      </c>
      <c r="B31" s="15">
        <v>25.3086009936113</v>
      </c>
      <c r="C31" s="15">
        <v>26.073277583865099</v>
      </c>
      <c r="D31" s="24">
        <v>25.213817095167201</v>
      </c>
    </row>
    <row r="32" spans="1:4">
      <c r="A32" s="9" t="s">
        <v>287</v>
      </c>
      <c r="B32" s="15">
        <v>6.38101461853564</v>
      </c>
      <c r="C32" s="15">
        <v>7.0780995261024398</v>
      </c>
      <c r="D32" s="26" t="s">
        <v>76</v>
      </c>
    </row>
    <row r="33" spans="1:4">
      <c r="A33" s="9" t="s">
        <v>288</v>
      </c>
      <c r="B33" s="15">
        <v>14.9764315837349</v>
      </c>
      <c r="C33" s="15">
        <v>15.4898517223789</v>
      </c>
      <c r="D33" s="24">
        <v>13.400604848439199</v>
      </c>
    </row>
    <row r="34" spans="1:4">
      <c r="A34" s="9" t="s">
        <v>289</v>
      </c>
      <c r="B34" s="15">
        <v>33.555612779234202</v>
      </c>
      <c r="C34" s="15">
        <v>36.368784350326202</v>
      </c>
      <c r="D34" s="24">
        <v>38.478686348657099</v>
      </c>
    </row>
    <row r="35" spans="1:4">
      <c r="A35" s="9" t="s">
        <v>290</v>
      </c>
      <c r="B35" s="15">
        <v>25.0993190765363</v>
      </c>
      <c r="C35" s="15">
        <v>26.8923647536243</v>
      </c>
      <c r="D35" s="24">
        <v>24.560022857246501</v>
      </c>
    </row>
    <row r="36" spans="1:4">
      <c r="A36" s="9" t="s">
        <v>291</v>
      </c>
      <c r="B36" s="15">
        <v>15.6867138965943</v>
      </c>
      <c r="C36" s="15">
        <v>17.374007736354699</v>
      </c>
      <c r="D36" s="24">
        <v>15.379577496224201</v>
      </c>
    </row>
    <row r="37" spans="1:4">
      <c r="A37" s="9" t="s">
        <v>292</v>
      </c>
      <c r="B37" s="15">
        <v>20.992230503124599</v>
      </c>
      <c r="C37" s="15">
        <v>21.271546413759001</v>
      </c>
      <c r="D37" s="24">
        <v>17.5235120422773</v>
      </c>
    </row>
    <row r="38" spans="1:4">
      <c r="A38" s="9" t="s">
        <v>293</v>
      </c>
      <c r="B38" s="15">
        <v>29.8226247515789</v>
      </c>
      <c r="C38" s="15">
        <v>31.145441575503199</v>
      </c>
      <c r="D38" s="24">
        <v>32.517545439476699</v>
      </c>
    </row>
    <row r="39" spans="1:4">
      <c r="A39" s="9" t="s">
        <v>294</v>
      </c>
      <c r="B39" s="15">
        <v>34.396435729224301</v>
      </c>
      <c r="C39" s="15">
        <v>36.5327479817485</v>
      </c>
      <c r="D39" s="24">
        <v>36.452093096360102</v>
      </c>
    </row>
    <row r="40" spans="1:4">
      <c r="A40" s="9" t="s">
        <v>295</v>
      </c>
      <c r="B40" s="15">
        <v>17.8649809724416</v>
      </c>
      <c r="C40" s="15">
        <v>18.526343509767202</v>
      </c>
      <c r="D40" s="24">
        <v>17.337635740245801</v>
      </c>
    </row>
    <row r="41" spans="1:4">
      <c r="A41" s="9" t="s">
        <v>296</v>
      </c>
      <c r="B41" s="15">
        <v>21.692216953657798</v>
      </c>
      <c r="C41" s="15">
        <v>23.0079972170453</v>
      </c>
      <c r="D41" s="24">
        <v>23.783067214293901</v>
      </c>
    </row>
    <row r="42" spans="1:4">
      <c r="A42" s="9" t="s">
        <v>297</v>
      </c>
      <c r="B42" s="15">
        <v>12.992046515475799</v>
      </c>
      <c r="C42" s="15">
        <v>11.699306051299301</v>
      </c>
      <c r="D42" s="24">
        <v>11.3866503680284</v>
      </c>
    </row>
    <row r="43" spans="1:4">
      <c r="A43" s="9" t="s">
        <v>298</v>
      </c>
      <c r="B43" s="15">
        <v>20.456507134673199</v>
      </c>
      <c r="C43" s="15">
        <v>24.152582320177999</v>
      </c>
      <c r="D43" s="24">
        <v>24.7380115642191</v>
      </c>
    </row>
    <row r="44" spans="1:4">
      <c r="A44" s="9" t="s">
        <v>299</v>
      </c>
      <c r="B44" s="15">
        <v>33.983343501726502</v>
      </c>
      <c r="C44" s="15">
        <v>37.941607357979997</v>
      </c>
      <c r="D44" s="24">
        <v>39.779531999244199</v>
      </c>
    </row>
    <row r="45" spans="1:4">
      <c r="A45" s="9" t="s">
        <v>300</v>
      </c>
      <c r="B45" s="15">
        <v>13.793144107135999</v>
      </c>
      <c r="C45" s="15">
        <v>15.000920654870599</v>
      </c>
      <c r="D45" s="24">
        <v>11.2536572322668</v>
      </c>
    </row>
    <row r="46" spans="1:4">
      <c r="A46" s="9" t="s">
        <v>301</v>
      </c>
      <c r="B46" s="15">
        <v>23.7931543648609</v>
      </c>
      <c r="C46" s="15">
        <v>25.3500021545997</v>
      </c>
      <c r="D46" s="24">
        <v>20.543219011807299</v>
      </c>
    </row>
    <row r="47" spans="1:4">
      <c r="A47" s="9" t="s">
        <v>302</v>
      </c>
      <c r="B47" s="15">
        <v>19.919883955216999</v>
      </c>
      <c r="C47" s="15">
        <v>19.512869153035801</v>
      </c>
      <c r="D47" s="24">
        <v>19.189809229412301</v>
      </c>
    </row>
    <row r="48" spans="1:4">
      <c r="A48" s="9" t="s">
        <v>303</v>
      </c>
      <c r="B48" s="15">
        <v>13.824942819406401</v>
      </c>
      <c r="C48" s="15">
        <v>14.5047331336221</v>
      </c>
      <c r="D48" s="24">
        <v>15.1840224748577</v>
      </c>
    </row>
    <row r="49" spans="1:4">
      <c r="A49" s="9" t="s">
        <v>304</v>
      </c>
      <c r="B49" s="15">
        <v>22.802492164630099</v>
      </c>
      <c r="C49" s="15">
        <v>27.093741110916</v>
      </c>
      <c r="D49" s="24">
        <v>22.204703627010399</v>
      </c>
    </row>
    <row r="50" spans="1:4">
      <c r="A50" s="9" t="s">
        <v>305</v>
      </c>
      <c r="B50" s="15">
        <v>47.236813245078501</v>
      </c>
      <c r="C50" s="15">
        <v>47.768626411199399</v>
      </c>
      <c r="D50" s="24">
        <v>47.832024375892999</v>
      </c>
    </row>
    <row r="51" spans="1:4">
      <c r="A51" s="9" t="s">
        <v>306</v>
      </c>
      <c r="B51" s="15">
        <v>30.803619869744299</v>
      </c>
      <c r="C51" s="15">
        <v>32.300425862605898</v>
      </c>
      <c r="D51" s="24">
        <v>27.889266123735901</v>
      </c>
    </row>
    <row r="52" spans="1:4">
      <c r="A52" s="9" t="s">
        <v>307</v>
      </c>
      <c r="B52" s="15">
        <v>30.0228548239924</v>
      </c>
      <c r="C52" s="15">
        <v>33.187896897597803</v>
      </c>
      <c r="D52" s="24">
        <v>33.215064282662098</v>
      </c>
    </row>
    <row r="53" spans="1:4">
      <c r="A53" s="9" t="s">
        <v>308</v>
      </c>
      <c r="B53" s="15">
        <v>34.337447695791603</v>
      </c>
      <c r="C53" s="15">
        <v>34.700330455947302</v>
      </c>
      <c r="D53" s="24">
        <v>33.931145654696998</v>
      </c>
    </row>
    <row r="54" spans="1:4">
      <c r="A54" s="9" t="s">
        <v>309</v>
      </c>
      <c r="B54" s="15">
        <v>40.365079243576197</v>
      </c>
      <c r="C54" s="15">
        <v>37.1956740671421</v>
      </c>
      <c r="D54" s="24">
        <v>38.955051807902699</v>
      </c>
    </row>
    <row r="55" spans="1:4">
      <c r="A55" s="9" t="s">
        <v>310</v>
      </c>
      <c r="B55" s="15">
        <v>9.9319828054878805</v>
      </c>
      <c r="C55" s="15">
        <v>11.763055647170001</v>
      </c>
      <c r="D55" s="24">
        <v>11.5385874453426</v>
      </c>
    </row>
    <row r="56" spans="1:4">
      <c r="A56" s="9" t="s">
        <v>311</v>
      </c>
      <c r="B56" s="15">
        <v>14.971109122972999</v>
      </c>
      <c r="C56" s="15">
        <v>14.500061469084301</v>
      </c>
      <c r="D56" s="24">
        <v>13.7890468128299</v>
      </c>
    </row>
    <row r="57" spans="1:4">
      <c r="A57" s="9" t="s">
        <v>312</v>
      </c>
      <c r="B57" s="15">
        <v>13.7316128075071</v>
      </c>
      <c r="C57" s="15">
        <v>14.087060794580299</v>
      </c>
      <c r="D57" s="24">
        <v>14.1338965620526</v>
      </c>
    </row>
    <row r="58" spans="1:4">
      <c r="A58" s="9" t="s">
        <v>313</v>
      </c>
      <c r="B58" s="15">
        <v>32.106577673648999</v>
      </c>
      <c r="C58" s="15">
        <v>37.546426714780402</v>
      </c>
      <c r="D58" s="24">
        <v>36.760740291810698</v>
      </c>
    </row>
    <row r="59" spans="1:4">
      <c r="A59" s="9" t="s">
        <v>314</v>
      </c>
      <c r="B59" s="15">
        <v>6.7592849310593204</v>
      </c>
      <c r="C59" s="15">
        <v>5.7344436567360004</v>
      </c>
      <c r="D59" s="26" t="s">
        <v>76</v>
      </c>
    </row>
    <row r="60" spans="1:4">
      <c r="A60" s="9" t="s">
        <v>315</v>
      </c>
      <c r="B60" s="15">
        <v>6.3669254995389597</v>
      </c>
      <c r="C60" s="15">
        <v>5.8422584679352099</v>
      </c>
      <c r="D60" s="26" t="s">
        <v>76</v>
      </c>
    </row>
    <row r="61" spans="1:4">
      <c r="A61" s="9" t="s">
        <v>316</v>
      </c>
      <c r="B61" s="15">
        <v>8.8842244440959508</v>
      </c>
      <c r="C61" s="15">
        <v>8.5463124503063401</v>
      </c>
      <c r="D61" s="26" t="s">
        <v>76</v>
      </c>
    </row>
    <row r="62" spans="1:4">
      <c r="A62" s="9" t="s">
        <v>317</v>
      </c>
      <c r="B62" s="15">
        <v>12.672017089311</v>
      </c>
      <c r="C62" s="15">
        <v>14.544743669103999</v>
      </c>
      <c r="D62" s="24">
        <v>11.087588169214699</v>
      </c>
    </row>
    <row r="63" spans="1:4">
      <c r="A63" s="9" t="s">
        <v>318</v>
      </c>
      <c r="B63" s="15">
        <v>22.009077814604598</v>
      </c>
      <c r="C63" s="15">
        <v>22.261430545622801</v>
      </c>
      <c r="D63" s="24">
        <v>23.3663988210828</v>
      </c>
    </row>
    <row r="64" spans="1:4">
      <c r="A64" s="11" t="s">
        <v>319</v>
      </c>
      <c r="B64" s="16">
        <v>4.5374072265306502</v>
      </c>
      <c r="C64" s="16">
        <v>4.1886095717738696</v>
      </c>
      <c r="D64" s="29" t="s">
        <v>76</v>
      </c>
    </row>
    <row r="65" spans="1:1" ht="30" customHeight="1">
      <c r="A65" t="s">
        <v>252</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70"/>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354</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9" t="s">
        <v>258</v>
      </c>
      <c r="B3" s="15">
        <v>20.153783325614199</v>
      </c>
      <c r="C3" s="15">
        <v>20.220013294411</v>
      </c>
      <c r="D3" s="24">
        <v>20.100297945594502</v>
      </c>
      <c r="E3" s="15">
        <v>19.297306573661601</v>
      </c>
      <c r="F3" s="15">
        <v>21.6587786503306</v>
      </c>
      <c r="G3" s="24">
        <v>17.376536116927099</v>
      </c>
      <c r="H3" s="15">
        <v>20.9114197214119</v>
      </c>
      <c r="I3" s="15">
        <v>18.760017739969999</v>
      </c>
      <c r="J3" s="24">
        <v>22.686806650305499</v>
      </c>
      <c r="K3" s="20" t="s">
        <v>76</v>
      </c>
      <c r="L3" s="20" t="s">
        <v>76</v>
      </c>
      <c r="M3" s="26" t="s">
        <v>76</v>
      </c>
      <c r="N3" s="15">
        <v>21.638264244820199</v>
      </c>
      <c r="O3" s="20" t="s">
        <v>76</v>
      </c>
      <c r="P3" s="26" t="s">
        <v>76</v>
      </c>
    </row>
    <row r="4" spans="1:16">
      <c r="A4" s="9" t="s">
        <v>259</v>
      </c>
      <c r="B4" s="15">
        <v>9.2422459260131795</v>
      </c>
      <c r="C4" s="15">
        <v>13.1095388654867</v>
      </c>
      <c r="D4" s="24">
        <v>6.11913359072574</v>
      </c>
      <c r="E4" s="15">
        <v>8.7839848116054196</v>
      </c>
      <c r="F4" s="15">
        <v>12.826780149137599</v>
      </c>
      <c r="G4" s="24">
        <v>5.4956622759822498</v>
      </c>
      <c r="H4" s="15">
        <v>9.8217100300660807</v>
      </c>
      <c r="I4" s="15">
        <v>13.5407201451122</v>
      </c>
      <c r="J4" s="24">
        <v>6.7526964270152003</v>
      </c>
      <c r="K4" s="20" t="s">
        <v>76</v>
      </c>
      <c r="L4" s="20" t="s">
        <v>76</v>
      </c>
      <c r="M4" s="26" t="s">
        <v>76</v>
      </c>
      <c r="N4" s="20" t="s">
        <v>76</v>
      </c>
      <c r="O4" s="20" t="s">
        <v>76</v>
      </c>
      <c r="P4" s="26" t="s">
        <v>76</v>
      </c>
    </row>
    <row r="5" spans="1:16">
      <c r="A5" s="9" t="s">
        <v>260</v>
      </c>
      <c r="B5" s="15">
        <v>9.9053527327890407</v>
      </c>
      <c r="C5" s="15">
        <v>8.1387675149679808</v>
      </c>
      <c r="D5" s="24">
        <v>11.331995133937101</v>
      </c>
      <c r="E5" s="15">
        <v>9.0920166152068997</v>
      </c>
      <c r="F5" s="15">
        <v>8.2369533654613605</v>
      </c>
      <c r="G5" s="24">
        <v>9.7875066211980908</v>
      </c>
      <c r="H5" s="15">
        <v>10.7478046976403</v>
      </c>
      <c r="I5" s="15">
        <v>8.1832741648186094</v>
      </c>
      <c r="J5" s="24">
        <v>12.864114911163799</v>
      </c>
      <c r="K5" s="20" t="s">
        <v>76</v>
      </c>
      <c r="L5" s="20" t="s">
        <v>76</v>
      </c>
      <c r="M5" s="26" t="s">
        <v>76</v>
      </c>
      <c r="N5" s="20" t="s">
        <v>76</v>
      </c>
      <c r="O5" s="20" t="s">
        <v>76</v>
      </c>
      <c r="P5" s="26" t="s">
        <v>76</v>
      </c>
    </row>
    <row r="6" spans="1:16">
      <c r="A6" s="9" t="s">
        <v>261</v>
      </c>
      <c r="B6" s="15">
        <v>13.399871467044299</v>
      </c>
      <c r="C6" s="15">
        <v>14.796929310554599</v>
      </c>
      <c r="D6" s="24">
        <v>12.2716485337252</v>
      </c>
      <c r="E6" s="15">
        <v>12.733011564468001</v>
      </c>
      <c r="F6" s="15">
        <v>13.9938556296815</v>
      </c>
      <c r="G6" s="24">
        <v>11.7074681947463</v>
      </c>
      <c r="H6" s="15">
        <v>14.490931062379</v>
      </c>
      <c r="I6" s="15">
        <v>16.070914223762799</v>
      </c>
      <c r="J6" s="24">
        <v>13.1870922276147</v>
      </c>
      <c r="K6" s="20" t="s">
        <v>76</v>
      </c>
      <c r="L6" s="20" t="s">
        <v>76</v>
      </c>
      <c r="M6" s="26" t="s">
        <v>76</v>
      </c>
      <c r="N6" s="20" t="s">
        <v>76</v>
      </c>
      <c r="O6" s="20" t="s">
        <v>76</v>
      </c>
      <c r="P6" s="26" t="s">
        <v>76</v>
      </c>
    </row>
    <row r="7" spans="1:16">
      <c r="A7" s="9" t="s">
        <v>262</v>
      </c>
      <c r="B7" s="15">
        <v>11.389539591500499</v>
      </c>
      <c r="C7" s="15">
        <v>13.686934493187</v>
      </c>
      <c r="D7" s="24">
        <v>9.5342308603599708</v>
      </c>
      <c r="E7" s="15">
        <v>13.839433624747</v>
      </c>
      <c r="F7" s="15">
        <v>16.444333339834799</v>
      </c>
      <c r="G7" s="24">
        <v>11.720664376984301</v>
      </c>
      <c r="H7" s="15">
        <v>8.6102875925640703</v>
      </c>
      <c r="I7" s="15">
        <v>10.5516728934887</v>
      </c>
      <c r="J7" s="24">
        <v>7.0082113107073498</v>
      </c>
      <c r="K7" s="20" t="s">
        <v>76</v>
      </c>
      <c r="L7" s="20" t="s">
        <v>76</v>
      </c>
      <c r="M7" s="26" t="s">
        <v>76</v>
      </c>
      <c r="N7" s="20" t="s">
        <v>76</v>
      </c>
      <c r="O7" s="20" t="s">
        <v>76</v>
      </c>
      <c r="P7" s="26" t="s">
        <v>76</v>
      </c>
    </row>
    <row r="8" spans="1:16">
      <c r="A8" s="9" t="s">
        <v>263</v>
      </c>
      <c r="B8" s="15">
        <v>2.0168393927759198</v>
      </c>
      <c r="C8" s="15">
        <v>2.7305674958048698</v>
      </c>
      <c r="D8" s="24">
        <v>1.44045351317032</v>
      </c>
      <c r="E8" s="15">
        <v>2.3123219722796802</v>
      </c>
      <c r="F8" s="15">
        <v>3.2194230593803299</v>
      </c>
      <c r="G8" s="24">
        <v>1.5745055116962201</v>
      </c>
      <c r="H8" s="15">
        <v>1.71359453418479</v>
      </c>
      <c r="I8" s="15">
        <v>2.20219290998488</v>
      </c>
      <c r="J8" s="26" t="s">
        <v>76</v>
      </c>
      <c r="K8" s="20" t="s">
        <v>76</v>
      </c>
      <c r="L8" s="20" t="s">
        <v>76</v>
      </c>
      <c r="M8" s="26" t="s">
        <v>76</v>
      </c>
      <c r="N8" s="20" t="s">
        <v>76</v>
      </c>
      <c r="O8" s="20" t="s">
        <v>76</v>
      </c>
      <c r="P8" s="26" t="s">
        <v>76</v>
      </c>
    </row>
    <row r="9" spans="1:16">
      <c r="A9" s="9" t="s">
        <v>264</v>
      </c>
      <c r="B9" s="15">
        <v>6.2878279396600698</v>
      </c>
      <c r="C9" s="15">
        <v>8.5434036426664104</v>
      </c>
      <c r="D9" s="24">
        <v>4.4662911666550604</v>
      </c>
      <c r="E9" s="15">
        <v>6.9564393816301502</v>
      </c>
      <c r="F9" s="15">
        <v>10.048210226304001</v>
      </c>
      <c r="G9" s="24">
        <v>4.4416596575272598</v>
      </c>
      <c r="H9" s="15">
        <v>5.5670926299754999</v>
      </c>
      <c r="I9" s="15">
        <v>7.0234806579898299</v>
      </c>
      <c r="J9" s="24">
        <v>4.3652473724933198</v>
      </c>
      <c r="K9" s="20" t="s">
        <v>76</v>
      </c>
      <c r="L9" s="20" t="s">
        <v>76</v>
      </c>
      <c r="M9" s="26" t="s">
        <v>76</v>
      </c>
      <c r="N9" s="20" t="s">
        <v>76</v>
      </c>
      <c r="O9" s="20" t="s">
        <v>76</v>
      </c>
      <c r="P9" s="26" t="s">
        <v>76</v>
      </c>
    </row>
    <row r="10" spans="1:16">
      <c r="A10" s="9" t="s">
        <v>265</v>
      </c>
      <c r="B10" s="15">
        <v>17.053473257617199</v>
      </c>
      <c r="C10" s="15">
        <v>15.6684977370361</v>
      </c>
      <c r="D10" s="24">
        <v>18.171938861359799</v>
      </c>
      <c r="E10" s="15">
        <v>21.191255664115399</v>
      </c>
      <c r="F10" s="15">
        <v>20.744567172655799</v>
      </c>
      <c r="G10" s="24">
        <v>21.554582449232001</v>
      </c>
      <c r="H10" s="15">
        <v>13.0109330273457</v>
      </c>
      <c r="I10" s="15">
        <v>10.508084850475001</v>
      </c>
      <c r="J10" s="24">
        <v>15.0763415268038</v>
      </c>
      <c r="K10" s="20" t="s">
        <v>76</v>
      </c>
      <c r="L10" s="20" t="s">
        <v>76</v>
      </c>
      <c r="M10" s="26" t="s">
        <v>76</v>
      </c>
      <c r="N10" s="20" t="s">
        <v>76</v>
      </c>
      <c r="O10" s="20" t="s">
        <v>76</v>
      </c>
      <c r="P10" s="26" t="s">
        <v>76</v>
      </c>
    </row>
    <row r="11" spans="1:16">
      <c r="A11" s="9" t="s">
        <v>266</v>
      </c>
      <c r="B11" s="15">
        <v>16.608973572039901</v>
      </c>
      <c r="C11" s="15">
        <v>17.0474964703049</v>
      </c>
      <c r="D11" s="24">
        <v>16.254835342970601</v>
      </c>
      <c r="E11" s="15">
        <v>15.0659514682674</v>
      </c>
      <c r="F11" s="15">
        <v>16.647141390647</v>
      </c>
      <c r="G11" s="24">
        <v>13.7798456873017</v>
      </c>
      <c r="H11" s="15">
        <v>18.381332539761001</v>
      </c>
      <c r="I11" s="15">
        <v>17.578382313308101</v>
      </c>
      <c r="J11" s="24">
        <v>19.043945732875699</v>
      </c>
      <c r="K11" s="20" t="s">
        <v>76</v>
      </c>
      <c r="L11" s="20" t="s">
        <v>76</v>
      </c>
      <c r="M11" s="26" t="s">
        <v>76</v>
      </c>
      <c r="N11" s="20" t="s">
        <v>76</v>
      </c>
      <c r="O11" s="20" t="s">
        <v>76</v>
      </c>
      <c r="P11" s="26" t="s">
        <v>76</v>
      </c>
    </row>
    <row r="12" spans="1:16">
      <c r="A12" s="9" t="s">
        <v>267</v>
      </c>
      <c r="B12" s="15">
        <v>13.616720300414499</v>
      </c>
      <c r="C12" s="15">
        <v>14.606868101614801</v>
      </c>
      <c r="D12" s="24">
        <v>12.8171059810225</v>
      </c>
      <c r="E12" s="15">
        <v>14.4884398358074</v>
      </c>
      <c r="F12" s="15">
        <v>16.847179049868899</v>
      </c>
      <c r="G12" s="24">
        <v>12.5698922305777</v>
      </c>
      <c r="H12" s="15">
        <v>12.392987577688301</v>
      </c>
      <c r="I12" s="15">
        <v>12.121597392515</v>
      </c>
      <c r="J12" s="24">
        <v>12.616945067521799</v>
      </c>
      <c r="K12" s="20" t="s">
        <v>76</v>
      </c>
      <c r="L12" s="20" t="s">
        <v>76</v>
      </c>
      <c r="M12" s="26" t="s">
        <v>76</v>
      </c>
      <c r="N12" s="20" t="s">
        <v>76</v>
      </c>
      <c r="O12" s="20" t="s">
        <v>76</v>
      </c>
      <c r="P12" s="26" t="s">
        <v>76</v>
      </c>
    </row>
    <row r="13" spans="1:16">
      <c r="A13" s="9" t="s">
        <v>268</v>
      </c>
      <c r="B13" s="15">
        <v>9.8009565870036397</v>
      </c>
      <c r="C13" s="15">
        <v>12.2733891354256</v>
      </c>
      <c r="D13" s="24">
        <v>7.8042925868894102</v>
      </c>
      <c r="E13" s="15">
        <v>2.1906934566454699</v>
      </c>
      <c r="F13" s="15">
        <v>2.9200782417973601</v>
      </c>
      <c r="G13" s="24">
        <v>1.5974276032175101</v>
      </c>
      <c r="H13" s="15">
        <v>17.955269839616701</v>
      </c>
      <c r="I13" s="15">
        <v>21.989094417087799</v>
      </c>
      <c r="J13" s="24">
        <v>14.626464023656601</v>
      </c>
      <c r="K13" s="20" t="s">
        <v>76</v>
      </c>
      <c r="L13" s="20" t="s">
        <v>76</v>
      </c>
      <c r="M13" s="26" t="s">
        <v>76</v>
      </c>
      <c r="N13" s="20" t="s">
        <v>76</v>
      </c>
      <c r="O13" s="20" t="s">
        <v>76</v>
      </c>
      <c r="P13" s="26" t="s">
        <v>76</v>
      </c>
    </row>
    <row r="14" spans="1:16">
      <c r="A14" s="9" t="s">
        <v>269</v>
      </c>
      <c r="B14" s="15">
        <v>15.592570593058699</v>
      </c>
      <c r="C14" s="15">
        <v>16.1896723170793</v>
      </c>
      <c r="D14" s="24">
        <v>15.110368756038399</v>
      </c>
      <c r="E14" s="15">
        <v>14.017281344932799</v>
      </c>
      <c r="F14" s="15">
        <v>14.816225768456199</v>
      </c>
      <c r="G14" s="24">
        <v>13.367437181862799</v>
      </c>
      <c r="H14" s="15">
        <v>17.220948571237699</v>
      </c>
      <c r="I14" s="15">
        <v>17.569912855659499</v>
      </c>
      <c r="J14" s="24">
        <v>16.932975131333301</v>
      </c>
      <c r="K14" s="20" t="s">
        <v>76</v>
      </c>
      <c r="L14" s="20" t="s">
        <v>76</v>
      </c>
      <c r="M14" s="26" t="s">
        <v>76</v>
      </c>
      <c r="N14" s="20" t="s">
        <v>76</v>
      </c>
      <c r="O14" s="20" t="s">
        <v>76</v>
      </c>
      <c r="P14" s="26" t="s">
        <v>76</v>
      </c>
    </row>
    <row r="15" spans="1:16">
      <c r="A15" s="9" t="s">
        <v>270</v>
      </c>
      <c r="B15" s="15">
        <v>8.4677020887136507</v>
      </c>
      <c r="C15" s="15">
        <v>9.2605267073840896</v>
      </c>
      <c r="D15" s="24">
        <v>7.8274401832821301</v>
      </c>
      <c r="E15" s="15">
        <v>9.7931546641118992</v>
      </c>
      <c r="F15" s="15">
        <v>11.1809696949732</v>
      </c>
      <c r="G15" s="24">
        <v>8.6643358493451395</v>
      </c>
      <c r="H15" s="15">
        <v>7.1628605259297098</v>
      </c>
      <c r="I15" s="15">
        <v>7.5090747673098397</v>
      </c>
      <c r="J15" s="24">
        <v>6.8771564854736704</v>
      </c>
      <c r="K15" s="20" t="s">
        <v>76</v>
      </c>
      <c r="L15" s="20" t="s">
        <v>76</v>
      </c>
      <c r="M15" s="26" t="s">
        <v>76</v>
      </c>
      <c r="N15" s="20" t="s">
        <v>76</v>
      </c>
      <c r="O15" s="20" t="s">
        <v>76</v>
      </c>
      <c r="P15" s="26" t="s">
        <v>76</v>
      </c>
    </row>
    <row r="16" spans="1:16">
      <c r="A16" s="9" t="s">
        <v>271</v>
      </c>
      <c r="B16" s="15">
        <v>5.2525646872739502</v>
      </c>
      <c r="C16" s="15">
        <v>6.86195670214481</v>
      </c>
      <c r="D16" s="24">
        <v>3.9528669057450099</v>
      </c>
      <c r="E16" s="15">
        <v>6.3448600967506801</v>
      </c>
      <c r="F16" s="15">
        <v>8.5877144482271994</v>
      </c>
      <c r="G16" s="24">
        <v>4.5205707394312302</v>
      </c>
      <c r="H16" s="15">
        <v>4.2335764954236899</v>
      </c>
      <c r="I16" s="15">
        <v>5.1675992667848796</v>
      </c>
      <c r="J16" s="24">
        <v>3.4627991911970701</v>
      </c>
      <c r="K16" s="20" t="s">
        <v>76</v>
      </c>
      <c r="L16" s="20" t="s">
        <v>76</v>
      </c>
      <c r="M16" s="26" t="s">
        <v>76</v>
      </c>
      <c r="N16" s="20" t="s">
        <v>76</v>
      </c>
      <c r="O16" s="20" t="s">
        <v>76</v>
      </c>
      <c r="P16" s="26" t="s">
        <v>76</v>
      </c>
    </row>
    <row r="17" spans="1:16">
      <c r="A17" s="9" t="s">
        <v>272</v>
      </c>
      <c r="B17" s="15">
        <v>8.6625661441264601</v>
      </c>
      <c r="C17" s="15">
        <v>9.9834310007739901</v>
      </c>
      <c r="D17" s="24">
        <v>7.5958744319632903</v>
      </c>
      <c r="E17" s="15">
        <v>8.7885186476621904</v>
      </c>
      <c r="F17" s="15">
        <v>10.315806899847299</v>
      </c>
      <c r="G17" s="24">
        <v>7.5462553227226099</v>
      </c>
      <c r="H17" s="15">
        <v>8.5879280611887907</v>
      </c>
      <c r="I17" s="15">
        <v>9.7679977692987592</v>
      </c>
      <c r="J17" s="24">
        <v>7.6141071048849698</v>
      </c>
      <c r="K17" s="20" t="s">
        <v>76</v>
      </c>
      <c r="L17" s="20" t="s">
        <v>76</v>
      </c>
      <c r="M17" s="26" t="s">
        <v>76</v>
      </c>
      <c r="N17" s="20" t="s">
        <v>76</v>
      </c>
      <c r="O17" s="20" t="s">
        <v>76</v>
      </c>
      <c r="P17" s="26" t="s">
        <v>76</v>
      </c>
    </row>
    <row r="18" spans="1:16">
      <c r="A18" s="9" t="s">
        <v>273</v>
      </c>
      <c r="B18" s="15">
        <v>5.6591360838940501</v>
      </c>
      <c r="C18" s="15">
        <v>6.6496851790677702</v>
      </c>
      <c r="D18" s="24">
        <v>4.8591976912606798</v>
      </c>
      <c r="E18" s="15">
        <v>2.4840745166015799</v>
      </c>
      <c r="F18" s="15">
        <v>3.8278509914338898</v>
      </c>
      <c r="G18" s="24">
        <v>1.3910757135188001</v>
      </c>
      <c r="H18" s="15">
        <v>9.0702933481353103</v>
      </c>
      <c r="I18" s="15">
        <v>9.7324557979838904</v>
      </c>
      <c r="J18" s="24">
        <v>8.5238615011787502</v>
      </c>
      <c r="K18" s="20" t="s">
        <v>76</v>
      </c>
      <c r="L18" s="20" t="s">
        <v>76</v>
      </c>
      <c r="M18" s="26" t="s">
        <v>76</v>
      </c>
      <c r="N18" s="20" t="s">
        <v>76</v>
      </c>
      <c r="O18" s="20" t="s">
        <v>76</v>
      </c>
      <c r="P18" s="26" t="s">
        <v>76</v>
      </c>
    </row>
    <row r="19" spans="1:16">
      <c r="A19" s="9" t="s">
        <v>274</v>
      </c>
      <c r="B19" s="15">
        <v>11.9300957363166</v>
      </c>
      <c r="C19" s="15">
        <v>10.4710101925006</v>
      </c>
      <c r="D19" s="24">
        <v>13.108410420890699</v>
      </c>
      <c r="E19" s="15">
        <v>12.1764525752123</v>
      </c>
      <c r="F19" s="15">
        <v>11.595216273631999</v>
      </c>
      <c r="G19" s="24">
        <v>12.649217647256499</v>
      </c>
      <c r="H19" s="15">
        <v>11.693986846021</v>
      </c>
      <c r="I19" s="15">
        <v>9.4344562462113402</v>
      </c>
      <c r="J19" s="24">
        <v>13.5586040244659</v>
      </c>
      <c r="K19" s="20" t="s">
        <v>76</v>
      </c>
      <c r="L19" s="20" t="s">
        <v>76</v>
      </c>
      <c r="M19" s="26" t="s">
        <v>76</v>
      </c>
      <c r="N19" s="20" t="s">
        <v>76</v>
      </c>
      <c r="O19" s="20" t="s">
        <v>76</v>
      </c>
      <c r="P19" s="26" t="s">
        <v>76</v>
      </c>
    </row>
    <row r="20" spans="1:16">
      <c r="A20" s="9" t="s">
        <v>275</v>
      </c>
      <c r="B20" s="15">
        <v>11.992402338776399</v>
      </c>
      <c r="C20" s="15">
        <v>12.8454515195945</v>
      </c>
      <c r="D20" s="24">
        <v>11.3035048435733</v>
      </c>
      <c r="E20" s="15">
        <v>13.1097572680935</v>
      </c>
      <c r="F20" s="15">
        <v>15.4455345584336</v>
      </c>
      <c r="G20" s="24">
        <v>11.209886396393401</v>
      </c>
      <c r="H20" s="15">
        <v>10.4349549724372</v>
      </c>
      <c r="I20" s="15">
        <v>9.9727858899800204</v>
      </c>
      <c r="J20" s="24">
        <v>10.816347643361199</v>
      </c>
      <c r="K20" s="20" t="s">
        <v>76</v>
      </c>
      <c r="L20" s="20" t="s">
        <v>76</v>
      </c>
      <c r="M20" s="26" t="s">
        <v>76</v>
      </c>
      <c r="N20" s="20" t="s">
        <v>76</v>
      </c>
      <c r="O20" s="20" t="s">
        <v>76</v>
      </c>
      <c r="P20" s="26" t="s">
        <v>76</v>
      </c>
    </row>
    <row r="21" spans="1:16">
      <c r="A21" s="9" t="s">
        <v>276</v>
      </c>
      <c r="B21" s="15">
        <v>5.1920582412024503</v>
      </c>
      <c r="C21" s="15">
        <v>6.4360567384762</v>
      </c>
      <c r="D21" s="24">
        <v>4.1874415460824803</v>
      </c>
      <c r="E21" s="15">
        <v>4.5230503193667202</v>
      </c>
      <c r="F21" s="15">
        <v>6.6799321215953702</v>
      </c>
      <c r="G21" s="24">
        <v>2.7686891794151398</v>
      </c>
      <c r="H21" s="15">
        <v>5.9387193280094897</v>
      </c>
      <c r="I21" s="15">
        <v>6.2619863354019998</v>
      </c>
      <c r="J21" s="24">
        <v>5.6719518784961496</v>
      </c>
      <c r="K21" s="20" t="s">
        <v>76</v>
      </c>
      <c r="L21" s="20" t="s">
        <v>76</v>
      </c>
      <c r="M21" s="26" t="s">
        <v>76</v>
      </c>
      <c r="N21" s="20" t="s">
        <v>76</v>
      </c>
      <c r="O21" s="20" t="s">
        <v>76</v>
      </c>
      <c r="P21" s="26" t="s">
        <v>76</v>
      </c>
    </row>
    <row r="22" spans="1:16">
      <c r="A22" s="9" t="s">
        <v>277</v>
      </c>
      <c r="B22" s="15">
        <v>10.627908238757501</v>
      </c>
      <c r="C22" s="15">
        <v>14.144709381944301</v>
      </c>
      <c r="D22" s="24">
        <v>7.7878427968737496</v>
      </c>
      <c r="E22" s="15">
        <v>14.0219897335702</v>
      </c>
      <c r="F22" s="15">
        <v>18.1976204985131</v>
      </c>
      <c r="G22" s="24">
        <v>10.6256217261842</v>
      </c>
      <c r="H22" s="15">
        <v>7.1587430077588596</v>
      </c>
      <c r="I22" s="15">
        <v>10.174893495832</v>
      </c>
      <c r="J22" s="24">
        <v>4.6697455083179804</v>
      </c>
      <c r="K22" s="20" t="s">
        <v>76</v>
      </c>
      <c r="L22" s="20" t="s">
        <v>76</v>
      </c>
      <c r="M22" s="26" t="s">
        <v>76</v>
      </c>
      <c r="N22" s="20" t="s">
        <v>76</v>
      </c>
      <c r="O22" s="20" t="s">
        <v>76</v>
      </c>
      <c r="P22" s="26" t="s">
        <v>76</v>
      </c>
    </row>
    <row r="23" spans="1:16">
      <c r="A23" s="9" t="s">
        <v>278</v>
      </c>
      <c r="B23" s="15">
        <v>7.4063980043325701</v>
      </c>
      <c r="C23" s="15">
        <v>7.8891384937702798</v>
      </c>
      <c r="D23" s="24">
        <v>7.0165509457048199</v>
      </c>
      <c r="E23" s="15">
        <v>4.1340886386884703</v>
      </c>
      <c r="F23" s="15">
        <v>5.3944132830160996</v>
      </c>
      <c r="G23" s="24">
        <v>3.1089677547127899</v>
      </c>
      <c r="H23" s="15">
        <v>10.8705874384908</v>
      </c>
      <c r="I23" s="15">
        <v>10.5616961371366</v>
      </c>
      <c r="J23" s="24">
        <v>11.1254917211881</v>
      </c>
      <c r="K23" s="20" t="s">
        <v>76</v>
      </c>
      <c r="L23" s="20" t="s">
        <v>76</v>
      </c>
      <c r="M23" s="26" t="s">
        <v>76</v>
      </c>
      <c r="N23" s="20" t="s">
        <v>76</v>
      </c>
      <c r="O23" s="20" t="s">
        <v>76</v>
      </c>
      <c r="P23" s="26" t="s">
        <v>76</v>
      </c>
    </row>
    <row r="24" spans="1:16">
      <c r="A24" s="9" t="s">
        <v>279</v>
      </c>
      <c r="B24" s="15">
        <v>4.68390411095963</v>
      </c>
      <c r="C24" s="15">
        <v>5.5498381269001698</v>
      </c>
      <c r="D24" s="24">
        <v>3.9846012008736298</v>
      </c>
      <c r="E24" s="15">
        <v>4.4101527107665897</v>
      </c>
      <c r="F24" s="15">
        <v>5.4853567204974096</v>
      </c>
      <c r="G24" s="24">
        <v>3.5356049584313398</v>
      </c>
      <c r="H24" s="15">
        <v>5.0493982810203404</v>
      </c>
      <c r="I24" s="15">
        <v>5.7445688643406303</v>
      </c>
      <c r="J24" s="24">
        <v>4.4757273549802896</v>
      </c>
      <c r="K24" s="20" t="s">
        <v>76</v>
      </c>
      <c r="L24" s="20" t="s">
        <v>76</v>
      </c>
      <c r="M24" s="26" t="s">
        <v>76</v>
      </c>
      <c r="N24" s="20" t="s">
        <v>76</v>
      </c>
      <c r="O24" s="20" t="s">
        <v>76</v>
      </c>
      <c r="P24" s="26" t="s">
        <v>76</v>
      </c>
    </row>
    <row r="25" spans="1:16">
      <c r="A25" s="9" t="s">
        <v>280</v>
      </c>
      <c r="B25" s="15">
        <v>2.7188375330852801</v>
      </c>
      <c r="C25" s="15">
        <v>3.3845309391809502</v>
      </c>
      <c r="D25" s="24">
        <v>2.18124306567988</v>
      </c>
      <c r="E25" s="15">
        <v>3.0396833605175799</v>
      </c>
      <c r="F25" s="15">
        <v>3.8822141433549602</v>
      </c>
      <c r="G25" s="24">
        <v>2.3543869928187902</v>
      </c>
      <c r="H25" s="15">
        <v>2.4007351854439101</v>
      </c>
      <c r="I25" s="15">
        <v>2.8658197811045198</v>
      </c>
      <c r="J25" s="24">
        <v>2.0169365652473301</v>
      </c>
      <c r="K25" s="20" t="s">
        <v>76</v>
      </c>
      <c r="L25" s="20" t="s">
        <v>76</v>
      </c>
      <c r="M25" s="26" t="s">
        <v>76</v>
      </c>
      <c r="N25" s="20" t="s">
        <v>76</v>
      </c>
      <c r="O25" s="20" t="s">
        <v>76</v>
      </c>
      <c r="P25" s="26" t="s">
        <v>76</v>
      </c>
    </row>
    <row r="26" spans="1:16">
      <c r="A26" s="9" t="s">
        <v>281</v>
      </c>
      <c r="B26" s="15">
        <v>11.3593623721809</v>
      </c>
      <c r="C26" s="15">
        <v>12.849246588666499</v>
      </c>
      <c r="D26" s="24">
        <v>10.1561755830029</v>
      </c>
      <c r="E26" s="15">
        <v>13.0118837435415</v>
      </c>
      <c r="F26" s="15">
        <v>14.431640188861801</v>
      </c>
      <c r="G26" s="24">
        <v>11.857084471141899</v>
      </c>
      <c r="H26" s="15">
        <v>9.9006936512001804</v>
      </c>
      <c r="I26" s="15">
        <v>11.3440961499926</v>
      </c>
      <c r="J26" s="24">
        <v>8.7095643543075205</v>
      </c>
      <c r="K26" s="20" t="s">
        <v>76</v>
      </c>
      <c r="L26" s="20" t="s">
        <v>76</v>
      </c>
      <c r="M26" s="26" t="s">
        <v>76</v>
      </c>
      <c r="N26" s="20" t="s">
        <v>76</v>
      </c>
      <c r="O26" s="20" t="s">
        <v>76</v>
      </c>
      <c r="P26" s="26" t="s">
        <v>76</v>
      </c>
    </row>
    <row r="27" spans="1:16">
      <c r="A27" s="9" t="s">
        <v>282</v>
      </c>
      <c r="B27" s="15">
        <v>10.6508285597175</v>
      </c>
      <c r="C27" s="15">
        <v>13.445848377939001</v>
      </c>
      <c r="D27" s="24">
        <v>8.3936525432431797</v>
      </c>
      <c r="E27" s="15">
        <v>3.7331694155653801</v>
      </c>
      <c r="F27" s="15">
        <v>5.1602060344227798</v>
      </c>
      <c r="G27" s="24">
        <v>2.5724486070238601</v>
      </c>
      <c r="H27" s="15">
        <v>17.987143235431699</v>
      </c>
      <c r="I27" s="15">
        <v>22.1318109544492</v>
      </c>
      <c r="J27" s="24">
        <v>14.5668670822885</v>
      </c>
      <c r="K27" s="20" t="s">
        <v>76</v>
      </c>
      <c r="L27" s="20" t="s">
        <v>76</v>
      </c>
      <c r="M27" s="26" t="s">
        <v>76</v>
      </c>
      <c r="N27" s="20" t="s">
        <v>76</v>
      </c>
      <c r="O27" s="20" t="s">
        <v>76</v>
      </c>
      <c r="P27" s="26" t="s">
        <v>76</v>
      </c>
    </row>
    <row r="28" spans="1:16">
      <c r="A28" s="9" t="s">
        <v>283</v>
      </c>
      <c r="B28" s="15">
        <v>17.032142619668502</v>
      </c>
      <c r="C28" s="15">
        <v>21.406066620097501</v>
      </c>
      <c r="D28" s="24">
        <v>13.4998899009983</v>
      </c>
      <c r="E28" s="15">
        <v>9.4296396597276093</v>
      </c>
      <c r="F28" s="15">
        <v>13.3402004473812</v>
      </c>
      <c r="G28" s="24">
        <v>6.2488738550418201</v>
      </c>
      <c r="H28" s="15">
        <v>25.057766410979301</v>
      </c>
      <c r="I28" s="15">
        <v>29.868197306685801</v>
      </c>
      <c r="J28" s="24">
        <v>21.088087007384399</v>
      </c>
      <c r="K28" s="20" t="s">
        <v>76</v>
      </c>
      <c r="L28" s="20" t="s">
        <v>76</v>
      </c>
      <c r="M28" s="26" t="s">
        <v>76</v>
      </c>
      <c r="N28" s="20" t="s">
        <v>76</v>
      </c>
      <c r="O28" s="20" t="s">
        <v>76</v>
      </c>
      <c r="P28" s="26" t="s">
        <v>76</v>
      </c>
    </row>
    <row r="29" spans="1:16">
      <c r="A29" s="9" t="s">
        <v>284</v>
      </c>
      <c r="B29" s="15">
        <v>9.3136252668997201</v>
      </c>
      <c r="C29" s="15">
        <v>10.3920418060319</v>
      </c>
      <c r="D29" s="24">
        <v>8.4427277040168196</v>
      </c>
      <c r="E29" s="15">
        <v>9.7416539567163998</v>
      </c>
      <c r="F29" s="15">
        <v>11.865323915936701</v>
      </c>
      <c r="G29" s="24">
        <v>8.0143066135800893</v>
      </c>
      <c r="H29" s="15">
        <v>8.9170577296246591</v>
      </c>
      <c r="I29" s="15">
        <v>8.9557151577695002</v>
      </c>
      <c r="J29" s="24">
        <v>8.8851567212473306</v>
      </c>
      <c r="K29" s="20" t="s">
        <v>76</v>
      </c>
      <c r="L29" s="20" t="s">
        <v>76</v>
      </c>
      <c r="M29" s="26" t="s">
        <v>76</v>
      </c>
      <c r="N29" s="20" t="s">
        <v>76</v>
      </c>
      <c r="O29" s="20" t="s">
        <v>76</v>
      </c>
      <c r="P29" s="26" t="s">
        <v>76</v>
      </c>
    </row>
    <row r="30" spans="1:16">
      <c r="A30" s="9" t="s">
        <v>285</v>
      </c>
      <c r="B30" s="15">
        <v>9.9634330417165096</v>
      </c>
      <c r="C30" s="15">
        <v>10.7937036943331</v>
      </c>
      <c r="D30" s="24">
        <v>9.2929308177067806</v>
      </c>
      <c r="E30" s="15">
        <v>11.5149072330134</v>
      </c>
      <c r="F30" s="15">
        <v>13.349223892008901</v>
      </c>
      <c r="G30" s="24">
        <v>10.0229136237287</v>
      </c>
      <c r="H30" s="15">
        <v>8.2829148564609607</v>
      </c>
      <c r="I30" s="15">
        <v>8.0250302785525793</v>
      </c>
      <c r="J30" s="24">
        <v>8.4957272052136297</v>
      </c>
      <c r="K30" s="20" t="s">
        <v>76</v>
      </c>
      <c r="L30" s="20" t="s">
        <v>76</v>
      </c>
      <c r="M30" s="26" t="s">
        <v>76</v>
      </c>
      <c r="N30" s="20" t="s">
        <v>76</v>
      </c>
      <c r="O30" s="20" t="s">
        <v>76</v>
      </c>
      <c r="P30" s="26" t="s">
        <v>76</v>
      </c>
    </row>
    <row r="31" spans="1:16">
      <c r="A31" s="9" t="s">
        <v>286</v>
      </c>
      <c r="B31" s="15">
        <v>14.331348543710799</v>
      </c>
      <c r="C31" s="15">
        <v>17.779048010690602</v>
      </c>
      <c r="D31" s="24">
        <v>11.5470875885129</v>
      </c>
      <c r="E31" s="15">
        <v>14.380738646442801</v>
      </c>
      <c r="F31" s="15">
        <v>18.908601768024202</v>
      </c>
      <c r="G31" s="24">
        <v>10.6978724368459</v>
      </c>
      <c r="H31" s="15">
        <v>14.175925988764799</v>
      </c>
      <c r="I31" s="15">
        <v>16.2293139759105</v>
      </c>
      <c r="J31" s="24">
        <v>12.4814224865034</v>
      </c>
      <c r="K31" s="20" t="s">
        <v>76</v>
      </c>
      <c r="L31" s="20" t="s">
        <v>76</v>
      </c>
      <c r="M31" s="26" t="s">
        <v>76</v>
      </c>
      <c r="N31" s="15">
        <v>18.189810645497602</v>
      </c>
      <c r="O31" s="20" t="s">
        <v>76</v>
      </c>
      <c r="P31" s="26" t="s">
        <v>76</v>
      </c>
    </row>
    <row r="32" spans="1:16">
      <c r="A32" s="9" t="s">
        <v>287</v>
      </c>
      <c r="B32" s="15">
        <v>4.2967043934747897</v>
      </c>
      <c r="C32" s="15">
        <v>3.7705328556485598</v>
      </c>
      <c r="D32" s="24">
        <v>4.7216250927808003</v>
      </c>
      <c r="E32" s="15">
        <v>2.9661681706866299</v>
      </c>
      <c r="F32" s="15">
        <v>3.6184887937901302</v>
      </c>
      <c r="G32" s="24">
        <v>2.43558464460778</v>
      </c>
      <c r="H32" s="15">
        <v>5.73673430992626</v>
      </c>
      <c r="I32" s="15">
        <v>3.9453074206145402</v>
      </c>
      <c r="J32" s="24">
        <v>7.21506142442529</v>
      </c>
      <c r="K32" s="20" t="s">
        <v>76</v>
      </c>
      <c r="L32" s="20" t="s">
        <v>76</v>
      </c>
      <c r="M32" s="26" t="s">
        <v>76</v>
      </c>
      <c r="N32" s="20" t="s">
        <v>76</v>
      </c>
      <c r="O32" s="20" t="s">
        <v>76</v>
      </c>
      <c r="P32" s="26" t="s">
        <v>76</v>
      </c>
    </row>
    <row r="33" spans="1:16">
      <c r="A33" s="9" t="s">
        <v>288</v>
      </c>
      <c r="B33" s="15">
        <v>9.9366807115549101</v>
      </c>
      <c r="C33" s="15">
        <v>10.181588947478399</v>
      </c>
      <c r="D33" s="24">
        <v>9.7389000043270801</v>
      </c>
      <c r="E33" s="15">
        <v>8.1529635995876699</v>
      </c>
      <c r="F33" s="15">
        <v>10.0407831887212</v>
      </c>
      <c r="G33" s="24">
        <v>6.61745186083908</v>
      </c>
      <c r="H33" s="15">
        <v>11.9243149327271</v>
      </c>
      <c r="I33" s="15">
        <v>10.3896895079586</v>
      </c>
      <c r="J33" s="24">
        <v>13.190723508801501</v>
      </c>
      <c r="K33" s="20" t="s">
        <v>76</v>
      </c>
      <c r="L33" s="20" t="s">
        <v>76</v>
      </c>
      <c r="M33" s="26" t="s">
        <v>76</v>
      </c>
      <c r="N33" s="20" t="s">
        <v>76</v>
      </c>
      <c r="O33" s="20" t="s">
        <v>76</v>
      </c>
      <c r="P33" s="26" t="s">
        <v>76</v>
      </c>
    </row>
    <row r="34" spans="1:16">
      <c r="A34" s="9" t="s">
        <v>289</v>
      </c>
      <c r="B34" s="15">
        <v>19.727401643281901</v>
      </c>
      <c r="C34" s="15">
        <v>18.315163425552999</v>
      </c>
      <c r="D34" s="24">
        <v>20.8678838015209</v>
      </c>
      <c r="E34" s="15">
        <v>24.277635610121301</v>
      </c>
      <c r="F34" s="15">
        <v>22.755941247646</v>
      </c>
      <c r="G34" s="24">
        <v>25.5153489858155</v>
      </c>
      <c r="H34" s="15">
        <v>15.095862424857099</v>
      </c>
      <c r="I34" s="15">
        <v>13.8558530560303</v>
      </c>
      <c r="J34" s="24">
        <v>16.119146982606399</v>
      </c>
      <c r="K34" s="20" t="s">
        <v>76</v>
      </c>
      <c r="L34" s="20" t="s">
        <v>76</v>
      </c>
      <c r="M34" s="26" t="s">
        <v>76</v>
      </c>
      <c r="N34" s="20" t="s">
        <v>76</v>
      </c>
      <c r="O34" s="20" t="s">
        <v>76</v>
      </c>
      <c r="P34" s="26" t="s">
        <v>76</v>
      </c>
    </row>
    <row r="35" spans="1:16">
      <c r="A35" s="9" t="s">
        <v>290</v>
      </c>
      <c r="B35" s="15">
        <v>11.205170271959799</v>
      </c>
      <c r="C35" s="15">
        <v>13.7704843164388</v>
      </c>
      <c r="D35" s="24">
        <v>9.1334979002027694</v>
      </c>
      <c r="E35" s="15">
        <v>12.3930858686135</v>
      </c>
      <c r="F35" s="15">
        <v>15.3128816701293</v>
      </c>
      <c r="G35" s="24">
        <v>10.018186935588901</v>
      </c>
      <c r="H35" s="15">
        <v>10.0138029432962</v>
      </c>
      <c r="I35" s="15">
        <v>12.211573703444</v>
      </c>
      <c r="J35" s="24">
        <v>8.2001514202759296</v>
      </c>
      <c r="K35" s="20" t="s">
        <v>76</v>
      </c>
      <c r="L35" s="20" t="s">
        <v>76</v>
      </c>
      <c r="M35" s="26" t="s">
        <v>76</v>
      </c>
      <c r="N35" s="20" t="s">
        <v>76</v>
      </c>
      <c r="O35" s="20" t="s">
        <v>76</v>
      </c>
      <c r="P35" s="26" t="s">
        <v>76</v>
      </c>
    </row>
    <row r="36" spans="1:16">
      <c r="A36" s="9" t="s">
        <v>291</v>
      </c>
      <c r="B36" s="15">
        <v>6.4257335702424099</v>
      </c>
      <c r="C36" s="15">
        <v>7.8769357976324601</v>
      </c>
      <c r="D36" s="24">
        <v>5.2537852207658098</v>
      </c>
      <c r="E36" s="15">
        <v>3.5113059608986998</v>
      </c>
      <c r="F36" s="15">
        <v>5.6532055915217096</v>
      </c>
      <c r="G36" s="24">
        <v>1.76913099620708</v>
      </c>
      <c r="H36" s="15">
        <v>9.4641719963307693</v>
      </c>
      <c r="I36" s="15">
        <v>10.268546688053799</v>
      </c>
      <c r="J36" s="24">
        <v>8.8003833013604904</v>
      </c>
      <c r="K36" s="20" t="s">
        <v>76</v>
      </c>
      <c r="L36" s="20" t="s">
        <v>76</v>
      </c>
      <c r="M36" s="26" t="s">
        <v>76</v>
      </c>
      <c r="N36" s="20" t="s">
        <v>76</v>
      </c>
      <c r="O36" s="20" t="s">
        <v>76</v>
      </c>
      <c r="P36" s="26" t="s">
        <v>76</v>
      </c>
    </row>
    <row r="37" spans="1:16">
      <c r="A37" s="9" t="s">
        <v>292</v>
      </c>
      <c r="B37" s="15">
        <v>12.309531033648399</v>
      </c>
      <c r="C37" s="15">
        <v>12.5933062067955</v>
      </c>
      <c r="D37" s="24">
        <v>12.080362528036099</v>
      </c>
      <c r="E37" s="15">
        <v>9.5169647810089195</v>
      </c>
      <c r="F37" s="15">
        <v>10.956253794464301</v>
      </c>
      <c r="G37" s="24">
        <v>8.3462781389516891</v>
      </c>
      <c r="H37" s="15">
        <v>15.477979103210201</v>
      </c>
      <c r="I37" s="15">
        <v>14.500653683681101</v>
      </c>
      <c r="J37" s="24">
        <v>16.2844907593649</v>
      </c>
      <c r="K37" s="20" t="s">
        <v>76</v>
      </c>
      <c r="L37" s="20" t="s">
        <v>76</v>
      </c>
      <c r="M37" s="26" t="s">
        <v>76</v>
      </c>
      <c r="N37" s="20" t="s">
        <v>76</v>
      </c>
      <c r="O37" s="20" t="s">
        <v>76</v>
      </c>
      <c r="P37" s="26" t="s">
        <v>76</v>
      </c>
    </row>
    <row r="38" spans="1:16">
      <c r="A38" s="9" t="s">
        <v>293</v>
      </c>
      <c r="B38" s="15">
        <v>16.778413103063301</v>
      </c>
      <c r="C38" s="15">
        <v>18.6575978343629</v>
      </c>
      <c r="D38" s="24">
        <v>15.2608386378084</v>
      </c>
      <c r="E38" s="15">
        <v>16.0283188048118</v>
      </c>
      <c r="F38" s="15">
        <v>18.3623603359481</v>
      </c>
      <c r="G38" s="24">
        <v>14.1298597622127</v>
      </c>
      <c r="H38" s="15">
        <v>17.3883638057467</v>
      </c>
      <c r="I38" s="15">
        <v>18.8401381694372</v>
      </c>
      <c r="J38" s="24">
        <v>16.190325851318701</v>
      </c>
      <c r="K38" s="20" t="s">
        <v>76</v>
      </c>
      <c r="L38" s="20" t="s">
        <v>76</v>
      </c>
      <c r="M38" s="26" t="s">
        <v>76</v>
      </c>
      <c r="N38" s="20" t="s">
        <v>76</v>
      </c>
      <c r="O38" s="20" t="s">
        <v>76</v>
      </c>
      <c r="P38" s="26" t="s">
        <v>76</v>
      </c>
    </row>
    <row r="39" spans="1:16">
      <c r="A39" s="9" t="s">
        <v>294</v>
      </c>
      <c r="B39" s="15">
        <v>9.1406533570312707</v>
      </c>
      <c r="C39" s="15">
        <v>9.4953879347568506</v>
      </c>
      <c r="D39" s="24">
        <v>8.8541801177946908</v>
      </c>
      <c r="E39" s="15">
        <v>10.9994222903309</v>
      </c>
      <c r="F39" s="15">
        <v>12.359168173476</v>
      </c>
      <c r="G39" s="24">
        <v>9.8934343149424695</v>
      </c>
      <c r="H39" s="15">
        <v>7.2898043637504601</v>
      </c>
      <c r="I39" s="15">
        <v>6.5964141882667402</v>
      </c>
      <c r="J39" s="24">
        <v>7.8620060558544997</v>
      </c>
      <c r="K39" s="20" t="s">
        <v>76</v>
      </c>
      <c r="L39" s="20" t="s">
        <v>76</v>
      </c>
      <c r="M39" s="26" t="s">
        <v>76</v>
      </c>
      <c r="N39" s="20" t="s">
        <v>76</v>
      </c>
      <c r="O39" s="20" t="s">
        <v>76</v>
      </c>
      <c r="P39" s="26" t="s">
        <v>76</v>
      </c>
    </row>
    <row r="40" spans="1:16">
      <c r="A40" s="9" t="s">
        <v>295</v>
      </c>
      <c r="B40" s="15">
        <v>11.028967852938401</v>
      </c>
      <c r="C40" s="15">
        <v>13.011429233793701</v>
      </c>
      <c r="D40" s="24">
        <v>9.4279901950050498</v>
      </c>
      <c r="E40" s="15">
        <v>7.1841896498182498</v>
      </c>
      <c r="F40" s="15">
        <v>10.2229283089028</v>
      </c>
      <c r="G40" s="24">
        <v>4.71254516171593</v>
      </c>
      <c r="H40" s="15">
        <v>14.8538284926616</v>
      </c>
      <c r="I40" s="15">
        <v>15.702518157538501</v>
      </c>
      <c r="J40" s="24">
        <v>14.1534700516511</v>
      </c>
      <c r="K40" s="20" t="s">
        <v>76</v>
      </c>
      <c r="L40" s="20" t="s">
        <v>76</v>
      </c>
      <c r="M40" s="26" t="s">
        <v>76</v>
      </c>
      <c r="N40" s="20" t="s">
        <v>76</v>
      </c>
      <c r="O40" s="20" t="s">
        <v>76</v>
      </c>
      <c r="P40" s="26" t="s">
        <v>76</v>
      </c>
    </row>
    <row r="41" spans="1:16">
      <c r="A41" s="9" t="s">
        <v>296</v>
      </c>
      <c r="B41" s="15">
        <v>8.4488219911365494</v>
      </c>
      <c r="C41" s="15">
        <v>8.3011850541247796</v>
      </c>
      <c r="D41" s="24">
        <v>8.5680492507059398</v>
      </c>
      <c r="E41" s="15">
        <v>8.9375786388847303</v>
      </c>
      <c r="F41" s="15">
        <v>9.8748755069220007</v>
      </c>
      <c r="G41" s="24">
        <v>8.1752015813269896</v>
      </c>
      <c r="H41" s="15">
        <v>8.1964472456882902</v>
      </c>
      <c r="I41" s="15">
        <v>6.8794260717178197</v>
      </c>
      <c r="J41" s="24">
        <v>9.2832837353414792</v>
      </c>
      <c r="K41" s="20" t="s">
        <v>76</v>
      </c>
      <c r="L41" s="20" t="s">
        <v>76</v>
      </c>
      <c r="M41" s="26" t="s">
        <v>76</v>
      </c>
      <c r="N41" s="20" t="s">
        <v>76</v>
      </c>
      <c r="O41" s="20" t="s">
        <v>76</v>
      </c>
      <c r="P41" s="26" t="s">
        <v>76</v>
      </c>
    </row>
    <row r="42" spans="1:16">
      <c r="A42" s="9" t="s">
        <v>297</v>
      </c>
      <c r="B42" s="15">
        <v>9.0120350167385705</v>
      </c>
      <c r="C42" s="15">
        <v>9.7361096142988597</v>
      </c>
      <c r="D42" s="24">
        <v>8.4272936116520896</v>
      </c>
      <c r="E42" s="15">
        <v>8.5182667813109596</v>
      </c>
      <c r="F42" s="15">
        <v>10.1348428647127</v>
      </c>
      <c r="G42" s="24">
        <v>7.2033786601516399</v>
      </c>
      <c r="H42" s="15">
        <v>9.62059254201443</v>
      </c>
      <c r="I42" s="15">
        <v>9.4658712655574409</v>
      </c>
      <c r="J42" s="24">
        <v>9.7482721361641804</v>
      </c>
      <c r="K42" s="20" t="s">
        <v>76</v>
      </c>
      <c r="L42" s="20" t="s">
        <v>76</v>
      </c>
      <c r="M42" s="26" t="s">
        <v>76</v>
      </c>
      <c r="N42" s="20" t="s">
        <v>76</v>
      </c>
      <c r="O42" s="20" t="s">
        <v>76</v>
      </c>
      <c r="P42" s="26" t="s">
        <v>76</v>
      </c>
    </row>
    <row r="43" spans="1:16">
      <c r="A43" s="9" t="s">
        <v>298</v>
      </c>
      <c r="B43" s="15">
        <v>4.3341601014970701</v>
      </c>
      <c r="C43" s="15">
        <v>4.8746290558676604</v>
      </c>
      <c r="D43" s="24">
        <v>3.8976932279882601</v>
      </c>
      <c r="E43" s="15">
        <v>4.4408054572815399</v>
      </c>
      <c r="F43" s="15">
        <v>5.2340346094699601</v>
      </c>
      <c r="G43" s="24">
        <v>3.7956099726526702</v>
      </c>
      <c r="H43" s="15">
        <v>4.3028171321853597</v>
      </c>
      <c r="I43" s="15">
        <v>4.7055468781368397</v>
      </c>
      <c r="J43" s="24">
        <v>3.9704751835367502</v>
      </c>
      <c r="K43" s="20" t="s">
        <v>76</v>
      </c>
      <c r="L43" s="20" t="s">
        <v>76</v>
      </c>
      <c r="M43" s="26" t="s">
        <v>76</v>
      </c>
      <c r="N43" s="20" t="s">
        <v>76</v>
      </c>
      <c r="O43" s="20" t="s">
        <v>76</v>
      </c>
      <c r="P43" s="26" t="s">
        <v>76</v>
      </c>
    </row>
    <row r="44" spans="1:16">
      <c r="A44" s="9" t="s">
        <v>299</v>
      </c>
      <c r="B44" s="15">
        <v>4.0774986732355103</v>
      </c>
      <c r="C44" s="15">
        <v>5.1944359066074304</v>
      </c>
      <c r="D44" s="24">
        <v>3.1754929276452701</v>
      </c>
      <c r="E44" s="15">
        <v>3.8349270331430301</v>
      </c>
      <c r="F44" s="15">
        <v>5.3089140250338804</v>
      </c>
      <c r="G44" s="24">
        <v>2.6360178037659199</v>
      </c>
      <c r="H44" s="15">
        <v>4.3423128646398403</v>
      </c>
      <c r="I44" s="15">
        <v>5.1604640985533301</v>
      </c>
      <c r="J44" s="24">
        <v>3.6671554467896201</v>
      </c>
      <c r="K44" s="20" t="s">
        <v>76</v>
      </c>
      <c r="L44" s="20" t="s">
        <v>76</v>
      </c>
      <c r="M44" s="26" t="s">
        <v>76</v>
      </c>
      <c r="N44" s="20" t="s">
        <v>76</v>
      </c>
      <c r="O44" s="20" t="s">
        <v>76</v>
      </c>
      <c r="P44" s="26" t="s">
        <v>76</v>
      </c>
    </row>
    <row r="45" spans="1:16">
      <c r="A45" s="9" t="s">
        <v>300</v>
      </c>
      <c r="B45" s="15">
        <v>9.4081513130329402</v>
      </c>
      <c r="C45" s="15">
        <v>10.995200415767499</v>
      </c>
      <c r="D45" s="24">
        <v>8.1264970119414102</v>
      </c>
      <c r="E45" s="15">
        <v>10.1829139030894</v>
      </c>
      <c r="F45" s="15">
        <v>12.6594043344078</v>
      </c>
      <c r="G45" s="24">
        <v>8.1685899973113507</v>
      </c>
      <c r="H45" s="15">
        <v>8.64042647258192</v>
      </c>
      <c r="I45" s="15">
        <v>9.4475198753601095</v>
      </c>
      <c r="J45" s="24">
        <v>7.9743942340468097</v>
      </c>
      <c r="K45" s="20" t="s">
        <v>76</v>
      </c>
      <c r="L45" s="20" t="s">
        <v>76</v>
      </c>
      <c r="M45" s="26" t="s">
        <v>76</v>
      </c>
      <c r="N45" s="20" t="s">
        <v>76</v>
      </c>
      <c r="O45" s="20" t="s">
        <v>76</v>
      </c>
      <c r="P45" s="26" t="s">
        <v>76</v>
      </c>
    </row>
    <row r="46" spans="1:16">
      <c r="A46" s="9" t="s">
        <v>301</v>
      </c>
      <c r="B46" s="15">
        <v>11.8772775203743</v>
      </c>
      <c r="C46" s="15">
        <v>14.462472105781799</v>
      </c>
      <c r="D46" s="24">
        <v>9.7895502069362994</v>
      </c>
      <c r="E46" s="15">
        <v>9.3818012562569404</v>
      </c>
      <c r="F46" s="15">
        <v>13.4436553651168</v>
      </c>
      <c r="G46" s="24">
        <v>6.0779767270809302</v>
      </c>
      <c r="H46" s="15">
        <v>14.5383867785468</v>
      </c>
      <c r="I46" s="15">
        <v>15.803862322460301</v>
      </c>
      <c r="J46" s="24">
        <v>13.4940869411018</v>
      </c>
      <c r="K46" s="20" t="s">
        <v>76</v>
      </c>
      <c r="L46" s="20" t="s">
        <v>76</v>
      </c>
      <c r="M46" s="26" t="s">
        <v>76</v>
      </c>
      <c r="N46" s="20" t="s">
        <v>76</v>
      </c>
      <c r="O46" s="20" t="s">
        <v>76</v>
      </c>
      <c r="P46" s="26" t="s">
        <v>76</v>
      </c>
    </row>
    <row r="47" spans="1:16">
      <c r="A47" s="9" t="s">
        <v>302</v>
      </c>
      <c r="B47" s="15">
        <v>16.724263121314198</v>
      </c>
      <c r="C47" s="15">
        <v>17.684249569428601</v>
      </c>
      <c r="D47" s="24">
        <v>15.949006225925499</v>
      </c>
      <c r="E47" s="15">
        <v>17.253319842819401</v>
      </c>
      <c r="F47" s="15">
        <v>18.704791123355701</v>
      </c>
      <c r="G47" s="24">
        <v>16.072724407456299</v>
      </c>
      <c r="H47" s="15">
        <v>16.656068432521501</v>
      </c>
      <c r="I47" s="15">
        <v>16.954923583480401</v>
      </c>
      <c r="J47" s="24">
        <v>16.409446214441498</v>
      </c>
      <c r="K47" s="20" t="s">
        <v>76</v>
      </c>
      <c r="L47" s="20" t="s">
        <v>76</v>
      </c>
      <c r="M47" s="26" t="s">
        <v>76</v>
      </c>
      <c r="N47" s="20" t="s">
        <v>76</v>
      </c>
      <c r="O47" s="20" t="s">
        <v>76</v>
      </c>
      <c r="P47" s="26" t="s">
        <v>76</v>
      </c>
    </row>
    <row r="48" spans="1:16">
      <c r="A48" s="9" t="s">
        <v>303</v>
      </c>
      <c r="B48" s="15">
        <v>8.0986274997466907</v>
      </c>
      <c r="C48" s="15">
        <v>8.6474800195996693</v>
      </c>
      <c r="D48" s="24">
        <v>7.6553903046766498</v>
      </c>
      <c r="E48" s="15">
        <v>9.1691558383749001</v>
      </c>
      <c r="F48" s="15">
        <v>9.9188127300704796</v>
      </c>
      <c r="G48" s="24">
        <v>8.5594010906976301</v>
      </c>
      <c r="H48" s="15">
        <v>7.1474932351125897</v>
      </c>
      <c r="I48" s="15">
        <v>7.4918052042914196</v>
      </c>
      <c r="J48" s="24">
        <v>6.8633589938993298</v>
      </c>
      <c r="K48" s="20" t="s">
        <v>76</v>
      </c>
      <c r="L48" s="20" t="s">
        <v>76</v>
      </c>
      <c r="M48" s="26" t="s">
        <v>76</v>
      </c>
      <c r="N48" s="20" t="s">
        <v>76</v>
      </c>
      <c r="O48" s="20" t="s">
        <v>76</v>
      </c>
      <c r="P48" s="26" t="s">
        <v>76</v>
      </c>
    </row>
    <row r="49" spans="1:16">
      <c r="A49" s="9" t="s">
        <v>304</v>
      </c>
      <c r="B49" s="15">
        <v>19.674055181130001</v>
      </c>
      <c r="C49" s="15">
        <v>20.1581614925488</v>
      </c>
      <c r="D49" s="24">
        <v>19.283105124735201</v>
      </c>
      <c r="E49" s="15">
        <v>15.7360221699255</v>
      </c>
      <c r="F49" s="15">
        <v>18.413141728858101</v>
      </c>
      <c r="G49" s="24">
        <v>13.558510858762</v>
      </c>
      <c r="H49" s="15">
        <v>24.217363140597499</v>
      </c>
      <c r="I49" s="15">
        <v>22.26020207474</v>
      </c>
      <c r="J49" s="24">
        <v>25.832457950417201</v>
      </c>
      <c r="K49" s="20" t="s">
        <v>76</v>
      </c>
      <c r="L49" s="20" t="s">
        <v>76</v>
      </c>
      <c r="M49" s="26" t="s">
        <v>76</v>
      </c>
      <c r="N49" s="20" t="s">
        <v>76</v>
      </c>
      <c r="O49" s="20" t="s">
        <v>76</v>
      </c>
      <c r="P49" s="26" t="s">
        <v>76</v>
      </c>
    </row>
    <row r="50" spans="1:16">
      <c r="A50" s="9" t="s">
        <v>305</v>
      </c>
      <c r="B50" s="15">
        <v>12.457764743730401</v>
      </c>
      <c r="C50" s="15">
        <v>11.7951419079227</v>
      </c>
      <c r="D50" s="24">
        <v>12.992879508642901</v>
      </c>
      <c r="E50" s="15">
        <v>10.7034805180335</v>
      </c>
      <c r="F50" s="15">
        <v>10.337211486333601</v>
      </c>
      <c r="G50" s="24">
        <v>11.001395849007199</v>
      </c>
      <c r="H50" s="15">
        <v>14.2967275178297</v>
      </c>
      <c r="I50" s="15">
        <v>13.2255728025322</v>
      </c>
      <c r="J50" s="24">
        <v>15.1806692901093</v>
      </c>
      <c r="K50" s="20" t="s">
        <v>76</v>
      </c>
      <c r="L50" s="20" t="s">
        <v>76</v>
      </c>
      <c r="M50" s="26" t="s">
        <v>76</v>
      </c>
      <c r="N50" s="20" t="s">
        <v>76</v>
      </c>
      <c r="O50" s="20" t="s">
        <v>76</v>
      </c>
      <c r="P50" s="26" t="s">
        <v>76</v>
      </c>
    </row>
    <row r="51" spans="1:16">
      <c r="A51" s="9" t="s">
        <v>306</v>
      </c>
      <c r="B51" s="15">
        <v>13.766708537050899</v>
      </c>
      <c r="C51" s="15">
        <v>14.546472951855501</v>
      </c>
      <c r="D51" s="24">
        <v>13.1369936691553</v>
      </c>
      <c r="E51" s="15">
        <v>14.229308183280001</v>
      </c>
      <c r="F51" s="15">
        <v>15.263563473330301</v>
      </c>
      <c r="G51" s="24">
        <v>13.388067236382099</v>
      </c>
      <c r="H51" s="15">
        <v>13.436588210883301</v>
      </c>
      <c r="I51" s="15">
        <v>13.791284139594101</v>
      </c>
      <c r="J51" s="24">
        <v>13.1438848848676</v>
      </c>
      <c r="K51" s="20" t="s">
        <v>76</v>
      </c>
      <c r="L51" s="20" t="s">
        <v>76</v>
      </c>
      <c r="M51" s="26" t="s">
        <v>76</v>
      </c>
      <c r="N51" s="20" t="s">
        <v>76</v>
      </c>
      <c r="O51" s="20" t="s">
        <v>76</v>
      </c>
      <c r="P51" s="26" t="s">
        <v>76</v>
      </c>
    </row>
    <row r="52" spans="1:16">
      <c r="A52" s="9" t="s">
        <v>307</v>
      </c>
      <c r="B52" s="15">
        <v>18.3921409393968</v>
      </c>
      <c r="C52" s="15">
        <v>16.565238962470399</v>
      </c>
      <c r="D52" s="24">
        <v>19.867493385875001</v>
      </c>
      <c r="E52" s="15">
        <v>19.625777342542399</v>
      </c>
      <c r="F52" s="15">
        <v>19.982638872346001</v>
      </c>
      <c r="G52" s="24">
        <v>19.3355138707173</v>
      </c>
      <c r="H52" s="15">
        <v>16.863224987172501</v>
      </c>
      <c r="I52" s="15">
        <v>13.0054643500417</v>
      </c>
      <c r="J52" s="24">
        <v>20.046738746591799</v>
      </c>
      <c r="K52" s="20" t="s">
        <v>76</v>
      </c>
      <c r="L52" s="20" t="s">
        <v>76</v>
      </c>
      <c r="M52" s="26" t="s">
        <v>76</v>
      </c>
      <c r="N52" s="15">
        <v>21.510984569040001</v>
      </c>
      <c r="O52" s="20" t="s">
        <v>76</v>
      </c>
      <c r="P52" s="26" t="s">
        <v>76</v>
      </c>
    </row>
    <row r="53" spans="1:16">
      <c r="A53" s="9" t="s">
        <v>308</v>
      </c>
      <c r="B53" s="15">
        <v>16.326703582718501</v>
      </c>
      <c r="C53" s="15">
        <v>16.882554243120399</v>
      </c>
      <c r="D53" s="24">
        <v>15.8778148946237</v>
      </c>
      <c r="E53" s="15">
        <v>16.133061713176499</v>
      </c>
      <c r="F53" s="15">
        <v>17.476847082288899</v>
      </c>
      <c r="G53" s="24">
        <v>15.040055675678101</v>
      </c>
      <c r="H53" s="15">
        <v>16.846038481888101</v>
      </c>
      <c r="I53" s="15">
        <v>16.590439299186102</v>
      </c>
      <c r="J53" s="24">
        <v>17.056964869387699</v>
      </c>
      <c r="K53" s="20" t="s">
        <v>76</v>
      </c>
      <c r="L53" s="20" t="s">
        <v>76</v>
      </c>
      <c r="M53" s="26" t="s">
        <v>76</v>
      </c>
      <c r="N53" s="20" t="s">
        <v>76</v>
      </c>
      <c r="O53" s="20" t="s">
        <v>76</v>
      </c>
      <c r="P53" s="26" t="s">
        <v>76</v>
      </c>
    </row>
    <row r="54" spans="1:16">
      <c r="A54" s="9" t="s">
        <v>309</v>
      </c>
      <c r="B54" s="15">
        <v>16.410639474272699</v>
      </c>
      <c r="C54" s="15">
        <v>17.166409162500301</v>
      </c>
      <c r="D54" s="24">
        <v>15.8003020437027</v>
      </c>
      <c r="E54" s="15">
        <v>12.351336757081301</v>
      </c>
      <c r="F54" s="15">
        <v>15.1382448026918</v>
      </c>
      <c r="G54" s="24">
        <v>10.0845258586883</v>
      </c>
      <c r="H54" s="15">
        <v>20.758516225737502</v>
      </c>
      <c r="I54" s="15">
        <v>19.517400536720601</v>
      </c>
      <c r="J54" s="24">
        <v>21.7827137446263</v>
      </c>
      <c r="K54" s="20" t="s">
        <v>76</v>
      </c>
      <c r="L54" s="20" t="s">
        <v>76</v>
      </c>
      <c r="M54" s="26" t="s">
        <v>76</v>
      </c>
      <c r="N54" s="20" t="s">
        <v>76</v>
      </c>
      <c r="O54" s="20" t="s">
        <v>76</v>
      </c>
      <c r="P54" s="26" t="s">
        <v>76</v>
      </c>
    </row>
    <row r="55" spans="1:16">
      <c r="A55" s="9" t="s">
        <v>310</v>
      </c>
      <c r="B55" s="15">
        <v>8.6257083115613806</v>
      </c>
      <c r="C55" s="15">
        <v>9.9254985256836203</v>
      </c>
      <c r="D55" s="24">
        <v>7.57603586250102</v>
      </c>
      <c r="E55" s="15">
        <v>9.2233318361266505</v>
      </c>
      <c r="F55" s="15">
        <v>10.7275236737435</v>
      </c>
      <c r="G55" s="24">
        <v>7.9998546366710501</v>
      </c>
      <c r="H55" s="15">
        <v>8.0796491415347003</v>
      </c>
      <c r="I55" s="15">
        <v>9.0083964187207801</v>
      </c>
      <c r="J55" s="24">
        <v>7.3132252977411998</v>
      </c>
      <c r="K55" s="20" t="s">
        <v>76</v>
      </c>
      <c r="L55" s="20" t="s">
        <v>76</v>
      </c>
      <c r="M55" s="26" t="s">
        <v>76</v>
      </c>
      <c r="N55" s="20" t="s">
        <v>76</v>
      </c>
      <c r="O55" s="20" t="s">
        <v>76</v>
      </c>
      <c r="P55" s="26" t="s">
        <v>76</v>
      </c>
    </row>
    <row r="56" spans="1:16">
      <c r="A56" s="9" t="s">
        <v>311</v>
      </c>
      <c r="B56" s="15">
        <v>10.851423791654</v>
      </c>
      <c r="C56" s="15">
        <v>9.5318316425639509</v>
      </c>
      <c r="D56" s="24">
        <v>11.9170877025272</v>
      </c>
      <c r="E56" s="15">
        <v>8.7929990573946508</v>
      </c>
      <c r="F56" s="15">
        <v>10.381578314030801</v>
      </c>
      <c r="G56" s="24">
        <v>7.5008829513122999</v>
      </c>
      <c r="H56" s="15">
        <v>13.0177075972714</v>
      </c>
      <c r="I56" s="15">
        <v>8.8007351346765397</v>
      </c>
      <c r="J56" s="24">
        <v>16.497651305688599</v>
      </c>
      <c r="K56" s="20" t="s">
        <v>76</v>
      </c>
      <c r="L56" s="20" t="s">
        <v>76</v>
      </c>
      <c r="M56" s="26" t="s">
        <v>76</v>
      </c>
      <c r="N56" s="20" t="s">
        <v>76</v>
      </c>
      <c r="O56" s="20" t="s">
        <v>76</v>
      </c>
      <c r="P56" s="26" t="s">
        <v>76</v>
      </c>
    </row>
    <row r="57" spans="1:16">
      <c r="A57" s="9" t="s">
        <v>312</v>
      </c>
      <c r="B57" s="15">
        <v>9.2364148665548598</v>
      </c>
      <c r="C57" s="15">
        <v>10.356449118329399</v>
      </c>
      <c r="D57" s="24">
        <v>8.3319080597501802</v>
      </c>
      <c r="E57" s="15">
        <v>8.1588315187579905</v>
      </c>
      <c r="F57" s="15">
        <v>9.90134662835003</v>
      </c>
      <c r="G57" s="24">
        <v>6.7415073098523104</v>
      </c>
      <c r="H57" s="15">
        <v>10.6501767821219</v>
      </c>
      <c r="I57" s="15">
        <v>11.1393792198492</v>
      </c>
      <c r="J57" s="24">
        <v>10.246475557982601</v>
      </c>
      <c r="K57" s="20" t="s">
        <v>76</v>
      </c>
      <c r="L57" s="20" t="s">
        <v>76</v>
      </c>
      <c r="M57" s="26" t="s">
        <v>76</v>
      </c>
      <c r="N57" s="20" t="s">
        <v>76</v>
      </c>
      <c r="O57" s="20" t="s">
        <v>76</v>
      </c>
      <c r="P57" s="26" t="s">
        <v>76</v>
      </c>
    </row>
    <row r="58" spans="1:16">
      <c r="A58" s="9" t="s">
        <v>313</v>
      </c>
      <c r="B58" s="15">
        <v>12.760022843468899</v>
      </c>
      <c r="C58" s="15">
        <v>12.8898155077173</v>
      </c>
      <c r="D58" s="24">
        <v>12.6552060951418</v>
      </c>
      <c r="E58" s="15">
        <v>14.809324614205799</v>
      </c>
      <c r="F58" s="15">
        <v>16.813244127675102</v>
      </c>
      <c r="G58" s="24">
        <v>13.179379700957099</v>
      </c>
      <c r="H58" s="15">
        <v>10.768312363656101</v>
      </c>
      <c r="I58" s="15">
        <v>8.7331296716326694</v>
      </c>
      <c r="J58" s="24">
        <v>12.4477924331627</v>
      </c>
      <c r="K58" s="20" t="s">
        <v>76</v>
      </c>
      <c r="L58" s="20" t="s">
        <v>76</v>
      </c>
      <c r="M58" s="26" t="s">
        <v>76</v>
      </c>
      <c r="N58" s="20" t="s">
        <v>76</v>
      </c>
      <c r="O58" s="20" t="s">
        <v>76</v>
      </c>
      <c r="P58" s="26" t="s">
        <v>76</v>
      </c>
    </row>
    <row r="59" spans="1:16">
      <c r="A59" s="9" t="s">
        <v>314</v>
      </c>
      <c r="B59" s="15">
        <v>2.0314540110221602</v>
      </c>
      <c r="C59" s="15">
        <v>2.2255639344154101</v>
      </c>
      <c r="D59" s="24">
        <v>1.87469653088317</v>
      </c>
      <c r="E59" s="15">
        <v>2.5227158876672102</v>
      </c>
      <c r="F59" s="15">
        <v>2.6658332909576501</v>
      </c>
      <c r="G59" s="24">
        <v>2.4063072784777302</v>
      </c>
      <c r="H59" s="15">
        <v>1.4940255430735701</v>
      </c>
      <c r="I59" s="15">
        <v>1.7708417840217601</v>
      </c>
      <c r="J59" s="26" t="s">
        <v>76</v>
      </c>
      <c r="K59" s="20" t="s">
        <v>76</v>
      </c>
      <c r="L59" s="20" t="s">
        <v>76</v>
      </c>
      <c r="M59" s="26" t="s">
        <v>76</v>
      </c>
      <c r="N59" s="20" t="s">
        <v>76</v>
      </c>
      <c r="O59" s="20" t="s">
        <v>76</v>
      </c>
      <c r="P59" s="26" t="s">
        <v>76</v>
      </c>
    </row>
    <row r="60" spans="1:16">
      <c r="A60" s="9" t="s">
        <v>315</v>
      </c>
      <c r="B60" s="15">
        <v>2.2245550317846998</v>
      </c>
      <c r="C60" s="15">
        <v>2.4333402875708301</v>
      </c>
      <c r="D60" s="24">
        <v>2.0559461836893802</v>
      </c>
      <c r="E60" s="15">
        <v>3.0655716919147098</v>
      </c>
      <c r="F60" s="15">
        <v>3.1571494401459801</v>
      </c>
      <c r="G60" s="24">
        <v>2.9910843265824099</v>
      </c>
      <c r="H60" s="15">
        <v>1.25659321625998</v>
      </c>
      <c r="I60" s="15">
        <v>1.6918448805433299</v>
      </c>
      <c r="J60" s="26" t="s">
        <v>76</v>
      </c>
      <c r="K60" s="20" t="s">
        <v>76</v>
      </c>
      <c r="L60" s="20" t="s">
        <v>76</v>
      </c>
      <c r="M60" s="26" t="s">
        <v>76</v>
      </c>
      <c r="N60" s="20" t="s">
        <v>76</v>
      </c>
      <c r="O60" s="20" t="s">
        <v>76</v>
      </c>
      <c r="P60" s="26" t="s">
        <v>76</v>
      </c>
    </row>
    <row r="61" spans="1:16">
      <c r="A61" s="9" t="s">
        <v>316</v>
      </c>
      <c r="B61" s="15">
        <v>3.2264736667752398</v>
      </c>
      <c r="C61" s="15">
        <v>3.4738320131558198</v>
      </c>
      <c r="D61" s="24">
        <v>3.0267143222134898</v>
      </c>
      <c r="E61" s="15">
        <v>3.9280902810391698</v>
      </c>
      <c r="F61" s="15">
        <v>4.0163412804550997</v>
      </c>
      <c r="G61" s="24">
        <v>3.8563088214444798</v>
      </c>
      <c r="H61" s="15">
        <v>2.4693799714323901</v>
      </c>
      <c r="I61" s="15">
        <v>3.0045862301417898</v>
      </c>
      <c r="J61" s="24">
        <v>2.0277153247642401</v>
      </c>
      <c r="K61" s="20" t="s">
        <v>76</v>
      </c>
      <c r="L61" s="20" t="s">
        <v>76</v>
      </c>
      <c r="M61" s="26" t="s">
        <v>76</v>
      </c>
      <c r="N61" s="20" t="s">
        <v>76</v>
      </c>
      <c r="O61" s="20" t="s">
        <v>76</v>
      </c>
      <c r="P61" s="26" t="s">
        <v>76</v>
      </c>
    </row>
    <row r="62" spans="1:16">
      <c r="A62" s="9" t="s">
        <v>317</v>
      </c>
      <c r="B62" s="15">
        <v>9.9289491075343808</v>
      </c>
      <c r="C62" s="15">
        <v>11.346193593711201</v>
      </c>
      <c r="D62" s="24">
        <v>8.7844240337499198</v>
      </c>
      <c r="E62" s="15">
        <v>9.4876984425650992</v>
      </c>
      <c r="F62" s="15">
        <v>11.2352597553101</v>
      </c>
      <c r="G62" s="24">
        <v>8.0662697608474794</v>
      </c>
      <c r="H62" s="15">
        <v>10.3950052631292</v>
      </c>
      <c r="I62" s="15">
        <v>11.2845105560049</v>
      </c>
      <c r="J62" s="24">
        <v>9.6609648170500098</v>
      </c>
      <c r="K62" s="20" t="s">
        <v>76</v>
      </c>
      <c r="L62" s="20" t="s">
        <v>76</v>
      </c>
      <c r="M62" s="26" t="s">
        <v>76</v>
      </c>
      <c r="N62" s="20" t="s">
        <v>76</v>
      </c>
      <c r="O62" s="20" t="s">
        <v>76</v>
      </c>
      <c r="P62" s="26" t="s">
        <v>76</v>
      </c>
    </row>
    <row r="63" spans="1:16">
      <c r="A63" s="9" t="s">
        <v>318</v>
      </c>
      <c r="B63" s="15">
        <v>10.313405344128</v>
      </c>
      <c r="C63" s="15">
        <v>11.5755358875988</v>
      </c>
      <c r="D63" s="24">
        <v>9.2941457403822607</v>
      </c>
      <c r="E63" s="15">
        <v>13.106986815706399</v>
      </c>
      <c r="F63" s="15">
        <v>15.487481791155201</v>
      </c>
      <c r="G63" s="24">
        <v>11.170743543375901</v>
      </c>
      <c r="H63" s="15">
        <v>7.4719446311658402</v>
      </c>
      <c r="I63" s="15">
        <v>7.5766261412166704</v>
      </c>
      <c r="J63" s="24">
        <v>7.3855590155327704</v>
      </c>
      <c r="K63" s="20" t="s">
        <v>76</v>
      </c>
      <c r="L63" s="20" t="s">
        <v>76</v>
      </c>
      <c r="M63" s="26" t="s">
        <v>76</v>
      </c>
      <c r="N63" s="20" t="s">
        <v>76</v>
      </c>
      <c r="O63" s="20" t="s">
        <v>76</v>
      </c>
      <c r="P63" s="26" t="s">
        <v>76</v>
      </c>
    </row>
    <row r="64" spans="1:16">
      <c r="A64" s="11" t="s">
        <v>319</v>
      </c>
      <c r="B64" s="16">
        <v>1.51561309021255</v>
      </c>
      <c r="C64" s="16">
        <v>2.3732996912278699</v>
      </c>
      <c r="D64" s="25">
        <v>0.82297055049163703</v>
      </c>
      <c r="E64" s="16">
        <v>1.6517963650276299</v>
      </c>
      <c r="F64" s="16">
        <v>2.4404738690905399</v>
      </c>
      <c r="G64" s="29" t="s">
        <v>76</v>
      </c>
      <c r="H64" s="16">
        <v>1.28692841611375</v>
      </c>
      <c r="I64" s="16">
        <v>2.2274047461365698</v>
      </c>
      <c r="J64" s="29" t="s">
        <v>76</v>
      </c>
      <c r="K64" s="28" t="s">
        <v>76</v>
      </c>
      <c r="L64" s="28" t="s">
        <v>76</v>
      </c>
      <c r="M64" s="29" t="s">
        <v>76</v>
      </c>
      <c r="N64" s="28" t="s">
        <v>76</v>
      </c>
      <c r="O64" s="28" t="s">
        <v>76</v>
      </c>
      <c r="P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71"/>
  <sheetViews>
    <sheetView zoomScale="55" workbookViewId="0"/>
  </sheetViews>
  <sheetFormatPr defaultColWidth="10.88671875" defaultRowHeight="15"/>
  <cols>
    <col min="1" max="1" width="51.6640625" customWidth="1"/>
    <col min="2" max="91" width="13.6640625" customWidth="1"/>
  </cols>
  <sheetData>
    <row r="1" spans="1:92" ht="39.950000000000003" customHeight="1">
      <c r="A1" s="10" t="s">
        <v>355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0">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c r="A3" s="9" t="s">
        <v>258</v>
      </c>
      <c r="B3" s="35">
        <v>21.046246025691801</v>
      </c>
      <c r="C3" s="32">
        <v>19.900902902869699</v>
      </c>
      <c r="D3" s="32">
        <v>20.153783325614199</v>
      </c>
      <c r="E3" s="32">
        <v>20.220013294411</v>
      </c>
      <c r="F3" s="20" t="s">
        <v>76</v>
      </c>
      <c r="G3" s="15">
        <v>47.058823529411796</v>
      </c>
      <c r="H3" s="20" t="s">
        <v>76</v>
      </c>
      <c r="I3" s="20" t="s">
        <v>76</v>
      </c>
      <c r="J3" s="15">
        <v>22.2222222222222</v>
      </c>
      <c r="K3" s="15">
        <v>20.5128205128205</v>
      </c>
      <c r="L3" s="15">
        <v>8.1967213114754092</v>
      </c>
      <c r="M3" s="15">
        <v>36.842105263157897</v>
      </c>
      <c r="N3" s="15">
        <v>17.647058823529399</v>
      </c>
      <c r="O3" s="15">
        <v>18.604651162790699</v>
      </c>
      <c r="P3" s="15">
        <v>22.5352112676056</v>
      </c>
      <c r="Q3" s="15">
        <v>15.492957746478901</v>
      </c>
      <c r="R3" s="20" t="s">
        <v>76</v>
      </c>
      <c r="S3" s="15">
        <v>14.634146341463399</v>
      </c>
      <c r="T3" s="20" t="s">
        <v>76</v>
      </c>
      <c r="U3" s="15">
        <v>28.571428571428601</v>
      </c>
      <c r="V3" s="15">
        <v>17.647058823529399</v>
      </c>
      <c r="W3" s="15">
        <v>16.9491525423729</v>
      </c>
      <c r="X3" s="20" t="s">
        <v>76</v>
      </c>
      <c r="Y3" s="20" t="s">
        <v>76</v>
      </c>
      <c r="Z3" s="15">
        <v>17.948717948717899</v>
      </c>
      <c r="AA3" s="15">
        <v>18.348623853210999</v>
      </c>
      <c r="AB3" s="15">
        <v>17.647058823529399</v>
      </c>
      <c r="AC3" s="15">
        <v>13.636363636363599</v>
      </c>
      <c r="AD3" s="20" t="s">
        <v>76</v>
      </c>
      <c r="AE3" s="15">
        <v>18.518518518518501</v>
      </c>
      <c r="AF3" s="20" t="s">
        <v>76</v>
      </c>
      <c r="AG3" s="15">
        <v>11.4285714285714</v>
      </c>
      <c r="AH3" s="15">
        <v>19.6428571428571</v>
      </c>
      <c r="AI3" s="20" t="s">
        <v>76</v>
      </c>
      <c r="AJ3" s="15">
        <v>27.027027027027</v>
      </c>
      <c r="AK3" s="15">
        <v>20</v>
      </c>
      <c r="AL3" s="15">
        <v>25.5555555555556</v>
      </c>
      <c r="AM3" s="15">
        <v>43.75</v>
      </c>
      <c r="AN3" s="20" t="s">
        <v>76</v>
      </c>
      <c r="AO3" s="15">
        <v>15</v>
      </c>
      <c r="AP3" s="15">
        <v>23.3766233766234</v>
      </c>
      <c r="AQ3" s="15">
        <v>17.948717948717899</v>
      </c>
      <c r="AR3" s="15">
        <v>36.363636363636402</v>
      </c>
      <c r="AS3" s="20" t="s">
        <v>76</v>
      </c>
      <c r="AT3" s="15">
        <v>15.384615384615399</v>
      </c>
      <c r="AU3" s="15">
        <v>14.285714285714301</v>
      </c>
      <c r="AV3" s="15">
        <v>9.5890410958904102</v>
      </c>
      <c r="AW3" s="15">
        <v>23.275862068965498</v>
      </c>
      <c r="AX3" s="20" t="s">
        <v>76</v>
      </c>
      <c r="AY3" s="15">
        <v>22.8571428571429</v>
      </c>
      <c r="AZ3" s="20" t="s">
        <v>76</v>
      </c>
      <c r="BA3" s="15">
        <v>16.981132075471699</v>
      </c>
      <c r="BB3" s="15">
        <v>11.9402985074627</v>
      </c>
      <c r="BC3" s="15">
        <v>28.3783783783784</v>
      </c>
      <c r="BD3" s="15">
        <v>28.205128205128201</v>
      </c>
      <c r="BE3" s="15">
        <v>10.3448275862069</v>
      </c>
      <c r="BF3" s="15">
        <v>22.891566265060199</v>
      </c>
      <c r="BG3" s="15">
        <v>20.8955223880597</v>
      </c>
      <c r="BH3" s="15">
        <v>45.8333333333333</v>
      </c>
      <c r="BI3" s="20" t="s">
        <v>76</v>
      </c>
      <c r="BJ3" s="15">
        <v>13.3928571428571</v>
      </c>
      <c r="BK3" s="15">
        <v>12.5</v>
      </c>
      <c r="BL3" s="15">
        <v>19.53125</v>
      </c>
      <c r="BM3" s="15">
        <v>17.821782178217799</v>
      </c>
      <c r="BN3" s="15">
        <v>22.689075630252098</v>
      </c>
      <c r="BO3" s="15">
        <v>20</v>
      </c>
      <c r="BP3" s="15">
        <v>33.3333333333333</v>
      </c>
      <c r="BQ3" s="15">
        <v>28.7671232876712</v>
      </c>
      <c r="BR3" s="15">
        <v>11.6666666666667</v>
      </c>
      <c r="BS3" s="15">
        <v>22.891566265060199</v>
      </c>
      <c r="BT3" s="15">
        <v>20.731707317073202</v>
      </c>
      <c r="BU3" s="15">
        <v>26.1682242990654</v>
      </c>
      <c r="BV3" s="15">
        <v>14.141414141414099</v>
      </c>
      <c r="BW3" s="15">
        <v>21.739130434782599</v>
      </c>
      <c r="BX3" s="20" t="s">
        <v>76</v>
      </c>
      <c r="BY3" s="15">
        <v>15.8730158730159</v>
      </c>
      <c r="BZ3" s="15">
        <v>17.687074829932001</v>
      </c>
      <c r="CA3" s="32">
        <v>20.100297945594502</v>
      </c>
      <c r="CB3" s="15">
        <v>20.1277955271566</v>
      </c>
      <c r="CC3" s="15">
        <v>25.7861635220126</v>
      </c>
      <c r="CD3" s="15">
        <v>21.935483870967701</v>
      </c>
      <c r="CE3" s="20" t="s">
        <v>76</v>
      </c>
      <c r="CF3" s="15">
        <v>23.652694610778401</v>
      </c>
      <c r="CG3" s="15">
        <v>27.932960893854698</v>
      </c>
      <c r="CH3" s="15">
        <v>18.75</v>
      </c>
      <c r="CI3" s="15">
        <v>21.9712525667351</v>
      </c>
      <c r="CJ3" s="15">
        <v>24.705882352941199</v>
      </c>
      <c r="CK3" s="15">
        <v>14.349775784753399</v>
      </c>
      <c r="CL3" s="15">
        <v>18.030303030302999</v>
      </c>
      <c r="CM3" s="24">
        <v>16.4882226980728</v>
      </c>
      <c r="CN3" s="37"/>
    </row>
    <row r="4" spans="1:92">
      <c r="A4" s="9" t="s">
        <v>259</v>
      </c>
      <c r="B4" s="35">
        <v>9.6275013879961193</v>
      </c>
      <c r="C4" s="32">
        <v>9.5158344097915908</v>
      </c>
      <c r="D4" s="32">
        <v>9.2422459260131795</v>
      </c>
      <c r="E4" s="32">
        <v>13.1095388654867</v>
      </c>
      <c r="F4" s="20" t="s">
        <v>76</v>
      </c>
      <c r="G4" s="20" t="s">
        <v>76</v>
      </c>
      <c r="H4" s="20" t="s">
        <v>76</v>
      </c>
      <c r="I4" s="20" t="s">
        <v>76</v>
      </c>
      <c r="J4" s="15">
        <v>9.0277777777777803</v>
      </c>
      <c r="K4" s="20" t="s">
        <v>76</v>
      </c>
      <c r="L4" s="15">
        <v>9.8360655737704903</v>
      </c>
      <c r="M4" s="15">
        <v>17.105263157894701</v>
      </c>
      <c r="N4" s="15">
        <v>25.882352941176499</v>
      </c>
      <c r="O4" s="15">
        <v>30.232558139534898</v>
      </c>
      <c r="P4" s="15">
        <v>11.2676056338028</v>
      </c>
      <c r="Q4" s="15">
        <v>8.4507042253521103</v>
      </c>
      <c r="R4" s="20" t="s">
        <v>76</v>
      </c>
      <c r="S4" s="15">
        <v>14.634146341463399</v>
      </c>
      <c r="T4" s="15">
        <v>12.5</v>
      </c>
      <c r="U4" s="20" t="s">
        <v>76</v>
      </c>
      <c r="V4" s="15">
        <v>14.705882352941201</v>
      </c>
      <c r="W4" s="15">
        <v>13.559322033898299</v>
      </c>
      <c r="X4" s="20" t="s">
        <v>76</v>
      </c>
      <c r="Y4" s="20" t="s">
        <v>76</v>
      </c>
      <c r="Z4" s="20" t="s">
        <v>76</v>
      </c>
      <c r="AA4" s="15">
        <v>25.688073394495401</v>
      </c>
      <c r="AB4" s="15">
        <v>11.764705882352899</v>
      </c>
      <c r="AC4" s="15">
        <v>7.5757575757575797</v>
      </c>
      <c r="AD4" s="15">
        <v>15.625</v>
      </c>
      <c r="AE4" s="15">
        <v>29.629629629629601</v>
      </c>
      <c r="AF4" s="20" t="s">
        <v>76</v>
      </c>
      <c r="AG4" s="15">
        <v>10.476190476190499</v>
      </c>
      <c r="AH4" s="15">
        <v>14.285714285714301</v>
      </c>
      <c r="AI4" s="20" t="s">
        <v>76</v>
      </c>
      <c r="AJ4" s="15">
        <v>18.018018018018001</v>
      </c>
      <c r="AK4" s="20" t="s">
        <v>76</v>
      </c>
      <c r="AL4" s="15">
        <v>5.5555555555555598</v>
      </c>
      <c r="AM4" s="15">
        <v>17.1875</v>
      </c>
      <c r="AN4" s="20" t="s">
        <v>76</v>
      </c>
      <c r="AO4" s="15">
        <v>15</v>
      </c>
      <c r="AP4" s="15">
        <v>12.987012987012999</v>
      </c>
      <c r="AQ4" s="15">
        <v>12.8205128205128</v>
      </c>
      <c r="AR4" s="15">
        <v>23.636363636363601</v>
      </c>
      <c r="AS4" s="20" t="s">
        <v>76</v>
      </c>
      <c r="AT4" s="15">
        <v>12.307692307692299</v>
      </c>
      <c r="AU4" s="15">
        <v>10.2040816326531</v>
      </c>
      <c r="AV4" s="20" t="s">
        <v>76</v>
      </c>
      <c r="AW4" s="15">
        <v>13.7931034482759</v>
      </c>
      <c r="AX4" s="20" t="s">
        <v>76</v>
      </c>
      <c r="AY4" s="20" t="s">
        <v>76</v>
      </c>
      <c r="AZ4" s="15">
        <v>18</v>
      </c>
      <c r="BA4" s="15">
        <v>15.094339622641501</v>
      </c>
      <c r="BB4" s="15">
        <v>10.4477611940298</v>
      </c>
      <c r="BC4" s="15">
        <v>12.1621621621622</v>
      </c>
      <c r="BD4" s="15">
        <v>7.6923076923076898</v>
      </c>
      <c r="BE4" s="15">
        <v>13.7931034482759</v>
      </c>
      <c r="BF4" s="15">
        <v>13.253012048192801</v>
      </c>
      <c r="BG4" s="15">
        <v>13.4328358208955</v>
      </c>
      <c r="BH4" s="20" t="s">
        <v>76</v>
      </c>
      <c r="BI4" s="20" t="s">
        <v>76</v>
      </c>
      <c r="BJ4" s="15">
        <v>11.6071428571429</v>
      </c>
      <c r="BK4" s="20" t="s">
        <v>76</v>
      </c>
      <c r="BL4" s="15">
        <v>10.15625</v>
      </c>
      <c r="BM4" s="15">
        <v>9.9009900990098991</v>
      </c>
      <c r="BN4" s="15">
        <v>12.605042016806699</v>
      </c>
      <c r="BO4" s="15">
        <v>18.8888888888889</v>
      </c>
      <c r="BP4" s="20" t="s">
        <v>76</v>
      </c>
      <c r="BQ4" s="15">
        <v>9.5890410958904102</v>
      </c>
      <c r="BR4" s="15">
        <v>15</v>
      </c>
      <c r="BS4" s="15">
        <v>21.6867469879518</v>
      </c>
      <c r="BT4" s="15">
        <v>9.7560975609756095</v>
      </c>
      <c r="BU4" s="15">
        <v>16.822429906542101</v>
      </c>
      <c r="BV4" s="15">
        <v>15.1515151515152</v>
      </c>
      <c r="BW4" s="15">
        <v>10.144927536231901</v>
      </c>
      <c r="BX4" s="20" t="s">
        <v>76</v>
      </c>
      <c r="BY4" s="15">
        <v>14.285714285714301</v>
      </c>
      <c r="BZ4" s="15">
        <v>9.5238095238095202</v>
      </c>
      <c r="CA4" s="32">
        <v>6.11913359072574</v>
      </c>
      <c r="CB4" s="15">
        <v>6.38977635782748</v>
      </c>
      <c r="CC4" s="15">
        <v>7.8616352201257902</v>
      </c>
      <c r="CD4" s="15">
        <v>7.7419354838709697</v>
      </c>
      <c r="CE4" s="20" t="s">
        <v>76</v>
      </c>
      <c r="CF4" s="15">
        <v>4.4910179640718599</v>
      </c>
      <c r="CG4" s="15">
        <v>7.2625698324022299</v>
      </c>
      <c r="CH4" s="15">
        <v>7.7205882352941204</v>
      </c>
      <c r="CI4" s="15">
        <v>4.9281314168377799</v>
      </c>
      <c r="CJ4" s="15">
        <v>10.1960784313726</v>
      </c>
      <c r="CK4" s="15">
        <v>6.2780269058296003</v>
      </c>
      <c r="CL4" s="15">
        <v>6.3636363636363598</v>
      </c>
      <c r="CM4" s="24">
        <v>8.1370449678800796</v>
      </c>
      <c r="CN4" s="37"/>
    </row>
    <row r="5" spans="1:92">
      <c r="A5" s="9" t="s">
        <v>260</v>
      </c>
      <c r="B5" s="35">
        <v>10.404927245985601</v>
      </c>
      <c r="C5" s="32">
        <v>10.7920917611112</v>
      </c>
      <c r="D5" s="32">
        <v>9.9053527327890407</v>
      </c>
      <c r="E5" s="32">
        <v>8.1387675149679808</v>
      </c>
      <c r="F5" s="20" t="s">
        <v>76</v>
      </c>
      <c r="G5" s="15">
        <v>35.294117647058798</v>
      </c>
      <c r="H5" s="20" t="s">
        <v>76</v>
      </c>
      <c r="I5" s="20" t="s">
        <v>76</v>
      </c>
      <c r="J5" s="15">
        <v>4.1666666666666696</v>
      </c>
      <c r="K5" s="20" t="s">
        <v>76</v>
      </c>
      <c r="L5" s="20" t="s">
        <v>76</v>
      </c>
      <c r="M5" s="15">
        <v>18.421052631578899</v>
      </c>
      <c r="N5" s="15">
        <v>8.2352941176470598</v>
      </c>
      <c r="O5" s="15">
        <v>13.953488372093</v>
      </c>
      <c r="P5" s="15">
        <v>8.4507042253521103</v>
      </c>
      <c r="Q5" s="15">
        <v>8.4507042253521103</v>
      </c>
      <c r="R5" s="20" t="s">
        <v>76</v>
      </c>
      <c r="S5" s="15">
        <v>12.1951219512195</v>
      </c>
      <c r="T5" s="20" t="s">
        <v>76</v>
      </c>
      <c r="U5" s="20" t="s">
        <v>76</v>
      </c>
      <c r="V5" s="20" t="s">
        <v>76</v>
      </c>
      <c r="W5" s="20" t="s">
        <v>76</v>
      </c>
      <c r="X5" s="20" t="s">
        <v>76</v>
      </c>
      <c r="Y5" s="20" t="s">
        <v>76</v>
      </c>
      <c r="Z5" s="15">
        <v>11.538461538461499</v>
      </c>
      <c r="AA5" s="15">
        <v>15.5963302752294</v>
      </c>
      <c r="AB5" s="20" t="s">
        <v>76</v>
      </c>
      <c r="AC5" s="15">
        <v>5.3030303030303001</v>
      </c>
      <c r="AD5" s="20" t="s">
        <v>76</v>
      </c>
      <c r="AE5" s="20" t="s">
        <v>76</v>
      </c>
      <c r="AF5" s="20" t="s">
        <v>76</v>
      </c>
      <c r="AG5" s="20" t="s">
        <v>76</v>
      </c>
      <c r="AH5" s="20" t="s">
        <v>76</v>
      </c>
      <c r="AI5" s="20" t="s">
        <v>76</v>
      </c>
      <c r="AJ5" s="15">
        <v>5.4054054054054097</v>
      </c>
      <c r="AK5" s="20" t="s">
        <v>76</v>
      </c>
      <c r="AL5" s="20" t="s">
        <v>76</v>
      </c>
      <c r="AM5" s="15">
        <v>7.8125</v>
      </c>
      <c r="AN5" s="20" t="s">
        <v>76</v>
      </c>
      <c r="AO5" s="20" t="s">
        <v>76</v>
      </c>
      <c r="AP5" s="15">
        <v>9.0909090909090899</v>
      </c>
      <c r="AQ5" s="20" t="s">
        <v>76</v>
      </c>
      <c r="AR5" s="15">
        <v>10.909090909090899</v>
      </c>
      <c r="AS5" s="20" t="s">
        <v>76</v>
      </c>
      <c r="AT5" s="20" t="s">
        <v>76</v>
      </c>
      <c r="AU5" s="20" t="s">
        <v>76</v>
      </c>
      <c r="AV5" s="20" t="s">
        <v>76</v>
      </c>
      <c r="AW5" s="15">
        <v>9.4827586206896601</v>
      </c>
      <c r="AX5" s="20" t="s">
        <v>76</v>
      </c>
      <c r="AY5" s="20" t="s">
        <v>76</v>
      </c>
      <c r="AZ5" s="20" t="s">
        <v>76</v>
      </c>
      <c r="BA5" s="20" t="s">
        <v>76</v>
      </c>
      <c r="BB5" s="20" t="s">
        <v>76</v>
      </c>
      <c r="BC5" s="15">
        <v>10.8108108108108</v>
      </c>
      <c r="BD5" s="15">
        <v>6.4102564102564097</v>
      </c>
      <c r="BE5" s="15">
        <v>10.3448275862069</v>
      </c>
      <c r="BF5" s="15">
        <v>6.0240963855421699</v>
      </c>
      <c r="BG5" s="15">
        <v>8.9552238805970106</v>
      </c>
      <c r="BH5" s="20" t="s">
        <v>76</v>
      </c>
      <c r="BI5" s="20" t="s">
        <v>76</v>
      </c>
      <c r="BJ5" s="15">
        <v>8.9285714285714306</v>
      </c>
      <c r="BK5" s="20" t="s">
        <v>76</v>
      </c>
      <c r="BL5" s="15">
        <v>7.03125</v>
      </c>
      <c r="BM5" s="15">
        <v>10.891089108910901</v>
      </c>
      <c r="BN5" s="15">
        <v>10.084033613445399</v>
      </c>
      <c r="BO5" s="15">
        <v>10</v>
      </c>
      <c r="BP5" s="20" t="s">
        <v>76</v>
      </c>
      <c r="BQ5" s="15">
        <v>8.2191780821917799</v>
      </c>
      <c r="BR5" s="15">
        <v>8.3333333333333304</v>
      </c>
      <c r="BS5" s="15">
        <v>9.6385542168674707</v>
      </c>
      <c r="BT5" s="15">
        <v>12.1951219512195</v>
      </c>
      <c r="BU5" s="15">
        <v>9.3457943925233593</v>
      </c>
      <c r="BV5" s="15">
        <v>10.1010101010101</v>
      </c>
      <c r="BW5" s="20" t="s">
        <v>76</v>
      </c>
      <c r="BX5" s="20" t="s">
        <v>76</v>
      </c>
      <c r="BY5" s="20" t="s">
        <v>76</v>
      </c>
      <c r="BZ5" s="15">
        <v>11.5646258503401</v>
      </c>
      <c r="CA5" s="32">
        <v>11.331995133937101</v>
      </c>
      <c r="CB5" s="15">
        <v>17.891373801916899</v>
      </c>
      <c r="CC5" s="15">
        <v>11.9496855345912</v>
      </c>
      <c r="CD5" s="15">
        <v>12.258064516129</v>
      </c>
      <c r="CE5" s="20" t="s">
        <v>76</v>
      </c>
      <c r="CF5" s="15">
        <v>12.275449101796401</v>
      </c>
      <c r="CG5" s="15">
        <v>15.083798882681601</v>
      </c>
      <c r="CH5" s="15">
        <v>9.1911764705882408</v>
      </c>
      <c r="CI5" s="15">
        <v>7.3921971252566703</v>
      </c>
      <c r="CJ5" s="15">
        <v>13.3333333333333</v>
      </c>
      <c r="CK5" s="15">
        <v>11.2107623318386</v>
      </c>
      <c r="CL5" s="15">
        <v>7.8787878787878798</v>
      </c>
      <c r="CM5" s="24">
        <v>13.0620985010707</v>
      </c>
      <c r="CN5" s="37"/>
    </row>
    <row r="6" spans="1:92">
      <c r="A6" s="9" t="s">
        <v>261</v>
      </c>
      <c r="B6" s="35">
        <v>13.3200141643004</v>
      </c>
      <c r="C6" s="32">
        <v>13.297983932378999</v>
      </c>
      <c r="D6" s="32">
        <v>13.399871467044299</v>
      </c>
      <c r="E6" s="32">
        <v>14.796929310554599</v>
      </c>
      <c r="F6" s="15">
        <v>29.411764705882401</v>
      </c>
      <c r="G6" s="15">
        <v>47.058823529411796</v>
      </c>
      <c r="H6" s="20" t="s">
        <v>76</v>
      </c>
      <c r="I6" s="20" t="s">
        <v>76</v>
      </c>
      <c r="J6" s="15">
        <v>12.5</v>
      </c>
      <c r="K6" s="15">
        <v>25.6410256410256</v>
      </c>
      <c r="L6" s="15">
        <v>19.672131147540998</v>
      </c>
      <c r="M6" s="15">
        <v>7.8947368421052602</v>
      </c>
      <c r="N6" s="15">
        <v>7.0588235294117601</v>
      </c>
      <c r="O6" s="15">
        <v>20.930232558139501</v>
      </c>
      <c r="P6" s="15">
        <v>9.8591549295774694</v>
      </c>
      <c r="Q6" s="15">
        <v>15.492957746478901</v>
      </c>
      <c r="R6" s="20" t="s">
        <v>76</v>
      </c>
      <c r="S6" s="15">
        <v>12.1951219512195</v>
      </c>
      <c r="T6" s="15">
        <v>14.5833333333333</v>
      </c>
      <c r="U6" s="15">
        <v>23.8095238095238</v>
      </c>
      <c r="V6" s="20" t="s">
        <v>76</v>
      </c>
      <c r="W6" s="15">
        <v>13.559322033898299</v>
      </c>
      <c r="X6" s="20" t="s">
        <v>76</v>
      </c>
      <c r="Y6" s="20" t="s">
        <v>76</v>
      </c>
      <c r="Z6" s="15">
        <v>7.6923076923076898</v>
      </c>
      <c r="AA6" s="15">
        <v>18.348623853210999</v>
      </c>
      <c r="AB6" s="15">
        <v>7.3529411764705896</v>
      </c>
      <c r="AC6" s="15">
        <v>15.909090909090899</v>
      </c>
      <c r="AD6" s="15">
        <v>25</v>
      </c>
      <c r="AE6" s="15">
        <v>33.3333333333333</v>
      </c>
      <c r="AF6" s="20" t="s">
        <v>76</v>
      </c>
      <c r="AG6" s="15">
        <v>7.6190476190476204</v>
      </c>
      <c r="AH6" s="15">
        <v>14.285714285714301</v>
      </c>
      <c r="AI6" s="20" t="s">
        <v>76</v>
      </c>
      <c r="AJ6" s="15">
        <v>22.5225225225225</v>
      </c>
      <c r="AK6" s="20" t="s">
        <v>76</v>
      </c>
      <c r="AL6" s="15">
        <v>11.1111111111111</v>
      </c>
      <c r="AM6" s="15">
        <v>21.875</v>
      </c>
      <c r="AN6" s="20" t="s">
        <v>76</v>
      </c>
      <c r="AO6" s="20" t="s">
        <v>76</v>
      </c>
      <c r="AP6" s="15">
        <v>12.987012987012999</v>
      </c>
      <c r="AQ6" s="20" t="s">
        <v>76</v>
      </c>
      <c r="AR6" s="15">
        <v>20</v>
      </c>
      <c r="AS6" s="20" t="s">
        <v>76</v>
      </c>
      <c r="AT6" s="15">
        <v>21.538461538461501</v>
      </c>
      <c r="AU6" s="15">
        <v>18.367346938775501</v>
      </c>
      <c r="AV6" s="15">
        <v>12.328767123287699</v>
      </c>
      <c r="AW6" s="15">
        <v>12.9310344827586</v>
      </c>
      <c r="AX6" s="20" t="s">
        <v>76</v>
      </c>
      <c r="AY6" s="20" t="s">
        <v>76</v>
      </c>
      <c r="AZ6" s="20" t="s">
        <v>76</v>
      </c>
      <c r="BA6" s="15">
        <v>13.207547169811299</v>
      </c>
      <c r="BB6" s="15">
        <v>13.4328358208955</v>
      </c>
      <c r="BC6" s="15">
        <v>12.1621621621622</v>
      </c>
      <c r="BD6" s="15">
        <v>16.6666666666667</v>
      </c>
      <c r="BE6" s="15">
        <v>10.3448275862069</v>
      </c>
      <c r="BF6" s="15">
        <v>10.8433734939759</v>
      </c>
      <c r="BG6" s="15">
        <v>14.9253731343284</v>
      </c>
      <c r="BH6" s="15">
        <v>20.8333333333333</v>
      </c>
      <c r="BI6" s="20" t="s">
        <v>76</v>
      </c>
      <c r="BJ6" s="15">
        <v>16.964285714285701</v>
      </c>
      <c r="BK6" s="15">
        <v>22.5</v>
      </c>
      <c r="BL6" s="15">
        <v>14.0625</v>
      </c>
      <c r="BM6" s="15">
        <v>19.801980198019798</v>
      </c>
      <c r="BN6" s="15">
        <v>21.008403361344499</v>
      </c>
      <c r="BO6" s="15">
        <v>15.5555555555556</v>
      </c>
      <c r="BP6" s="20" t="s">
        <v>76</v>
      </c>
      <c r="BQ6" s="15">
        <v>24.657534246575299</v>
      </c>
      <c r="BR6" s="15">
        <v>23.3333333333333</v>
      </c>
      <c r="BS6" s="15">
        <v>14.4578313253012</v>
      </c>
      <c r="BT6" s="15">
        <v>19.512195121951201</v>
      </c>
      <c r="BU6" s="15">
        <v>17.757009345794401</v>
      </c>
      <c r="BV6" s="15">
        <v>8.0808080808080796</v>
      </c>
      <c r="BW6" s="15">
        <v>11.5942028985507</v>
      </c>
      <c r="BX6" s="20" t="s">
        <v>76</v>
      </c>
      <c r="BY6" s="15">
        <v>17.460317460317501</v>
      </c>
      <c r="BZ6" s="15">
        <v>14.965986394557801</v>
      </c>
      <c r="CA6" s="32">
        <v>12.2716485337252</v>
      </c>
      <c r="CB6" s="15">
        <v>14.6964856230032</v>
      </c>
      <c r="CC6" s="15">
        <v>11.320754716981099</v>
      </c>
      <c r="CD6" s="15">
        <v>16.129032258064498</v>
      </c>
      <c r="CE6" s="20" t="s">
        <v>76</v>
      </c>
      <c r="CF6" s="15">
        <v>11.377245508982</v>
      </c>
      <c r="CG6" s="15">
        <v>16.759776536312799</v>
      </c>
      <c r="CH6" s="15">
        <v>15.073529411764699</v>
      </c>
      <c r="CI6" s="15">
        <v>8.2135523613962995</v>
      </c>
      <c r="CJ6" s="15">
        <v>10.980392156862701</v>
      </c>
      <c r="CK6" s="15">
        <v>12.556053811659201</v>
      </c>
      <c r="CL6" s="15">
        <v>11.6666666666667</v>
      </c>
      <c r="CM6" s="24">
        <v>16.4882226980728</v>
      </c>
      <c r="CN6" s="37"/>
    </row>
    <row r="7" spans="1:92">
      <c r="A7" s="9" t="s">
        <v>262</v>
      </c>
      <c r="B7" s="35">
        <v>11.445858685249799</v>
      </c>
      <c r="C7" s="32">
        <v>11.0548805829701</v>
      </c>
      <c r="D7" s="32">
        <v>11.389539591500499</v>
      </c>
      <c r="E7" s="32">
        <v>13.686934493187</v>
      </c>
      <c r="F7" s="20" t="s">
        <v>76</v>
      </c>
      <c r="G7" s="15">
        <v>35.294117647058798</v>
      </c>
      <c r="H7" s="20" t="s">
        <v>76</v>
      </c>
      <c r="I7" s="20" t="s">
        <v>76</v>
      </c>
      <c r="J7" s="15">
        <v>15.2777777777778</v>
      </c>
      <c r="K7" s="15">
        <v>17.948717948717899</v>
      </c>
      <c r="L7" s="15">
        <v>22.9508196721311</v>
      </c>
      <c r="M7" s="15">
        <v>19.7368421052632</v>
      </c>
      <c r="N7" s="15">
        <v>28.235294117647101</v>
      </c>
      <c r="O7" s="15">
        <v>11.6279069767442</v>
      </c>
      <c r="P7" s="15">
        <v>12.6760563380282</v>
      </c>
      <c r="Q7" s="15">
        <v>15.492957746478901</v>
      </c>
      <c r="R7" s="20" t="s">
        <v>76</v>
      </c>
      <c r="S7" s="15">
        <v>12.1951219512195</v>
      </c>
      <c r="T7" s="20" t="s">
        <v>76</v>
      </c>
      <c r="U7" s="20" t="s">
        <v>76</v>
      </c>
      <c r="V7" s="20" t="s">
        <v>76</v>
      </c>
      <c r="W7" s="15">
        <v>16.9491525423729</v>
      </c>
      <c r="X7" s="20" t="s">
        <v>76</v>
      </c>
      <c r="Y7" s="20" t="s">
        <v>76</v>
      </c>
      <c r="Z7" s="15">
        <v>11.538461538461499</v>
      </c>
      <c r="AA7" s="15">
        <v>15.5963302752294</v>
      </c>
      <c r="AB7" s="15">
        <v>16.176470588235301</v>
      </c>
      <c r="AC7" s="15">
        <v>9.8484848484848495</v>
      </c>
      <c r="AD7" s="20" t="s">
        <v>76</v>
      </c>
      <c r="AE7" s="20" t="s">
        <v>76</v>
      </c>
      <c r="AF7" s="20" t="s">
        <v>76</v>
      </c>
      <c r="AG7" s="15">
        <v>15.2380952380952</v>
      </c>
      <c r="AH7" s="15">
        <v>14.285714285714301</v>
      </c>
      <c r="AI7" s="20" t="s">
        <v>76</v>
      </c>
      <c r="AJ7" s="15">
        <v>8.1081081081081106</v>
      </c>
      <c r="AK7" s="15">
        <v>30</v>
      </c>
      <c r="AL7" s="15">
        <v>12.2222222222222</v>
      </c>
      <c r="AM7" s="15">
        <v>17.1875</v>
      </c>
      <c r="AN7" s="20" t="s">
        <v>76</v>
      </c>
      <c r="AO7" s="20" t="s">
        <v>76</v>
      </c>
      <c r="AP7" s="15">
        <v>19.480519480519501</v>
      </c>
      <c r="AQ7" s="20" t="s">
        <v>76</v>
      </c>
      <c r="AR7" s="15">
        <v>14.545454545454501</v>
      </c>
      <c r="AS7" s="20" t="s">
        <v>76</v>
      </c>
      <c r="AT7" s="15">
        <v>13.846153846153801</v>
      </c>
      <c r="AU7" s="15">
        <v>12.244897959183699</v>
      </c>
      <c r="AV7" s="15">
        <v>15.068493150684899</v>
      </c>
      <c r="AW7" s="15">
        <v>7.7586206896551699</v>
      </c>
      <c r="AX7" s="20" t="s">
        <v>76</v>
      </c>
      <c r="AY7" s="20" t="s">
        <v>76</v>
      </c>
      <c r="AZ7" s="15">
        <v>12</v>
      </c>
      <c r="BA7" s="15">
        <v>11.320754716981099</v>
      </c>
      <c r="BB7" s="15">
        <v>14.9253731343284</v>
      </c>
      <c r="BC7" s="15">
        <v>6.7567567567567597</v>
      </c>
      <c r="BD7" s="15">
        <v>11.538461538461499</v>
      </c>
      <c r="BE7" s="15">
        <v>17.241379310344801</v>
      </c>
      <c r="BF7" s="15">
        <v>9.6385542168674707</v>
      </c>
      <c r="BG7" s="15">
        <v>8.9552238805970106</v>
      </c>
      <c r="BH7" s="20" t="s">
        <v>76</v>
      </c>
      <c r="BI7" s="20" t="s">
        <v>76</v>
      </c>
      <c r="BJ7" s="15">
        <v>24.1071428571429</v>
      </c>
      <c r="BK7" s="15">
        <v>12.5</v>
      </c>
      <c r="BL7" s="15">
        <v>12.5</v>
      </c>
      <c r="BM7" s="15">
        <v>12.8712871287129</v>
      </c>
      <c r="BN7" s="15">
        <v>13.445378151260501</v>
      </c>
      <c r="BO7" s="15">
        <v>11.1111111111111</v>
      </c>
      <c r="BP7" s="20" t="s">
        <v>76</v>
      </c>
      <c r="BQ7" s="20" t="s">
        <v>76</v>
      </c>
      <c r="BR7" s="15">
        <v>20</v>
      </c>
      <c r="BS7" s="15">
        <v>13.253012048192801</v>
      </c>
      <c r="BT7" s="15">
        <v>18.292682926829301</v>
      </c>
      <c r="BU7" s="15">
        <v>10.2803738317757</v>
      </c>
      <c r="BV7" s="15">
        <v>16.161616161616202</v>
      </c>
      <c r="BW7" s="15">
        <v>10.144927536231901</v>
      </c>
      <c r="BX7" s="20" t="s">
        <v>76</v>
      </c>
      <c r="BY7" s="15">
        <v>7.9365079365079403</v>
      </c>
      <c r="BZ7" s="15">
        <v>13.605442176870699</v>
      </c>
      <c r="CA7" s="32">
        <v>9.5342308603599708</v>
      </c>
      <c r="CB7" s="15">
        <v>7.9872204472843498</v>
      </c>
      <c r="CC7" s="15">
        <v>10.377358490565999</v>
      </c>
      <c r="CD7" s="15">
        <v>11.6129032258065</v>
      </c>
      <c r="CE7" s="20" t="s">
        <v>76</v>
      </c>
      <c r="CF7" s="15">
        <v>12.5748502994012</v>
      </c>
      <c r="CG7" s="15">
        <v>15.6424581005587</v>
      </c>
      <c r="CH7" s="15">
        <v>10.110294117647101</v>
      </c>
      <c r="CI7" s="15">
        <v>9.0349075975359305</v>
      </c>
      <c r="CJ7" s="15">
        <v>12.156862745098</v>
      </c>
      <c r="CK7" s="15">
        <v>11.6591928251121</v>
      </c>
      <c r="CL7" s="15">
        <v>8.0303030303030294</v>
      </c>
      <c r="CM7" s="24">
        <v>8.7794432548179895</v>
      </c>
      <c r="CN7" s="37"/>
    </row>
    <row r="8" spans="1:92">
      <c r="A8" s="9" t="s">
        <v>263</v>
      </c>
      <c r="B8" s="35">
        <v>2.4856594057021</v>
      </c>
      <c r="C8" s="32">
        <v>2.3992723426820799</v>
      </c>
      <c r="D8" s="32">
        <v>2.0168393927759198</v>
      </c>
      <c r="E8" s="32">
        <v>2.7305674958048698</v>
      </c>
      <c r="F8" s="20" t="s">
        <v>76</v>
      </c>
      <c r="G8" s="20" t="s">
        <v>76</v>
      </c>
      <c r="H8" s="20" t="s">
        <v>76</v>
      </c>
      <c r="I8" s="20" t="s">
        <v>76</v>
      </c>
      <c r="J8" s="20" t="s">
        <v>76</v>
      </c>
      <c r="K8" s="20" t="s">
        <v>76</v>
      </c>
      <c r="L8" s="20" t="s">
        <v>76</v>
      </c>
      <c r="M8" s="15">
        <v>6.5789473684210504</v>
      </c>
      <c r="N8" s="20" t="s">
        <v>76</v>
      </c>
      <c r="O8" s="20" t="s">
        <v>76</v>
      </c>
      <c r="P8" s="20" t="s">
        <v>76</v>
      </c>
      <c r="Q8" s="20" t="s">
        <v>76</v>
      </c>
      <c r="R8" s="20" t="s">
        <v>76</v>
      </c>
      <c r="S8" s="20" t="s">
        <v>76</v>
      </c>
      <c r="T8" s="20" t="s">
        <v>76</v>
      </c>
      <c r="U8" s="20" t="s">
        <v>76</v>
      </c>
      <c r="V8" s="20" t="s">
        <v>76</v>
      </c>
      <c r="W8" s="20" t="s">
        <v>76</v>
      </c>
      <c r="X8" s="20" t="s">
        <v>76</v>
      </c>
      <c r="Y8" s="20" t="s">
        <v>76</v>
      </c>
      <c r="Z8" s="20" t="s">
        <v>76</v>
      </c>
      <c r="AA8" s="15">
        <v>6.4220183486238502</v>
      </c>
      <c r="AB8" s="15">
        <v>7.3529411764705896</v>
      </c>
      <c r="AC8" s="20" t="s">
        <v>76</v>
      </c>
      <c r="AD8" s="20" t="s">
        <v>76</v>
      </c>
      <c r="AE8" s="20" t="s">
        <v>76</v>
      </c>
      <c r="AF8" s="20" t="s">
        <v>76</v>
      </c>
      <c r="AG8" s="20" t="s">
        <v>76</v>
      </c>
      <c r="AH8" s="15">
        <v>12.5</v>
      </c>
      <c r="AI8" s="20" t="s">
        <v>76</v>
      </c>
      <c r="AJ8" s="20" t="s">
        <v>76</v>
      </c>
      <c r="AK8" s="20" t="s">
        <v>76</v>
      </c>
      <c r="AL8" s="20" t="s">
        <v>76</v>
      </c>
      <c r="AM8" s="20" t="s">
        <v>76</v>
      </c>
      <c r="AN8" s="20" t="s">
        <v>76</v>
      </c>
      <c r="AO8" s="20" t="s">
        <v>76</v>
      </c>
      <c r="AP8" s="20" t="s">
        <v>76</v>
      </c>
      <c r="AQ8" s="20" t="s">
        <v>76</v>
      </c>
      <c r="AR8" s="20" t="s">
        <v>76</v>
      </c>
      <c r="AS8" s="20" t="s">
        <v>76</v>
      </c>
      <c r="AT8" s="20" t="s">
        <v>76</v>
      </c>
      <c r="AU8" s="20" t="s">
        <v>76</v>
      </c>
      <c r="AV8" s="20" t="s">
        <v>76</v>
      </c>
      <c r="AW8" s="20" t="s">
        <v>76</v>
      </c>
      <c r="AX8" s="20" t="s">
        <v>76</v>
      </c>
      <c r="AY8" s="20" t="s">
        <v>76</v>
      </c>
      <c r="AZ8" s="20" t="s">
        <v>76</v>
      </c>
      <c r="BA8" s="20" t="s">
        <v>76</v>
      </c>
      <c r="BB8" s="20" t="s">
        <v>76</v>
      </c>
      <c r="BC8" s="20" t="s">
        <v>76</v>
      </c>
      <c r="BD8" s="20" t="s">
        <v>76</v>
      </c>
      <c r="BE8" s="20" t="s">
        <v>76</v>
      </c>
      <c r="BF8" s="15">
        <v>7.2289156626505999</v>
      </c>
      <c r="BG8" s="20" t="s">
        <v>76</v>
      </c>
      <c r="BH8" s="20" t="s">
        <v>76</v>
      </c>
      <c r="BI8" s="20" t="s">
        <v>76</v>
      </c>
      <c r="BJ8" s="20" t="s">
        <v>76</v>
      </c>
      <c r="BK8" s="20" t="s">
        <v>76</v>
      </c>
      <c r="BL8" s="20" t="s">
        <v>76</v>
      </c>
      <c r="BM8" s="20" t="s">
        <v>76</v>
      </c>
      <c r="BN8" s="20" t="s">
        <v>76</v>
      </c>
      <c r="BO8" s="20" t="s">
        <v>76</v>
      </c>
      <c r="BP8" s="20" t="s">
        <v>76</v>
      </c>
      <c r="BQ8" s="20" t="s">
        <v>76</v>
      </c>
      <c r="BR8" s="20" t="s">
        <v>76</v>
      </c>
      <c r="BS8" s="20" t="s">
        <v>76</v>
      </c>
      <c r="BT8" s="20" t="s">
        <v>76</v>
      </c>
      <c r="BU8" s="20" t="s">
        <v>76</v>
      </c>
      <c r="BV8" s="15">
        <v>6.0606060606060597</v>
      </c>
      <c r="BW8" s="20" t="s">
        <v>76</v>
      </c>
      <c r="BX8" s="20" t="s">
        <v>76</v>
      </c>
      <c r="BY8" s="20" t="s">
        <v>76</v>
      </c>
      <c r="BZ8" s="20" t="s">
        <v>76</v>
      </c>
      <c r="CA8" s="32">
        <v>1.44045351317032</v>
      </c>
      <c r="CB8" s="20" t="s">
        <v>76</v>
      </c>
      <c r="CC8" s="15">
        <v>1.88679245283019</v>
      </c>
      <c r="CD8" s="20" t="s">
        <v>76</v>
      </c>
      <c r="CE8" s="20" t="s">
        <v>76</v>
      </c>
      <c r="CF8" s="15">
        <v>2.6946107784431099</v>
      </c>
      <c r="CG8" s="20" t="s">
        <v>76</v>
      </c>
      <c r="CH8" s="15">
        <v>1.2867647058823499</v>
      </c>
      <c r="CI8" s="15">
        <v>2.4640657084188899</v>
      </c>
      <c r="CJ8" s="15">
        <v>2.3529411764705901</v>
      </c>
      <c r="CK8" s="20" t="s">
        <v>76</v>
      </c>
      <c r="CL8" s="15">
        <v>1.51515151515152</v>
      </c>
      <c r="CM8" s="26" t="s">
        <v>76</v>
      </c>
      <c r="CN8" s="37"/>
    </row>
    <row r="9" spans="1:92">
      <c r="A9" s="9" t="s">
        <v>264</v>
      </c>
      <c r="B9" s="35">
        <v>6.5154896858226596</v>
      </c>
      <c r="C9" s="32">
        <v>6.4870657969001302</v>
      </c>
      <c r="D9" s="32">
        <v>6.2878279396600698</v>
      </c>
      <c r="E9" s="32">
        <v>8.5434036426664104</v>
      </c>
      <c r="F9" s="20" t="s">
        <v>76</v>
      </c>
      <c r="G9" s="20" t="s">
        <v>76</v>
      </c>
      <c r="H9" s="20" t="s">
        <v>76</v>
      </c>
      <c r="I9" s="20" t="s">
        <v>76</v>
      </c>
      <c r="J9" s="15">
        <v>5.5555555555555598</v>
      </c>
      <c r="K9" s="15">
        <v>12.8205128205128</v>
      </c>
      <c r="L9" s="15">
        <v>11.4754098360656</v>
      </c>
      <c r="M9" s="15">
        <v>17.105263157894701</v>
      </c>
      <c r="N9" s="15">
        <v>8.2352941176470598</v>
      </c>
      <c r="O9" s="20" t="s">
        <v>76</v>
      </c>
      <c r="P9" s="15">
        <v>12.6760563380282</v>
      </c>
      <c r="Q9" s="15">
        <v>9.8591549295774694</v>
      </c>
      <c r="R9" s="20" t="s">
        <v>76</v>
      </c>
      <c r="S9" s="15">
        <v>12.1951219512195</v>
      </c>
      <c r="T9" s="20" t="s">
        <v>76</v>
      </c>
      <c r="U9" s="20" t="s">
        <v>76</v>
      </c>
      <c r="V9" s="20" t="s">
        <v>76</v>
      </c>
      <c r="W9" s="20" t="s">
        <v>76</v>
      </c>
      <c r="X9" s="20" t="s">
        <v>76</v>
      </c>
      <c r="Y9" s="20" t="s">
        <v>76</v>
      </c>
      <c r="Z9" s="15">
        <v>6.4102564102564097</v>
      </c>
      <c r="AA9" s="15">
        <v>14.678899082568799</v>
      </c>
      <c r="AB9" s="20" t="s">
        <v>76</v>
      </c>
      <c r="AC9" s="15">
        <v>5.3030303030303001</v>
      </c>
      <c r="AD9" s="20" t="s">
        <v>76</v>
      </c>
      <c r="AE9" s="20" t="s">
        <v>76</v>
      </c>
      <c r="AF9" s="20" t="s">
        <v>76</v>
      </c>
      <c r="AG9" s="15">
        <v>8.5714285714285694</v>
      </c>
      <c r="AH9" s="20" t="s">
        <v>76</v>
      </c>
      <c r="AI9" s="20" t="s">
        <v>76</v>
      </c>
      <c r="AJ9" s="15">
        <v>9.0090090090090094</v>
      </c>
      <c r="AK9" s="20" t="s">
        <v>76</v>
      </c>
      <c r="AL9" s="20" t="s">
        <v>76</v>
      </c>
      <c r="AM9" s="15">
        <v>17.1875</v>
      </c>
      <c r="AN9" s="20" t="s">
        <v>76</v>
      </c>
      <c r="AO9" s="20" t="s">
        <v>76</v>
      </c>
      <c r="AP9" s="15">
        <v>9.0909090909090899</v>
      </c>
      <c r="AQ9" s="20" t="s">
        <v>76</v>
      </c>
      <c r="AR9" s="15">
        <v>16.363636363636399</v>
      </c>
      <c r="AS9" s="20" t="s">
        <v>76</v>
      </c>
      <c r="AT9" s="20" t="s">
        <v>76</v>
      </c>
      <c r="AU9" s="20" t="s">
        <v>76</v>
      </c>
      <c r="AV9" s="20" t="s">
        <v>76</v>
      </c>
      <c r="AW9" s="15">
        <v>7.7586206896551699</v>
      </c>
      <c r="AX9" s="20" t="s">
        <v>76</v>
      </c>
      <c r="AY9" s="15">
        <v>17.1428571428571</v>
      </c>
      <c r="AZ9" s="20" t="s">
        <v>76</v>
      </c>
      <c r="BA9" s="20" t="s">
        <v>76</v>
      </c>
      <c r="BB9" s="20" t="s">
        <v>76</v>
      </c>
      <c r="BC9" s="20" t="s">
        <v>76</v>
      </c>
      <c r="BD9" s="15">
        <v>11.538461538461499</v>
      </c>
      <c r="BE9" s="15">
        <v>8.6206896551724093</v>
      </c>
      <c r="BF9" s="15">
        <v>6.0240963855421699</v>
      </c>
      <c r="BG9" s="15">
        <v>7.4626865671641802</v>
      </c>
      <c r="BH9" s="20" t="s">
        <v>76</v>
      </c>
      <c r="BI9" s="20" t="s">
        <v>76</v>
      </c>
      <c r="BJ9" s="15">
        <v>8.9285714285714306</v>
      </c>
      <c r="BK9" s="15">
        <v>17.5</v>
      </c>
      <c r="BL9" s="15">
        <v>9.375</v>
      </c>
      <c r="BM9" s="15">
        <v>4.9504950495049496</v>
      </c>
      <c r="BN9" s="15">
        <v>17.647058823529399</v>
      </c>
      <c r="BO9" s="20" t="s">
        <v>76</v>
      </c>
      <c r="BP9" s="20" t="s">
        <v>76</v>
      </c>
      <c r="BQ9" s="20" t="s">
        <v>76</v>
      </c>
      <c r="BR9" s="15">
        <v>13.3333333333333</v>
      </c>
      <c r="BS9" s="15">
        <v>10.8433734939759</v>
      </c>
      <c r="BT9" s="15">
        <v>8.5365853658536608</v>
      </c>
      <c r="BU9" s="15">
        <v>8.4112149532710294</v>
      </c>
      <c r="BV9" s="15">
        <v>10.1010101010101</v>
      </c>
      <c r="BW9" s="15">
        <v>7.2463768115942004</v>
      </c>
      <c r="BX9" s="20" t="s">
        <v>76</v>
      </c>
      <c r="BY9" s="20" t="s">
        <v>76</v>
      </c>
      <c r="BZ9" s="15">
        <v>6.12244897959184</v>
      </c>
      <c r="CA9" s="32">
        <v>4.4662911666550604</v>
      </c>
      <c r="CB9" s="15">
        <v>7.3482428115016001</v>
      </c>
      <c r="CC9" s="15">
        <v>7.2327044025157203</v>
      </c>
      <c r="CD9" s="20" t="s">
        <v>76</v>
      </c>
      <c r="CE9" s="20" t="s">
        <v>76</v>
      </c>
      <c r="CF9" s="15">
        <v>6.2874251497006002</v>
      </c>
      <c r="CG9" s="15">
        <v>5.0279329608938497</v>
      </c>
      <c r="CH9" s="15">
        <v>3.125</v>
      </c>
      <c r="CI9" s="15">
        <v>5.1334702258726903</v>
      </c>
      <c r="CJ9" s="15">
        <v>5.4901960784313699</v>
      </c>
      <c r="CK9" s="15">
        <v>4.9327354260089704</v>
      </c>
      <c r="CL9" s="15">
        <v>4.5454545454545503</v>
      </c>
      <c r="CM9" s="24">
        <v>3.4261241970021401</v>
      </c>
      <c r="CN9" s="37"/>
    </row>
    <row r="10" spans="1:92">
      <c r="A10" s="9" t="s">
        <v>265</v>
      </c>
      <c r="B10" s="35">
        <v>17.081788786613501</v>
      </c>
      <c r="C10" s="32">
        <v>16.753103035682301</v>
      </c>
      <c r="D10" s="32">
        <v>17.053473257617199</v>
      </c>
      <c r="E10" s="32">
        <v>15.6684977370361</v>
      </c>
      <c r="F10" s="20" t="s">
        <v>76</v>
      </c>
      <c r="G10" s="20" t="s">
        <v>76</v>
      </c>
      <c r="H10" s="20" t="s">
        <v>76</v>
      </c>
      <c r="I10" s="20" t="s">
        <v>76</v>
      </c>
      <c r="J10" s="15">
        <v>14.5833333333333</v>
      </c>
      <c r="K10" s="15">
        <v>20.5128205128205</v>
      </c>
      <c r="L10" s="15">
        <v>21.311475409836099</v>
      </c>
      <c r="M10" s="15">
        <v>25</v>
      </c>
      <c r="N10" s="15">
        <v>22.352941176470601</v>
      </c>
      <c r="O10" s="15">
        <v>11.6279069767442</v>
      </c>
      <c r="P10" s="15">
        <v>22.5352112676056</v>
      </c>
      <c r="Q10" s="15">
        <v>14.084507042253501</v>
      </c>
      <c r="R10" s="20" t="s">
        <v>76</v>
      </c>
      <c r="S10" s="15">
        <v>12.1951219512195</v>
      </c>
      <c r="T10" s="20" t="s">
        <v>76</v>
      </c>
      <c r="U10" s="20" t="s">
        <v>76</v>
      </c>
      <c r="V10" s="20" t="s">
        <v>76</v>
      </c>
      <c r="W10" s="15">
        <v>18.644067796610202</v>
      </c>
      <c r="X10" s="20" t="s">
        <v>76</v>
      </c>
      <c r="Y10" s="20" t="s">
        <v>76</v>
      </c>
      <c r="Z10" s="15">
        <v>15.384615384615399</v>
      </c>
      <c r="AA10" s="15">
        <v>19.2660550458716</v>
      </c>
      <c r="AB10" s="15">
        <v>8.8235294117646994</v>
      </c>
      <c r="AC10" s="15">
        <v>17.424242424242401</v>
      </c>
      <c r="AD10" s="20" t="s">
        <v>76</v>
      </c>
      <c r="AE10" s="20" t="s">
        <v>76</v>
      </c>
      <c r="AF10" s="20" t="s">
        <v>76</v>
      </c>
      <c r="AG10" s="15">
        <v>11.4285714285714</v>
      </c>
      <c r="AH10" s="15">
        <v>21.428571428571399</v>
      </c>
      <c r="AI10" s="20" t="s">
        <v>76</v>
      </c>
      <c r="AJ10" s="15">
        <v>13.5135135135135</v>
      </c>
      <c r="AK10" s="15">
        <v>20</v>
      </c>
      <c r="AL10" s="15">
        <v>17.7777777777778</v>
      </c>
      <c r="AM10" s="15">
        <v>21.875</v>
      </c>
      <c r="AN10" s="20" t="s">
        <v>76</v>
      </c>
      <c r="AO10" s="15">
        <v>22.5</v>
      </c>
      <c r="AP10" s="15">
        <v>14.285714285714301</v>
      </c>
      <c r="AQ10" s="15">
        <v>12.8205128205128</v>
      </c>
      <c r="AR10" s="15">
        <v>25.454545454545499</v>
      </c>
      <c r="AS10" s="20" t="s">
        <v>76</v>
      </c>
      <c r="AT10" s="15">
        <v>12.307692307692299</v>
      </c>
      <c r="AU10" s="20" t="s">
        <v>76</v>
      </c>
      <c r="AV10" s="15">
        <v>10.958904109589</v>
      </c>
      <c r="AW10" s="15">
        <v>14.6551724137931</v>
      </c>
      <c r="AX10" s="20" t="s">
        <v>76</v>
      </c>
      <c r="AY10" s="20" t="s">
        <v>76</v>
      </c>
      <c r="AZ10" s="15">
        <v>10</v>
      </c>
      <c r="BA10" s="15">
        <v>20.754716981132098</v>
      </c>
      <c r="BB10" s="15">
        <v>19.402985074626901</v>
      </c>
      <c r="BC10" s="20" t="s">
        <v>76</v>
      </c>
      <c r="BD10" s="15">
        <v>11.538461538461499</v>
      </c>
      <c r="BE10" s="15">
        <v>17.241379310344801</v>
      </c>
      <c r="BF10" s="15">
        <v>18.0722891566265</v>
      </c>
      <c r="BG10" s="15">
        <v>16.417910447761201</v>
      </c>
      <c r="BH10" s="20" t="s">
        <v>76</v>
      </c>
      <c r="BI10" s="20" t="s">
        <v>76</v>
      </c>
      <c r="BJ10" s="15">
        <v>14.285714285714301</v>
      </c>
      <c r="BK10" s="15">
        <v>12.5</v>
      </c>
      <c r="BL10" s="15">
        <v>19.53125</v>
      </c>
      <c r="BM10" s="15">
        <v>12.8712871287129</v>
      </c>
      <c r="BN10" s="15">
        <v>18.487394957983199</v>
      </c>
      <c r="BO10" s="15">
        <v>16.6666666666667</v>
      </c>
      <c r="BP10" s="20" t="s">
        <v>76</v>
      </c>
      <c r="BQ10" s="15">
        <v>10.958904109589</v>
      </c>
      <c r="BR10" s="15">
        <v>10</v>
      </c>
      <c r="BS10" s="15">
        <v>13.253012048192801</v>
      </c>
      <c r="BT10" s="15">
        <v>17.0731707317073</v>
      </c>
      <c r="BU10" s="15">
        <v>14.953271028037401</v>
      </c>
      <c r="BV10" s="15">
        <v>19.191919191919201</v>
      </c>
      <c r="BW10" s="15">
        <v>7.2463768115942004</v>
      </c>
      <c r="BX10" s="20" t="s">
        <v>76</v>
      </c>
      <c r="BY10" s="15">
        <v>15.8730158730159</v>
      </c>
      <c r="BZ10" s="15">
        <v>15.6462585034014</v>
      </c>
      <c r="CA10" s="32">
        <v>18.171938861359799</v>
      </c>
      <c r="CB10" s="15">
        <v>18.5303514376997</v>
      </c>
      <c r="CC10" s="15">
        <v>19.182389937106901</v>
      </c>
      <c r="CD10" s="15">
        <v>21.935483870967701</v>
      </c>
      <c r="CE10" s="20" t="s">
        <v>76</v>
      </c>
      <c r="CF10" s="15">
        <v>17.664670658682599</v>
      </c>
      <c r="CG10" s="15">
        <v>20.670391061452499</v>
      </c>
      <c r="CH10" s="15">
        <v>14.889705882352899</v>
      </c>
      <c r="CI10" s="15">
        <v>18.6858316221766</v>
      </c>
      <c r="CJ10" s="15">
        <v>21.568627450980401</v>
      </c>
      <c r="CK10" s="15">
        <v>15.695067264574</v>
      </c>
      <c r="CL10" s="15">
        <v>16.363636363636399</v>
      </c>
      <c r="CM10" s="24">
        <v>17.773019271948598</v>
      </c>
      <c r="CN10" s="37"/>
    </row>
    <row r="11" spans="1:92">
      <c r="A11" s="9" t="s">
        <v>266</v>
      </c>
      <c r="B11" s="35">
        <v>15.3790368882698</v>
      </c>
      <c r="C11" s="32">
        <v>15.3706963302782</v>
      </c>
      <c r="D11" s="32">
        <v>16.608973572039901</v>
      </c>
      <c r="E11" s="32">
        <v>17.0474964703049</v>
      </c>
      <c r="F11" s="20" t="s">
        <v>76</v>
      </c>
      <c r="G11" s="15">
        <v>52.941176470588204</v>
      </c>
      <c r="H11" s="20" t="s">
        <v>76</v>
      </c>
      <c r="I11" s="20" t="s">
        <v>76</v>
      </c>
      <c r="J11" s="15">
        <v>18.75</v>
      </c>
      <c r="K11" s="15">
        <v>20.5128205128205</v>
      </c>
      <c r="L11" s="15">
        <v>19.672131147540998</v>
      </c>
      <c r="M11" s="15">
        <v>14.473684210526301</v>
      </c>
      <c r="N11" s="15">
        <v>24.705882352941199</v>
      </c>
      <c r="O11" s="15">
        <v>20.930232558139501</v>
      </c>
      <c r="P11" s="15">
        <v>11.2676056338028</v>
      </c>
      <c r="Q11" s="15">
        <v>15.492957746478901</v>
      </c>
      <c r="R11" s="20" t="s">
        <v>76</v>
      </c>
      <c r="S11" s="15">
        <v>14.634146341463399</v>
      </c>
      <c r="T11" s="20" t="s">
        <v>76</v>
      </c>
      <c r="U11" s="20" t="s">
        <v>76</v>
      </c>
      <c r="V11" s="20" t="s">
        <v>76</v>
      </c>
      <c r="W11" s="15">
        <v>20.338983050847499</v>
      </c>
      <c r="X11" s="20" t="s">
        <v>76</v>
      </c>
      <c r="Y11" s="20" t="s">
        <v>76</v>
      </c>
      <c r="Z11" s="15">
        <v>8.9743589743589691</v>
      </c>
      <c r="AA11" s="15">
        <v>25.688073394495401</v>
      </c>
      <c r="AB11" s="15">
        <v>26.470588235294102</v>
      </c>
      <c r="AC11" s="15">
        <v>16.6666666666667</v>
      </c>
      <c r="AD11" s="20" t="s">
        <v>76</v>
      </c>
      <c r="AE11" s="15">
        <v>29.629629629629601</v>
      </c>
      <c r="AF11" s="20" t="s">
        <v>76</v>
      </c>
      <c r="AG11" s="15">
        <v>9.5238095238095202</v>
      </c>
      <c r="AH11" s="15">
        <v>23.214285714285701</v>
      </c>
      <c r="AI11" s="20" t="s">
        <v>76</v>
      </c>
      <c r="AJ11" s="15">
        <v>25.225225225225198</v>
      </c>
      <c r="AK11" s="20" t="s">
        <v>76</v>
      </c>
      <c r="AL11" s="15">
        <v>20</v>
      </c>
      <c r="AM11" s="15">
        <v>20.3125</v>
      </c>
      <c r="AN11" s="20" t="s">
        <v>76</v>
      </c>
      <c r="AO11" s="15">
        <v>17.5</v>
      </c>
      <c r="AP11" s="15">
        <v>25.974025974025999</v>
      </c>
      <c r="AQ11" s="20" t="s">
        <v>76</v>
      </c>
      <c r="AR11" s="15">
        <v>30.909090909090899</v>
      </c>
      <c r="AS11" s="20" t="s">
        <v>76</v>
      </c>
      <c r="AT11" s="15">
        <v>23.076923076923102</v>
      </c>
      <c r="AU11" s="15">
        <v>14.285714285714301</v>
      </c>
      <c r="AV11" s="15">
        <v>8.2191780821917799</v>
      </c>
      <c r="AW11" s="15">
        <v>13.7931034482759</v>
      </c>
      <c r="AX11" s="20" t="s">
        <v>76</v>
      </c>
      <c r="AY11" s="15">
        <v>25.714285714285701</v>
      </c>
      <c r="AZ11" s="15">
        <v>12</v>
      </c>
      <c r="BA11" s="15">
        <v>15.094339622641501</v>
      </c>
      <c r="BB11" s="15">
        <v>11.9402985074627</v>
      </c>
      <c r="BC11" s="15">
        <v>12.1621621621622</v>
      </c>
      <c r="BD11" s="15">
        <v>20.5128205128205</v>
      </c>
      <c r="BE11" s="15">
        <v>13.7931034482759</v>
      </c>
      <c r="BF11" s="15">
        <v>21.6867469879518</v>
      </c>
      <c r="BG11" s="15">
        <v>16.417910447761201</v>
      </c>
      <c r="BH11" s="20" t="s">
        <v>76</v>
      </c>
      <c r="BI11" s="20" t="s">
        <v>76</v>
      </c>
      <c r="BJ11" s="15">
        <v>13.3928571428571</v>
      </c>
      <c r="BK11" s="20" t="s">
        <v>76</v>
      </c>
      <c r="BL11" s="15">
        <v>13.28125</v>
      </c>
      <c r="BM11" s="15">
        <v>16.8316831683168</v>
      </c>
      <c r="BN11" s="15">
        <v>15.966386554621799</v>
      </c>
      <c r="BO11" s="15">
        <v>17.7777777777778</v>
      </c>
      <c r="BP11" s="20" t="s">
        <v>76</v>
      </c>
      <c r="BQ11" s="15">
        <v>23.287671232876701</v>
      </c>
      <c r="BR11" s="15">
        <v>23.3333333333333</v>
      </c>
      <c r="BS11" s="15">
        <v>27.710843373494001</v>
      </c>
      <c r="BT11" s="15">
        <v>8.5365853658536608</v>
      </c>
      <c r="BU11" s="15">
        <v>16.822429906542101</v>
      </c>
      <c r="BV11" s="15">
        <v>9.0909090909090899</v>
      </c>
      <c r="BW11" s="15">
        <v>13.0434782608696</v>
      </c>
      <c r="BX11" s="20" t="s">
        <v>76</v>
      </c>
      <c r="BY11" s="15">
        <v>20.634920634920601</v>
      </c>
      <c r="BZ11" s="15">
        <v>15.6462585034014</v>
      </c>
      <c r="CA11" s="32">
        <v>16.254835342970601</v>
      </c>
      <c r="CB11" s="15">
        <v>16.9329073482428</v>
      </c>
      <c r="CC11" s="15">
        <v>15.4088050314465</v>
      </c>
      <c r="CD11" s="15">
        <v>24.5161290322581</v>
      </c>
      <c r="CE11" s="20" t="s">
        <v>76</v>
      </c>
      <c r="CF11" s="15">
        <v>15.2694610778443</v>
      </c>
      <c r="CG11" s="15">
        <v>21.229050279329599</v>
      </c>
      <c r="CH11" s="15">
        <v>10.8455882352941</v>
      </c>
      <c r="CI11" s="15">
        <v>17.864476386037001</v>
      </c>
      <c r="CJ11" s="15">
        <v>13.7254901960784</v>
      </c>
      <c r="CK11" s="15">
        <v>17.4887892376682</v>
      </c>
      <c r="CL11" s="15">
        <v>16.363636363636399</v>
      </c>
      <c r="CM11" s="24">
        <v>17.558886509636</v>
      </c>
      <c r="CN11" s="37"/>
    </row>
    <row r="12" spans="1:92">
      <c r="A12" s="9" t="s">
        <v>267</v>
      </c>
      <c r="B12" s="35">
        <v>13.718292537910401</v>
      </c>
      <c r="C12" s="32">
        <v>12.4160677846195</v>
      </c>
      <c r="D12" s="32">
        <v>13.616720300414499</v>
      </c>
      <c r="E12" s="32">
        <v>14.606868101614801</v>
      </c>
      <c r="F12" s="20" t="s">
        <v>76</v>
      </c>
      <c r="G12" s="15">
        <v>35.294117647058798</v>
      </c>
      <c r="H12" s="20" t="s">
        <v>76</v>
      </c>
      <c r="I12" s="20" t="s">
        <v>76</v>
      </c>
      <c r="J12" s="15">
        <v>22.9166666666667</v>
      </c>
      <c r="K12" s="20" t="s">
        <v>76</v>
      </c>
      <c r="L12" s="15">
        <v>24.590163934426201</v>
      </c>
      <c r="M12" s="15">
        <v>17.105263157894701</v>
      </c>
      <c r="N12" s="15">
        <v>17.647058823529399</v>
      </c>
      <c r="O12" s="15">
        <v>13.953488372093</v>
      </c>
      <c r="P12" s="15">
        <v>11.2676056338028</v>
      </c>
      <c r="Q12" s="15">
        <v>14.084507042253501</v>
      </c>
      <c r="R12" s="20" t="s">
        <v>76</v>
      </c>
      <c r="S12" s="20" t="s">
        <v>76</v>
      </c>
      <c r="T12" s="20" t="s">
        <v>76</v>
      </c>
      <c r="U12" s="15">
        <v>23.8095238095238</v>
      </c>
      <c r="V12" s="20" t="s">
        <v>76</v>
      </c>
      <c r="W12" s="15">
        <v>11.864406779661</v>
      </c>
      <c r="X12" s="20" t="s">
        <v>76</v>
      </c>
      <c r="Y12" s="20" t="s">
        <v>76</v>
      </c>
      <c r="Z12" s="15">
        <v>7.6923076923076898</v>
      </c>
      <c r="AA12" s="15">
        <v>26.605504587155998</v>
      </c>
      <c r="AB12" s="15">
        <v>11.764705882352899</v>
      </c>
      <c r="AC12" s="15">
        <v>11.363636363636401</v>
      </c>
      <c r="AD12" s="20" t="s">
        <v>76</v>
      </c>
      <c r="AE12" s="20" t="s">
        <v>76</v>
      </c>
      <c r="AF12" s="20" t="s">
        <v>76</v>
      </c>
      <c r="AG12" s="15">
        <v>15.2380952380952</v>
      </c>
      <c r="AH12" s="20" t="s">
        <v>76</v>
      </c>
      <c r="AI12" s="20" t="s">
        <v>76</v>
      </c>
      <c r="AJ12" s="15">
        <v>18.018018018018001</v>
      </c>
      <c r="AK12" s="20" t="s">
        <v>76</v>
      </c>
      <c r="AL12" s="15">
        <v>13.3333333333333</v>
      </c>
      <c r="AM12" s="15">
        <v>14.0625</v>
      </c>
      <c r="AN12" s="20" t="s">
        <v>76</v>
      </c>
      <c r="AO12" s="20" t="s">
        <v>76</v>
      </c>
      <c r="AP12" s="15">
        <v>18.181818181818201</v>
      </c>
      <c r="AQ12" s="20" t="s">
        <v>76</v>
      </c>
      <c r="AR12" s="15">
        <v>21.818181818181799</v>
      </c>
      <c r="AS12" s="20" t="s">
        <v>76</v>
      </c>
      <c r="AT12" s="15">
        <v>13.846153846153801</v>
      </c>
      <c r="AU12" s="15">
        <v>10.2040816326531</v>
      </c>
      <c r="AV12" s="15">
        <v>9.5890410958904102</v>
      </c>
      <c r="AW12" s="15">
        <v>9.4827586206896601</v>
      </c>
      <c r="AX12" s="20" t="s">
        <v>76</v>
      </c>
      <c r="AY12" s="15">
        <v>25.714285714285701</v>
      </c>
      <c r="AZ12" s="15">
        <v>14</v>
      </c>
      <c r="BA12" s="15">
        <v>9.4339622641509404</v>
      </c>
      <c r="BB12" s="15">
        <v>13.4328358208955</v>
      </c>
      <c r="BC12" s="15">
        <v>17.5675675675676</v>
      </c>
      <c r="BD12" s="15">
        <v>21.794871794871799</v>
      </c>
      <c r="BE12" s="15">
        <v>15.517241379310301</v>
      </c>
      <c r="BF12" s="15">
        <v>18.0722891566265</v>
      </c>
      <c r="BG12" s="15">
        <v>7.4626865671641802</v>
      </c>
      <c r="BH12" s="20" t="s">
        <v>76</v>
      </c>
      <c r="BI12" s="20" t="s">
        <v>76</v>
      </c>
      <c r="BJ12" s="15">
        <v>15.1785714285714</v>
      </c>
      <c r="BK12" s="15">
        <v>12.5</v>
      </c>
      <c r="BL12" s="15">
        <v>10.9375</v>
      </c>
      <c r="BM12" s="15">
        <v>11.881188118811901</v>
      </c>
      <c r="BN12" s="15">
        <v>15.966386554621799</v>
      </c>
      <c r="BO12" s="15">
        <v>14.4444444444444</v>
      </c>
      <c r="BP12" s="20" t="s">
        <v>76</v>
      </c>
      <c r="BQ12" s="15">
        <v>15.068493150684899</v>
      </c>
      <c r="BR12" s="15">
        <v>15</v>
      </c>
      <c r="BS12" s="15">
        <v>16.867469879518101</v>
      </c>
      <c r="BT12" s="15">
        <v>9.7560975609756095</v>
      </c>
      <c r="BU12" s="15">
        <v>14.018691588785</v>
      </c>
      <c r="BV12" s="15">
        <v>20.202020202020201</v>
      </c>
      <c r="BW12" s="15">
        <v>7.2463768115942004</v>
      </c>
      <c r="BX12" s="20" t="s">
        <v>76</v>
      </c>
      <c r="BY12" s="15">
        <v>12.698412698412699</v>
      </c>
      <c r="BZ12" s="15">
        <v>14.285714285714301</v>
      </c>
      <c r="CA12" s="32">
        <v>12.8171059810225</v>
      </c>
      <c r="CB12" s="15">
        <v>9.9041533546325908</v>
      </c>
      <c r="CC12" s="15">
        <v>14.7798742138365</v>
      </c>
      <c r="CD12" s="15">
        <v>14.193548387096801</v>
      </c>
      <c r="CE12" s="20" t="s">
        <v>76</v>
      </c>
      <c r="CF12" s="15">
        <v>12.5748502994012</v>
      </c>
      <c r="CG12" s="15">
        <v>20.111731843575399</v>
      </c>
      <c r="CH12" s="15">
        <v>11.213235294117601</v>
      </c>
      <c r="CI12" s="15">
        <v>15.811088295687901</v>
      </c>
      <c r="CJ12" s="15">
        <v>14.901960784313699</v>
      </c>
      <c r="CK12" s="15">
        <v>12.1076233183857</v>
      </c>
      <c r="CL12" s="15">
        <v>13.3333333333333</v>
      </c>
      <c r="CM12" s="24">
        <v>10.0642398286938</v>
      </c>
      <c r="CN12" s="37"/>
    </row>
    <row r="13" spans="1:92">
      <c r="A13" s="9" t="s">
        <v>268</v>
      </c>
      <c r="B13" s="35">
        <v>10.2328218593206</v>
      </c>
      <c r="C13" s="32">
        <v>10.0536579090183</v>
      </c>
      <c r="D13" s="32">
        <v>9.8009565870036397</v>
      </c>
      <c r="E13" s="32">
        <v>12.2733891354256</v>
      </c>
      <c r="F13" s="20" t="s">
        <v>76</v>
      </c>
      <c r="G13" s="15">
        <v>41.176470588235297</v>
      </c>
      <c r="H13" s="20" t="s">
        <v>76</v>
      </c>
      <c r="I13" s="20" t="s">
        <v>76</v>
      </c>
      <c r="J13" s="15">
        <v>9.7222222222222197</v>
      </c>
      <c r="K13" s="15">
        <v>12.8205128205128</v>
      </c>
      <c r="L13" s="15">
        <v>26.229508196721302</v>
      </c>
      <c r="M13" s="15">
        <v>22.3684210526316</v>
      </c>
      <c r="N13" s="15">
        <v>14.117647058823501</v>
      </c>
      <c r="O13" s="15">
        <v>16.2790697674419</v>
      </c>
      <c r="P13" s="15">
        <v>14.084507042253501</v>
      </c>
      <c r="Q13" s="15">
        <v>11.2676056338028</v>
      </c>
      <c r="R13" s="20" t="s">
        <v>76</v>
      </c>
      <c r="S13" s="15">
        <v>14.634146341463399</v>
      </c>
      <c r="T13" s="20" t="s">
        <v>76</v>
      </c>
      <c r="U13" s="20" t="s">
        <v>76</v>
      </c>
      <c r="V13" s="15">
        <v>17.647058823529399</v>
      </c>
      <c r="W13" s="15">
        <v>11.864406779661</v>
      </c>
      <c r="X13" s="20" t="s">
        <v>76</v>
      </c>
      <c r="Y13" s="20" t="s">
        <v>76</v>
      </c>
      <c r="Z13" s="15">
        <v>8.9743589743589691</v>
      </c>
      <c r="AA13" s="15">
        <v>22.935779816513801</v>
      </c>
      <c r="AB13" s="15">
        <v>11.764705882352899</v>
      </c>
      <c r="AC13" s="15">
        <v>15.1515151515152</v>
      </c>
      <c r="AD13" s="15">
        <v>15.625</v>
      </c>
      <c r="AE13" s="15">
        <v>22.2222222222222</v>
      </c>
      <c r="AF13" s="20" t="s">
        <v>76</v>
      </c>
      <c r="AG13" s="15">
        <v>9.5238095238095202</v>
      </c>
      <c r="AH13" s="20" t="s">
        <v>76</v>
      </c>
      <c r="AI13" s="20" t="s">
        <v>76</v>
      </c>
      <c r="AJ13" s="15">
        <v>14.4144144144144</v>
      </c>
      <c r="AK13" s="20" t="s">
        <v>76</v>
      </c>
      <c r="AL13" s="15">
        <v>8.8888888888888893</v>
      </c>
      <c r="AM13" s="15">
        <v>20.3125</v>
      </c>
      <c r="AN13" s="20" t="s">
        <v>76</v>
      </c>
      <c r="AO13" s="20" t="s">
        <v>76</v>
      </c>
      <c r="AP13" s="15">
        <v>12.987012987012999</v>
      </c>
      <c r="AQ13" s="20" t="s">
        <v>76</v>
      </c>
      <c r="AR13" s="20" t="s">
        <v>76</v>
      </c>
      <c r="AS13" s="20" t="s">
        <v>76</v>
      </c>
      <c r="AT13" s="15">
        <v>9.2307692307692299</v>
      </c>
      <c r="AU13" s="15">
        <v>16.326530612244898</v>
      </c>
      <c r="AV13" s="15">
        <v>10.958904109589</v>
      </c>
      <c r="AW13" s="15">
        <v>16.379310344827601</v>
      </c>
      <c r="AX13" s="20" t="s">
        <v>76</v>
      </c>
      <c r="AY13" s="15">
        <v>14.285714285714301</v>
      </c>
      <c r="AZ13" s="15">
        <v>12</v>
      </c>
      <c r="BA13" s="15">
        <v>16.981132075471699</v>
      </c>
      <c r="BB13" s="15">
        <v>10.4477611940298</v>
      </c>
      <c r="BC13" s="15">
        <v>8.1081081081081106</v>
      </c>
      <c r="BD13" s="15">
        <v>7.6923076923076898</v>
      </c>
      <c r="BE13" s="15">
        <v>8.6206896551724093</v>
      </c>
      <c r="BF13" s="15">
        <v>12.048192771084301</v>
      </c>
      <c r="BG13" s="20" t="s">
        <v>76</v>
      </c>
      <c r="BH13" s="20" t="s">
        <v>76</v>
      </c>
      <c r="BI13" s="20" t="s">
        <v>76</v>
      </c>
      <c r="BJ13" s="15">
        <v>12.5</v>
      </c>
      <c r="BK13" s="20" t="s">
        <v>76</v>
      </c>
      <c r="BL13" s="15">
        <v>8.59375</v>
      </c>
      <c r="BM13" s="15">
        <v>13.8613861386139</v>
      </c>
      <c r="BN13" s="15">
        <v>15.126050420168101</v>
      </c>
      <c r="BO13" s="15">
        <v>15.5555555555556</v>
      </c>
      <c r="BP13" s="20" t="s">
        <v>76</v>
      </c>
      <c r="BQ13" s="20" t="s">
        <v>76</v>
      </c>
      <c r="BR13" s="15">
        <v>18.3333333333333</v>
      </c>
      <c r="BS13" s="15">
        <v>15.662650602409601</v>
      </c>
      <c r="BT13" s="15">
        <v>13.4146341463415</v>
      </c>
      <c r="BU13" s="15">
        <v>9.3457943925233593</v>
      </c>
      <c r="BV13" s="15">
        <v>8.0808080808080796</v>
      </c>
      <c r="BW13" s="20" t="s">
        <v>76</v>
      </c>
      <c r="BX13" s="20" t="s">
        <v>76</v>
      </c>
      <c r="BY13" s="15">
        <v>12.698412698412699</v>
      </c>
      <c r="BZ13" s="15">
        <v>6.12244897959184</v>
      </c>
      <c r="CA13" s="32">
        <v>7.8042925868894102</v>
      </c>
      <c r="CB13" s="15">
        <v>3.19488817891374</v>
      </c>
      <c r="CC13" s="15">
        <v>8.8050314465408803</v>
      </c>
      <c r="CD13" s="15">
        <v>7.0967741935483897</v>
      </c>
      <c r="CE13" s="20" t="s">
        <v>76</v>
      </c>
      <c r="CF13" s="15">
        <v>9.5808383233532908</v>
      </c>
      <c r="CG13" s="15">
        <v>11.173184357541899</v>
      </c>
      <c r="CH13" s="15">
        <v>6.9852941176470598</v>
      </c>
      <c r="CI13" s="15">
        <v>8.4188911704312108</v>
      </c>
      <c r="CJ13" s="15">
        <v>10.588235294117601</v>
      </c>
      <c r="CK13" s="15">
        <v>7.6233183856502196</v>
      </c>
      <c r="CL13" s="15">
        <v>6.9696969696969697</v>
      </c>
      <c r="CM13" s="24">
        <v>10.0642398286938</v>
      </c>
      <c r="CN13" s="37"/>
    </row>
    <row r="14" spans="1:92">
      <c r="A14" s="9" t="s">
        <v>269</v>
      </c>
      <c r="B14" s="35">
        <v>14.627234360471499</v>
      </c>
      <c r="C14" s="32">
        <v>14.0602365334792</v>
      </c>
      <c r="D14" s="32">
        <v>15.592570593058699</v>
      </c>
      <c r="E14" s="32">
        <v>16.1896723170793</v>
      </c>
      <c r="F14" s="20" t="s">
        <v>76</v>
      </c>
      <c r="G14" s="15">
        <v>35.294117647058798</v>
      </c>
      <c r="H14" s="20" t="s">
        <v>76</v>
      </c>
      <c r="I14" s="20" t="s">
        <v>76</v>
      </c>
      <c r="J14" s="15">
        <v>9.0277777777777803</v>
      </c>
      <c r="K14" s="15">
        <v>17.948717948717899</v>
      </c>
      <c r="L14" s="15">
        <v>14.7540983606557</v>
      </c>
      <c r="M14" s="15">
        <v>7.8947368421052602</v>
      </c>
      <c r="N14" s="15">
        <v>22.352941176470601</v>
      </c>
      <c r="O14" s="15">
        <v>27.906976744186</v>
      </c>
      <c r="P14" s="15">
        <v>16.901408450704199</v>
      </c>
      <c r="Q14" s="15">
        <v>15.492957746478901</v>
      </c>
      <c r="R14" s="20" t="s">
        <v>76</v>
      </c>
      <c r="S14" s="15">
        <v>12.1951219512195</v>
      </c>
      <c r="T14" s="20" t="s">
        <v>76</v>
      </c>
      <c r="U14" s="20" t="s">
        <v>76</v>
      </c>
      <c r="V14" s="15">
        <v>14.705882352941201</v>
      </c>
      <c r="W14" s="20" t="s">
        <v>76</v>
      </c>
      <c r="X14" s="20" t="s">
        <v>76</v>
      </c>
      <c r="Y14" s="20" t="s">
        <v>76</v>
      </c>
      <c r="Z14" s="15">
        <v>14.1025641025641</v>
      </c>
      <c r="AA14" s="15">
        <v>19.2660550458716</v>
      </c>
      <c r="AB14" s="15">
        <v>25</v>
      </c>
      <c r="AC14" s="15">
        <v>16.6666666666667</v>
      </c>
      <c r="AD14" s="15">
        <v>15.625</v>
      </c>
      <c r="AE14" s="15">
        <v>37.037037037037003</v>
      </c>
      <c r="AF14" s="20" t="s">
        <v>76</v>
      </c>
      <c r="AG14" s="15">
        <v>13.3333333333333</v>
      </c>
      <c r="AH14" s="15">
        <v>17.8571428571429</v>
      </c>
      <c r="AI14" s="20" t="s">
        <v>76</v>
      </c>
      <c r="AJ14" s="15">
        <v>17.1171171171171</v>
      </c>
      <c r="AK14" s="15">
        <v>20</v>
      </c>
      <c r="AL14" s="15">
        <v>16.6666666666667</v>
      </c>
      <c r="AM14" s="15">
        <v>18.75</v>
      </c>
      <c r="AN14" s="20" t="s">
        <v>76</v>
      </c>
      <c r="AO14" s="20" t="s">
        <v>76</v>
      </c>
      <c r="AP14" s="15">
        <v>20.7792207792208</v>
      </c>
      <c r="AQ14" s="20" t="s">
        <v>76</v>
      </c>
      <c r="AR14" s="15">
        <v>30.909090909090899</v>
      </c>
      <c r="AS14" s="20" t="s">
        <v>76</v>
      </c>
      <c r="AT14" s="15">
        <v>15.384615384615399</v>
      </c>
      <c r="AU14" s="20" t="s">
        <v>76</v>
      </c>
      <c r="AV14" s="15">
        <v>10.958904109589</v>
      </c>
      <c r="AW14" s="15">
        <v>26.724137931034502</v>
      </c>
      <c r="AX14" s="20" t="s">
        <v>76</v>
      </c>
      <c r="AY14" s="20" t="s">
        <v>76</v>
      </c>
      <c r="AZ14" s="15">
        <v>30</v>
      </c>
      <c r="BA14" s="15">
        <v>15.094339622641501</v>
      </c>
      <c r="BB14" s="15">
        <v>14.9253731343284</v>
      </c>
      <c r="BC14" s="15">
        <v>14.8648648648649</v>
      </c>
      <c r="BD14" s="15">
        <v>17.948717948717899</v>
      </c>
      <c r="BE14" s="20" t="s">
        <v>76</v>
      </c>
      <c r="BF14" s="15">
        <v>19.277108433734899</v>
      </c>
      <c r="BG14" s="15">
        <v>19.402985074626901</v>
      </c>
      <c r="BH14" s="15">
        <v>37.5</v>
      </c>
      <c r="BI14" s="20" t="s">
        <v>76</v>
      </c>
      <c r="BJ14" s="15">
        <v>16.071428571428601</v>
      </c>
      <c r="BK14" s="20" t="s">
        <v>76</v>
      </c>
      <c r="BL14" s="15">
        <v>17.1875</v>
      </c>
      <c r="BM14" s="15">
        <v>18.8118811881188</v>
      </c>
      <c r="BN14" s="15">
        <v>18.487394957983199</v>
      </c>
      <c r="BO14" s="15">
        <v>20</v>
      </c>
      <c r="BP14" s="20" t="s">
        <v>76</v>
      </c>
      <c r="BQ14" s="15">
        <v>19.178082191780799</v>
      </c>
      <c r="BR14" s="15">
        <v>28.3333333333333</v>
      </c>
      <c r="BS14" s="15">
        <v>22.891566265060199</v>
      </c>
      <c r="BT14" s="15">
        <v>15.853658536585399</v>
      </c>
      <c r="BU14" s="15">
        <v>15.887850467289701</v>
      </c>
      <c r="BV14" s="15">
        <v>10.1010101010101</v>
      </c>
      <c r="BW14" s="15">
        <v>13.0434782608696</v>
      </c>
      <c r="BX14" s="20" t="s">
        <v>76</v>
      </c>
      <c r="BY14" s="15">
        <v>20.634920634920601</v>
      </c>
      <c r="BZ14" s="15">
        <v>12.925170068027199</v>
      </c>
      <c r="CA14" s="32">
        <v>15.110368756038399</v>
      </c>
      <c r="CB14" s="15">
        <v>15.9744408945687</v>
      </c>
      <c r="CC14" s="15">
        <v>14.7798742138365</v>
      </c>
      <c r="CD14" s="15">
        <v>16.7741935483871</v>
      </c>
      <c r="CE14" s="15">
        <v>50</v>
      </c>
      <c r="CF14" s="15">
        <v>17.664670658682599</v>
      </c>
      <c r="CG14" s="15">
        <v>19.553072625698299</v>
      </c>
      <c r="CH14" s="15">
        <v>10.661764705882399</v>
      </c>
      <c r="CI14" s="15">
        <v>16.8377823408624</v>
      </c>
      <c r="CJ14" s="15">
        <v>15.294117647058799</v>
      </c>
      <c r="CK14" s="15">
        <v>17.040358744394599</v>
      </c>
      <c r="CL14" s="15">
        <v>13.181818181818199</v>
      </c>
      <c r="CM14" s="24">
        <v>16.4882226980728</v>
      </c>
      <c r="CN14" s="37"/>
    </row>
    <row r="15" spans="1:92">
      <c r="A15" s="9" t="s">
        <v>270</v>
      </c>
      <c r="B15" s="35">
        <v>8.5928605591753797</v>
      </c>
      <c r="C15" s="32">
        <v>8.3434739885976104</v>
      </c>
      <c r="D15" s="32">
        <v>8.4677020887136507</v>
      </c>
      <c r="E15" s="32">
        <v>9.2605267073840896</v>
      </c>
      <c r="F15" s="20" t="s">
        <v>76</v>
      </c>
      <c r="G15" s="20" t="s">
        <v>76</v>
      </c>
      <c r="H15" s="20" t="s">
        <v>76</v>
      </c>
      <c r="I15" s="20" t="s">
        <v>76</v>
      </c>
      <c r="J15" s="15">
        <v>6.9444444444444402</v>
      </c>
      <c r="K15" s="20" t="s">
        <v>76</v>
      </c>
      <c r="L15" s="15">
        <v>9.8360655737704903</v>
      </c>
      <c r="M15" s="15">
        <v>19.7368421052632</v>
      </c>
      <c r="N15" s="15">
        <v>7.0588235294117601</v>
      </c>
      <c r="O15" s="15">
        <v>13.953488372093</v>
      </c>
      <c r="P15" s="15">
        <v>14.084507042253501</v>
      </c>
      <c r="Q15" s="20" t="s">
        <v>76</v>
      </c>
      <c r="R15" s="20" t="s">
        <v>76</v>
      </c>
      <c r="S15" s="20" t="s">
        <v>76</v>
      </c>
      <c r="T15" s="20" t="s">
        <v>76</v>
      </c>
      <c r="U15" s="20" t="s">
        <v>76</v>
      </c>
      <c r="V15" s="20" t="s">
        <v>76</v>
      </c>
      <c r="W15" s="15">
        <v>10.1694915254237</v>
      </c>
      <c r="X15" s="20" t="s">
        <v>76</v>
      </c>
      <c r="Y15" s="20" t="s">
        <v>76</v>
      </c>
      <c r="Z15" s="20" t="s">
        <v>76</v>
      </c>
      <c r="AA15" s="15">
        <v>17.431192660550501</v>
      </c>
      <c r="AB15" s="20" t="s">
        <v>76</v>
      </c>
      <c r="AC15" s="15">
        <v>10.6060606060606</v>
      </c>
      <c r="AD15" s="20" t="s">
        <v>76</v>
      </c>
      <c r="AE15" s="15">
        <v>22.2222222222222</v>
      </c>
      <c r="AF15" s="20" t="s">
        <v>76</v>
      </c>
      <c r="AG15" s="15">
        <v>10.476190476190499</v>
      </c>
      <c r="AH15" s="20" t="s">
        <v>76</v>
      </c>
      <c r="AI15" s="20" t="s">
        <v>76</v>
      </c>
      <c r="AJ15" s="15">
        <v>8.1081081081081106</v>
      </c>
      <c r="AK15" s="20" t="s">
        <v>76</v>
      </c>
      <c r="AL15" s="15">
        <v>10</v>
      </c>
      <c r="AM15" s="15">
        <v>14.0625</v>
      </c>
      <c r="AN15" s="20" t="s">
        <v>76</v>
      </c>
      <c r="AO15" s="15">
        <v>12.5</v>
      </c>
      <c r="AP15" s="15">
        <v>6.4935064935064899</v>
      </c>
      <c r="AQ15" s="20" t="s">
        <v>76</v>
      </c>
      <c r="AR15" s="15">
        <v>18.181818181818201</v>
      </c>
      <c r="AS15" s="20" t="s">
        <v>76</v>
      </c>
      <c r="AT15" s="15">
        <v>9.2307692307692299</v>
      </c>
      <c r="AU15" s="20" t="s">
        <v>76</v>
      </c>
      <c r="AV15" s="20" t="s">
        <v>76</v>
      </c>
      <c r="AW15" s="20" t="s">
        <v>76</v>
      </c>
      <c r="AX15" s="20" t="s">
        <v>76</v>
      </c>
      <c r="AY15" s="20" t="s">
        <v>76</v>
      </c>
      <c r="AZ15" s="20" t="s">
        <v>76</v>
      </c>
      <c r="BA15" s="20" t="s">
        <v>76</v>
      </c>
      <c r="BB15" s="20" t="s">
        <v>76</v>
      </c>
      <c r="BC15" s="15">
        <v>12.1621621621622</v>
      </c>
      <c r="BD15" s="20" t="s">
        <v>76</v>
      </c>
      <c r="BE15" s="20" t="s">
        <v>76</v>
      </c>
      <c r="BF15" s="15">
        <v>14.4578313253012</v>
      </c>
      <c r="BG15" s="15">
        <v>10.4477611940298</v>
      </c>
      <c r="BH15" s="20" t="s">
        <v>76</v>
      </c>
      <c r="BI15" s="20" t="s">
        <v>76</v>
      </c>
      <c r="BJ15" s="15">
        <v>12.5</v>
      </c>
      <c r="BK15" s="20" t="s">
        <v>76</v>
      </c>
      <c r="BL15" s="15">
        <v>7.03125</v>
      </c>
      <c r="BM15" s="15">
        <v>6.9306930693069297</v>
      </c>
      <c r="BN15" s="15">
        <v>12.605042016806699</v>
      </c>
      <c r="BO15" s="15">
        <v>12.2222222222222</v>
      </c>
      <c r="BP15" s="20" t="s">
        <v>76</v>
      </c>
      <c r="BQ15" s="15">
        <v>13.698630136986299</v>
      </c>
      <c r="BR15" s="15">
        <v>8.3333333333333304</v>
      </c>
      <c r="BS15" s="15">
        <v>8.4337349397590398</v>
      </c>
      <c r="BT15" s="15">
        <v>10.975609756097599</v>
      </c>
      <c r="BU15" s="15">
        <v>12.1495327102804</v>
      </c>
      <c r="BV15" s="15">
        <v>5.0505050505050502</v>
      </c>
      <c r="BW15" s="20" t="s">
        <v>76</v>
      </c>
      <c r="BX15" s="20" t="s">
        <v>76</v>
      </c>
      <c r="BY15" s="15">
        <v>7.9365079365079403</v>
      </c>
      <c r="BZ15" s="15">
        <v>6.8027210884353702</v>
      </c>
      <c r="CA15" s="32">
        <v>7.8274401832821301</v>
      </c>
      <c r="CB15" s="15">
        <v>7.3482428115016001</v>
      </c>
      <c r="CC15" s="15">
        <v>10.062893081761001</v>
      </c>
      <c r="CD15" s="15">
        <v>18.064516129032299</v>
      </c>
      <c r="CE15" s="20" t="s">
        <v>76</v>
      </c>
      <c r="CF15" s="15">
        <v>11.0778443113772</v>
      </c>
      <c r="CG15" s="15">
        <v>8.9385474860335208</v>
      </c>
      <c r="CH15" s="15">
        <v>7.7205882352941204</v>
      </c>
      <c r="CI15" s="15">
        <v>5.74948665297741</v>
      </c>
      <c r="CJ15" s="15">
        <v>9.4117647058823497</v>
      </c>
      <c r="CK15" s="15">
        <v>6.7264573991031398</v>
      </c>
      <c r="CL15" s="15">
        <v>6.6666666666666696</v>
      </c>
      <c r="CM15" s="24">
        <v>7.7087794432548202</v>
      </c>
      <c r="CN15" s="37"/>
    </row>
    <row r="16" spans="1:92">
      <c r="A16" s="9" t="s">
        <v>271</v>
      </c>
      <c r="B16" s="35">
        <v>5.7324915437842803</v>
      </c>
      <c r="C16" s="32">
        <v>5.5859116838301803</v>
      </c>
      <c r="D16" s="32">
        <v>5.2525646872739502</v>
      </c>
      <c r="E16" s="32">
        <v>6.86195670214481</v>
      </c>
      <c r="F16" s="20" t="s">
        <v>76</v>
      </c>
      <c r="G16" s="15">
        <v>35.294117647058798</v>
      </c>
      <c r="H16" s="20" t="s">
        <v>76</v>
      </c>
      <c r="I16" s="20" t="s">
        <v>76</v>
      </c>
      <c r="J16" s="15">
        <v>6.25</v>
      </c>
      <c r="K16" s="20" t="s">
        <v>76</v>
      </c>
      <c r="L16" s="15">
        <v>9.8360655737704903</v>
      </c>
      <c r="M16" s="15">
        <v>9.2105263157894708</v>
      </c>
      <c r="N16" s="15">
        <v>10.588235294117601</v>
      </c>
      <c r="O16" s="20" t="s">
        <v>76</v>
      </c>
      <c r="P16" s="20" t="s">
        <v>76</v>
      </c>
      <c r="Q16" s="15">
        <v>9.8591549295774694</v>
      </c>
      <c r="R16" s="20" t="s">
        <v>76</v>
      </c>
      <c r="S16" s="15">
        <v>12.1951219512195</v>
      </c>
      <c r="T16" s="20" t="s">
        <v>76</v>
      </c>
      <c r="U16" s="20" t="s">
        <v>76</v>
      </c>
      <c r="V16" s="20" t="s">
        <v>76</v>
      </c>
      <c r="W16" s="20" t="s">
        <v>76</v>
      </c>
      <c r="X16" s="20" t="s">
        <v>76</v>
      </c>
      <c r="Y16" s="20" t="s">
        <v>76</v>
      </c>
      <c r="Z16" s="15">
        <v>6.4102564102564097</v>
      </c>
      <c r="AA16" s="15">
        <v>9.1743119266054993</v>
      </c>
      <c r="AB16" s="15">
        <v>13.235294117647101</v>
      </c>
      <c r="AC16" s="15">
        <v>6.8181818181818201</v>
      </c>
      <c r="AD16" s="20" t="s">
        <v>76</v>
      </c>
      <c r="AE16" s="20" t="s">
        <v>76</v>
      </c>
      <c r="AF16" s="20" t="s">
        <v>76</v>
      </c>
      <c r="AG16" s="15">
        <v>4.7619047619047601</v>
      </c>
      <c r="AH16" s="20" t="s">
        <v>76</v>
      </c>
      <c r="AI16" s="20" t="s">
        <v>76</v>
      </c>
      <c r="AJ16" s="20" t="s">
        <v>76</v>
      </c>
      <c r="AK16" s="20" t="s">
        <v>76</v>
      </c>
      <c r="AL16" s="20" t="s">
        <v>76</v>
      </c>
      <c r="AM16" s="15">
        <v>9.375</v>
      </c>
      <c r="AN16" s="20" t="s">
        <v>76</v>
      </c>
      <c r="AO16" s="20" t="s">
        <v>76</v>
      </c>
      <c r="AP16" s="20" t="s">
        <v>76</v>
      </c>
      <c r="AQ16" s="20" t="s">
        <v>76</v>
      </c>
      <c r="AR16" s="15">
        <v>12.7272727272727</v>
      </c>
      <c r="AS16" s="20" t="s">
        <v>76</v>
      </c>
      <c r="AT16" s="20" t="s">
        <v>76</v>
      </c>
      <c r="AU16" s="20" t="s">
        <v>76</v>
      </c>
      <c r="AV16" s="20" t="s">
        <v>76</v>
      </c>
      <c r="AW16" s="15">
        <v>6.8965517241379297</v>
      </c>
      <c r="AX16" s="20" t="s">
        <v>76</v>
      </c>
      <c r="AY16" s="20" t="s">
        <v>76</v>
      </c>
      <c r="AZ16" s="20" t="s">
        <v>76</v>
      </c>
      <c r="BA16" s="20" t="s">
        <v>76</v>
      </c>
      <c r="BB16" s="20" t="s">
        <v>76</v>
      </c>
      <c r="BC16" s="20" t="s">
        <v>76</v>
      </c>
      <c r="BD16" s="15">
        <v>8.9743589743589691</v>
      </c>
      <c r="BE16" s="20" t="s">
        <v>76</v>
      </c>
      <c r="BF16" s="15">
        <v>13.253012048192801</v>
      </c>
      <c r="BG16" s="15">
        <v>8.9552238805970106</v>
      </c>
      <c r="BH16" s="20" t="s">
        <v>76</v>
      </c>
      <c r="BI16" s="20" t="s">
        <v>76</v>
      </c>
      <c r="BJ16" s="15">
        <v>9.8214285714285694</v>
      </c>
      <c r="BK16" s="20" t="s">
        <v>76</v>
      </c>
      <c r="BL16" s="15">
        <v>7.03125</v>
      </c>
      <c r="BM16" s="20" t="s">
        <v>76</v>
      </c>
      <c r="BN16" s="15">
        <v>10.084033613445399</v>
      </c>
      <c r="BO16" s="15">
        <v>6.6666666666666696</v>
      </c>
      <c r="BP16" s="20" t="s">
        <v>76</v>
      </c>
      <c r="BQ16" s="20" t="s">
        <v>76</v>
      </c>
      <c r="BR16" s="15">
        <v>10</v>
      </c>
      <c r="BS16" s="15">
        <v>9.6385542168674707</v>
      </c>
      <c r="BT16" s="20" t="s">
        <v>76</v>
      </c>
      <c r="BU16" s="15">
        <v>11.214953271028</v>
      </c>
      <c r="BV16" s="15">
        <v>12.1212121212121</v>
      </c>
      <c r="BW16" s="20" t="s">
        <v>76</v>
      </c>
      <c r="BX16" s="20" t="s">
        <v>76</v>
      </c>
      <c r="BY16" s="20" t="s">
        <v>76</v>
      </c>
      <c r="BZ16" s="20" t="s">
        <v>76</v>
      </c>
      <c r="CA16" s="32">
        <v>3.9528669057450099</v>
      </c>
      <c r="CB16" s="15">
        <v>3.8338658146964901</v>
      </c>
      <c r="CC16" s="15">
        <v>4.7169811320754702</v>
      </c>
      <c r="CD16" s="15">
        <v>3.2258064516128999</v>
      </c>
      <c r="CE16" s="20" t="s">
        <v>76</v>
      </c>
      <c r="CF16" s="15">
        <v>3.8922155688622802</v>
      </c>
      <c r="CG16" s="15">
        <v>4.4692737430167604</v>
      </c>
      <c r="CH16" s="15">
        <v>4.0441176470588198</v>
      </c>
      <c r="CI16" s="15">
        <v>5.5441478439424996</v>
      </c>
      <c r="CJ16" s="15">
        <v>2.7450980392156898</v>
      </c>
      <c r="CK16" s="15">
        <v>3.1390134529148002</v>
      </c>
      <c r="CL16" s="15">
        <v>4.5454545454545503</v>
      </c>
      <c r="CM16" s="24">
        <v>4.9250535331905798</v>
      </c>
      <c r="CN16" s="37"/>
    </row>
    <row r="17" spans="1:92">
      <c r="A17" s="9" t="s">
        <v>272</v>
      </c>
      <c r="B17" s="35">
        <v>9.8846775743843907</v>
      </c>
      <c r="C17" s="32">
        <v>9.0132857489868492</v>
      </c>
      <c r="D17" s="32">
        <v>8.6625661441264601</v>
      </c>
      <c r="E17" s="32">
        <v>9.9834310007739901</v>
      </c>
      <c r="F17" s="20" t="s">
        <v>76</v>
      </c>
      <c r="G17" s="15">
        <v>35.294117647058798</v>
      </c>
      <c r="H17" s="20" t="s">
        <v>76</v>
      </c>
      <c r="I17" s="20" t="s">
        <v>76</v>
      </c>
      <c r="J17" s="15">
        <v>15.2777777777778</v>
      </c>
      <c r="K17" s="20" t="s">
        <v>76</v>
      </c>
      <c r="L17" s="15">
        <v>22.9508196721311</v>
      </c>
      <c r="M17" s="15">
        <v>7.8947368421052602</v>
      </c>
      <c r="N17" s="15">
        <v>28.235294117647101</v>
      </c>
      <c r="O17" s="15">
        <v>11.6279069767442</v>
      </c>
      <c r="P17" s="15">
        <v>15.492957746478901</v>
      </c>
      <c r="Q17" s="15">
        <v>7.0422535211267601</v>
      </c>
      <c r="R17" s="20" t="s">
        <v>76</v>
      </c>
      <c r="S17" s="20" t="s">
        <v>76</v>
      </c>
      <c r="T17" s="15">
        <v>10.4166666666667</v>
      </c>
      <c r="U17" s="20" t="s">
        <v>76</v>
      </c>
      <c r="V17" s="20" t="s">
        <v>76</v>
      </c>
      <c r="W17" s="15">
        <v>22.033898305084701</v>
      </c>
      <c r="X17" s="20" t="s">
        <v>76</v>
      </c>
      <c r="Y17" s="20" t="s">
        <v>76</v>
      </c>
      <c r="Z17" s="20" t="s">
        <v>76</v>
      </c>
      <c r="AA17" s="15">
        <v>8.2568807339449499</v>
      </c>
      <c r="AB17" s="20" t="s">
        <v>76</v>
      </c>
      <c r="AC17" s="15">
        <v>3.7878787878787898</v>
      </c>
      <c r="AD17" s="20" t="s">
        <v>76</v>
      </c>
      <c r="AE17" s="20" t="s">
        <v>76</v>
      </c>
      <c r="AF17" s="20" t="s">
        <v>76</v>
      </c>
      <c r="AG17" s="15">
        <v>10.476190476190499</v>
      </c>
      <c r="AH17" s="15">
        <v>14.285714285714301</v>
      </c>
      <c r="AI17" s="20" t="s">
        <v>76</v>
      </c>
      <c r="AJ17" s="15">
        <v>9.0090090090090094</v>
      </c>
      <c r="AK17" s="20" t="s">
        <v>76</v>
      </c>
      <c r="AL17" s="15">
        <v>8.8888888888888893</v>
      </c>
      <c r="AM17" s="15">
        <v>17.1875</v>
      </c>
      <c r="AN17" s="20" t="s">
        <v>76</v>
      </c>
      <c r="AO17" s="20" t="s">
        <v>76</v>
      </c>
      <c r="AP17" s="15">
        <v>12.987012987012999</v>
      </c>
      <c r="AQ17" s="20" t="s">
        <v>76</v>
      </c>
      <c r="AR17" s="15">
        <v>14.545454545454501</v>
      </c>
      <c r="AS17" s="20" t="s">
        <v>76</v>
      </c>
      <c r="AT17" s="20" t="s">
        <v>76</v>
      </c>
      <c r="AU17" s="20" t="s">
        <v>76</v>
      </c>
      <c r="AV17" s="15">
        <v>8.2191780821917799</v>
      </c>
      <c r="AW17" s="15">
        <v>6.8965517241379297</v>
      </c>
      <c r="AX17" s="20" t="s">
        <v>76</v>
      </c>
      <c r="AY17" s="20" t="s">
        <v>76</v>
      </c>
      <c r="AZ17" s="20" t="s">
        <v>76</v>
      </c>
      <c r="BA17" s="20" t="s">
        <v>76</v>
      </c>
      <c r="BB17" s="20" t="s">
        <v>76</v>
      </c>
      <c r="BC17" s="15">
        <v>9.4594594594594597</v>
      </c>
      <c r="BD17" s="15">
        <v>17.948717948717899</v>
      </c>
      <c r="BE17" s="15">
        <v>8.6206896551724093</v>
      </c>
      <c r="BF17" s="15">
        <v>8.4337349397590398</v>
      </c>
      <c r="BG17" s="15">
        <v>10.4477611940298</v>
      </c>
      <c r="BH17" s="20" t="s">
        <v>76</v>
      </c>
      <c r="BI17" s="20" t="s">
        <v>76</v>
      </c>
      <c r="BJ17" s="15">
        <v>10.714285714285699</v>
      </c>
      <c r="BK17" s="15">
        <v>12.5</v>
      </c>
      <c r="BL17" s="15">
        <v>7.8125</v>
      </c>
      <c r="BM17" s="15">
        <v>20.7920792079208</v>
      </c>
      <c r="BN17" s="15">
        <v>10.084033613445399</v>
      </c>
      <c r="BO17" s="15">
        <v>6.6666666666666696</v>
      </c>
      <c r="BP17" s="20" t="s">
        <v>76</v>
      </c>
      <c r="BQ17" s="20" t="s">
        <v>76</v>
      </c>
      <c r="BR17" s="15">
        <v>8.3333333333333304</v>
      </c>
      <c r="BS17" s="15">
        <v>9.6385542168674707</v>
      </c>
      <c r="BT17" s="15">
        <v>9.7560975609756095</v>
      </c>
      <c r="BU17" s="15">
        <v>5.6074766355140202</v>
      </c>
      <c r="BV17" s="15">
        <v>6.0606060606060597</v>
      </c>
      <c r="BW17" s="15">
        <v>7.2463768115942004</v>
      </c>
      <c r="BX17" s="20" t="s">
        <v>76</v>
      </c>
      <c r="BY17" s="15">
        <v>11.1111111111111</v>
      </c>
      <c r="BZ17" s="15">
        <v>9.5238095238095202</v>
      </c>
      <c r="CA17" s="32">
        <v>7.5958744319632903</v>
      </c>
      <c r="CB17" s="15">
        <v>7.6677316293929696</v>
      </c>
      <c r="CC17" s="15">
        <v>9.1194968553459095</v>
      </c>
      <c r="CD17" s="15">
        <v>11.6129032258065</v>
      </c>
      <c r="CE17" s="20" t="s">
        <v>76</v>
      </c>
      <c r="CF17" s="15">
        <v>10.179640718562901</v>
      </c>
      <c r="CG17" s="15">
        <v>8.3798882681564208</v>
      </c>
      <c r="CH17" s="15">
        <v>6.8014705882352899</v>
      </c>
      <c r="CI17" s="15">
        <v>6.3655030800821404</v>
      </c>
      <c r="CJ17" s="15">
        <v>9.8039215686274499</v>
      </c>
      <c r="CK17" s="15">
        <v>6.2780269058296003</v>
      </c>
      <c r="CL17" s="15">
        <v>5.7575757575757596</v>
      </c>
      <c r="CM17" s="24">
        <v>7.7087794432548202</v>
      </c>
      <c r="CN17" s="37"/>
    </row>
    <row r="18" spans="1:92">
      <c r="A18" s="9" t="s">
        <v>273</v>
      </c>
      <c r="B18" s="35">
        <v>5.4093888466835098</v>
      </c>
      <c r="C18" s="32">
        <v>5.79972341680506</v>
      </c>
      <c r="D18" s="32">
        <v>5.6591360838940501</v>
      </c>
      <c r="E18" s="32">
        <v>6.6496851790677702</v>
      </c>
      <c r="F18" s="20" t="s">
        <v>76</v>
      </c>
      <c r="G18" s="20" t="s">
        <v>76</v>
      </c>
      <c r="H18" s="20" t="s">
        <v>76</v>
      </c>
      <c r="I18" s="20" t="s">
        <v>76</v>
      </c>
      <c r="J18" s="15">
        <v>4.1666666666666696</v>
      </c>
      <c r="K18" s="20" t="s">
        <v>76</v>
      </c>
      <c r="L18" s="20" t="s">
        <v>76</v>
      </c>
      <c r="M18" s="15">
        <v>9.2105263157894708</v>
      </c>
      <c r="N18" s="15">
        <v>14.117647058823501</v>
      </c>
      <c r="O18" s="20" t="s">
        <v>76</v>
      </c>
      <c r="P18" s="15">
        <v>7.0422535211267601</v>
      </c>
      <c r="Q18" s="20" t="s">
        <v>76</v>
      </c>
      <c r="R18" s="20" t="s">
        <v>76</v>
      </c>
      <c r="S18" s="20" t="s">
        <v>76</v>
      </c>
      <c r="T18" s="20" t="s">
        <v>76</v>
      </c>
      <c r="U18" s="20" t="s">
        <v>76</v>
      </c>
      <c r="V18" s="20" t="s">
        <v>76</v>
      </c>
      <c r="W18" s="20" t="s">
        <v>76</v>
      </c>
      <c r="X18" s="20" t="s">
        <v>76</v>
      </c>
      <c r="Y18" s="20" t="s">
        <v>76</v>
      </c>
      <c r="Z18" s="20" t="s">
        <v>76</v>
      </c>
      <c r="AA18" s="15">
        <v>10.0917431192661</v>
      </c>
      <c r="AB18" s="15">
        <v>7.3529411764705896</v>
      </c>
      <c r="AC18" s="15">
        <v>7.5757575757575797</v>
      </c>
      <c r="AD18" s="20" t="s">
        <v>76</v>
      </c>
      <c r="AE18" s="20" t="s">
        <v>76</v>
      </c>
      <c r="AF18" s="20" t="s">
        <v>76</v>
      </c>
      <c r="AG18" s="15">
        <v>10.476190476190499</v>
      </c>
      <c r="AH18" s="20" t="s">
        <v>76</v>
      </c>
      <c r="AI18" s="20" t="s">
        <v>76</v>
      </c>
      <c r="AJ18" s="15">
        <v>9.9099099099099099</v>
      </c>
      <c r="AK18" s="20" t="s">
        <v>76</v>
      </c>
      <c r="AL18" s="15">
        <v>8.8888888888888893</v>
      </c>
      <c r="AM18" s="15">
        <v>7.8125</v>
      </c>
      <c r="AN18" s="20" t="s">
        <v>76</v>
      </c>
      <c r="AO18" s="20" t="s">
        <v>76</v>
      </c>
      <c r="AP18" s="15">
        <v>6.4935064935064899</v>
      </c>
      <c r="AQ18" s="20" t="s">
        <v>76</v>
      </c>
      <c r="AR18" s="15">
        <v>12.7272727272727</v>
      </c>
      <c r="AS18" s="20" t="s">
        <v>76</v>
      </c>
      <c r="AT18" s="20" t="s">
        <v>76</v>
      </c>
      <c r="AU18" s="20" t="s">
        <v>76</v>
      </c>
      <c r="AV18" s="20" t="s">
        <v>76</v>
      </c>
      <c r="AW18" s="15">
        <v>6.0344827586206904</v>
      </c>
      <c r="AX18" s="20" t="s">
        <v>76</v>
      </c>
      <c r="AY18" s="20" t="s">
        <v>76</v>
      </c>
      <c r="AZ18" s="20" t="s">
        <v>76</v>
      </c>
      <c r="BA18" s="20" t="s">
        <v>76</v>
      </c>
      <c r="BB18" s="20" t="s">
        <v>76</v>
      </c>
      <c r="BC18" s="15">
        <v>6.7567567567567597</v>
      </c>
      <c r="BD18" s="20" t="s">
        <v>76</v>
      </c>
      <c r="BE18" s="20" t="s">
        <v>76</v>
      </c>
      <c r="BF18" s="15">
        <v>9.6385542168674707</v>
      </c>
      <c r="BG18" s="15">
        <v>11.9402985074627</v>
      </c>
      <c r="BH18" s="20" t="s">
        <v>76</v>
      </c>
      <c r="BI18" s="20" t="s">
        <v>76</v>
      </c>
      <c r="BJ18" s="20" t="s">
        <v>76</v>
      </c>
      <c r="BK18" s="20" t="s">
        <v>76</v>
      </c>
      <c r="BL18" s="15">
        <v>6.25</v>
      </c>
      <c r="BM18" s="20" t="s">
        <v>76</v>
      </c>
      <c r="BN18" s="15">
        <v>5.8823529411764701</v>
      </c>
      <c r="BO18" s="15">
        <v>7.7777777777777803</v>
      </c>
      <c r="BP18" s="20" t="s">
        <v>76</v>
      </c>
      <c r="BQ18" s="15">
        <v>8.2191780821917799</v>
      </c>
      <c r="BR18" s="15">
        <v>8.3333333333333304</v>
      </c>
      <c r="BS18" s="15">
        <v>10.8433734939759</v>
      </c>
      <c r="BT18" s="15">
        <v>7.3170731707317103</v>
      </c>
      <c r="BU18" s="15">
        <v>11.214953271028</v>
      </c>
      <c r="BV18" s="15">
        <v>7.0707070707070701</v>
      </c>
      <c r="BW18" s="20" t="s">
        <v>76</v>
      </c>
      <c r="BX18" s="20" t="s">
        <v>76</v>
      </c>
      <c r="BY18" s="20" t="s">
        <v>76</v>
      </c>
      <c r="BZ18" s="15">
        <v>6.12244897959184</v>
      </c>
      <c r="CA18" s="32">
        <v>4.8591976912606798</v>
      </c>
      <c r="CB18" s="15">
        <v>5.1118210862619797</v>
      </c>
      <c r="CC18" s="15">
        <v>5.9748427672956002</v>
      </c>
      <c r="CD18" s="20" t="s">
        <v>76</v>
      </c>
      <c r="CE18" s="20" t="s">
        <v>76</v>
      </c>
      <c r="CF18" s="15">
        <v>5.3892215568862296</v>
      </c>
      <c r="CG18" s="15">
        <v>5.5865921787709496</v>
      </c>
      <c r="CH18" s="15">
        <v>4.4117647058823497</v>
      </c>
      <c r="CI18" s="15">
        <v>4.9281314168377799</v>
      </c>
      <c r="CJ18" s="15">
        <v>3.1372549019607798</v>
      </c>
      <c r="CK18" s="15">
        <v>4.4843049327354301</v>
      </c>
      <c r="CL18" s="15">
        <v>3.7878787878787898</v>
      </c>
      <c r="CM18" s="24">
        <v>5.3533190578158498</v>
      </c>
      <c r="CN18" s="37"/>
    </row>
    <row r="19" spans="1:92">
      <c r="A19" s="9" t="s">
        <v>274</v>
      </c>
      <c r="B19" s="35">
        <v>12.821723986790101</v>
      </c>
      <c r="C19" s="32">
        <v>12.324250155870899</v>
      </c>
      <c r="D19" s="32">
        <v>11.9300957363166</v>
      </c>
      <c r="E19" s="32">
        <v>10.4710101925006</v>
      </c>
      <c r="F19" s="20" t="s">
        <v>76</v>
      </c>
      <c r="G19" s="20" t="s">
        <v>76</v>
      </c>
      <c r="H19" s="20" t="s">
        <v>76</v>
      </c>
      <c r="I19" s="20" t="s">
        <v>76</v>
      </c>
      <c r="J19" s="15">
        <v>10.4166666666667</v>
      </c>
      <c r="K19" s="20" t="s">
        <v>76</v>
      </c>
      <c r="L19" s="15">
        <v>9.8360655737704903</v>
      </c>
      <c r="M19" s="15">
        <v>17.105263157894701</v>
      </c>
      <c r="N19" s="15">
        <v>12.9411764705882</v>
      </c>
      <c r="O19" s="15">
        <v>23.255813953488399</v>
      </c>
      <c r="P19" s="15">
        <v>12.6760563380282</v>
      </c>
      <c r="Q19" s="20" t="s">
        <v>76</v>
      </c>
      <c r="R19" s="20" t="s">
        <v>76</v>
      </c>
      <c r="S19" s="20" t="s">
        <v>76</v>
      </c>
      <c r="T19" s="20" t="s">
        <v>76</v>
      </c>
      <c r="U19" s="20" t="s">
        <v>76</v>
      </c>
      <c r="V19" s="20" t="s">
        <v>76</v>
      </c>
      <c r="W19" s="15">
        <v>11.864406779661</v>
      </c>
      <c r="X19" s="20" t="s">
        <v>76</v>
      </c>
      <c r="Y19" s="20" t="s">
        <v>76</v>
      </c>
      <c r="Z19" s="15">
        <v>6.4102564102564097</v>
      </c>
      <c r="AA19" s="15">
        <v>9.1743119266054993</v>
      </c>
      <c r="AB19" s="15">
        <v>8.8235294117646994</v>
      </c>
      <c r="AC19" s="15">
        <v>3.7878787878787898</v>
      </c>
      <c r="AD19" s="20" t="s">
        <v>76</v>
      </c>
      <c r="AE19" s="20" t="s">
        <v>76</v>
      </c>
      <c r="AF19" s="20" t="s">
        <v>76</v>
      </c>
      <c r="AG19" s="15">
        <v>6.6666666666666696</v>
      </c>
      <c r="AH19" s="20" t="s">
        <v>76</v>
      </c>
      <c r="AI19" s="20" t="s">
        <v>76</v>
      </c>
      <c r="AJ19" s="15">
        <v>12.612612612612599</v>
      </c>
      <c r="AK19" s="20" t="s">
        <v>76</v>
      </c>
      <c r="AL19" s="15">
        <v>11.1111111111111</v>
      </c>
      <c r="AM19" s="15">
        <v>20.3125</v>
      </c>
      <c r="AN19" s="20" t="s">
        <v>76</v>
      </c>
      <c r="AO19" s="20" t="s">
        <v>76</v>
      </c>
      <c r="AP19" s="15">
        <v>10.3896103896104</v>
      </c>
      <c r="AQ19" s="20" t="s">
        <v>76</v>
      </c>
      <c r="AR19" s="15">
        <v>14.545454545454501</v>
      </c>
      <c r="AS19" s="20" t="s">
        <v>76</v>
      </c>
      <c r="AT19" s="15">
        <v>10.7692307692308</v>
      </c>
      <c r="AU19" s="20" t="s">
        <v>76</v>
      </c>
      <c r="AV19" s="15">
        <v>9.5890410958904102</v>
      </c>
      <c r="AW19" s="15">
        <v>17.241379310344801</v>
      </c>
      <c r="AX19" s="20" t="s">
        <v>76</v>
      </c>
      <c r="AY19" s="20" t="s">
        <v>76</v>
      </c>
      <c r="AZ19" s="20" t="s">
        <v>76</v>
      </c>
      <c r="BA19" s="15">
        <v>11.320754716981099</v>
      </c>
      <c r="BB19" s="15">
        <v>8.9552238805970106</v>
      </c>
      <c r="BC19" s="15">
        <v>12.1621621621622</v>
      </c>
      <c r="BD19" s="15">
        <v>8.9743589743589691</v>
      </c>
      <c r="BE19" s="20" t="s">
        <v>76</v>
      </c>
      <c r="BF19" s="15">
        <v>15.662650602409601</v>
      </c>
      <c r="BG19" s="15">
        <v>7.4626865671641802</v>
      </c>
      <c r="BH19" s="20" t="s">
        <v>76</v>
      </c>
      <c r="BI19" s="20" t="s">
        <v>76</v>
      </c>
      <c r="BJ19" s="15">
        <v>7.1428571428571397</v>
      </c>
      <c r="BK19" s="20" t="s">
        <v>76</v>
      </c>
      <c r="BL19" s="15">
        <v>12.5</v>
      </c>
      <c r="BM19" s="15">
        <v>12.8712871287129</v>
      </c>
      <c r="BN19" s="15">
        <v>15.126050420168101</v>
      </c>
      <c r="BO19" s="15">
        <v>12.2222222222222</v>
      </c>
      <c r="BP19" s="20" t="s">
        <v>76</v>
      </c>
      <c r="BQ19" s="15">
        <v>9.5890410958904102</v>
      </c>
      <c r="BR19" s="20" t="s">
        <v>76</v>
      </c>
      <c r="BS19" s="15">
        <v>19.277108433734899</v>
      </c>
      <c r="BT19" s="15">
        <v>13.4146341463415</v>
      </c>
      <c r="BU19" s="15">
        <v>17.757009345794401</v>
      </c>
      <c r="BV19" s="15">
        <v>6.0606060606060597</v>
      </c>
      <c r="BW19" s="15">
        <v>8.6956521739130395</v>
      </c>
      <c r="BX19" s="20" t="s">
        <v>76</v>
      </c>
      <c r="BY19" s="15">
        <v>7.9365079365079403</v>
      </c>
      <c r="BZ19" s="15">
        <v>8.84353741496599</v>
      </c>
      <c r="CA19" s="32">
        <v>13.108410420890699</v>
      </c>
      <c r="CB19" s="15">
        <v>15.654952076677301</v>
      </c>
      <c r="CC19" s="15">
        <v>13.8364779874214</v>
      </c>
      <c r="CD19" s="15">
        <v>16.129032258064498</v>
      </c>
      <c r="CE19" s="20" t="s">
        <v>76</v>
      </c>
      <c r="CF19" s="15">
        <v>15.2694610778443</v>
      </c>
      <c r="CG19" s="15">
        <v>17.877094972066999</v>
      </c>
      <c r="CH19" s="15">
        <v>10.8455882352941</v>
      </c>
      <c r="CI19" s="15">
        <v>12.320328542094501</v>
      </c>
      <c r="CJ19" s="15">
        <v>18.039215686274499</v>
      </c>
      <c r="CK19" s="15">
        <v>6.7264573991031398</v>
      </c>
      <c r="CL19" s="15">
        <v>9.3939393939393891</v>
      </c>
      <c r="CM19" s="24">
        <v>16.274089935760198</v>
      </c>
      <c r="CN19" s="37"/>
    </row>
    <row r="20" spans="1:92">
      <c r="A20" s="9" t="s">
        <v>275</v>
      </c>
      <c r="B20" s="35">
        <v>12.6038598136868</v>
      </c>
      <c r="C20" s="32">
        <v>11.845845425044301</v>
      </c>
      <c r="D20" s="32">
        <v>11.992402338776399</v>
      </c>
      <c r="E20" s="32">
        <v>12.8454515195945</v>
      </c>
      <c r="F20" s="20" t="s">
        <v>76</v>
      </c>
      <c r="G20" s="15">
        <v>58.823529411764703</v>
      </c>
      <c r="H20" s="20" t="s">
        <v>76</v>
      </c>
      <c r="I20" s="20" t="s">
        <v>76</v>
      </c>
      <c r="J20" s="15">
        <v>9.0277777777777803</v>
      </c>
      <c r="K20" s="20" t="s">
        <v>76</v>
      </c>
      <c r="L20" s="15">
        <v>13.1147540983607</v>
      </c>
      <c r="M20" s="15">
        <v>15.789473684210501</v>
      </c>
      <c r="N20" s="15">
        <v>12.9411764705882</v>
      </c>
      <c r="O20" s="15">
        <v>20.930232558139501</v>
      </c>
      <c r="P20" s="15">
        <v>11.2676056338028</v>
      </c>
      <c r="Q20" s="15">
        <v>11.2676056338028</v>
      </c>
      <c r="R20" s="20" t="s">
        <v>76</v>
      </c>
      <c r="S20" s="20" t="s">
        <v>76</v>
      </c>
      <c r="T20" s="20" t="s">
        <v>76</v>
      </c>
      <c r="U20" s="15">
        <v>23.8095238095238</v>
      </c>
      <c r="V20" s="20" t="s">
        <v>76</v>
      </c>
      <c r="W20" s="15">
        <v>20.338983050847499</v>
      </c>
      <c r="X20" s="20" t="s">
        <v>76</v>
      </c>
      <c r="Y20" s="20" t="s">
        <v>76</v>
      </c>
      <c r="Z20" s="15">
        <v>7.6923076923076898</v>
      </c>
      <c r="AA20" s="15">
        <v>17.431192660550501</v>
      </c>
      <c r="AB20" s="15">
        <v>13.235294117647101</v>
      </c>
      <c r="AC20" s="15">
        <v>9.0909090909090899</v>
      </c>
      <c r="AD20" s="15">
        <v>25</v>
      </c>
      <c r="AE20" s="20" t="s">
        <v>76</v>
      </c>
      <c r="AF20" s="20" t="s">
        <v>76</v>
      </c>
      <c r="AG20" s="15">
        <v>6.6666666666666696</v>
      </c>
      <c r="AH20" s="15">
        <v>8.9285714285714306</v>
      </c>
      <c r="AI20" s="20" t="s">
        <v>76</v>
      </c>
      <c r="AJ20" s="15">
        <v>14.4144144144144</v>
      </c>
      <c r="AK20" s="15">
        <v>26.6666666666667</v>
      </c>
      <c r="AL20" s="15">
        <v>7.7777777777777803</v>
      </c>
      <c r="AM20" s="15">
        <v>28.125</v>
      </c>
      <c r="AN20" s="20" t="s">
        <v>76</v>
      </c>
      <c r="AO20" s="15">
        <v>12.5</v>
      </c>
      <c r="AP20" s="15">
        <v>15.5844155844156</v>
      </c>
      <c r="AQ20" s="15">
        <v>17.948717948717899</v>
      </c>
      <c r="AR20" s="15">
        <v>21.818181818181799</v>
      </c>
      <c r="AS20" s="20" t="s">
        <v>76</v>
      </c>
      <c r="AT20" s="15">
        <v>20</v>
      </c>
      <c r="AU20" s="20" t="s">
        <v>76</v>
      </c>
      <c r="AV20" s="20" t="s">
        <v>76</v>
      </c>
      <c r="AW20" s="15">
        <v>16.379310344827601</v>
      </c>
      <c r="AX20" s="20" t="s">
        <v>76</v>
      </c>
      <c r="AY20" s="20" t="s">
        <v>76</v>
      </c>
      <c r="AZ20" s="15">
        <v>12</v>
      </c>
      <c r="BA20" s="20" t="s">
        <v>76</v>
      </c>
      <c r="BB20" s="15">
        <v>14.9253731343284</v>
      </c>
      <c r="BC20" s="15">
        <v>13.5135135135135</v>
      </c>
      <c r="BD20" s="15">
        <v>10.2564102564103</v>
      </c>
      <c r="BE20" s="15">
        <v>20.689655172413801</v>
      </c>
      <c r="BF20" s="15">
        <v>12.048192771084301</v>
      </c>
      <c r="BG20" s="15">
        <v>17.910447761194</v>
      </c>
      <c r="BH20" s="20" t="s">
        <v>76</v>
      </c>
      <c r="BI20" s="20" t="s">
        <v>76</v>
      </c>
      <c r="BJ20" s="15">
        <v>11.6071428571429</v>
      </c>
      <c r="BK20" s="20" t="s">
        <v>76</v>
      </c>
      <c r="BL20" s="15">
        <v>13.28125</v>
      </c>
      <c r="BM20" s="15">
        <v>7.9207920792079198</v>
      </c>
      <c r="BN20" s="15">
        <v>17.647058823529399</v>
      </c>
      <c r="BO20" s="15">
        <v>17.7777777777778</v>
      </c>
      <c r="BP20" s="15">
        <v>33.3333333333333</v>
      </c>
      <c r="BQ20" s="15">
        <v>8.2191780821917799</v>
      </c>
      <c r="BR20" s="15">
        <v>10</v>
      </c>
      <c r="BS20" s="15">
        <v>16.867469879518101</v>
      </c>
      <c r="BT20" s="15">
        <v>10.975609756097599</v>
      </c>
      <c r="BU20" s="15">
        <v>14.018691588785</v>
      </c>
      <c r="BV20" s="15">
        <v>9.0909090909090899</v>
      </c>
      <c r="BW20" s="20" t="s">
        <v>76</v>
      </c>
      <c r="BX20" s="20" t="s">
        <v>76</v>
      </c>
      <c r="BY20" s="15">
        <v>14.285714285714301</v>
      </c>
      <c r="BZ20" s="15">
        <v>12.244897959183699</v>
      </c>
      <c r="CA20" s="32">
        <v>11.3035048435733</v>
      </c>
      <c r="CB20" s="15">
        <v>8.9456869009584707</v>
      </c>
      <c r="CC20" s="15">
        <v>12.264150943396199</v>
      </c>
      <c r="CD20" s="15">
        <v>9.67741935483871</v>
      </c>
      <c r="CE20" s="20" t="s">
        <v>76</v>
      </c>
      <c r="CF20" s="15">
        <v>14.9700598802395</v>
      </c>
      <c r="CG20" s="15">
        <v>17.318435754189899</v>
      </c>
      <c r="CH20" s="15">
        <v>10.477941176470599</v>
      </c>
      <c r="CI20" s="15">
        <v>14.579055441478401</v>
      </c>
      <c r="CJ20" s="15">
        <v>13.3333333333333</v>
      </c>
      <c r="CK20" s="15">
        <v>9.8654708520179408</v>
      </c>
      <c r="CL20" s="15">
        <v>11.363636363636401</v>
      </c>
      <c r="CM20" s="24">
        <v>8.1370449678800796</v>
      </c>
      <c r="CN20" s="37"/>
    </row>
    <row r="21" spans="1:92">
      <c r="A21" s="9" t="s">
        <v>276</v>
      </c>
      <c r="B21" s="35">
        <v>5.4283707713785097</v>
      </c>
      <c r="C21" s="32">
        <v>5.2949275589697598</v>
      </c>
      <c r="D21" s="32">
        <v>5.1920582412024503</v>
      </c>
      <c r="E21" s="32">
        <v>6.4360567384762</v>
      </c>
      <c r="F21" s="20" t="s">
        <v>76</v>
      </c>
      <c r="G21" s="20" t="s">
        <v>76</v>
      </c>
      <c r="H21" s="20" t="s">
        <v>76</v>
      </c>
      <c r="I21" s="20" t="s">
        <v>76</v>
      </c>
      <c r="J21" s="15">
        <v>5.5555555555555598</v>
      </c>
      <c r="K21" s="20" t="s">
        <v>76</v>
      </c>
      <c r="L21" s="20" t="s">
        <v>76</v>
      </c>
      <c r="M21" s="15">
        <v>6.5789473684210504</v>
      </c>
      <c r="N21" s="15">
        <v>8.2352941176470598</v>
      </c>
      <c r="O21" s="20" t="s">
        <v>76</v>
      </c>
      <c r="P21" s="15">
        <v>9.8591549295774694</v>
      </c>
      <c r="Q21" s="15">
        <v>9.8591549295774694</v>
      </c>
      <c r="R21" s="20" t="s">
        <v>76</v>
      </c>
      <c r="S21" s="20" t="s">
        <v>76</v>
      </c>
      <c r="T21" s="20" t="s">
        <v>76</v>
      </c>
      <c r="U21" s="20" t="s">
        <v>76</v>
      </c>
      <c r="V21" s="20" t="s">
        <v>76</v>
      </c>
      <c r="W21" s="20" t="s">
        <v>76</v>
      </c>
      <c r="X21" s="20" t="s">
        <v>76</v>
      </c>
      <c r="Y21" s="20" t="s">
        <v>76</v>
      </c>
      <c r="Z21" s="20" t="s">
        <v>76</v>
      </c>
      <c r="AA21" s="15">
        <v>7.3394495412843996</v>
      </c>
      <c r="AB21" s="15">
        <v>17.647058823529399</v>
      </c>
      <c r="AC21" s="15">
        <v>6.0606060606060597</v>
      </c>
      <c r="AD21" s="20" t="s">
        <v>76</v>
      </c>
      <c r="AE21" s="20" t="s">
        <v>76</v>
      </c>
      <c r="AF21" s="20" t="s">
        <v>76</v>
      </c>
      <c r="AG21" s="15">
        <v>7.6190476190476204</v>
      </c>
      <c r="AH21" s="20" t="s">
        <v>76</v>
      </c>
      <c r="AI21" s="20" t="s">
        <v>76</v>
      </c>
      <c r="AJ21" s="15">
        <v>6.3063063063063103</v>
      </c>
      <c r="AK21" s="20" t="s">
        <v>76</v>
      </c>
      <c r="AL21" s="20" t="s">
        <v>76</v>
      </c>
      <c r="AM21" s="15">
        <v>12.5</v>
      </c>
      <c r="AN21" s="20" t="s">
        <v>76</v>
      </c>
      <c r="AO21" s="20" t="s">
        <v>76</v>
      </c>
      <c r="AP21" s="20" t="s">
        <v>76</v>
      </c>
      <c r="AQ21" s="20" t="s">
        <v>76</v>
      </c>
      <c r="AR21" s="15">
        <v>10.909090909090899</v>
      </c>
      <c r="AS21" s="20" t="s">
        <v>76</v>
      </c>
      <c r="AT21" s="20" t="s">
        <v>76</v>
      </c>
      <c r="AU21" s="20" t="s">
        <v>76</v>
      </c>
      <c r="AV21" s="15">
        <v>6.8493150684931496</v>
      </c>
      <c r="AW21" s="15">
        <v>4.31034482758621</v>
      </c>
      <c r="AX21" s="20" t="s">
        <v>76</v>
      </c>
      <c r="AY21" s="20" t="s">
        <v>76</v>
      </c>
      <c r="AZ21" s="20" t="s">
        <v>76</v>
      </c>
      <c r="BA21" s="20" t="s">
        <v>76</v>
      </c>
      <c r="BB21" s="20" t="s">
        <v>76</v>
      </c>
      <c r="BC21" s="15">
        <v>6.7567567567567597</v>
      </c>
      <c r="BD21" s="20" t="s">
        <v>76</v>
      </c>
      <c r="BE21" s="15">
        <v>10.3448275862069</v>
      </c>
      <c r="BF21" s="15">
        <v>6.0240963855421699</v>
      </c>
      <c r="BG21" s="15">
        <v>8.9552238805970106</v>
      </c>
      <c r="BH21" s="20" t="s">
        <v>76</v>
      </c>
      <c r="BI21" s="20" t="s">
        <v>76</v>
      </c>
      <c r="BJ21" s="15">
        <v>7.1428571428571397</v>
      </c>
      <c r="BK21" s="20" t="s">
        <v>76</v>
      </c>
      <c r="BL21" s="15">
        <v>6.25</v>
      </c>
      <c r="BM21" s="20" t="s">
        <v>76</v>
      </c>
      <c r="BN21" s="15">
        <v>9.2436974789915993</v>
      </c>
      <c r="BO21" s="15">
        <v>10</v>
      </c>
      <c r="BP21" s="20" t="s">
        <v>76</v>
      </c>
      <c r="BQ21" s="20" t="s">
        <v>76</v>
      </c>
      <c r="BR21" s="20" t="s">
        <v>76</v>
      </c>
      <c r="BS21" s="20" t="s">
        <v>76</v>
      </c>
      <c r="BT21" s="15">
        <v>6.0975609756097597</v>
      </c>
      <c r="BU21" s="15">
        <v>7.4766355140186898</v>
      </c>
      <c r="BV21" s="15">
        <v>10.1010101010101</v>
      </c>
      <c r="BW21" s="20" t="s">
        <v>76</v>
      </c>
      <c r="BX21" s="20" t="s">
        <v>76</v>
      </c>
      <c r="BY21" s="20" t="s">
        <v>76</v>
      </c>
      <c r="BZ21" s="15">
        <v>4.7619047619047601</v>
      </c>
      <c r="CA21" s="32">
        <v>4.1874415460824803</v>
      </c>
      <c r="CB21" s="15">
        <v>1.91693290734824</v>
      </c>
      <c r="CC21" s="15">
        <v>3.45911949685535</v>
      </c>
      <c r="CD21" s="15">
        <v>3.87096774193548</v>
      </c>
      <c r="CE21" s="20" t="s">
        <v>76</v>
      </c>
      <c r="CF21" s="15">
        <v>5.9880239520958103</v>
      </c>
      <c r="CG21" s="15">
        <v>6.1452513966480398</v>
      </c>
      <c r="CH21" s="15">
        <v>4.4117647058823497</v>
      </c>
      <c r="CI21" s="15">
        <v>4.5174537987679697</v>
      </c>
      <c r="CJ21" s="15">
        <v>6.6666666666666696</v>
      </c>
      <c r="CK21" s="15">
        <v>6.2780269058296003</v>
      </c>
      <c r="CL21" s="15">
        <v>4.2424242424242404</v>
      </c>
      <c r="CM21" s="24">
        <v>3.4261241970021401</v>
      </c>
      <c r="CN21" s="37"/>
    </row>
    <row r="22" spans="1:92">
      <c r="A22" s="9" t="s">
        <v>277</v>
      </c>
      <c r="B22" s="35">
        <v>10.8232154664533</v>
      </c>
      <c r="C22" s="32">
        <v>10.6493811449484</v>
      </c>
      <c r="D22" s="32">
        <v>10.627908238757501</v>
      </c>
      <c r="E22" s="32">
        <v>14.144709381944301</v>
      </c>
      <c r="F22" s="20" t="s">
        <v>76</v>
      </c>
      <c r="G22" s="15">
        <v>35.294117647058798</v>
      </c>
      <c r="H22" s="20" t="s">
        <v>76</v>
      </c>
      <c r="I22" s="20" t="s">
        <v>76</v>
      </c>
      <c r="J22" s="15">
        <v>14.5833333333333</v>
      </c>
      <c r="K22" s="15">
        <v>15.384615384615399</v>
      </c>
      <c r="L22" s="15">
        <v>16.393442622950801</v>
      </c>
      <c r="M22" s="15">
        <v>14.473684210526301</v>
      </c>
      <c r="N22" s="15">
        <v>15.294117647058799</v>
      </c>
      <c r="O22" s="15">
        <v>27.906976744186</v>
      </c>
      <c r="P22" s="15">
        <v>16.901408450704199</v>
      </c>
      <c r="Q22" s="15">
        <v>15.492957746478901</v>
      </c>
      <c r="R22" s="20" t="s">
        <v>76</v>
      </c>
      <c r="S22" s="20" t="s">
        <v>76</v>
      </c>
      <c r="T22" s="20" t="s">
        <v>76</v>
      </c>
      <c r="U22" s="15">
        <v>23.8095238095238</v>
      </c>
      <c r="V22" s="20" t="s">
        <v>76</v>
      </c>
      <c r="W22" s="15">
        <v>11.864406779661</v>
      </c>
      <c r="X22" s="20" t="s">
        <v>76</v>
      </c>
      <c r="Y22" s="20" t="s">
        <v>76</v>
      </c>
      <c r="Z22" s="15">
        <v>11.538461538461499</v>
      </c>
      <c r="AA22" s="15">
        <v>26.605504587155998</v>
      </c>
      <c r="AB22" s="15">
        <v>19.117647058823501</v>
      </c>
      <c r="AC22" s="15">
        <v>12.8787878787879</v>
      </c>
      <c r="AD22" s="20" t="s">
        <v>76</v>
      </c>
      <c r="AE22" s="20" t="s">
        <v>76</v>
      </c>
      <c r="AF22" s="20" t="s">
        <v>76</v>
      </c>
      <c r="AG22" s="15">
        <v>11.4285714285714</v>
      </c>
      <c r="AH22" s="15">
        <v>10.714285714285699</v>
      </c>
      <c r="AI22" s="20" t="s">
        <v>76</v>
      </c>
      <c r="AJ22" s="15">
        <v>14.4144144144144</v>
      </c>
      <c r="AK22" s="15">
        <v>20</v>
      </c>
      <c r="AL22" s="15">
        <v>7.7777777777777803</v>
      </c>
      <c r="AM22" s="15">
        <v>17.1875</v>
      </c>
      <c r="AN22" s="20" t="s">
        <v>76</v>
      </c>
      <c r="AO22" s="20" t="s">
        <v>76</v>
      </c>
      <c r="AP22" s="15">
        <v>14.285714285714301</v>
      </c>
      <c r="AQ22" s="15">
        <v>12.8205128205128</v>
      </c>
      <c r="AR22" s="15">
        <v>20</v>
      </c>
      <c r="AS22" s="20" t="s">
        <v>76</v>
      </c>
      <c r="AT22" s="15">
        <v>13.846153846153801</v>
      </c>
      <c r="AU22" s="15">
        <v>12.244897959183699</v>
      </c>
      <c r="AV22" s="15">
        <v>10.958904109589</v>
      </c>
      <c r="AW22" s="15">
        <v>13.7931034482759</v>
      </c>
      <c r="AX22" s="20" t="s">
        <v>76</v>
      </c>
      <c r="AY22" s="15">
        <v>14.285714285714301</v>
      </c>
      <c r="AZ22" s="15">
        <v>12</v>
      </c>
      <c r="BA22" s="15">
        <v>16.981132075471699</v>
      </c>
      <c r="BB22" s="15">
        <v>8.9552238805970106</v>
      </c>
      <c r="BC22" s="15">
        <v>14.8648648648649</v>
      </c>
      <c r="BD22" s="15">
        <v>7.6923076923076898</v>
      </c>
      <c r="BE22" s="15">
        <v>25.862068965517199</v>
      </c>
      <c r="BF22" s="15">
        <v>16.867469879518101</v>
      </c>
      <c r="BG22" s="15">
        <v>20.8955223880597</v>
      </c>
      <c r="BH22" s="20" t="s">
        <v>76</v>
      </c>
      <c r="BI22" s="20" t="s">
        <v>76</v>
      </c>
      <c r="BJ22" s="15">
        <v>15.1785714285714</v>
      </c>
      <c r="BK22" s="15">
        <v>17.5</v>
      </c>
      <c r="BL22" s="15">
        <v>10.9375</v>
      </c>
      <c r="BM22" s="15">
        <v>12.8712871287129</v>
      </c>
      <c r="BN22" s="15">
        <v>13.445378151260501</v>
      </c>
      <c r="BO22" s="15">
        <v>6.6666666666666696</v>
      </c>
      <c r="BP22" s="20" t="s">
        <v>76</v>
      </c>
      <c r="BQ22" s="15">
        <v>13.698630136986299</v>
      </c>
      <c r="BR22" s="15">
        <v>16.6666666666667</v>
      </c>
      <c r="BS22" s="15">
        <v>13.253012048192801</v>
      </c>
      <c r="BT22" s="15">
        <v>10.975609756097599</v>
      </c>
      <c r="BU22" s="15">
        <v>16.822429906542101</v>
      </c>
      <c r="BV22" s="15">
        <v>16.161616161616202</v>
      </c>
      <c r="BW22" s="15">
        <v>11.5942028985507</v>
      </c>
      <c r="BX22" s="20" t="s">
        <v>76</v>
      </c>
      <c r="BY22" s="15">
        <v>9.5238095238095202</v>
      </c>
      <c r="BZ22" s="15">
        <v>12.925170068027199</v>
      </c>
      <c r="CA22" s="32">
        <v>7.7878427968737496</v>
      </c>
      <c r="CB22" s="15">
        <v>8.3067092651757193</v>
      </c>
      <c r="CC22" s="15">
        <v>13.207547169811299</v>
      </c>
      <c r="CD22" s="15">
        <v>7.0967741935483897</v>
      </c>
      <c r="CE22" s="20" t="s">
        <v>76</v>
      </c>
      <c r="CF22" s="15">
        <v>9.5808383233532908</v>
      </c>
      <c r="CG22" s="15">
        <v>10.614525139664799</v>
      </c>
      <c r="CH22" s="15">
        <v>7.1691176470588198</v>
      </c>
      <c r="CI22" s="15">
        <v>8.0082135523614006</v>
      </c>
      <c r="CJ22" s="15">
        <v>7.4509803921568603</v>
      </c>
      <c r="CK22" s="15">
        <v>4.4843049327354301</v>
      </c>
      <c r="CL22" s="15">
        <v>8.4848484848484809</v>
      </c>
      <c r="CM22" s="24">
        <v>6.6381156316916501</v>
      </c>
      <c r="CN22" s="37"/>
    </row>
    <row r="23" spans="1:92">
      <c r="A23" s="9" t="s">
        <v>278</v>
      </c>
      <c r="B23" s="35">
        <v>7.2788847199500397</v>
      </c>
      <c r="C23" s="32">
        <v>7.5087096531186202</v>
      </c>
      <c r="D23" s="32">
        <v>7.4063980043325701</v>
      </c>
      <c r="E23" s="32">
        <v>7.8891384937702798</v>
      </c>
      <c r="F23" s="20" t="s">
        <v>76</v>
      </c>
      <c r="G23" s="20" t="s">
        <v>76</v>
      </c>
      <c r="H23" s="20" t="s">
        <v>76</v>
      </c>
      <c r="I23" s="20" t="s">
        <v>76</v>
      </c>
      <c r="J23" s="15">
        <v>9.0277777777777803</v>
      </c>
      <c r="K23" s="20" t="s">
        <v>76</v>
      </c>
      <c r="L23" s="15">
        <v>9.8360655737704903</v>
      </c>
      <c r="M23" s="15">
        <v>13.157894736842101</v>
      </c>
      <c r="N23" s="15">
        <v>11.764705882352899</v>
      </c>
      <c r="O23" s="20" t="s">
        <v>76</v>
      </c>
      <c r="P23" s="15">
        <v>11.2676056338028</v>
      </c>
      <c r="Q23" s="15">
        <v>8.4507042253521103</v>
      </c>
      <c r="R23" s="20" t="s">
        <v>76</v>
      </c>
      <c r="S23" s="20" t="s">
        <v>76</v>
      </c>
      <c r="T23" s="20" t="s">
        <v>76</v>
      </c>
      <c r="U23" s="20" t="s">
        <v>76</v>
      </c>
      <c r="V23" s="20" t="s">
        <v>76</v>
      </c>
      <c r="W23" s="15">
        <v>8.4745762711864394</v>
      </c>
      <c r="X23" s="20" t="s">
        <v>76</v>
      </c>
      <c r="Y23" s="20" t="s">
        <v>76</v>
      </c>
      <c r="Z23" s="20" t="s">
        <v>76</v>
      </c>
      <c r="AA23" s="15">
        <v>9.1743119266054993</v>
      </c>
      <c r="AB23" s="20" t="s">
        <v>76</v>
      </c>
      <c r="AC23" s="15">
        <v>8.3333333333333304</v>
      </c>
      <c r="AD23" s="20" t="s">
        <v>76</v>
      </c>
      <c r="AE23" s="20" t="s">
        <v>76</v>
      </c>
      <c r="AF23" s="20" t="s">
        <v>76</v>
      </c>
      <c r="AG23" s="15">
        <v>6.6666666666666696</v>
      </c>
      <c r="AH23" s="15">
        <v>12.5</v>
      </c>
      <c r="AI23" s="20" t="s">
        <v>76</v>
      </c>
      <c r="AJ23" s="15">
        <v>9.9099099099099099</v>
      </c>
      <c r="AK23" s="20" t="s">
        <v>76</v>
      </c>
      <c r="AL23" s="15">
        <v>5.5555555555555598</v>
      </c>
      <c r="AM23" s="15">
        <v>9.375</v>
      </c>
      <c r="AN23" s="20" t="s">
        <v>76</v>
      </c>
      <c r="AO23" s="20" t="s">
        <v>76</v>
      </c>
      <c r="AP23" s="15">
        <v>9.0909090909090899</v>
      </c>
      <c r="AQ23" s="20" t="s">
        <v>76</v>
      </c>
      <c r="AR23" s="15">
        <v>9.0909090909090899</v>
      </c>
      <c r="AS23" s="20" t="s">
        <v>76</v>
      </c>
      <c r="AT23" s="20" t="s">
        <v>76</v>
      </c>
      <c r="AU23" s="15">
        <v>10.2040816326531</v>
      </c>
      <c r="AV23" s="20" t="s">
        <v>76</v>
      </c>
      <c r="AW23" s="15">
        <v>8.6206896551724093</v>
      </c>
      <c r="AX23" s="20" t="s">
        <v>76</v>
      </c>
      <c r="AY23" s="15">
        <v>17.1428571428571</v>
      </c>
      <c r="AZ23" s="15">
        <v>20</v>
      </c>
      <c r="BA23" s="15">
        <v>9.4339622641509404</v>
      </c>
      <c r="BB23" s="20" t="s">
        <v>76</v>
      </c>
      <c r="BC23" s="20" t="s">
        <v>76</v>
      </c>
      <c r="BD23" s="20" t="s">
        <v>76</v>
      </c>
      <c r="BE23" s="15">
        <v>10.3448275862069</v>
      </c>
      <c r="BF23" s="15">
        <v>9.6385542168674707</v>
      </c>
      <c r="BG23" s="20" t="s">
        <v>76</v>
      </c>
      <c r="BH23" s="20" t="s">
        <v>76</v>
      </c>
      <c r="BI23" s="20" t="s">
        <v>76</v>
      </c>
      <c r="BJ23" s="15">
        <v>7.1428571428571397</v>
      </c>
      <c r="BK23" s="20" t="s">
        <v>76</v>
      </c>
      <c r="BL23" s="15">
        <v>4.6875</v>
      </c>
      <c r="BM23" s="15">
        <v>5.9405940594059397</v>
      </c>
      <c r="BN23" s="15">
        <v>6.7226890756302504</v>
      </c>
      <c r="BO23" s="15">
        <v>6.6666666666666696</v>
      </c>
      <c r="BP23" s="20" t="s">
        <v>76</v>
      </c>
      <c r="BQ23" s="15">
        <v>15.068493150684899</v>
      </c>
      <c r="BR23" s="15">
        <v>18.3333333333333</v>
      </c>
      <c r="BS23" s="15">
        <v>9.6385542168674707</v>
      </c>
      <c r="BT23" s="20" t="s">
        <v>76</v>
      </c>
      <c r="BU23" s="15">
        <v>4.6728971962616797</v>
      </c>
      <c r="BV23" s="15">
        <v>9.0909090909090899</v>
      </c>
      <c r="BW23" s="20" t="s">
        <v>76</v>
      </c>
      <c r="BX23" s="20" t="s">
        <v>76</v>
      </c>
      <c r="BY23" s="20" t="s">
        <v>76</v>
      </c>
      <c r="BZ23" s="15">
        <v>3.40136054421769</v>
      </c>
      <c r="CA23" s="32">
        <v>7.0165509457048199</v>
      </c>
      <c r="CB23" s="15">
        <v>7.0287539936102199</v>
      </c>
      <c r="CC23" s="15">
        <v>9.1194968553459095</v>
      </c>
      <c r="CD23" s="15">
        <v>5.8064516129032304</v>
      </c>
      <c r="CE23" s="20" t="s">
        <v>76</v>
      </c>
      <c r="CF23" s="15">
        <v>6.88622754491018</v>
      </c>
      <c r="CG23" s="15">
        <v>6.1452513966480398</v>
      </c>
      <c r="CH23" s="15">
        <v>5.5147058823529402</v>
      </c>
      <c r="CI23" s="15">
        <v>5.74948665297741</v>
      </c>
      <c r="CJ23" s="15">
        <v>6.2745098039215703</v>
      </c>
      <c r="CK23" s="15">
        <v>8.52017937219731</v>
      </c>
      <c r="CL23" s="15">
        <v>6.6666666666666696</v>
      </c>
      <c r="CM23" s="24">
        <v>8.1370449678800796</v>
      </c>
      <c r="CN23" s="37"/>
    </row>
    <row r="24" spans="1:92">
      <c r="A24" s="9" t="s">
        <v>279</v>
      </c>
      <c r="B24" s="35">
        <v>4.4512455467420997</v>
      </c>
      <c r="C24" s="32">
        <v>4.3088989391367303</v>
      </c>
      <c r="D24" s="32">
        <v>4.68390411095963</v>
      </c>
      <c r="E24" s="32">
        <v>5.5498381269001698</v>
      </c>
      <c r="F24" s="20" t="s">
        <v>76</v>
      </c>
      <c r="G24" s="20" t="s">
        <v>76</v>
      </c>
      <c r="H24" s="20" t="s">
        <v>76</v>
      </c>
      <c r="I24" s="20" t="s">
        <v>76</v>
      </c>
      <c r="J24" s="15">
        <v>7.6388888888888902</v>
      </c>
      <c r="K24" s="20" t="s">
        <v>76</v>
      </c>
      <c r="L24" s="20" t="s">
        <v>76</v>
      </c>
      <c r="M24" s="20" t="s">
        <v>76</v>
      </c>
      <c r="N24" s="15">
        <v>5.8823529411764701</v>
      </c>
      <c r="O24" s="20" t="s">
        <v>76</v>
      </c>
      <c r="P24" s="20" t="s">
        <v>76</v>
      </c>
      <c r="Q24" s="20" t="s">
        <v>76</v>
      </c>
      <c r="R24" s="20" t="s">
        <v>76</v>
      </c>
      <c r="S24" s="20" t="s">
        <v>76</v>
      </c>
      <c r="T24" s="20" t="s">
        <v>76</v>
      </c>
      <c r="U24" s="20" t="s">
        <v>76</v>
      </c>
      <c r="V24" s="20" t="s">
        <v>76</v>
      </c>
      <c r="W24" s="20" t="s">
        <v>76</v>
      </c>
      <c r="X24" s="20" t="s">
        <v>76</v>
      </c>
      <c r="Y24" s="20" t="s">
        <v>76</v>
      </c>
      <c r="Z24" s="20" t="s">
        <v>76</v>
      </c>
      <c r="AA24" s="15">
        <v>5.5045871559632999</v>
      </c>
      <c r="AB24" s="20" t="s">
        <v>76</v>
      </c>
      <c r="AC24" s="15">
        <v>6.8181818181818201</v>
      </c>
      <c r="AD24" s="20" t="s">
        <v>76</v>
      </c>
      <c r="AE24" s="20" t="s">
        <v>76</v>
      </c>
      <c r="AF24" s="20" t="s">
        <v>76</v>
      </c>
      <c r="AG24" s="20" t="s">
        <v>76</v>
      </c>
      <c r="AH24" s="20" t="s">
        <v>76</v>
      </c>
      <c r="AI24" s="20" t="s">
        <v>76</v>
      </c>
      <c r="AJ24" s="15">
        <v>9.9099099099099099</v>
      </c>
      <c r="AK24" s="20" t="s">
        <v>76</v>
      </c>
      <c r="AL24" s="20" t="s">
        <v>76</v>
      </c>
      <c r="AM24" s="15">
        <v>9.375</v>
      </c>
      <c r="AN24" s="20" t="s">
        <v>76</v>
      </c>
      <c r="AO24" s="15">
        <v>15</v>
      </c>
      <c r="AP24" s="15">
        <v>12.987012987012999</v>
      </c>
      <c r="AQ24" s="20" t="s">
        <v>76</v>
      </c>
      <c r="AR24" s="20" t="s">
        <v>76</v>
      </c>
      <c r="AS24" s="20" t="s">
        <v>76</v>
      </c>
      <c r="AT24" s="15">
        <v>7.6923076923076898</v>
      </c>
      <c r="AU24" s="20" t="s">
        <v>76</v>
      </c>
      <c r="AV24" s="15">
        <v>13.698630136986299</v>
      </c>
      <c r="AW24" s="20" t="s">
        <v>76</v>
      </c>
      <c r="AX24" s="20" t="s">
        <v>76</v>
      </c>
      <c r="AY24" s="20" t="s">
        <v>76</v>
      </c>
      <c r="AZ24" s="20" t="s">
        <v>76</v>
      </c>
      <c r="BA24" s="20" t="s">
        <v>76</v>
      </c>
      <c r="BB24" s="20" t="s">
        <v>76</v>
      </c>
      <c r="BC24" s="20" t="s">
        <v>76</v>
      </c>
      <c r="BD24" s="15">
        <v>7.6923076923076898</v>
      </c>
      <c r="BE24" s="20" t="s">
        <v>76</v>
      </c>
      <c r="BF24" s="20" t="s">
        <v>76</v>
      </c>
      <c r="BG24" s="20" t="s">
        <v>76</v>
      </c>
      <c r="BH24" s="20" t="s">
        <v>76</v>
      </c>
      <c r="BI24" s="20" t="s">
        <v>76</v>
      </c>
      <c r="BJ24" s="20" t="s">
        <v>76</v>
      </c>
      <c r="BK24" s="20" t="s">
        <v>76</v>
      </c>
      <c r="BL24" s="15">
        <v>5.46875</v>
      </c>
      <c r="BM24" s="20" t="s">
        <v>76</v>
      </c>
      <c r="BN24" s="15">
        <v>10.084033613445399</v>
      </c>
      <c r="BO24" s="15">
        <v>8.8888888888888893</v>
      </c>
      <c r="BP24" s="20" t="s">
        <v>76</v>
      </c>
      <c r="BQ24" s="20" t="s">
        <v>76</v>
      </c>
      <c r="BR24" s="15">
        <v>10</v>
      </c>
      <c r="BS24" s="20" t="s">
        <v>76</v>
      </c>
      <c r="BT24" s="15">
        <v>6.0975609756097597</v>
      </c>
      <c r="BU24" s="15">
        <v>9.3457943925233593</v>
      </c>
      <c r="BV24" s="20" t="s">
        <v>76</v>
      </c>
      <c r="BW24" s="20" t="s">
        <v>76</v>
      </c>
      <c r="BX24" s="20" t="s">
        <v>76</v>
      </c>
      <c r="BY24" s="20" t="s">
        <v>76</v>
      </c>
      <c r="BZ24" s="15">
        <v>3.40136054421769</v>
      </c>
      <c r="CA24" s="32">
        <v>3.9846012008736298</v>
      </c>
      <c r="CB24" s="15">
        <v>3.8338658146964901</v>
      </c>
      <c r="CC24" s="15">
        <v>4.0880503144654101</v>
      </c>
      <c r="CD24" s="15">
        <v>4.5161290322580596</v>
      </c>
      <c r="CE24" s="20" t="s">
        <v>76</v>
      </c>
      <c r="CF24" s="15">
        <v>5.3892215568862296</v>
      </c>
      <c r="CG24" s="15">
        <v>4.4692737430167604</v>
      </c>
      <c r="CH24" s="15">
        <v>3.125</v>
      </c>
      <c r="CI24" s="15">
        <v>3.2854209445585201</v>
      </c>
      <c r="CJ24" s="15">
        <v>3.1372549019607798</v>
      </c>
      <c r="CK24" s="15">
        <v>4.03587443946188</v>
      </c>
      <c r="CL24" s="15">
        <v>4.39393939393939</v>
      </c>
      <c r="CM24" s="24">
        <v>6.8522483940042802</v>
      </c>
      <c r="CN24" s="37"/>
    </row>
    <row r="25" spans="1:92">
      <c r="A25" s="9" t="s">
        <v>280</v>
      </c>
      <c r="B25" s="35">
        <v>3.2530387665106701</v>
      </c>
      <c r="C25" s="32">
        <v>3.1942850945255299</v>
      </c>
      <c r="D25" s="32">
        <v>2.7188375330852801</v>
      </c>
      <c r="E25" s="32">
        <v>3.3845309391809502</v>
      </c>
      <c r="F25" s="20" t="s">
        <v>76</v>
      </c>
      <c r="G25" s="20" t="s">
        <v>76</v>
      </c>
      <c r="H25" s="20" t="s">
        <v>76</v>
      </c>
      <c r="I25" s="20" t="s">
        <v>76</v>
      </c>
      <c r="J25" s="20" t="s">
        <v>76</v>
      </c>
      <c r="K25" s="20" t="s">
        <v>76</v>
      </c>
      <c r="L25" s="20" t="s">
        <v>76</v>
      </c>
      <c r="M25" s="15">
        <v>11.842105263157899</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20" t="s">
        <v>76</v>
      </c>
      <c r="AH25" s="20" t="s">
        <v>76</v>
      </c>
      <c r="AI25" s="20" t="s">
        <v>76</v>
      </c>
      <c r="AJ25" s="15">
        <v>4.5045045045045002</v>
      </c>
      <c r="AK25" s="20" t="s">
        <v>76</v>
      </c>
      <c r="AL25" s="20" t="s">
        <v>76</v>
      </c>
      <c r="AM25" s="20" t="s">
        <v>76</v>
      </c>
      <c r="AN25" s="20" t="s">
        <v>76</v>
      </c>
      <c r="AO25" s="20" t="s">
        <v>76</v>
      </c>
      <c r="AP25" s="20" t="s">
        <v>76</v>
      </c>
      <c r="AQ25" s="20" t="s">
        <v>76</v>
      </c>
      <c r="AR25" s="20" t="s">
        <v>76</v>
      </c>
      <c r="AS25" s="20" t="s">
        <v>76</v>
      </c>
      <c r="AT25" s="20" t="s">
        <v>76</v>
      </c>
      <c r="AU25" s="20" t="s">
        <v>76</v>
      </c>
      <c r="AV25" s="20" t="s">
        <v>76</v>
      </c>
      <c r="AW25" s="20" t="s">
        <v>76</v>
      </c>
      <c r="AX25" s="20" t="s">
        <v>76</v>
      </c>
      <c r="AY25" s="20" t="s">
        <v>76</v>
      </c>
      <c r="AZ25" s="20" t="s">
        <v>76</v>
      </c>
      <c r="BA25" s="20" t="s">
        <v>76</v>
      </c>
      <c r="BB25" s="20" t="s">
        <v>76</v>
      </c>
      <c r="BC25" s="20" t="s">
        <v>76</v>
      </c>
      <c r="BD25" s="20" t="s">
        <v>76</v>
      </c>
      <c r="BE25" s="20" t="s">
        <v>76</v>
      </c>
      <c r="BF25" s="15">
        <v>8.4337349397590398</v>
      </c>
      <c r="BG25" s="20" t="s">
        <v>76</v>
      </c>
      <c r="BH25" s="20" t="s">
        <v>76</v>
      </c>
      <c r="BI25" s="20" t="s">
        <v>76</v>
      </c>
      <c r="BJ25" s="20" t="s">
        <v>76</v>
      </c>
      <c r="BK25" s="20" t="s">
        <v>76</v>
      </c>
      <c r="BL25" s="20" t="s">
        <v>76</v>
      </c>
      <c r="BM25" s="20" t="s">
        <v>76</v>
      </c>
      <c r="BN25" s="15">
        <v>4.2016806722689104</v>
      </c>
      <c r="BO25" s="20" t="s">
        <v>76</v>
      </c>
      <c r="BP25" s="20" t="s">
        <v>76</v>
      </c>
      <c r="BQ25" s="20" t="s">
        <v>76</v>
      </c>
      <c r="BR25" s="20" t="s">
        <v>76</v>
      </c>
      <c r="BS25" s="20" t="s">
        <v>76</v>
      </c>
      <c r="BT25" s="20" t="s">
        <v>76</v>
      </c>
      <c r="BU25" s="15">
        <v>5.6074766355140202</v>
      </c>
      <c r="BV25" s="20" t="s">
        <v>76</v>
      </c>
      <c r="BW25" s="20" t="s">
        <v>76</v>
      </c>
      <c r="BX25" s="20" t="s">
        <v>76</v>
      </c>
      <c r="BY25" s="20" t="s">
        <v>76</v>
      </c>
      <c r="BZ25" s="20" t="s">
        <v>76</v>
      </c>
      <c r="CA25" s="32">
        <v>2.18124306567988</v>
      </c>
      <c r="CB25" s="20" t="s">
        <v>76</v>
      </c>
      <c r="CC25" s="15">
        <v>1.57232704402516</v>
      </c>
      <c r="CD25" s="20" t="s">
        <v>76</v>
      </c>
      <c r="CE25" s="20" t="s">
        <v>76</v>
      </c>
      <c r="CF25" s="15">
        <v>3.8922155688622802</v>
      </c>
      <c r="CG25" s="20" t="s">
        <v>76</v>
      </c>
      <c r="CH25" s="15">
        <v>1.47058823529412</v>
      </c>
      <c r="CI25" s="15">
        <v>3.0800821355236101</v>
      </c>
      <c r="CJ25" s="15">
        <v>1.9607843137254899</v>
      </c>
      <c r="CK25" s="20" t="s">
        <v>76</v>
      </c>
      <c r="CL25" s="15">
        <v>3.48484848484848</v>
      </c>
      <c r="CM25" s="24">
        <v>1.4989293361884399</v>
      </c>
      <c r="CN25" s="37"/>
    </row>
    <row r="26" spans="1:92">
      <c r="A26" s="9" t="s">
        <v>281</v>
      </c>
      <c r="B26" s="35">
        <v>11.558222336867599</v>
      </c>
      <c r="C26" s="32">
        <v>11.1463304267302</v>
      </c>
      <c r="D26" s="32">
        <v>11.3593623721809</v>
      </c>
      <c r="E26" s="32">
        <v>12.849246588666499</v>
      </c>
      <c r="F26" s="20" t="s">
        <v>76</v>
      </c>
      <c r="G26" s="15">
        <v>47.058823529411796</v>
      </c>
      <c r="H26" s="15">
        <v>21.739130434782599</v>
      </c>
      <c r="I26" s="20" t="s">
        <v>76</v>
      </c>
      <c r="J26" s="15">
        <v>15.2777777777778</v>
      </c>
      <c r="K26" s="15">
        <v>25.6410256410256</v>
      </c>
      <c r="L26" s="15">
        <v>9.8360655737704903</v>
      </c>
      <c r="M26" s="15">
        <v>30.2631578947368</v>
      </c>
      <c r="N26" s="15">
        <v>10.588235294117601</v>
      </c>
      <c r="O26" s="15">
        <v>23.255813953488399</v>
      </c>
      <c r="P26" s="15">
        <v>14.084507042253501</v>
      </c>
      <c r="Q26" s="15">
        <v>11.2676056338028</v>
      </c>
      <c r="R26" s="20" t="s">
        <v>76</v>
      </c>
      <c r="S26" s="15">
        <v>14.634146341463399</v>
      </c>
      <c r="T26" s="20" t="s">
        <v>76</v>
      </c>
      <c r="U26" s="20" t="s">
        <v>76</v>
      </c>
      <c r="V26" s="20" t="s">
        <v>76</v>
      </c>
      <c r="W26" s="15">
        <v>13.559322033898299</v>
      </c>
      <c r="X26" s="20" t="s">
        <v>76</v>
      </c>
      <c r="Y26" s="20" t="s">
        <v>76</v>
      </c>
      <c r="Z26" s="15">
        <v>8.9743589743589691</v>
      </c>
      <c r="AA26" s="15">
        <v>10.0917431192661</v>
      </c>
      <c r="AB26" s="15">
        <v>10.294117647058799</v>
      </c>
      <c r="AC26" s="15">
        <v>6.0606060606060597</v>
      </c>
      <c r="AD26" s="20" t="s">
        <v>76</v>
      </c>
      <c r="AE26" s="20" t="s">
        <v>76</v>
      </c>
      <c r="AF26" s="20" t="s">
        <v>76</v>
      </c>
      <c r="AG26" s="15">
        <v>14.285714285714301</v>
      </c>
      <c r="AH26" s="15">
        <v>17.8571428571429</v>
      </c>
      <c r="AI26" s="20" t="s">
        <v>76</v>
      </c>
      <c r="AJ26" s="15">
        <v>11.7117117117117</v>
      </c>
      <c r="AK26" s="20" t="s">
        <v>76</v>
      </c>
      <c r="AL26" s="15">
        <v>10</v>
      </c>
      <c r="AM26" s="15">
        <v>15.625</v>
      </c>
      <c r="AN26" s="20" t="s">
        <v>76</v>
      </c>
      <c r="AO26" s="20" t="s">
        <v>76</v>
      </c>
      <c r="AP26" s="15">
        <v>12.987012987012999</v>
      </c>
      <c r="AQ26" s="15">
        <v>12.8205128205128</v>
      </c>
      <c r="AR26" s="15">
        <v>29.090909090909101</v>
      </c>
      <c r="AS26" s="20" t="s">
        <v>76</v>
      </c>
      <c r="AT26" s="15">
        <v>7.6923076923076898</v>
      </c>
      <c r="AU26" s="20" t="s">
        <v>76</v>
      </c>
      <c r="AV26" s="15">
        <v>9.5890410958904102</v>
      </c>
      <c r="AW26" s="15">
        <v>11.2068965517241</v>
      </c>
      <c r="AX26" s="20" t="s">
        <v>76</v>
      </c>
      <c r="AY26" s="20" t="s">
        <v>76</v>
      </c>
      <c r="AZ26" s="15">
        <v>14</v>
      </c>
      <c r="BA26" s="15">
        <v>9.4339622641509404</v>
      </c>
      <c r="BB26" s="20" t="s">
        <v>76</v>
      </c>
      <c r="BC26" s="15">
        <v>17.5675675675676</v>
      </c>
      <c r="BD26" s="15">
        <v>12.8205128205128</v>
      </c>
      <c r="BE26" s="15">
        <v>12.0689655172414</v>
      </c>
      <c r="BF26" s="15">
        <v>7.2289156626505999</v>
      </c>
      <c r="BG26" s="15">
        <v>11.9402985074627</v>
      </c>
      <c r="BH26" s="20" t="s">
        <v>76</v>
      </c>
      <c r="BI26" s="20" t="s">
        <v>76</v>
      </c>
      <c r="BJ26" s="15">
        <v>13.3928571428571</v>
      </c>
      <c r="BK26" s="15">
        <v>12.5</v>
      </c>
      <c r="BL26" s="15">
        <v>13.28125</v>
      </c>
      <c r="BM26" s="15">
        <v>14.8514851485149</v>
      </c>
      <c r="BN26" s="15">
        <v>10.924369747899201</v>
      </c>
      <c r="BO26" s="15">
        <v>18.8888888888889</v>
      </c>
      <c r="BP26" s="20" t="s">
        <v>76</v>
      </c>
      <c r="BQ26" s="15">
        <v>15.068493150684899</v>
      </c>
      <c r="BR26" s="15">
        <v>16.6666666666667</v>
      </c>
      <c r="BS26" s="15">
        <v>8.4337349397590398</v>
      </c>
      <c r="BT26" s="15">
        <v>8.5365853658536608</v>
      </c>
      <c r="BU26" s="15">
        <v>12.1495327102804</v>
      </c>
      <c r="BV26" s="15">
        <v>14.141414141414099</v>
      </c>
      <c r="BW26" s="15">
        <v>13.0434782608696</v>
      </c>
      <c r="BX26" s="20" t="s">
        <v>76</v>
      </c>
      <c r="BY26" s="15">
        <v>7.9365079365079403</v>
      </c>
      <c r="BZ26" s="15">
        <v>13.605442176870699</v>
      </c>
      <c r="CA26" s="32">
        <v>10.1561755830029</v>
      </c>
      <c r="CB26" s="15">
        <v>8.9456869009584707</v>
      </c>
      <c r="CC26" s="15">
        <v>12.578616352201299</v>
      </c>
      <c r="CD26" s="15">
        <v>10.322580645161301</v>
      </c>
      <c r="CE26" s="20" t="s">
        <v>76</v>
      </c>
      <c r="CF26" s="15">
        <v>10.7784431137725</v>
      </c>
      <c r="CG26" s="15">
        <v>7.8212290502793298</v>
      </c>
      <c r="CH26" s="15">
        <v>9.9264705882352899</v>
      </c>
      <c r="CI26" s="15">
        <v>10.6776180698152</v>
      </c>
      <c r="CJ26" s="15">
        <v>9.0196078431372495</v>
      </c>
      <c r="CK26" s="15">
        <v>11.2107623318386</v>
      </c>
      <c r="CL26" s="15">
        <v>11.363636363636401</v>
      </c>
      <c r="CM26" s="24">
        <v>8.7794432548179895</v>
      </c>
      <c r="CN26" s="37"/>
    </row>
    <row r="27" spans="1:92">
      <c r="A27" s="9" t="s">
        <v>282</v>
      </c>
      <c r="B27" s="35">
        <v>9.58892706314737</v>
      </c>
      <c r="C27" s="32">
        <v>9.9181563306815406</v>
      </c>
      <c r="D27" s="32">
        <v>10.6508285597175</v>
      </c>
      <c r="E27" s="32">
        <v>13.445848377939001</v>
      </c>
      <c r="F27" s="20" t="s">
        <v>76</v>
      </c>
      <c r="G27" s="15">
        <v>41.176470588235297</v>
      </c>
      <c r="H27" s="20" t="s">
        <v>76</v>
      </c>
      <c r="I27" s="20" t="s">
        <v>76</v>
      </c>
      <c r="J27" s="15">
        <v>11.8055555555556</v>
      </c>
      <c r="K27" s="15">
        <v>25.6410256410256</v>
      </c>
      <c r="L27" s="15">
        <v>11.4754098360656</v>
      </c>
      <c r="M27" s="15">
        <v>15.789473684210501</v>
      </c>
      <c r="N27" s="15">
        <v>18.823529411764699</v>
      </c>
      <c r="O27" s="15">
        <v>16.2790697674419</v>
      </c>
      <c r="P27" s="15">
        <v>7.0422535211267601</v>
      </c>
      <c r="Q27" s="20" t="s">
        <v>76</v>
      </c>
      <c r="R27" s="15">
        <v>19.230769230769202</v>
      </c>
      <c r="S27" s="15">
        <v>19.512195121951201</v>
      </c>
      <c r="T27" s="20" t="s">
        <v>76</v>
      </c>
      <c r="U27" s="15">
        <v>28.571428571428601</v>
      </c>
      <c r="V27" s="15">
        <v>20.588235294117599</v>
      </c>
      <c r="W27" s="15">
        <v>13.559322033898299</v>
      </c>
      <c r="X27" s="20" t="s">
        <v>76</v>
      </c>
      <c r="Y27" s="20" t="s">
        <v>76</v>
      </c>
      <c r="Z27" s="15">
        <v>14.1025641025641</v>
      </c>
      <c r="AA27" s="15">
        <v>16.5137614678899</v>
      </c>
      <c r="AB27" s="15">
        <v>13.235294117647101</v>
      </c>
      <c r="AC27" s="15">
        <v>10.6060606060606</v>
      </c>
      <c r="AD27" s="15">
        <v>25</v>
      </c>
      <c r="AE27" s="15">
        <v>33.3333333333333</v>
      </c>
      <c r="AF27" s="20" t="s">
        <v>76</v>
      </c>
      <c r="AG27" s="15">
        <v>10.476190476190499</v>
      </c>
      <c r="AH27" s="15">
        <v>21.428571428571399</v>
      </c>
      <c r="AI27" s="20" t="s">
        <v>76</v>
      </c>
      <c r="AJ27" s="15">
        <v>21.6216216216216</v>
      </c>
      <c r="AK27" s="20" t="s">
        <v>76</v>
      </c>
      <c r="AL27" s="15">
        <v>11.1111111111111</v>
      </c>
      <c r="AM27" s="15">
        <v>14.0625</v>
      </c>
      <c r="AN27" s="20" t="s">
        <v>76</v>
      </c>
      <c r="AO27" s="20" t="s">
        <v>76</v>
      </c>
      <c r="AP27" s="15">
        <v>14.285714285714301</v>
      </c>
      <c r="AQ27" s="20" t="s">
        <v>76</v>
      </c>
      <c r="AR27" s="15">
        <v>20</v>
      </c>
      <c r="AS27" s="20" t="s">
        <v>76</v>
      </c>
      <c r="AT27" s="15">
        <v>10.7692307692308</v>
      </c>
      <c r="AU27" s="15">
        <v>16.326530612244898</v>
      </c>
      <c r="AV27" s="15">
        <v>8.2191780821917799</v>
      </c>
      <c r="AW27" s="15">
        <v>14.6551724137931</v>
      </c>
      <c r="AX27" s="20" t="s">
        <v>76</v>
      </c>
      <c r="AY27" s="15">
        <v>14.285714285714301</v>
      </c>
      <c r="AZ27" s="15">
        <v>30</v>
      </c>
      <c r="BA27" s="15">
        <v>9.4339622641509404</v>
      </c>
      <c r="BB27" s="20" t="s">
        <v>76</v>
      </c>
      <c r="BC27" s="15">
        <v>14.8648648648649</v>
      </c>
      <c r="BD27" s="15">
        <v>12.8205128205128</v>
      </c>
      <c r="BE27" s="20" t="s">
        <v>76</v>
      </c>
      <c r="BF27" s="15">
        <v>10.8433734939759</v>
      </c>
      <c r="BG27" s="15">
        <v>10.4477611940298</v>
      </c>
      <c r="BH27" s="20" t="s">
        <v>76</v>
      </c>
      <c r="BI27" s="15">
        <v>26.315789473684202</v>
      </c>
      <c r="BJ27" s="15">
        <v>9.8214285714285694</v>
      </c>
      <c r="BK27" s="15">
        <v>12.5</v>
      </c>
      <c r="BL27" s="15">
        <v>10.9375</v>
      </c>
      <c r="BM27" s="15">
        <v>18.8118811881188</v>
      </c>
      <c r="BN27" s="15">
        <v>15.966386554621799</v>
      </c>
      <c r="BO27" s="15">
        <v>22.2222222222222</v>
      </c>
      <c r="BP27" s="20" t="s">
        <v>76</v>
      </c>
      <c r="BQ27" s="15">
        <v>8.2191780821917799</v>
      </c>
      <c r="BR27" s="15">
        <v>23.3333333333333</v>
      </c>
      <c r="BS27" s="15">
        <v>13.253012048192801</v>
      </c>
      <c r="BT27" s="15">
        <v>7.3170731707317103</v>
      </c>
      <c r="BU27" s="15">
        <v>15.887850467289701</v>
      </c>
      <c r="BV27" s="15">
        <v>9.0909090909090899</v>
      </c>
      <c r="BW27" s="15">
        <v>8.6956521739130395</v>
      </c>
      <c r="BX27" s="20" t="s">
        <v>76</v>
      </c>
      <c r="BY27" s="15">
        <v>14.285714285714301</v>
      </c>
      <c r="BZ27" s="15">
        <v>9.5238095238095202</v>
      </c>
      <c r="CA27" s="32">
        <v>8.3936525432431797</v>
      </c>
      <c r="CB27" s="15">
        <v>7.9872204472843498</v>
      </c>
      <c r="CC27" s="15">
        <v>9.4339622641509404</v>
      </c>
      <c r="CD27" s="15">
        <v>8.3870967741935498</v>
      </c>
      <c r="CE27" s="20" t="s">
        <v>76</v>
      </c>
      <c r="CF27" s="15">
        <v>13.473053892215599</v>
      </c>
      <c r="CG27" s="15">
        <v>4.4692737430167604</v>
      </c>
      <c r="CH27" s="15">
        <v>8.6397058823529402</v>
      </c>
      <c r="CI27" s="15">
        <v>6.3655030800821404</v>
      </c>
      <c r="CJ27" s="15">
        <v>8.62745098039216</v>
      </c>
      <c r="CK27" s="15">
        <v>9.4170403587443907</v>
      </c>
      <c r="CL27" s="15">
        <v>7.4242424242424203</v>
      </c>
      <c r="CM27" s="24">
        <v>10.9207708779443</v>
      </c>
      <c r="CN27" s="37"/>
    </row>
    <row r="28" spans="1:92">
      <c r="A28" s="9" t="s">
        <v>283</v>
      </c>
      <c r="B28" s="35">
        <v>17.599537843594899</v>
      </c>
      <c r="C28" s="32">
        <v>17.120797378836599</v>
      </c>
      <c r="D28" s="32">
        <v>17.032142619668502</v>
      </c>
      <c r="E28" s="32">
        <v>21.406066620097501</v>
      </c>
      <c r="F28" s="15">
        <v>29.411764705882401</v>
      </c>
      <c r="G28" s="15">
        <v>35.294117647058798</v>
      </c>
      <c r="H28" s="20" t="s">
        <v>76</v>
      </c>
      <c r="I28" s="20" t="s">
        <v>76</v>
      </c>
      <c r="J28" s="15">
        <v>21.5277777777778</v>
      </c>
      <c r="K28" s="15">
        <v>25.6410256410256</v>
      </c>
      <c r="L28" s="15">
        <v>27.868852459016399</v>
      </c>
      <c r="M28" s="15">
        <v>36.842105263157897</v>
      </c>
      <c r="N28" s="15">
        <v>22.352941176470601</v>
      </c>
      <c r="O28" s="15">
        <v>27.906976744186</v>
      </c>
      <c r="P28" s="15">
        <v>15.492957746478901</v>
      </c>
      <c r="Q28" s="15">
        <v>14.084507042253501</v>
      </c>
      <c r="R28" s="15">
        <v>23.076923076923102</v>
      </c>
      <c r="S28" s="15">
        <v>14.634146341463399</v>
      </c>
      <c r="T28" s="20" t="s">
        <v>76</v>
      </c>
      <c r="U28" s="15">
        <v>23.8095238095238</v>
      </c>
      <c r="V28" s="20" t="s">
        <v>76</v>
      </c>
      <c r="W28" s="15">
        <v>20.338983050847499</v>
      </c>
      <c r="X28" s="20" t="s">
        <v>76</v>
      </c>
      <c r="Y28" s="20" t="s">
        <v>76</v>
      </c>
      <c r="Z28" s="15">
        <v>17.948717948717899</v>
      </c>
      <c r="AA28" s="15">
        <v>33.0275229357798</v>
      </c>
      <c r="AB28" s="15">
        <v>23.529411764705898</v>
      </c>
      <c r="AC28" s="15">
        <v>18.939393939393899</v>
      </c>
      <c r="AD28" s="15">
        <v>28.125</v>
      </c>
      <c r="AE28" s="15">
        <v>25.925925925925899</v>
      </c>
      <c r="AF28" s="20" t="s">
        <v>76</v>
      </c>
      <c r="AG28" s="15">
        <v>13.3333333333333</v>
      </c>
      <c r="AH28" s="15">
        <v>16.071428571428601</v>
      </c>
      <c r="AI28" s="20" t="s">
        <v>76</v>
      </c>
      <c r="AJ28" s="15">
        <v>24.324324324324301</v>
      </c>
      <c r="AK28" s="15">
        <v>20</v>
      </c>
      <c r="AL28" s="15">
        <v>14.4444444444444</v>
      </c>
      <c r="AM28" s="15">
        <v>28.125</v>
      </c>
      <c r="AN28" s="20" t="s">
        <v>76</v>
      </c>
      <c r="AO28" s="20" t="s">
        <v>76</v>
      </c>
      <c r="AP28" s="15">
        <v>19.480519480519501</v>
      </c>
      <c r="AQ28" s="20" t="s">
        <v>76</v>
      </c>
      <c r="AR28" s="15">
        <v>23.636363636363601</v>
      </c>
      <c r="AS28" s="20" t="s">
        <v>76</v>
      </c>
      <c r="AT28" s="15">
        <v>16.923076923076898</v>
      </c>
      <c r="AU28" s="15">
        <v>30.612244897959201</v>
      </c>
      <c r="AV28" s="15">
        <v>19.178082191780799</v>
      </c>
      <c r="AW28" s="15">
        <v>25.862068965517199</v>
      </c>
      <c r="AX28" s="20" t="s">
        <v>76</v>
      </c>
      <c r="AY28" s="15">
        <v>31.428571428571399</v>
      </c>
      <c r="AZ28" s="15">
        <v>32</v>
      </c>
      <c r="BA28" s="15">
        <v>18.867924528301899</v>
      </c>
      <c r="BB28" s="15">
        <v>13.4328358208955</v>
      </c>
      <c r="BC28" s="15">
        <v>20.270270270270299</v>
      </c>
      <c r="BD28" s="15">
        <v>20.5128205128205</v>
      </c>
      <c r="BE28" s="15">
        <v>34.482758620689701</v>
      </c>
      <c r="BF28" s="15">
        <v>21.6867469879518</v>
      </c>
      <c r="BG28" s="15">
        <v>28.358208955223901</v>
      </c>
      <c r="BH28" s="20" t="s">
        <v>76</v>
      </c>
      <c r="BI28" s="15">
        <v>42.105263157894697</v>
      </c>
      <c r="BJ28" s="15">
        <v>16.964285714285701</v>
      </c>
      <c r="BK28" s="15">
        <v>17.5</v>
      </c>
      <c r="BL28" s="15">
        <v>19.53125</v>
      </c>
      <c r="BM28" s="15">
        <v>21.782178217821802</v>
      </c>
      <c r="BN28" s="15">
        <v>24.369747899159702</v>
      </c>
      <c r="BO28" s="15">
        <v>31.1111111111111</v>
      </c>
      <c r="BP28" s="20" t="s">
        <v>76</v>
      </c>
      <c r="BQ28" s="15">
        <v>20.5479452054795</v>
      </c>
      <c r="BR28" s="15">
        <v>20</v>
      </c>
      <c r="BS28" s="15">
        <v>26.506024096385499</v>
      </c>
      <c r="BT28" s="15">
        <v>24.390243902439</v>
      </c>
      <c r="BU28" s="15">
        <v>22.429906542056099</v>
      </c>
      <c r="BV28" s="15">
        <v>18.181818181818201</v>
      </c>
      <c r="BW28" s="15">
        <v>14.492753623188401</v>
      </c>
      <c r="BX28" s="20" t="s">
        <v>76</v>
      </c>
      <c r="BY28" s="15">
        <v>19.047619047619001</v>
      </c>
      <c r="BZ28" s="15">
        <v>18.367346938775501</v>
      </c>
      <c r="CA28" s="32">
        <v>13.4998899009983</v>
      </c>
      <c r="CB28" s="15">
        <v>12.779552715655001</v>
      </c>
      <c r="CC28" s="15">
        <v>19.811320754716998</v>
      </c>
      <c r="CD28" s="15">
        <v>14.193548387096801</v>
      </c>
      <c r="CE28" s="15">
        <v>70</v>
      </c>
      <c r="CF28" s="15">
        <v>18.862275449101801</v>
      </c>
      <c r="CG28" s="15">
        <v>16.201117318435799</v>
      </c>
      <c r="CH28" s="15">
        <v>9.1911764705882408</v>
      </c>
      <c r="CI28" s="15">
        <v>14.1683778234086</v>
      </c>
      <c r="CJ28" s="15">
        <v>15.6862745098039</v>
      </c>
      <c r="CK28" s="15">
        <v>17.040358744394599</v>
      </c>
      <c r="CL28" s="15">
        <v>11.363636363636401</v>
      </c>
      <c r="CM28" s="24">
        <v>11.563169164882201</v>
      </c>
      <c r="CN28" s="37"/>
    </row>
    <row r="29" spans="1:92">
      <c r="A29" s="9" t="s">
        <v>284</v>
      </c>
      <c r="B29" s="35">
        <v>9.2462001212724996</v>
      </c>
      <c r="C29" s="32">
        <v>8.7129699662323201</v>
      </c>
      <c r="D29" s="32">
        <v>9.3136252668997201</v>
      </c>
      <c r="E29" s="32">
        <v>10.3920418060319</v>
      </c>
      <c r="F29" s="20" t="s">
        <v>76</v>
      </c>
      <c r="G29" s="15">
        <v>29.411764705882401</v>
      </c>
      <c r="H29" s="20" t="s">
        <v>76</v>
      </c>
      <c r="I29" s="20" t="s">
        <v>76</v>
      </c>
      <c r="J29" s="15">
        <v>9.0277777777777803</v>
      </c>
      <c r="K29" s="20" t="s">
        <v>76</v>
      </c>
      <c r="L29" s="15">
        <v>8.1967213114754092</v>
      </c>
      <c r="M29" s="15">
        <v>22.3684210526316</v>
      </c>
      <c r="N29" s="15">
        <v>12.9411764705882</v>
      </c>
      <c r="O29" s="20" t="s">
        <v>76</v>
      </c>
      <c r="P29" s="15">
        <v>7.0422535211267601</v>
      </c>
      <c r="Q29" s="15">
        <v>8.4507042253521103</v>
      </c>
      <c r="R29" s="20" t="s">
        <v>76</v>
      </c>
      <c r="S29" s="20" t="s">
        <v>76</v>
      </c>
      <c r="T29" s="20" t="s">
        <v>76</v>
      </c>
      <c r="U29" s="20" t="s">
        <v>76</v>
      </c>
      <c r="V29" s="20" t="s">
        <v>76</v>
      </c>
      <c r="W29" s="15">
        <v>11.864406779661</v>
      </c>
      <c r="X29" s="20" t="s">
        <v>76</v>
      </c>
      <c r="Y29" s="20" t="s">
        <v>76</v>
      </c>
      <c r="Z29" s="15">
        <v>7.6923076923076898</v>
      </c>
      <c r="AA29" s="15">
        <v>22.0183486238532</v>
      </c>
      <c r="AB29" s="15">
        <v>11.764705882352899</v>
      </c>
      <c r="AC29" s="15">
        <v>10.6060606060606</v>
      </c>
      <c r="AD29" s="20" t="s">
        <v>76</v>
      </c>
      <c r="AE29" s="20" t="s">
        <v>76</v>
      </c>
      <c r="AF29" s="15">
        <v>35.714285714285701</v>
      </c>
      <c r="AG29" s="15">
        <v>6.6666666666666696</v>
      </c>
      <c r="AH29" s="20" t="s">
        <v>76</v>
      </c>
      <c r="AI29" s="20" t="s">
        <v>76</v>
      </c>
      <c r="AJ29" s="15">
        <v>12.612612612612599</v>
      </c>
      <c r="AK29" s="15">
        <v>23.3333333333333</v>
      </c>
      <c r="AL29" s="15">
        <v>6.6666666666666696</v>
      </c>
      <c r="AM29" s="15">
        <v>17.1875</v>
      </c>
      <c r="AN29" s="20" t="s">
        <v>76</v>
      </c>
      <c r="AO29" s="20" t="s">
        <v>76</v>
      </c>
      <c r="AP29" s="20" t="s">
        <v>76</v>
      </c>
      <c r="AQ29" s="20" t="s">
        <v>76</v>
      </c>
      <c r="AR29" s="15">
        <v>18.181818181818201</v>
      </c>
      <c r="AS29" s="20" t="s">
        <v>76</v>
      </c>
      <c r="AT29" s="15">
        <v>7.6923076923076898</v>
      </c>
      <c r="AU29" s="15">
        <v>12.244897959183699</v>
      </c>
      <c r="AV29" s="15">
        <v>10.958904109589</v>
      </c>
      <c r="AW29" s="15">
        <v>8.6206896551724093</v>
      </c>
      <c r="AX29" s="20" t="s">
        <v>76</v>
      </c>
      <c r="AY29" s="20" t="s">
        <v>76</v>
      </c>
      <c r="AZ29" s="20" t="s">
        <v>76</v>
      </c>
      <c r="BA29" s="15">
        <v>9.4339622641509404</v>
      </c>
      <c r="BB29" s="15">
        <v>10.4477611940298</v>
      </c>
      <c r="BC29" s="15">
        <v>8.1081081081081106</v>
      </c>
      <c r="BD29" s="15">
        <v>6.4102564102564097</v>
      </c>
      <c r="BE29" s="20" t="s">
        <v>76</v>
      </c>
      <c r="BF29" s="15">
        <v>12.048192771084301</v>
      </c>
      <c r="BG29" s="15">
        <v>13.4328358208955</v>
      </c>
      <c r="BH29" s="20" t="s">
        <v>76</v>
      </c>
      <c r="BI29" s="20" t="s">
        <v>76</v>
      </c>
      <c r="BJ29" s="15">
        <v>7.1428571428571397</v>
      </c>
      <c r="BK29" s="20" t="s">
        <v>76</v>
      </c>
      <c r="BL29" s="15">
        <v>10.15625</v>
      </c>
      <c r="BM29" s="15">
        <v>8.9108910891089099</v>
      </c>
      <c r="BN29" s="15">
        <v>13.445378151260501</v>
      </c>
      <c r="BO29" s="15">
        <v>16.6666666666667</v>
      </c>
      <c r="BP29" s="20" t="s">
        <v>76</v>
      </c>
      <c r="BQ29" s="15">
        <v>9.5890410958904102</v>
      </c>
      <c r="BR29" s="15">
        <v>10</v>
      </c>
      <c r="BS29" s="15">
        <v>12.048192771084301</v>
      </c>
      <c r="BT29" s="15">
        <v>10.975609756097599</v>
      </c>
      <c r="BU29" s="15">
        <v>12.1495327102804</v>
      </c>
      <c r="BV29" s="15">
        <v>10.1010101010101</v>
      </c>
      <c r="BW29" s="20" t="s">
        <v>76</v>
      </c>
      <c r="BX29" s="20" t="s">
        <v>76</v>
      </c>
      <c r="BY29" s="20" t="s">
        <v>76</v>
      </c>
      <c r="BZ29" s="15">
        <v>8.84353741496599</v>
      </c>
      <c r="CA29" s="32">
        <v>8.4427277040168196</v>
      </c>
      <c r="CB29" s="15">
        <v>5.1118210862619797</v>
      </c>
      <c r="CC29" s="15">
        <v>7.2327044025157203</v>
      </c>
      <c r="CD29" s="15">
        <v>5.1612903225806503</v>
      </c>
      <c r="CE29" s="20" t="s">
        <v>76</v>
      </c>
      <c r="CF29" s="15">
        <v>8.9820359281437092</v>
      </c>
      <c r="CG29" s="15">
        <v>10.055865921787699</v>
      </c>
      <c r="CH29" s="15">
        <v>8.2720588235294095</v>
      </c>
      <c r="CI29" s="15">
        <v>8.4188911704312108</v>
      </c>
      <c r="CJ29" s="15">
        <v>9.0196078431372495</v>
      </c>
      <c r="CK29" s="15">
        <v>10.762331838565</v>
      </c>
      <c r="CL29" s="15">
        <v>7.8787878787878798</v>
      </c>
      <c r="CM29" s="24">
        <v>10.4925053533191</v>
      </c>
      <c r="CN29" s="37"/>
    </row>
    <row r="30" spans="1:92">
      <c r="A30" s="9" t="s">
        <v>285</v>
      </c>
      <c r="B30" s="35">
        <v>10.1101111094081</v>
      </c>
      <c r="C30" s="32">
        <v>10.127537765361399</v>
      </c>
      <c r="D30" s="32">
        <v>9.9634330417165096</v>
      </c>
      <c r="E30" s="32">
        <v>10.7937036943331</v>
      </c>
      <c r="F30" s="20" t="s">
        <v>76</v>
      </c>
      <c r="G30" s="15">
        <v>29.411764705882401</v>
      </c>
      <c r="H30" s="20" t="s">
        <v>76</v>
      </c>
      <c r="I30" s="20" t="s">
        <v>76</v>
      </c>
      <c r="J30" s="15">
        <v>9.7222222222222197</v>
      </c>
      <c r="K30" s="20" t="s">
        <v>76</v>
      </c>
      <c r="L30" s="15">
        <v>11.4754098360656</v>
      </c>
      <c r="M30" s="15">
        <v>22.3684210526316</v>
      </c>
      <c r="N30" s="15">
        <v>20</v>
      </c>
      <c r="O30" s="20" t="s">
        <v>76</v>
      </c>
      <c r="P30" s="15">
        <v>12.6760563380282</v>
      </c>
      <c r="Q30" s="15">
        <v>9.8591549295774694</v>
      </c>
      <c r="R30" s="20" t="s">
        <v>76</v>
      </c>
      <c r="S30" s="20" t="s">
        <v>76</v>
      </c>
      <c r="T30" s="20" t="s">
        <v>76</v>
      </c>
      <c r="U30" s="20" t="s">
        <v>76</v>
      </c>
      <c r="V30" s="20" t="s">
        <v>76</v>
      </c>
      <c r="W30" s="15">
        <v>18.644067796610202</v>
      </c>
      <c r="X30" s="20" t="s">
        <v>76</v>
      </c>
      <c r="Y30" s="20" t="s">
        <v>76</v>
      </c>
      <c r="Z30" s="20" t="s">
        <v>76</v>
      </c>
      <c r="AA30" s="15">
        <v>18.348623853210999</v>
      </c>
      <c r="AB30" s="15">
        <v>8.8235294117646994</v>
      </c>
      <c r="AC30" s="15">
        <v>8.3333333333333304</v>
      </c>
      <c r="AD30" s="20" t="s">
        <v>76</v>
      </c>
      <c r="AE30" s="20" t="s">
        <v>76</v>
      </c>
      <c r="AF30" s="15">
        <v>35.714285714285701</v>
      </c>
      <c r="AG30" s="15">
        <v>5.71428571428571</v>
      </c>
      <c r="AH30" s="15">
        <v>8.9285714285714306</v>
      </c>
      <c r="AI30" s="20" t="s">
        <v>76</v>
      </c>
      <c r="AJ30" s="15">
        <v>15.315315315315299</v>
      </c>
      <c r="AK30" s="20" t="s">
        <v>76</v>
      </c>
      <c r="AL30" s="15">
        <v>11.1111111111111</v>
      </c>
      <c r="AM30" s="15">
        <v>12.5</v>
      </c>
      <c r="AN30" s="20" t="s">
        <v>76</v>
      </c>
      <c r="AO30" s="20" t="s">
        <v>76</v>
      </c>
      <c r="AP30" s="15">
        <v>14.285714285714301</v>
      </c>
      <c r="AQ30" s="20" t="s">
        <v>76</v>
      </c>
      <c r="AR30" s="15">
        <v>16.363636363636399</v>
      </c>
      <c r="AS30" s="20" t="s">
        <v>76</v>
      </c>
      <c r="AT30" s="15">
        <v>9.2307692307692299</v>
      </c>
      <c r="AU30" s="20" t="s">
        <v>76</v>
      </c>
      <c r="AV30" s="20" t="s">
        <v>76</v>
      </c>
      <c r="AW30" s="15">
        <v>12.9310344827586</v>
      </c>
      <c r="AX30" s="20" t="s">
        <v>76</v>
      </c>
      <c r="AY30" s="20" t="s">
        <v>76</v>
      </c>
      <c r="AZ30" s="20" t="s">
        <v>76</v>
      </c>
      <c r="BA30" s="15">
        <v>9.4339622641509404</v>
      </c>
      <c r="BB30" s="20" t="s">
        <v>76</v>
      </c>
      <c r="BC30" s="15">
        <v>12.1621621621622</v>
      </c>
      <c r="BD30" s="15">
        <v>12.8205128205128</v>
      </c>
      <c r="BE30" s="15">
        <v>10.3448275862069</v>
      </c>
      <c r="BF30" s="15">
        <v>8.4337349397590398</v>
      </c>
      <c r="BG30" s="15">
        <v>13.4328358208955</v>
      </c>
      <c r="BH30" s="20" t="s">
        <v>76</v>
      </c>
      <c r="BI30" s="20" t="s">
        <v>76</v>
      </c>
      <c r="BJ30" s="15">
        <v>11.6071428571429</v>
      </c>
      <c r="BK30" s="15">
        <v>12.5</v>
      </c>
      <c r="BL30" s="15">
        <v>10.15625</v>
      </c>
      <c r="BM30" s="15">
        <v>5.9405940594059397</v>
      </c>
      <c r="BN30" s="15">
        <v>16.806722689075599</v>
      </c>
      <c r="BO30" s="15">
        <v>16.6666666666667</v>
      </c>
      <c r="BP30" s="20" t="s">
        <v>76</v>
      </c>
      <c r="BQ30" s="15">
        <v>9.5890410958904102</v>
      </c>
      <c r="BR30" s="20" t="s">
        <v>76</v>
      </c>
      <c r="BS30" s="15">
        <v>15.662650602409601</v>
      </c>
      <c r="BT30" s="15">
        <v>8.5365853658536608</v>
      </c>
      <c r="BU30" s="15">
        <v>8.4112149532710294</v>
      </c>
      <c r="BV30" s="15">
        <v>9.0909090909090899</v>
      </c>
      <c r="BW30" s="15">
        <v>8.6956521739130395</v>
      </c>
      <c r="BX30" s="20" t="s">
        <v>76</v>
      </c>
      <c r="BY30" s="20" t="s">
        <v>76</v>
      </c>
      <c r="BZ30" s="15">
        <v>7.4829931972789101</v>
      </c>
      <c r="CA30" s="32">
        <v>9.2929308177067806</v>
      </c>
      <c r="CB30" s="15">
        <v>9.9041533546325908</v>
      </c>
      <c r="CC30" s="15">
        <v>11.320754716981099</v>
      </c>
      <c r="CD30" s="15">
        <v>12.258064516129</v>
      </c>
      <c r="CE30" s="20" t="s">
        <v>76</v>
      </c>
      <c r="CF30" s="15">
        <v>10.4790419161677</v>
      </c>
      <c r="CG30" s="15">
        <v>11.173184357541899</v>
      </c>
      <c r="CH30" s="15">
        <v>8.6397058823529402</v>
      </c>
      <c r="CI30" s="15">
        <v>9.4455852156057496</v>
      </c>
      <c r="CJ30" s="15">
        <v>14.509803921568601</v>
      </c>
      <c r="CK30" s="15">
        <v>6.7264573991031398</v>
      </c>
      <c r="CL30" s="15">
        <v>8.7878787878787907</v>
      </c>
      <c r="CM30" s="24">
        <v>8.3511777301927204</v>
      </c>
      <c r="CN30" s="37"/>
    </row>
    <row r="31" spans="1:92">
      <c r="A31" s="9" t="s">
        <v>286</v>
      </c>
      <c r="B31" s="35">
        <v>14.5558272876762</v>
      </c>
      <c r="C31" s="32">
        <v>14.2558580513036</v>
      </c>
      <c r="D31" s="32">
        <v>14.331348543710799</v>
      </c>
      <c r="E31" s="32">
        <v>17.779048010690602</v>
      </c>
      <c r="F31" s="20" t="s">
        <v>76</v>
      </c>
      <c r="G31" s="15">
        <v>29.411764705882401</v>
      </c>
      <c r="H31" s="20" t="s">
        <v>76</v>
      </c>
      <c r="I31" s="20" t="s">
        <v>76</v>
      </c>
      <c r="J31" s="15">
        <v>17.3611111111111</v>
      </c>
      <c r="K31" s="15">
        <v>17.948717948717899</v>
      </c>
      <c r="L31" s="15">
        <v>13.1147540983607</v>
      </c>
      <c r="M31" s="15">
        <v>22.3684210526316</v>
      </c>
      <c r="N31" s="15">
        <v>24.705882352941199</v>
      </c>
      <c r="O31" s="15">
        <v>25.581395348837201</v>
      </c>
      <c r="P31" s="15">
        <v>21.126760563380302</v>
      </c>
      <c r="Q31" s="15">
        <v>7.0422535211267601</v>
      </c>
      <c r="R31" s="20" t="s">
        <v>76</v>
      </c>
      <c r="S31" s="15">
        <v>14.634146341463399</v>
      </c>
      <c r="T31" s="20" t="s">
        <v>76</v>
      </c>
      <c r="U31" s="20" t="s">
        <v>76</v>
      </c>
      <c r="V31" s="15">
        <v>20.588235294117599</v>
      </c>
      <c r="W31" s="15">
        <v>20.338983050847499</v>
      </c>
      <c r="X31" s="20" t="s">
        <v>76</v>
      </c>
      <c r="Y31" s="20" t="s">
        <v>76</v>
      </c>
      <c r="Z31" s="15">
        <v>11.538461538461499</v>
      </c>
      <c r="AA31" s="15">
        <v>24.7706422018349</v>
      </c>
      <c r="AB31" s="15">
        <v>16.176470588235301</v>
      </c>
      <c r="AC31" s="15">
        <v>17.424242424242401</v>
      </c>
      <c r="AD31" s="15">
        <v>34.375</v>
      </c>
      <c r="AE31" s="15">
        <v>18.518518518518501</v>
      </c>
      <c r="AF31" s="15">
        <v>35.714285714285701</v>
      </c>
      <c r="AG31" s="15">
        <v>11.4285714285714</v>
      </c>
      <c r="AH31" s="15">
        <v>12.5</v>
      </c>
      <c r="AI31" s="20" t="s">
        <v>76</v>
      </c>
      <c r="AJ31" s="15">
        <v>19.819819819819799</v>
      </c>
      <c r="AK31" s="15">
        <v>16.6666666666667</v>
      </c>
      <c r="AL31" s="15">
        <v>15.5555555555556</v>
      </c>
      <c r="AM31" s="15">
        <v>23.4375</v>
      </c>
      <c r="AN31" s="20" t="s">
        <v>76</v>
      </c>
      <c r="AO31" s="15">
        <v>12.5</v>
      </c>
      <c r="AP31" s="15">
        <v>19.480519480519501</v>
      </c>
      <c r="AQ31" s="15">
        <v>15.384615384615399</v>
      </c>
      <c r="AR31" s="15">
        <v>25.454545454545499</v>
      </c>
      <c r="AS31" s="20" t="s">
        <v>76</v>
      </c>
      <c r="AT31" s="15">
        <v>20</v>
      </c>
      <c r="AU31" s="20" t="s">
        <v>76</v>
      </c>
      <c r="AV31" s="15">
        <v>10.958904109589</v>
      </c>
      <c r="AW31" s="15">
        <v>18.965517241379299</v>
      </c>
      <c r="AX31" s="20" t="s">
        <v>76</v>
      </c>
      <c r="AY31" s="15">
        <v>17.1428571428571</v>
      </c>
      <c r="AZ31" s="15">
        <v>22</v>
      </c>
      <c r="BA31" s="15">
        <v>20.754716981132098</v>
      </c>
      <c r="BB31" s="15">
        <v>16.417910447761201</v>
      </c>
      <c r="BC31" s="15">
        <v>14.8648648648649</v>
      </c>
      <c r="BD31" s="15">
        <v>15.384615384615399</v>
      </c>
      <c r="BE31" s="15">
        <v>17.241379310344801</v>
      </c>
      <c r="BF31" s="15">
        <v>16.867469879518101</v>
      </c>
      <c r="BG31" s="15">
        <v>22.388059701492502</v>
      </c>
      <c r="BH31" s="15">
        <v>20.8333333333333</v>
      </c>
      <c r="BI31" s="20" t="s">
        <v>76</v>
      </c>
      <c r="BJ31" s="15">
        <v>17.8571428571429</v>
      </c>
      <c r="BK31" s="15">
        <v>20</v>
      </c>
      <c r="BL31" s="15">
        <v>15.625</v>
      </c>
      <c r="BM31" s="15">
        <v>13.8613861386139</v>
      </c>
      <c r="BN31" s="15">
        <v>23.529411764705898</v>
      </c>
      <c r="BO31" s="15">
        <v>24.4444444444444</v>
      </c>
      <c r="BP31" s="20" t="s">
        <v>76</v>
      </c>
      <c r="BQ31" s="15">
        <v>26.027397260274</v>
      </c>
      <c r="BR31" s="15">
        <v>21.6666666666667</v>
      </c>
      <c r="BS31" s="15">
        <v>13.253012048192801</v>
      </c>
      <c r="BT31" s="15">
        <v>15.853658536585399</v>
      </c>
      <c r="BU31" s="15">
        <v>17.757009345794401</v>
      </c>
      <c r="BV31" s="15">
        <v>20.202020202020201</v>
      </c>
      <c r="BW31" s="15">
        <v>14.492753623188401</v>
      </c>
      <c r="BX31" s="20" t="s">
        <v>76</v>
      </c>
      <c r="BY31" s="15">
        <v>17.460317460317501</v>
      </c>
      <c r="BZ31" s="15">
        <v>12.244897959183699</v>
      </c>
      <c r="CA31" s="32">
        <v>11.5470875885129</v>
      </c>
      <c r="CB31" s="15">
        <v>11.182108626198101</v>
      </c>
      <c r="CC31" s="15">
        <v>12.578616352201299</v>
      </c>
      <c r="CD31" s="15">
        <v>17.419354838709701</v>
      </c>
      <c r="CE31" s="20" t="s">
        <v>76</v>
      </c>
      <c r="CF31" s="15">
        <v>13.473053892215599</v>
      </c>
      <c r="CG31" s="15">
        <v>15.083798882681601</v>
      </c>
      <c r="CH31" s="15">
        <v>11.0294117647059</v>
      </c>
      <c r="CI31" s="15">
        <v>10.472279260780301</v>
      </c>
      <c r="CJ31" s="15">
        <v>14.117647058823501</v>
      </c>
      <c r="CK31" s="15">
        <v>11.6591928251121</v>
      </c>
      <c r="CL31" s="15">
        <v>11.0606060606061</v>
      </c>
      <c r="CM31" s="24">
        <v>11.134903640257001</v>
      </c>
      <c r="CN31" s="37"/>
    </row>
    <row r="32" spans="1:92">
      <c r="A32" s="9" t="s">
        <v>287</v>
      </c>
      <c r="B32" s="35">
        <v>4.4676446380830601</v>
      </c>
      <c r="C32" s="32">
        <v>4.4036600252259701</v>
      </c>
      <c r="D32" s="32">
        <v>4.2967043934747897</v>
      </c>
      <c r="E32" s="32">
        <v>3.7705328556485598</v>
      </c>
      <c r="F32" s="20" t="s">
        <v>76</v>
      </c>
      <c r="G32" s="20" t="s">
        <v>76</v>
      </c>
      <c r="H32" s="20" t="s">
        <v>76</v>
      </c>
      <c r="I32" s="20" t="s">
        <v>76</v>
      </c>
      <c r="J32" s="15">
        <v>3.4722222222222201</v>
      </c>
      <c r="K32" s="20" t="s">
        <v>76</v>
      </c>
      <c r="L32" s="20" t="s">
        <v>76</v>
      </c>
      <c r="M32" s="15">
        <v>9.2105263157894708</v>
      </c>
      <c r="N32" s="20" t="s">
        <v>76</v>
      </c>
      <c r="O32" s="20" t="s">
        <v>76</v>
      </c>
      <c r="P32" s="15">
        <v>8.4507042253521103</v>
      </c>
      <c r="Q32" s="20" t="s">
        <v>76</v>
      </c>
      <c r="R32" s="20" t="s">
        <v>76</v>
      </c>
      <c r="S32" s="20" t="s">
        <v>76</v>
      </c>
      <c r="T32" s="20" t="s">
        <v>76</v>
      </c>
      <c r="U32" s="20" t="s">
        <v>76</v>
      </c>
      <c r="V32" s="20" t="s">
        <v>76</v>
      </c>
      <c r="W32" s="20" t="s">
        <v>76</v>
      </c>
      <c r="X32" s="20" t="s">
        <v>76</v>
      </c>
      <c r="Y32" s="20" t="s">
        <v>76</v>
      </c>
      <c r="Z32" s="20" t="s">
        <v>76</v>
      </c>
      <c r="AA32" s="15">
        <v>9.1743119266054993</v>
      </c>
      <c r="AB32" s="20" t="s">
        <v>76</v>
      </c>
      <c r="AC32" s="20" t="s">
        <v>76</v>
      </c>
      <c r="AD32" s="20" t="s">
        <v>76</v>
      </c>
      <c r="AE32" s="20" t="s">
        <v>76</v>
      </c>
      <c r="AF32" s="20" t="s">
        <v>76</v>
      </c>
      <c r="AG32" s="15">
        <v>4.7619047619047601</v>
      </c>
      <c r="AH32" s="20" t="s">
        <v>76</v>
      </c>
      <c r="AI32" s="20" t="s">
        <v>76</v>
      </c>
      <c r="AJ32" s="15">
        <v>5.4054054054054097</v>
      </c>
      <c r="AK32" s="20" t="s">
        <v>76</v>
      </c>
      <c r="AL32" s="20" t="s">
        <v>76</v>
      </c>
      <c r="AM32" s="15">
        <v>9.375</v>
      </c>
      <c r="AN32" s="20" t="s">
        <v>76</v>
      </c>
      <c r="AO32" s="20" t="s">
        <v>76</v>
      </c>
      <c r="AP32" s="20" t="s">
        <v>76</v>
      </c>
      <c r="AQ32" s="20" t="s">
        <v>76</v>
      </c>
      <c r="AR32" s="20" t="s">
        <v>76</v>
      </c>
      <c r="AS32" s="20" t="s">
        <v>76</v>
      </c>
      <c r="AT32" s="20" t="s">
        <v>76</v>
      </c>
      <c r="AU32" s="20" t="s">
        <v>76</v>
      </c>
      <c r="AV32" s="20" t="s">
        <v>76</v>
      </c>
      <c r="AW32" s="20" t="s">
        <v>76</v>
      </c>
      <c r="AX32" s="20" t="s">
        <v>76</v>
      </c>
      <c r="AY32" s="20" t="s">
        <v>76</v>
      </c>
      <c r="AZ32" s="20" t="s">
        <v>76</v>
      </c>
      <c r="BA32" s="20" t="s">
        <v>76</v>
      </c>
      <c r="BB32" s="20" t="s">
        <v>76</v>
      </c>
      <c r="BC32" s="20" t="s">
        <v>76</v>
      </c>
      <c r="BD32" s="20" t="s">
        <v>76</v>
      </c>
      <c r="BE32" s="20" t="s">
        <v>76</v>
      </c>
      <c r="BF32" s="15">
        <v>7.2289156626505999</v>
      </c>
      <c r="BG32" s="20" t="s">
        <v>76</v>
      </c>
      <c r="BH32" s="20" t="s">
        <v>76</v>
      </c>
      <c r="BI32" s="20" t="s">
        <v>76</v>
      </c>
      <c r="BJ32" s="20" t="s">
        <v>76</v>
      </c>
      <c r="BK32" s="20" t="s">
        <v>76</v>
      </c>
      <c r="BL32" s="20" t="s">
        <v>76</v>
      </c>
      <c r="BM32" s="20" t="s">
        <v>76</v>
      </c>
      <c r="BN32" s="20" t="s">
        <v>76</v>
      </c>
      <c r="BO32" s="20" t="s">
        <v>76</v>
      </c>
      <c r="BP32" s="20" t="s">
        <v>76</v>
      </c>
      <c r="BQ32" s="20" t="s">
        <v>76</v>
      </c>
      <c r="BR32" s="20" t="s">
        <v>76</v>
      </c>
      <c r="BS32" s="20" t="s">
        <v>76</v>
      </c>
      <c r="BT32" s="15">
        <v>6.0975609756097597</v>
      </c>
      <c r="BU32" s="20" t="s">
        <v>76</v>
      </c>
      <c r="BV32" s="20" t="s">
        <v>76</v>
      </c>
      <c r="BW32" s="20" t="s">
        <v>76</v>
      </c>
      <c r="BX32" s="20" t="s">
        <v>76</v>
      </c>
      <c r="BY32" s="20" t="s">
        <v>76</v>
      </c>
      <c r="BZ32" s="20" t="s">
        <v>76</v>
      </c>
      <c r="CA32" s="32">
        <v>4.7216250927808003</v>
      </c>
      <c r="CB32" s="15">
        <v>2.8753993610223598</v>
      </c>
      <c r="CC32" s="15">
        <v>4.4025157232704402</v>
      </c>
      <c r="CD32" s="20" t="s">
        <v>76</v>
      </c>
      <c r="CE32" s="20" t="s">
        <v>76</v>
      </c>
      <c r="CF32" s="15">
        <v>6.88622754491018</v>
      </c>
      <c r="CG32" s="15">
        <v>6.7039106145251397</v>
      </c>
      <c r="CH32" s="15">
        <v>3.6764705882352899</v>
      </c>
      <c r="CI32" s="15">
        <v>6.16016427104723</v>
      </c>
      <c r="CJ32" s="15">
        <v>7.8431372549019596</v>
      </c>
      <c r="CK32" s="15">
        <v>6.7264573991031398</v>
      </c>
      <c r="CL32" s="15">
        <v>3.3333333333333299</v>
      </c>
      <c r="CM32" s="24">
        <v>2.1413276231263398</v>
      </c>
      <c r="CN32" s="37"/>
    </row>
    <row r="33" spans="1:92">
      <c r="A33" s="9" t="s">
        <v>288</v>
      </c>
      <c r="B33" s="35">
        <v>9.5550964472049706</v>
      </c>
      <c r="C33" s="32">
        <v>9.7452060251110293</v>
      </c>
      <c r="D33" s="32">
        <v>9.9366807115549101</v>
      </c>
      <c r="E33" s="32">
        <v>10.181588947478399</v>
      </c>
      <c r="F33" s="20" t="s">
        <v>76</v>
      </c>
      <c r="G33" s="20" t="s">
        <v>76</v>
      </c>
      <c r="H33" s="20" t="s">
        <v>76</v>
      </c>
      <c r="I33" s="20" t="s">
        <v>76</v>
      </c>
      <c r="J33" s="15">
        <v>7.6388888888888902</v>
      </c>
      <c r="K33" s="20" t="s">
        <v>76</v>
      </c>
      <c r="L33" s="15">
        <v>11.4754098360656</v>
      </c>
      <c r="M33" s="15">
        <v>14.473684210526301</v>
      </c>
      <c r="N33" s="15">
        <v>14.117647058823501</v>
      </c>
      <c r="O33" s="20" t="s">
        <v>76</v>
      </c>
      <c r="P33" s="15">
        <v>8.4507042253521103</v>
      </c>
      <c r="Q33" s="15">
        <v>9.8591549295774694</v>
      </c>
      <c r="R33" s="20" t="s">
        <v>76</v>
      </c>
      <c r="S33" s="15">
        <v>14.634146341463399</v>
      </c>
      <c r="T33" s="20" t="s">
        <v>76</v>
      </c>
      <c r="U33" s="20" t="s">
        <v>76</v>
      </c>
      <c r="V33" s="20" t="s">
        <v>76</v>
      </c>
      <c r="W33" s="15">
        <v>8.4745762711864394</v>
      </c>
      <c r="X33" s="20" t="s">
        <v>76</v>
      </c>
      <c r="Y33" s="20" t="s">
        <v>76</v>
      </c>
      <c r="Z33" s="15">
        <v>8.9743589743589691</v>
      </c>
      <c r="AA33" s="15">
        <v>19.2660550458716</v>
      </c>
      <c r="AB33" s="15">
        <v>8.8235294117646994</v>
      </c>
      <c r="AC33" s="15">
        <v>14.3939393939394</v>
      </c>
      <c r="AD33" s="15">
        <v>15.625</v>
      </c>
      <c r="AE33" s="20" t="s">
        <v>76</v>
      </c>
      <c r="AF33" s="20" t="s">
        <v>76</v>
      </c>
      <c r="AG33" s="15">
        <v>9.5238095238095202</v>
      </c>
      <c r="AH33" s="15">
        <v>8.9285714285714306</v>
      </c>
      <c r="AI33" s="20" t="s">
        <v>76</v>
      </c>
      <c r="AJ33" s="15">
        <v>14.4144144144144</v>
      </c>
      <c r="AK33" s="20" t="s">
        <v>76</v>
      </c>
      <c r="AL33" s="20" t="s">
        <v>76</v>
      </c>
      <c r="AM33" s="15">
        <v>10.9375</v>
      </c>
      <c r="AN33" s="20" t="s">
        <v>76</v>
      </c>
      <c r="AO33" s="20" t="s">
        <v>76</v>
      </c>
      <c r="AP33" s="15">
        <v>10.3896103896104</v>
      </c>
      <c r="AQ33" s="20" t="s">
        <v>76</v>
      </c>
      <c r="AR33" s="15">
        <v>14.545454545454501</v>
      </c>
      <c r="AS33" s="20" t="s">
        <v>76</v>
      </c>
      <c r="AT33" s="15">
        <v>12.307692307692299</v>
      </c>
      <c r="AU33" s="20" t="s">
        <v>76</v>
      </c>
      <c r="AV33" s="15">
        <v>8.2191780821917799</v>
      </c>
      <c r="AW33" s="15">
        <v>9.4827586206896601</v>
      </c>
      <c r="AX33" s="20" t="s">
        <v>76</v>
      </c>
      <c r="AY33" s="20" t="s">
        <v>76</v>
      </c>
      <c r="AZ33" s="15">
        <v>14</v>
      </c>
      <c r="BA33" s="15">
        <v>18.867924528301899</v>
      </c>
      <c r="BB33" s="15">
        <v>10.4477611940298</v>
      </c>
      <c r="BC33" s="15">
        <v>8.1081081081081106</v>
      </c>
      <c r="BD33" s="15">
        <v>11.538461538461499</v>
      </c>
      <c r="BE33" s="15">
        <v>10.3448275862069</v>
      </c>
      <c r="BF33" s="15">
        <v>8.4337349397590398</v>
      </c>
      <c r="BG33" s="15">
        <v>8.9552238805970106</v>
      </c>
      <c r="BH33" s="20" t="s">
        <v>76</v>
      </c>
      <c r="BI33" s="20" t="s">
        <v>76</v>
      </c>
      <c r="BJ33" s="15">
        <v>6.25</v>
      </c>
      <c r="BK33" s="20" t="s">
        <v>76</v>
      </c>
      <c r="BL33" s="15">
        <v>11.71875</v>
      </c>
      <c r="BM33" s="15">
        <v>9.9009900990098991</v>
      </c>
      <c r="BN33" s="15">
        <v>10.924369747899201</v>
      </c>
      <c r="BO33" s="15">
        <v>11.1111111111111</v>
      </c>
      <c r="BP33" s="20" t="s">
        <v>76</v>
      </c>
      <c r="BQ33" s="15">
        <v>9.5890410958904102</v>
      </c>
      <c r="BR33" s="15">
        <v>10</v>
      </c>
      <c r="BS33" s="15">
        <v>12.048192771084301</v>
      </c>
      <c r="BT33" s="15">
        <v>13.4146341463415</v>
      </c>
      <c r="BU33" s="15">
        <v>9.3457943925233593</v>
      </c>
      <c r="BV33" s="15">
        <v>15.1515151515152</v>
      </c>
      <c r="BW33" s="20" t="s">
        <v>76</v>
      </c>
      <c r="BX33" s="20" t="s">
        <v>76</v>
      </c>
      <c r="BY33" s="20" t="s">
        <v>76</v>
      </c>
      <c r="BZ33" s="15">
        <v>11.5646258503401</v>
      </c>
      <c r="CA33" s="32">
        <v>9.7389000043270801</v>
      </c>
      <c r="CB33" s="15">
        <v>9.9041533546325908</v>
      </c>
      <c r="CC33" s="15">
        <v>10.6918238993711</v>
      </c>
      <c r="CD33" s="15">
        <v>9.0322580645161299</v>
      </c>
      <c r="CE33" s="20" t="s">
        <v>76</v>
      </c>
      <c r="CF33" s="15">
        <v>8.3832335329341294</v>
      </c>
      <c r="CG33" s="15">
        <v>11.173184357541899</v>
      </c>
      <c r="CH33" s="15">
        <v>7.3529411764705896</v>
      </c>
      <c r="CI33" s="15">
        <v>10.6776180698152</v>
      </c>
      <c r="CJ33" s="15">
        <v>10.588235294117601</v>
      </c>
      <c r="CK33" s="15">
        <v>10.762331838565</v>
      </c>
      <c r="CL33" s="15">
        <v>10.303030303030299</v>
      </c>
      <c r="CM33" s="24">
        <v>8.5653104925053505</v>
      </c>
      <c r="CN33" s="37"/>
    </row>
    <row r="34" spans="1:92">
      <c r="A34" s="9" t="s">
        <v>289</v>
      </c>
      <c r="B34" s="35">
        <v>19.740940613097202</v>
      </c>
      <c r="C34" s="32">
        <v>19.225060588592999</v>
      </c>
      <c r="D34" s="32">
        <v>19.727401643281901</v>
      </c>
      <c r="E34" s="32">
        <v>18.315163425552999</v>
      </c>
      <c r="F34" s="15">
        <v>29.411764705882401</v>
      </c>
      <c r="G34" s="15">
        <v>47.058823529411796</v>
      </c>
      <c r="H34" s="20" t="s">
        <v>76</v>
      </c>
      <c r="I34" s="20" t="s">
        <v>76</v>
      </c>
      <c r="J34" s="15">
        <v>17.3611111111111</v>
      </c>
      <c r="K34" s="15">
        <v>23.076923076923102</v>
      </c>
      <c r="L34" s="15">
        <v>13.1147540983607</v>
      </c>
      <c r="M34" s="15">
        <v>26.315789473684202</v>
      </c>
      <c r="N34" s="15">
        <v>20</v>
      </c>
      <c r="O34" s="15">
        <v>23.255813953488399</v>
      </c>
      <c r="P34" s="15">
        <v>16.901408450704199</v>
      </c>
      <c r="Q34" s="20" t="s">
        <v>76</v>
      </c>
      <c r="R34" s="20" t="s">
        <v>76</v>
      </c>
      <c r="S34" s="20" t="s">
        <v>76</v>
      </c>
      <c r="T34" s="15">
        <v>10.4166666666667</v>
      </c>
      <c r="U34" s="15">
        <v>28.571428571428601</v>
      </c>
      <c r="V34" s="15">
        <v>17.647058823529399</v>
      </c>
      <c r="W34" s="15">
        <v>27.118644067796598</v>
      </c>
      <c r="X34" s="20" t="s">
        <v>76</v>
      </c>
      <c r="Y34" s="20" t="s">
        <v>76</v>
      </c>
      <c r="Z34" s="15">
        <v>17.948717948717899</v>
      </c>
      <c r="AA34" s="15">
        <v>33.0275229357798</v>
      </c>
      <c r="AB34" s="15">
        <v>13.235294117647101</v>
      </c>
      <c r="AC34" s="15">
        <v>10.6060606060606</v>
      </c>
      <c r="AD34" s="15">
        <v>25</v>
      </c>
      <c r="AE34" s="20" t="s">
        <v>76</v>
      </c>
      <c r="AF34" s="20" t="s">
        <v>76</v>
      </c>
      <c r="AG34" s="15">
        <v>16.1904761904762</v>
      </c>
      <c r="AH34" s="15">
        <v>12.5</v>
      </c>
      <c r="AI34" s="20" t="s">
        <v>76</v>
      </c>
      <c r="AJ34" s="15">
        <v>15.315315315315299</v>
      </c>
      <c r="AK34" s="15">
        <v>30</v>
      </c>
      <c r="AL34" s="15">
        <v>15.5555555555556</v>
      </c>
      <c r="AM34" s="15">
        <v>23.4375</v>
      </c>
      <c r="AN34" s="20" t="s">
        <v>76</v>
      </c>
      <c r="AO34" s="15">
        <v>17.5</v>
      </c>
      <c r="AP34" s="15">
        <v>18.181818181818201</v>
      </c>
      <c r="AQ34" s="15">
        <v>12.8205128205128</v>
      </c>
      <c r="AR34" s="15">
        <v>27.272727272727298</v>
      </c>
      <c r="AS34" s="20" t="s">
        <v>76</v>
      </c>
      <c r="AT34" s="15">
        <v>23.076923076923102</v>
      </c>
      <c r="AU34" s="15">
        <v>14.285714285714301</v>
      </c>
      <c r="AV34" s="15">
        <v>16.438356164383599</v>
      </c>
      <c r="AW34" s="15">
        <v>19.827586206896601</v>
      </c>
      <c r="AX34" s="20" t="s">
        <v>76</v>
      </c>
      <c r="AY34" s="15">
        <v>22.8571428571429</v>
      </c>
      <c r="AZ34" s="15">
        <v>20</v>
      </c>
      <c r="BA34" s="15">
        <v>16.981132075471699</v>
      </c>
      <c r="BB34" s="15">
        <v>10.4477611940298</v>
      </c>
      <c r="BC34" s="15">
        <v>14.8648648648649</v>
      </c>
      <c r="BD34" s="15">
        <v>12.8205128205128</v>
      </c>
      <c r="BE34" s="15">
        <v>27.586206896551701</v>
      </c>
      <c r="BF34" s="15">
        <v>16.867469879518101</v>
      </c>
      <c r="BG34" s="15">
        <v>20.8955223880597</v>
      </c>
      <c r="BH34" s="15">
        <v>33.3333333333333</v>
      </c>
      <c r="BI34" s="20" t="s">
        <v>76</v>
      </c>
      <c r="BJ34" s="15">
        <v>12.5</v>
      </c>
      <c r="BK34" s="20" t="s">
        <v>76</v>
      </c>
      <c r="BL34" s="15">
        <v>16.40625</v>
      </c>
      <c r="BM34" s="15">
        <v>26.7326732673267</v>
      </c>
      <c r="BN34" s="15">
        <v>13.445378151260501</v>
      </c>
      <c r="BO34" s="15">
        <v>16.6666666666667</v>
      </c>
      <c r="BP34" s="20" t="s">
        <v>76</v>
      </c>
      <c r="BQ34" s="15">
        <v>16.438356164383599</v>
      </c>
      <c r="BR34" s="15">
        <v>23.3333333333333</v>
      </c>
      <c r="BS34" s="15">
        <v>22.891566265060199</v>
      </c>
      <c r="BT34" s="15">
        <v>19.512195121951201</v>
      </c>
      <c r="BU34" s="15">
        <v>24.299065420560702</v>
      </c>
      <c r="BV34" s="15">
        <v>18.181818181818201</v>
      </c>
      <c r="BW34" s="15">
        <v>11.5942028985507</v>
      </c>
      <c r="BX34" s="20" t="s">
        <v>76</v>
      </c>
      <c r="BY34" s="15">
        <v>17.460317460317501</v>
      </c>
      <c r="BZ34" s="15">
        <v>19.047619047619001</v>
      </c>
      <c r="CA34" s="32">
        <v>20.8678838015209</v>
      </c>
      <c r="CB34" s="15">
        <v>21.086261980830699</v>
      </c>
      <c r="CC34" s="15">
        <v>22.641509433962302</v>
      </c>
      <c r="CD34" s="15">
        <v>25.161290322580601</v>
      </c>
      <c r="CE34" s="20" t="s">
        <v>76</v>
      </c>
      <c r="CF34" s="15">
        <v>22.754491017964099</v>
      </c>
      <c r="CG34" s="15">
        <v>22.346368715083798</v>
      </c>
      <c r="CH34" s="15">
        <v>18.5661764705882</v>
      </c>
      <c r="CI34" s="15">
        <v>22.381930184804901</v>
      </c>
      <c r="CJ34" s="15">
        <v>20</v>
      </c>
      <c r="CK34" s="15">
        <v>19.282511210762301</v>
      </c>
      <c r="CL34" s="15">
        <v>22.727272727272702</v>
      </c>
      <c r="CM34" s="24">
        <v>20.128479657387601</v>
      </c>
      <c r="CN34" s="37"/>
    </row>
    <row r="35" spans="1:92">
      <c r="A35" s="9" t="s">
        <v>290</v>
      </c>
      <c r="B35" s="35">
        <v>11.265976099813701</v>
      </c>
      <c r="C35" s="32">
        <v>10.744908808084601</v>
      </c>
      <c r="D35" s="32">
        <v>11.205170271959799</v>
      </c>
      <c r="E35" s="32">
        <v>13.7704843164388</v>
      </c>
      <c r="F35" s="20" t="s">
        <v>76</v>
      </c>
      <c r="G35" s="15">
        <v>47.058823529411796</v>
      </c>
      <c r="H35" s="15">
        <v>21.739130434782599</v>
      </c>
      <c r="I35" s="20" t="s">
        <v>76</v>
      </c>
      <c r="J35" s="15">
        <v>19.4444444444444</v>
      </c>
      <c r="K35" s="15">
        <v>20.5128205128205</v>
      </c>
      <c r="L35" s="15">
        <v>18.032786885245901</v>
      </c>
      <c r="M35" s="15">
        <v>21.052631578947398</v>
      </c>
      <c r="N35" s="15">
        <v>14.117647058823501</v>
      </c>
      <c r="O35" s="15">
        <v>20.930232558139501</v>
      </c>
      <c r="P35" s="15">
        <v>9.8591549295774694</v>
      </c>
      <c r="Q35" s="15">
        <v>15.492957746478901</v>
      </c>
      <c r="R35" s="20" t="s">
        <v>76</v>
      </c>
      <c r="S35" s="15">
        <v>17.0731707317073</v>
      </c>
      <c r="T35" s="15">
        <v>10.4166666666667</v>
      </c>
      <c r="U35" s="15">
        <v>33.3333333333333</v>
      </c>
      <c r="V35" s="20" t="s">
        <v>76</v>
      </c>
      <c r="W35" s="15">
        <v>10.1694915254237</v>
      </c>
      <c r="X35" s="20" t="s">
        <v>76</v>
      </c>
      <c r="Y35" s="20" t="s">
        <v>76</v>
      </c>
      <c r="Z35" s="15">
        <v>12.8205128205128</v>
      </c>
      <c r="AA35" s="15">
        <v>19.2660550458716</v>
      </c>
      <c r="AB35" s="15">
        <v>14.705882352941201</v>
      </c>
      <c r="AC35" s="15">
        <v>9.8484848484848495</v>
      </c>
      <c r="AD35" s="15">
        <v>15.625</v>
      </c>
      <c r="AE35" s="20" t="s">
        <v>76</v>
      </c>
      <c r="AF35" s="20" t="s">
        <v>76</v>
      </c>
      <c r="AG35" s="15">
        <v>10.476190476190499</v>
      </c>
      <c r="AH35" s="20" t="s">
        <v>76</v>
      </c>
      <c r="AI35" s="20" t="s">
        <v>76</v>
      </c>
      <c r="AJ35" s="15">
        <v>18.918918918918902</v>
      </c>
      <c r="AK35" s="20" t="s">
        <v>76</v>
      </c>
      <c r="AL35" s="15">
        <v>6.6666666666666696</v>
      </c>
      <c r="AM35" s="15">
        <v>17.1875</v>
      </c>
      <c r="AN35" s="20" t="s">
        <v>76</v>
      </c>
      <c r="AO35" s="20" t="s">
        <v>76</v>
      </c>
      <c r="AP35" s="15">
        <v>12.987012987012999</v>
      </c>
      <c r="AQ35" s="20" t="s">
        <v>76</v>
      </c>
      <c r="AR35" s="15">
        <v>10.909090909090899</v>
      </c>
      <c r="AS35" s="20" t="s">
        <v>76</v>
      </c>
      <c r="AT35" s="15">
        <v>10.7692307692308</v>
      </c>
      <c r="AU35" s="15">
        <v>12.244897959183699</v>
      </c>
      <c r="AV35" s="15">
        <v>10.958904109589</v>
      </c>
      <c r="AW35" s="15">
        <v>11.2068965517241</v>
      </c>
      <c r="AX35" s="20" t="s">
        <v>76</v>
      </c>
      <c r="AY35" s="15">
        <v>22.8571428571429</v>
      </c>
      <c r="AZ35" s="20" t="s">
        <v>76</v>
      </c>
      <c r="BA35" s="20" t="s">
        <v>76</v>
      </c>
      <c r="BB35" s="15">
        <v>10.4477611940298</v>
      </c>
      <c r="BC35" s="15">
        <v>12.1621621621622</v>
      </c>
      <c r="BD35" s="15">
        <v>12.8205128205128</v>
      </c>
      <c r="BE35" s="15">
        <v>27.586206896551701</v>
      </c>
      <c r="BF35" s="15">
        <v>14.4578313253012</v>
      </c>
      <c r="BG35" s="15">
        <v>13.4328358208955</v>
      </c>
      <c r="BH35" s="20" t="s">
        <v>76</v>
      </c>
      <c r="BI35" s="20" t="s">
        <v>76</v>
      </c>
      <c r="BJ35" s="15">
        <v>13.3928571428571</v>
      </c>
      <c r="BK35" s="20" t="s">
        <v>76</v>
      </c>
      <c r="BL35" s="15">
        <v>13.28125</v>
      </c>
      <c r="BM35" s="15">
        <v>20.7920792079208</v>
      </c>
      <c r="BN35" s="15">
        <v>12.605042016806699</v>
      </c>
      <c r="BO35" s="15">
        <v>12.2222222222222</v>
      </c>
      <c r="BP35" s="20" t="s">
        <v>76</v>
      </c>
      <c r="BQ35" s="15">
        <v>15.068493150684899</v>
      </c>
      <c r="BR35" s="15">
        <v>8.3333333333333304</v>
      </c>
      <c r="BS35" s="15">
        <v>21.6867469879518</v>
      </c>
      <c r="BT35" s="15">
        <v>12.1951219512195</v>
      </c>
      <c r="BU35" s="15">
        <v>11.214953271028</v>
      </c>
      <c r="BV35" s="15">
        <v>16.161616161616202</v>
      </c>
      <c r="BW35" s="20" t="s">
        <v>76</v>
      </c>
      <c r="BX35" s="20" t="s">
        <v>76</v>
      </c>
      <c r="BY35" s="15">
        <v>17.460317460317501</v>
      </c>
      <c r="BZ35" s="15">
        <v>8.84353741496599</v>
      </c>
      <c r="CA35" s="32">
        <v>9.1334979002027694</v>
      </c>
      <c r="CB35" s="15">
        <v>8.9456869009584707</v>
      </c>
      <c r="CC35" s="15">
        <v>7.5471698113207504</v>
      </c>
      <c r="CD35" s="15">
        <v>10.9677419354839</v>
      </c>
      <c r="CE35" s="20" t="s">
        <v>76</v>
      </c>
      <c r="CF35" s="15">
        <v>9.8802395209580904</v>
      </c>
      <c r="CG35" s="15">
        <v>13.407821229050301</v>
      </c>
      <c r="CH35" s="15">
        <v>7.9044117647058796</v>
      </c>
      <c r="CI35" s="15">
        <v>11.088295687884999</v>
      </c>
      <c r="CJ35" s="15">
        <v>9.0196078431372495</v>
      </c>
      <c r="CK35" s="15">
        <v>8.9686098654708495</v>
      </c>
      <c r="CL35" s="15">
        <v>9.8484848484848495</v>
      </c>
      <c r="CM35" s="24">
        <v>9.2077087794432604</v>
      </c>
      <c r="CN35" s="37"/>
    </row>
    <row r="36" spans="1:92">
      <c r="A36" s="9" t="s">
        <v>291</v>
      </c>
      <c r="B36" s="35">
        <v>6.8900706240652898</v>
      </c>
      <c r="C36" s="32">
        <v>6.5221261455985102</v>
      </c>
      <c r="D36" s="32">
        <v>6.4257335702424099</v>
      </c>
      <c r="E36" s="32">
        <v>7.8769357976324601</v>
      </c>
      <c r="F36" s="20" t="s">
        <v>76</v>
      </c>
      <c r="G36" s="20" t="s">
        <v>76</v>
      </c>
      <c r="H36" s="20" t="s">
        <v>76</v>
      </c>
      <c r="I36" s="20" t="s">
        <v>76</v>
      </c>
      <c r="J36" s="15">
        <v>5.5555555555555598</v>
      </c>
      <c r="K36" s="15">
        <v>12.8205128205128</v>
      </c>
      <c r="L36" s="15">
        <v>8.1967213114754092</v>
      </c>
      <c r="M36" s="15">
        <v>9.2105263157894708</v>
      </c>
      <c r="N36" s="15">
        <v>10.588235294117601</v>
      </c>
      <c r="O36" s="20" t="s">
        <v>76</v>
      </c>
      <c r="P36" s="15">
        <v>9.8591549295774694</v>
      </c>
      <c r="Q36" s="15">
        <v>12.6760563380282</v>
      </c>
      <c r="R36" s="20" t="s">
        <v>76</v>
      </c>
      <c r="S36" s="15">
        <v>14.634146341463399</v>
      </c>
      <c r="T36" s="20" t="s">
        <v>76</v>
      </c>
      <c r="U36" s="20" t="s">
        <v>76</v>
      </c>
      <c r="V36" s="20" t="s">
        <v>76</v>
      </c>
      <c r="W36" s="15">
        <v>15.254237288135601</v>
      </c>
      <c r="X36" s="20" t="s">
        <v>76</v>
      </c>
      <c r="Y36" s="20" t="s">
        <v>76</v>
      </c>
      <c r="Z36" s="20" t="s">
        <v>76</v>
      </c>
      <c r="AA36" s="15">
        <v>7.3394495412843996</v>
      </c>
      <c r="AB36" s="20" t="s">
        <v>76</v>
      </c>
      <c r="AC36" s="15">
        <v>6.0606060606060597</v>
      </c>
      <c r="AD36" s="20" t="s">
        <v>76</v>
      </c>
      <c r="AE36" s="20" t="s">
        <v>76</v>
      </c>
      <c r="AF36" s="20" t="s">
        <v>76</v>
      </c>
      <c r="AG36" s="15">
        <v>6.6666666666666696</v>
      </c>
      <c r="AH36" s="20" t="s">
        <v>76</v>
      </c>
      <c r="AI36" s="20" t="s">
        <v>76</v>
      </c>
      <c r="AJ36" s="15">
        <v>6.3063063063063103</v>
      </c>
      <c r="AK36" s="20" t="s">
        <v>76</v>
      </c>
      <c r="AL36" s="15">
        <v>7.7777777777777803</v>
      </c>
      <c r="AM36" s="15">
        <v>14.0625</v>
      </c>
      <c r="AN36" s="20" t="s">
        <v>76</v>
      </c>
      <c r="AO36" s="20" t="s">
        <v>76</v>
      </c>
      <c r="AP36" s="15">
        <v>7.7922077922077904</v>
      </c>
      <c r="AQ36" s="20" t="s">
        <v>76</v>
      </c>
      <c r="AR36" s="20" t="s">
        <v>76</v>
      </c>
      <c r="AS36" s="20" t="s">
        <v>76</v>
      </c>
      <c r="AT36" s="15">
        <v>10.7692307692308</v>
      </c>
      <c r="AU36" s="20" t="s">
        <v>76</v>
      </c>
      <c r="AV36" s="20" t="s">
        <v>76</v>
      </c>
      <c r="AW36" s="15">
        <v>7.7586206896551699</v>
      </c>
      <c r="AX36" s="20" t="s">
        <v>76</v>
      </c>
      <c r="AY36" s="20" t="s">
        <v>76</v>
      </c>
      <c r="AZ36" s="20" t="s">
        <v>76</v>
      </c>
      <c r="BA36" s="20" t="s">
        <v>76</v>
      </c>
      <c r="BB36" s="20" t="s">
        <v>76</v>
      </c>
      <c r="BC36" s="15">
        <v>14.8648648648649</v>
      </c>
      <c r="BD36" s="15">
        <v>7.6923076923076898</v>
      </c>
      <c r="BE36" s="20" t="s">
        <v>76</v>
      </c>
      <c r="BF36" s="15">
        <v>7.2289156626505999</v>
      </c>
      <c r="BG36" s="15">
        <v>11.9402985074627</v>
      </c>
      <c r="BH36" s="20" t="s">
        <v>76</v>
      </c>
      <c r="BI36" s="20" t="s">
        <v>76</v>
      </c>
      <c r="BJ36" s="15">
        <v>6.25</v>
      </c>
      <c r="BK36" s="20" t="s">
        <v>76</v>
      </c>
      <c r="BL36" s="15">
        <v>6.25</v>
      </c>
      <c r="BM36" s="15">
        <v>4.9504950495049496</v>
      </c>
      <c r="BN36" s="15">
        <v>7.5630252100840298</v>
      </c>
      <c r="BO36" s="15">
        <v>13.3333333333333</v>
      </c>
      <c r="BP36" s="20" t="s">
        <v>76</v>
      </c>
      <c r="BQ36" s="15">
        <v>8.2191780821917799</v>
      </c>
      <c r="BR36" s="15">
        <v>8.3333333333333304</v>
      </c>
      <c r="BS36" s="15">
        <v>15.662650602409601</v>
      </c>
      <c r="BT36" s="15">
        <v>6.0975609756097597</v>
      </c>
      <c r="BU36" s="15">
        <v>15.887850467289701</v>
      </c>
      <c r="BV36" s="15">
        <v>7.0707070707070701</v>
      </c>
      <c r="BW36" s="20" t="s">
        <v>76</v>
      </c>
      <c r="BX36" s="20" t="s">
        <v>76</v>
      </c>
      <c r="BY36" s="20" t="s">
        <v>76</v>
      </c>
      <c r="BZ36" s="15">
        <v>4.7619047619047601</v>
      </c>
      <c r="CA36" s="32">
        <v>5.2537852207658098</v>
      </c>
      <c r="CB36" s="15">
        <v>6.7092651757188504</v>
      </c>
      <c r="CC36" s="15">
        <v>5.3459119496855303</v>
      </c>
      <c r="CD36" s="15">
        <v>3.2258064516128999</v>
      </c>
      <c r="CE36" s="20" t="s">
        <v>76</v>
      </c>
      <c r="CF36" s="15">
        <v>5.3892215568862296</v>
      </c>
      <c r="CG36" s="15">
        <v>7.8212290502793298</v>
      </c>
      <c r="CH36" s="15">
        <v>5.5147058823529402</v>
      </c>
      <c r="CI36" s="15">
        <v>4.1067761806981498</v>
      </c>
      <c r="CJ36" s="15">
        <v>7.4509803921568603</v>
      </c>
      <c r="CK36" s="20" t="s">
        <v>76</v>
      </c>
      <c r="CL36" s="15">
        <v>4.2424242424242404</v>
      </c>
      <c r="CM36" s="24">
        <v>5.3533190578158498</v>
      </c>
      <c r="CN36" s="37"/>
    </row>
    <row r="37" spans="1:92">
      <c r="A37" s="9" t="s">
        <v>292</v>
      </c>
      <c r="B37" s="35">
        <v>11.9070620275164</v>
      </c>
      <c r="C37" s="32">
        <v>12.068950733314299</v>
      </c>
      <c r="D37" s="32">
        <v>12.309531033648399</v>
      </c>
      <c r="E37" s="32">
        <v>12.5933062067955</v>
      </c>
      <c r="F37" s="20" t="s">
        <v>76</v>
      </c>
      <c r="G37" s="15">
        <v>41.176470588235297</v>
      </c>
      <c r="H37" s="20" t="s">
        <v>76</v>
      </c>
      <c r="I37" s="20" t="s">
        <v>76</v>
      </c>
      <c r="J37" s="15">
        <v>12.5</v>
      </c>
      <c r="K37" s="15">
        <v>20.5128205128205</v>
      </c>
      <c r="L37" s="15">
        <v>19.672131147540998</v>
      </c>
      <c r="M37" s="15">
        <v>14.473684210526301</v>
      </c>
      <c r="N37" s="15">
        <v>17.647058823529399</v>
      </c>
      <c r="O37" s="15">
        <v>20.930232558139501</v>
      </c>
      <c r="P37" s="15">
        <v>8.4507042253521103</v>
      </c>
      <c r="Q37" s="15">
        <v>16.901408450704199</v>
      </c>
      <c r="R37" s="20" t="s">
        <v>76</v>
      </c>
      <c r="S37" s="15">
        <v>12.1951219512195</v>
      </c>
      <c r="T37" s="20" t="s">
        <v>76</v>
      </c>
      <c r="U37" s="20" t="s">
        <v>76</v>
      </c>
      <c r="V37" s="20" t="s">
        <v>76</v>
      </c>
      <c r="W37" s="15">
        <v>10.1694915254237</v>
      </c>
      <c r="X37" s="20" t="s">
        <v>76</v>
      </c>
      <c r="Y37" s="20" t="s">
        <v>76</v>
      </c>
      <c r="Z37" s="15">
        <v>10.2564102564103</v>
      </c>
      <c r="AA37" s="15">
        <v>15.5963302752294</v>
      </c>
      <c r="AB37" s="15">
        <v>16.176470588235301</v>
      </c>
      <c r="AC37" s="15">
        <v>9.8484848484848495</v>
      </c>
      <c r="AD37" s="20" t="s">
        <v>76</v>
      </c>
      <c r="AE37" s="20" t="s">
        <v>76</v>
      </c>
      <c r="AF37" s="15">
        <v>42.857142857142897</v>
      </c>
      <c r="AG37" s="15">
        <v>7.6190476190476204</v>
      </c>
      <c r="AH37" s="15">
        <v>16.071428571428601</v>
      </c>
      <c r="AI37" s="20" t="s">
        <v>76</v>
      </c>
      <c r="AJ37" s="15">
        <v>14.4144144144144</v>
      </c>
      <c r="AK37" s="20" t="s">
        <v>76</v>
      </c>
      <c r="AL37" s="15">
        <v>13.3333333333333</v>
      </c>
      <c r="AM37" s="15">
        <v>12.5</v>
      </c>
      <c r="AN37" s="20" t="s">
        <v>76</v>
      </c>
      <c r="AO37" s="20" t="s">
        <v>76</v>
      </c>
      <c r="AP37" s="15">
        <v>18.181818181818201</v>
      </c>
      <c r="AQ37" s="20" t="s">
        <v>76</v>
      </c>
      <c r="AR37" s="15">
        <v>18.181818181818201</v>
      </c>
      <c r="AS37" s="20" t="s">
        <v>76</v>
      </c>
      <c r="AT37" s="15">
        <v>18.461538461538499</v>
      </c>
      <c r="AU37" s="20" t="s">
        <v>76</v>
      </c>
      <c r="AV37" s="15">
        <v>6.8493150684931496</v>
      </c>
      <c r="AW37" s="15">
        <v>7.7586206896551699</v>
      </c>
      <c r="AX37" s="20" t="s">
        <v>76</v>
      </c>
      <c r="AY37" s="15">
        <v>17.1428571428571</v>
      </c>
      <c r="AZ37" s="20" t="s">
        <v>76</v>
      </c>
      <c r="BA37" s="15">
        <v>15.094339622641501</v>
      </c>
      <c r="BB37" s="20" t="s">
        <v>76</v>
      </c>
      <c r="BC37" s="15">
        <v>10.8108108108108</v>
      </c>
      <c r="BD37" s="15">
        <v>16.6666666666667</v>
      </c>
      <c r="BE37" s="15">
        <v>20.689655172413801</v>
      </c>
      <c r="BF37" s="15">
        <v>15.662650602409601</v>
      </c>
      <c r="BG37" s="15">
        <v>13.4328358208955</v>
      </c>
      <c r="BH37" s="20" t="s">
        <v>76</v>
      </c>
      <c r="BI37" s="20" t="s">
        <v>76</v>
      </c>
      <c r="BJ37" s="15">
        <v>14.285714285714301</v>
      </c>
      <c r="BK37" s="20" t="s">
        <v>76</v>
      </c>
      <c r="BL37" s="15">
        <v>9.375</v>
      </c>
      <c r="BM37" s="15">
        <v>10.891089108910901</v>
      </c>
      <c r="BN37" s="15">
        <v>8.4033613445378208</v>
      </c>
      <c r="BO37" s="15">
        <v>10</v>
      </c>
      <c r="BP37" s="20" t="s">
        <v>76</v>
      </c>
      <c r="BQ37" s="15">
        <v>8.2191780821917799</v>
      </c>
      <c r="BR37" s="15">
        <v>18.3333333333333</v>
      </c>
      <c r="BS37" s="15">
        <v>22.891566265060199</v>
      </c>
      <c r="BT37" s="15">
        <v>9.7560975609756095</v>
      </c>
      <c r="BU37" s="15">
        <v>10.2803738317757</v>
      </c>
      <c r="BV37" s="15">
        <v>14.141414141414099</v>
      </c>
      <c r="BW37" s="15">
        <v>10.144927536231901</v>
      </c>
      <c r="BX37" s="20" t="s">
        <v>76</v>
      </c>
      <c r="BY37" s="15">
        <v>17.460317460317501</v>
      </c>
      <c r="BZ37" s="15">
        <v>13.605442176870699</v>
      </c>
      <c r="CA37" s="32">
        <v>12.080362528036099</v>
      </c>
      <c r="CB37" s="15">
        <v>10.5431309904153</v>
      </c>
      <c r="CC37" s="15">
        <v>11.0062893081761</v>
      </c>
      <c r="CD37" s="15">
        <v>10.9677419354839</v>
      </c>
      <c r="CE37" s="20" t="s">
        <v>76</v>
      </c>
      <c r="CF37" s="15">
        <v>11.377245508982</v>
      </c>
      <c r="CG37" s="15">
        <v>14.525139664804501</v>
      </c>
      <c r="CH37" s="15">
        <v>14.522058823529401</v>
      </c>
      <c r="CI37" s="15">
        <v>13.1416837782341</v>
      </c>
      <c r="CJ37" s="15">
        <v>10.588235294117601</v>
      </c>
      <c r="CK37" s="15">
        <v>14.7982062780269</v>
      </c>
      <c r="CL37" s="15">
        <v>11.969696969697001</v>
      </c>
      <c r="CM37" s="24">
        <v>11.349036402569601</v>
      </c>
      <c r="CN37" s="37"/>
    </row>
    <row r="38" spans="1:92">
      <c r="A38" s="9" t="s">
        <v>293</v>
      </c>
      <c r="B38" s="35">
        <v>15.6664229990508</v>
      </c>
      <c r="C38" s="32">
        <v>15.334451680389501</v>
      </c>
      <c r="D38" s="32">
        <v>16.778413103063301</v>
      </c>
      <c r="E38" s="32">
        <v>18.6575978343629</v>
      </c>
      <c r="F38" s="20" t="s">
        <v>76</v>
      </c>
      <c r="G38" s="15">
        <v>47.058823529411796</v>
      </c>
      <c r="H38" s="20" t="s">
        <v>76</v>
      </c>
      <c r="I38" s="20" t="s">
        <v>76</v>
      </c>
      <c r="J38" s="15">
        <v>20.8333333333333</v>
      </c>
      <c r="K38" s="15">
        <v>20.5128205128205</v>
      </c>
      <c r="L38" s="15">
        <v>27.868852459016399</v>
      </c>
      <c r="M38" s="15">
        <v>11.842105263157899</v>
      </c>
      <c r="N38" s="15">
        <v>16.470588235294102</v>
      </c>
      <c r="O38" s="15">
        <v>23.255813953488399</v>
      </c>
      <c r="P38" s="15">
        <v>16.901408450704199</v>
      </c>
      <c r="Q38" s="15">
        <v>16.901408450704199</v>
      </c>
      <c r="R38" s="20" t="s">
        <v>76</v>
      </c>
      <c r="S38" s="20" t="s">
        <v>76</v>
      </c>
      <c r="T38" s="20" t="s">
        <v>76</v>
      </c>
      <c r="U38" s="15">
        <v>23.8095238095238</v>
      </c>
      <c r="V38" s="15">
        <v>23.529411764705898</v>
      </c>
      <c r="W38" s="15">
        <v>23.728813559321999</v>
      </c>
      <c r="X38" s="20" t="s">
        <v>76</v>
      </c>
      <c r="Y38" s="20" t="s">
        <v>76</v>
      </c>
      <c r="Z38" s="15">
        <v>10.2564102564103</v>
      </c>
      <c r="AA38" s="15">
        <v>19.2660550458716</v>
      </c>
      <c r="AB38" s="15">
        <v>20.588235294117599</v>
      </c>
      <c r="AC38" s="15">
        <v>21.969696969697001</v>
      </c>
      <c r="AD38" s="15">
        <v>34.375</v>
      </c>
      <c r="AE38" s="15">
        <v>22.2222222222222</v>
      </c>
      <c r="AF38" s="15">
        <v>42.857142857142897</v>
      </c>
      <c r="AG38" s="15">
        <v>16.1904761904762</v>
      </c>
      <c r="AH38" s="15">
        <v>14.285714285714301</v>
      </c>
      <c r="AI38" s="20" t="s">
        <v>76</v>
      </c>
      <c r="AJ38" s="15">
        <v>18.918918918918902</v>
      </c>
      <c r="AK38" s="15">
        <v>23.3333333333333</v>
      </c>
      <c r="AL38" s="15">
        <v>20</v>
      </c>
      <c r="AM38" s="15">
        <v>26.5625</v>
      </c>
      <c r="AN38" s="20" t="s">
        <v>76</v>
      </c>
      <c r="AO38" s="15">
        <v>25</v>
      </c>
      <c r="AP38" s="15">
        <v>19.480519480519501</v>
      </c>
      <c r="AQ38" s="15">
        <v>12.8205128205128</v>
      </c>
      <c r="AR38" s="15">
        <v>25.454545454545499</v>
      </c>
      <c r="AS38" s="20" t="s">
        <v>76</v>
      </c>
      <c r="AT38" s="15">
        <v>18.461538461538499</v>
      </c>
      <c r="AU38" s="15">
        <v>14.285714285714301</v>
      </c>
      <c r="AV38" s="15">
        <v>19.178082191780799</v>
      </c>
      <c r="AW38" s="15">
        <v>20.689655172413801</v>
      </c>
      <c r="AX38" s="20" t="s">
        <v>76</v>
      </c>
      <c r="AY38" s="15">
        <v>17.1428571428571</v>
      </c>
      <c r="AZ38" s="15">
        <v>18</v>
      </c>
      <c r="BA38" s="15">
        <v>11.320754716981099</v>
      </c>
      <c r="BB38" s="15">
        <v>13.4328358208955</v>
      </c>
      <c r="BC38" s="15">
        <v>12.1621621621622</v>
      </c>
      <c r="BD38" s="15">
        <v>15.384615384615399</v>
      </c>
      <c r="BE38" s="15">
        <v>20.689655172413801</v>
      </c>
      <c r="BF38" s="15">
        <v>13.253012048192801</v>
      </c>
      <c r="BG38" s="15">
        <v>22.388059701492502</v>
      </c>
      <c r="BH38" s="20" t="s">
        <v>76</v>
      </c>
      <c r="BI38" s="20" t="s">
        <v>76</v>
      </c>
      <c r="BJ38" s="15">
        <v>8.9285714285714306</v>
      </c>
      <c r="BK38" s="15">
        <v>27.5</v>
      </c>
      <c r="BL38" s="15">
        <v>20.3125</v>
      </c>
      <c r="BM38" s="15">
        <v>19.801980198019798</v>
      </c>
      <c r="BN38" s="15">
        <v>22.689075630252098</v>
      </c>
      <c r="BO38" s="15">
        <v>26.6666666666667</v>
      </c>
      <c r="BP38" s="20" t="s">
        <v>76</v>
      </c>
      <c r="BQ38" s="15">
        <v>17.808219178082201</v>
      </c>
      <c r="BR38" s="15">
        <v>20</v>
      </c>
      <c r="BS38" s="15">
        <v>26.506024096385499</v>
      </c>
      <c r="BT38" s="15">
        <v>21.951219512195099</v>
      </c>
      <c r="BU38" s="15">
        <v>17.757009345794401</v>
      </c>
      <c r="BV38" s="15">
        <v>18.181818181818201</v>
      </c>
      <c r="BW38" s="15">
        <v>8.6956521739130395</v>
      </c>
      <c r="BX38" s="20" t="s">
        <v>76</v>
      </c>
      <c r="BY38" s="15">
        <v>15.8730158730159</v>
      </c>
      <c r="BZ38" s="15">
        <v>17.006802721088398</v>
      </c>
      <c r="CA38" s="32">
        <v>15.2608386378084</v>
      </c>
      <c r="CB38" s="15">
        <v>14.3769968051118</v>
      </c>
      <c r="CC38" s="15">
        <v>16.352201257861601</v>
      </c>
      <c r="CD38" s="15">
        <v>16.7741935483871</v>
      </c>
      <c r="CE38" s="20" t="s">
        <v>76</v>
      </c>
      <c r="CF38" s="15">
        <v>20.958083832335301</v>
      </c>
      <c r="CG38" s="15">
        <v>19.553072625698299</v>
      </c>
      <c r="CH38" s="15">
        <v>14.1544117647059</v>
      </c>
      <c r="CI38" s="15">
        <v>14.3737166324435</v>
      </c>
      <c r="CJ38" s="15">
        <v>20.7843137254902</v>
      </c>
      <c r="CK38" s="15">
        <v>13.452914798206301</v>
      </c>
      <c r="CL38" s="15">
        <v>15.1515151515152</v>
      </c>
      <c r="CM38" s="24">
        <v>14.9892933618844</v>
      </c>
      <c r="CN38" s="37"/>
    </row>
    <row r="39" spans="1:92">
      <c r="A39" s="9" t="s">
        <v>294</v>
      </c>
      <c r="B39" s="35">
        <v>9.6429154198159299</v>
      </c>
      <c r="C39" s="32">
        <v>9.0453188888306801</v>
      </c>
      <c r="D39" s="32">
        <v>9.1406533570312707</v>
      </c>
      <c r="E39" s="32">
        <v>9.4953879347568506</v>
      </c>
      <c r="F39" s="20" t="s">
        <v>76</v>
      </c>
      <c r="G39" s="20" t="s">
        <v>76</v>
      </c>
      <c r="H39" s="20" t="s">
        <v>76</v>
      </c>
      <c r="I39" s="20" t="s">
        <v>76</v>
      </c>
      <c r="J39" s="15">
        <v>9.7222222222222197</v>
      </c>
      <c r="K39" s="20" t="s">
        <v>76</v>
      </c>
      <c r="L39" s="15">
        <v>18.032786885245901</v>
      </c>
      <c r="M39" s="15">
        <v>18.421052631578899</v>
      </c>
      <c r="N39" s="15">
        <v>7.0588235294117601</v>
      </c>
      <c r="O39" s="20" t="s">
        <v>76</v>
      </c>
      <c r="P39" s="15">
        <v>16.901408450704199</v>
      </c>
      <c r="Q39" s="15">
        <v>9.8591549295774694</v>
      </c>
      <c r="R39" s="20" t="s">
        <v>76</v>
      </c>
      <c r="S39" s="20" t="s">
        <v>76</v>
      </c>
      <c r="T39" s="20" t="s">
        <v>76</v>
      </c>
      <c r="U39" s="20" t="s">
        <v>76</v>
      </c>
      <c r="V39" s="20" t="s">
        <v>76</v>
      </c>
      <c r="W39" s="15">
        <v>10.1694915254237</v>
      </c>
      <c r="X39" s="20" t="s">
        <v>76</v>
      </c>
      <c r="Y39" s="20" t="s">
        <v>76</v>
      </c>
      <c r="Z39" s="20" t="s">
        <v>76</v>
      </c>
      <c r="AA39" s="15">
        <v>9.1743119266054993</v>
      </c>
      <c r="AB39" s="15">
        <v>13.235294117647101</v>
      </c>
      <c r="AC39" s="15">
        <v>6.0606060606060597</v>
      </c>
      <c r="AD39" s="15">
        <v>21.875</v>
      </c>
      <c r="AE39" s="20" t="s">
        <v>76</v>
      </c>
      <c r="AF39" s="20" t="s">
        <v>76</v>
      </c>
      <c r="AG39" s="15">
        <v>8.5714285714285694</v>
      </c>
      <c r="AH39" s="20" t="s">
        <v>76</v>
      </c>
      <c r="AI39" s="20" t="s">
        <v>76</v>
      </c>
      <c r="AJ39" s="15">
        <v>6.3063063063063103</v>
      </c>
      <c r="AK39" s="20" t="s">
        <v>76</v>
      </c>
      <c r="AL39" s="15">
        <v>6.6666666666666696</v>
      </c>
      <c r="AM39" s="15">
        <v>28.125</v>
      </c>
      <c r="AN39" s="20" t="s">
        <v>76</v>
      </c>
      <c r="AO39" s="20" t="s">
        <v>76</v>
      </c>
      <c r="AP39" s="15">
        <v>12.987012987012999</v>
      </c>
      <c r="AQ39" s="20" t="s">
        <v>76</v>
      </c>
      <c r="AR39" s="15">
        <v>9.0909090909090899</v>
      </c>
      <c r="AS39" s="20" t="s">
        <v>76</v>
      </c>
      <c r="AT39" s="15">
        <v>9.2307692307692299</v>
      </c>
      <c r="AU39" s="20" t="s">
        <v>76</v>
      </c>
      <c r="AV39" s="15">
        <v>6.8493150684931496</v>
      </c>
      <c r="AW39" s="15">
        <v>7.7586206896551699</v>
      </c>
      <c r="AX39" s="20" t="s">
        <v>76</v>
      </c>
      <c r="AY39" s="20" t="s">
        <v>76</v>
      </c>
      <c r="AZ39" s="20" t="s">
        <v>76</v>
      </c>
      <c r="BA39" s="20" t="s">
        <v>76</v>
      </c>
      <c r="BB39" s="20" t="s">
        <v>76</v>
      </c>
      <c r="BC39" s="15">
        <v>14.8648648648649</v>
      </c>
      <c r="BD39" s="15">
        <v>10.2564102564103</v>
      </c>
      <c r="BE39" s="20" t="s">
        <v>76</v>
      </c>
      <c r="BF39" s="15">
        <v>7.2289156626505999</v>
      </c>
      <c r="BG39" s="15">
        <v>10.4477611940298</v>
      </c>
      <c r="BH39" s="20" t="s">
        <v>76</v>
      </c>
      <c r="BI39" s="20" t="s">
        <v>76</v>
      </c>
      <c r="BJ39" s="15">
        <v>6.25</v>
      </c>
      <c r="BK39" s="20" t="s">
        <v>76</v>
      </c>
      <c r="BL39" s="15">
        <v>8.59375</v>
      </c>
      <c r="BM39" s="15">
        <v>9.9009900990098991</v>
      </c>
      <c r="BN39" s="15">
        <v>6.7226890756302504</v>
      </c>
      <c r="BO39" s="15">
        <v>14.4444444444444</v>
      </c>
      <c r="BP39" s="20" t="s">
        <v>76</v>
      </c>
      <c r="BQ39" s="15">
        <v>8.2191780821917799</v>
      </c>
      <c r="BR39" s="20" t="s">
        <v>76</v>
      </c>
      <c r="BS39" s="15">
        <v>13.253012048192801</v>
      </c>
      <c r="BT39" s="15">
        <v>6.0975609756097597</v>
      </c>
      <c r="BU39" s="15">
        <v>7.4766355140186898</v>
      </c>
      <c r="BV39" s="20" t="s">
        <v>76</v>
      </c>
      <c r="BW39" s="15">
        <v>8.6956521739130395</v>
      </c>
      <c r="BX39" s="20" t="s">
        <v>76</v>
      </c>
      <c r="BY39" s="20" t="s">
        <v>76</v>
      </c>
      <c r="BZ39" s="15">
        <v>11.5646258503401</v>
      </c>
      <c r="CA39" s="32">
        <v>8.8541801177946908</v>
      </c>
      <c r="CB39" s="15">
        <v>10.8626198083067</v>
      </c>
      <c r="CC39" s="15">
        <v>10.377358490565999</v>
      </c>
      <c r="CD39" s="15">
        <v>9.67741935483871</v>
      </c>
      <c r="CE39" s="20" t="s">
        <v>76</v>
      </c>
      <c r="CF39" s="15">
        <v>9.2814371257485</v>
      </c>
      <c r="CG39" s="15">
        <v>7.8212290502793298</v>
      </c>
      <c r="CH39" s="15">
        <v>7.7205882352941204</v>
      </c>
      <c r="CI39" s="15">
        <v>8.8295687885010299</v>
      </c>
      <c r="CJ39" s="15">
        <v>9.0196078431372495</v>
      </c>
      <c r="CK39" s="15">
        <v>6.7264573991031398</v>
      </c>
      <c r="CL39" s="15">
        <v>8.6363636363636402</v>
      </c>
      <c r="CM39" s="24">
        <v>9.4218415417558905</v>
      </c>
      <c r="CN39" s="37"/>
    </row>
    <row r="40" spans="1:92">
      <c r="A40" s="9" t="s">
        <v>295</v>
      </c>
      <c r="B40" s="35">
        <v>11.799331259253799</v>
      </c>
      <c r="C40" s="32">
        <v>11.5508706627297</v>
      </c>
      <c r="D40" s="32">
        <v>11.028967852938401</v>
      </c>
      <c r="E40" s="32">
        <v>13.011429233793701</v>
      </c>
      <c r="F40" s="20" t="s">
        <v>76</v>
      </c>
      <c r="G40" s="15">
        <v>35.294117647058798</v>
      </c>
      <c r="H40" s="20" t="s">
        <v>76</v>
      </c>
      <c r="I40" s="20" t="s">
        <v>76</v>
      </c>
      <c r="J40" s="15">
        <v>13.8888888888889</v>
      </c>
      <c r="K40" s="20" t="s">
        <v>76</v>
      </c>
      <c r="L40" s="15">
        <v>21.311475409836099</v>
      </c>
      <c r="M40" s="15">
        <v>21.052631578947398</v>
      </c>
      <c r="N40" s="15">
        <v>14.117647058823501</v>
      </c>
      <c r="O40" s="15">
        <v>25.581395348837201</v>
      </c>
      <c r="P40" s="15">
        <v>11.2676056338028</v>
      </c>
      <c r="Q40" s="15">
        <v>12.6760563380282</v>
      </c>
      <c r="R40" s="20" t="s">
        <v>76</v>
      </c>
      <c r="S40" s="15">
        <v>14.634146341463399</v>
      </c>
      <c r="T40" s="20" t="s">
        <v>76</v>
      </c>
      <c r="U40" s="20" t="s">
        <v>76</v>
      </c>
      <c r="V40" s="20" t="s">
        <v>76</v>
      </c>
      <c r="W40" s="15">
        <v>20.338983050847499</v>
      </c>
      <c r="X40" s="20" t="s">
        <v>76</v>
      </c>
      <c r="Y40" s="20" t="s">
        <v>76</v>
      </c>
      <c r="Z40" s="15">
        <v>7.6923076923076898</v>
      </c>
      <c r="AA40" s="15">
        <v>18.348623853210999</v>
      </c>
      <c r="AB40" s="20" t="s">
        <v>76</v>
      </c>
      <c r="AC40" s="15">
        <v>8.3333333333333304</v>
      </c>
      <c r="AD40" s="15">
        <v>18.75</v>
      </c>
      <c r="AE40" s="20" t="s">
        <v>76</v>
      </c>
      <c r="AF40" s="20" t="s">
        <v>76</v>
      </c>
      <c r="AG40" s="15">
        <v>13.3333333333333</v>
      </c>
      <c r="AH40" s="15">
        <v>10.714285714285699</v>
      </c>
      <c r="AI40" s="20" t="s">
        <v>76</v>
      </c>
      <c r="AJ40" s="15">
        <v>18.918918918918902</v>
      </c>
      <c r="AK40" s="20" t="s">
        <v>76</v>
      </c>
      <c r="AL40" s="15">
        <v>13.3333333333333</v>
      </c>
      <c r="AM40" s="15">
        <v>21.875</v>
      </c>
      <c r="AN40" s="20" t="s">
        <v>76</v>
      </c>
      <c r="AO40" s="20" t="s">
        <v>76</v>
      </c>
      <c r="AP40" s="15">
        <v>16.883116883116902</v>
      </c>
      <c r="AQ40" s="20" t="s">
        <v>76</v>
      </c>
      <c r="AR40" s="15">
        <v>9.0909090909090899</v>
      </c>
      <c r="AS40" s="20" t="s">
        <v>76</v>
      </c>
      <c r="AT40" s="15">
        <v>15.384615384615399</v>
      </c>
      <c r="AU40" s="15">
        <v>16.326530612244898</v>
      </c>
      <c r="AV40" s="15">
        <v>6.8493150684931496</v>
      </c>
      <c r="AW40" s="15">
        <v>9.4827586206896601</v>
      </c>
      <c r="AX40" s="20" t="s">
        <v>76</v>
      </c>
      <c r="AY40" s="15">
        <v>14.285714285714301</v>
      </c>
      <c r="AZ40" s="15">
        <v>14</v>
      </c>
      <c r="BA40" s="15">
        <v>15.094339622641501</v>
      </c>
      <c r="BB40" s="15">
        <v>13.4328358208955</v>
      </c>
      <c r="BC40" s="15">
        <v>13.5135135135135</v>
      </c>
      <c r="BD40" s="15">
        <v>8.9743589743589691</v>
      </c>
      <c r="BE40" s="15">
        <v>20.689655172413801</v>
      </c>
      <c r="BF40" s="15">
        <v>16.867469879518101</v>
      </c>
      <c r="BG40" s="15">
        <v>8.9552238805970106</v>
      </c>
      <c r="BH40" s="20" t="s">
        <v>76</v>
      </c>
      <c r="BI40" s="20" t="s">
        <v>76</v>
      </c>
      <c r="BJ40" s="15">
        <v>10.714285714285699</v>
      </c>
      <c r="BK40" s="15">
        <v>12.5</v>
      </c>
      <c r="BL40" s="15">
        <v>8.59375</v>
      </c>
      <c r="BM40" s="15">
        <v>7.9207920792079198</v>
      </c>
      <c r="BN40" s="15">
        <v>16.806722689075599</v>
      </c>
      <c r="BO40" s="15">
        <v>16.6666666666667</v>
      </c>
      <c r="BP40" s="20" t="s">
        <v>76</v>
      </c>
      <c r="BQ40" s="15">
        <v>9.5890410958904102</v>
      </c>
      <c r="BR40" s="15">
        <v>10</v>
      </c>
      <c r="BS40" s="15">
        <v>10.8433734939759</v>
      </c>
      <c r="BT40" s="15">
        <v>15.853658536585399</v>
      </c>
      <c r="BU40" s="15">
        <v>15.887850467289701</v>
      </c>
      <c r="BV40" s="15">
        <v>14.141414141414099</v>
      </c>
      <c r="BW40" s="15">
        <v>10.144927536231901</v>
      </c>
      <c r="BX40" s="20" t="s">
        <v>76</v>
      </c>
      <c r="BY40" s="15">
        <v>19.047619047619001</v>
      </c>
      <c r="BZ40" s="15">
        <v>10.2040816326531</v>
      </c>
      <c r="CA40" s="32">
        <v>9.4279901950050498</v>
      </c>
      <c r="CB40" s="15">
        <v>6.38977635782748</v>
      </c>
      <c r="CC40" s="15">
        <v>11.0062893081761</v>
      </c>
      <c r="CD40" s="15">
        <v>5.8064516129032304</v>
      </c>
      <c r="CE40" s="20" t="s">
        <v>76</v>
      </c>
      <c r="CF40" s="15">
        <v>9.2814371257485</v>
      </c>
      <c r="CG40" s="15">
        <v>9.4972067039106101</v>
      </c>
      <c r="CH40" s="15">
        <v>8.6397058823529402</v>
      </c>
      <c r="CI40" s="15">
        <v>10.6776180698152</v>
      </c>
      <c r="CJ40" s="15">
        <v>12.156862745098</v>
      </c>
      <c r="CK40" s="15">
        <v>7.1748878923766801</v>
      </c>
      <c r="CL40" s="15">
        <v>10.303030303030299</v>
      </c>
      <c r="CM40" s="24">
        <v>9.2077087794432604</v>
      </c>
      <c r="CN40" s="37"/>
    </row>
    <row r="41" spans="1:92">
      <c r="A41" s="9" t="s">
        <v>296</v>
      </c>
      <c r="B41" s="35">
        <v>8.4257752529168908</v>
      </c>
      <c r="C41" s="32">
        <v>8.3014564207397203</v>
      </c>
      <c r="D41" s="32">
        <v>8.4488219911365494</v>
      </c>
      <c r="E41" s="32">
        <v>8.3011850541247796</v>
      </c>
      <c r="F41" s="20" t="s">
        <v>76</v>
      </c>
      <c r="G41" s="15">
        <v>35.294117647058798</v>
      </c>
      <c r="H41" s="20" t="s">
        <v>76</v>
      </c>
      <c r="I41" s="20" t="s">
        <v>76</v>
      </c>
      <c r="J41" s="15">
        <v>10.4166666666667</v>
      </c>
      <c r="K41" s="20" t="s">
        <v>76</v>
      </c>
      <c r="L41" s="20" t="s">
        <v>76</v>
      </c>
      <c r="M41" s="20" t="s">
        <v>76</v>
      </c>
      <c r="N41" s="20" t="s">
        <v>76</v>
      </c>
      <c r="O41" s="15">
        <v>18.604651162790699</v>
      </c>
      <c r="P41" s="15">
        <v>8.4507042253521103</v>
      </c>
      <c r="Q41" s="20" t="s">
        <v>76</v>
      </c>
      <c r="R41" s="20" t="s">
        <v>76</v>
      </c>
      <c r="S41" s="20" t="s">
        <v>76</v>
      </c>
      <c r="T41" s="20" t="s">
        <v>76</v>
      </c>
      <c r="U41" s="20" t="s">
        <v>76</v>
      </c>
      <c r="V41" s="20" t="s">
        <v>76</v>
      </c>
      <c r="W41" s="15">
        <v>10.1694915254237</v>
      </c>
      <c r="X41" s="20" t="s">
        <v>76</v>
      </c>
      <c r="Y41" s="20" t="s">
        <v>76</v>
      </c>
      <c r="Z41" s="15">
        <v>10.2564102564103</v>
      </c>
      <c r="AA41" s="15">
        <v>5.5045871559632999</v>
      </c>
      <c r="AB41" s="20" t="s">
        <v>76</v>
      </c>
      <c r="AC41" s="15">
        <v>6.8181818181818201</v>
      </c>
      <c r="AD41" s="20" t="s">
        <v>76</v>
      </c>
      <c r="AE41" s="20" t="s">
        <v>76</v>
      </c>
      <c r="AF41" s="20" t="s">
        <v>76</v>
      </c>
      <c r="AG41" s="15">
        <v>10.476190476190499</v>
      </c>
      <c r="AH41" s="20" t="s">
        <v>76</v>
      </c>
      <c r="AI41" s="20" t="s">
        <v>76</v>
      </c>
      <c r="AJ41" s="15">
        <v>7.20720720720721</v>
      </c>
      <c r="AK41" s="20" t="s">
        <v>76</v>
      </c>
      <c r="AL41" s="20" t="s">
        <v>76</v>
      </c>
      <c r="AM41" s="15">
        <v>18.75</v>
      </c>
      <c r="AN41" s="20" t="s">
        <v>76</v>
      </c>
      <c r="AO41" s="15">
        <v>15</v>
      </c>
      <c r="AP41" s="15">
        <v>15.5844155844156</v>
      </c>
      <c r="AQ41" s="20" t="s">
        <v>76</v>
      </c>
      <c r="AR41" s="15">
        <v>10.909090909090899</v>
      </c>
      <c r="AS41" s="20" t="s">
        <v>76</v>
      </c>
      <c r="AT41" s="20" t="s">
        <v>76</v>
      </c>
      <c r="AU41" s="15">
        <v>14.285714285714301</v>
      </c>
      <c r="AV41" s="20" t="s">
        <v>76</v>
      </c>
      <c r="AW41" s="15">
        <v>7.7586206896551699</v>
      </c>
      <c r="AX41" s="20" t="s">
        <v>76</v>
      </c>
      <c r="AY41" s="20" t="s">
        <v>76</v>
      </c>
      <c r="AZ41" s="20" t="s">
        <v>76</v>
      </c>
      <c r="BA41" s="15">
        <v>11.320754716981099</v>
      </c>
      <c r="BB41" s="20" t="s">
        <v>76</v>
      </c>
      <c r="BC41" s="15">
        <v>8.1081081081081106</v>
      </c>
      <c r="BD41" s="15">
        <v>6.4102564102564097</v>
      </c>
      <c r="BE41" s="20" t="s">
        <v>76</v>
      </c>
      <c r="BF41" s="15">
        <v>10.8433734939759</v>
      </c>
      <c r="BG41" s="20" t="s">
        <v>76</v>
      </c>
      <c r="BH41" s="20" t="s">
        <v>76</v>
      </c>
      <c r="BI41" s="20" t="s">
        <v>76</v>
      </c>
      <c r="BJ41" s="15">
        <v>6.25</v>
      </c>
      <c r="BK41" s="20" t="s">
        <v>76</v>
      </c>
      <c r="BL41" s="15">
        <v>14.0625</v>
      </c>
      <c r="BM41" s="15">
        <v>11.881188118811901</v>
      </c>
      <c r="BN41" s="15">
        <v>11.764705882352899</v>
      </c>
      <c r="BO41" s="15">
        <v>14.4444444444444</v>
      </c>
      <c r="BP41" s="20" t="s">
        <v>76</v>
      </c>
      <c r="BQ41" s="15">
        <v>8.2191780821917799</v>
      </c>
      <c r="BR41" s="20" t="s">
        <v>76</v>
      </c>
      <c r="BS41" s="15">
        <v>15.662650602409601</v>
      </c>
      <c r="BT41" s="15">
        <v>6.0975609756097597</v>
      </c>
      <c r="BU41" s="15">
        <v>6.5420560747663501</v>
      </c>
      <c r="BV41" s="15">
        <v>9.0909090909090899</v>
      </c>
      <c r="BW41" s="20" t="s">
        <v>76</v>
      </c>
      <c r="BX41" s="20" t="s">
        <v>76</v>
      </c>
      <c r="BY41" s="15">
        <v>12.698412698412699</v>
      </c>
      <c r="BZ41" s="15">
        <v>5.4421768707483</v>
      </c>
      <c r="CA41" s="32">
        <v>8.5680492507059398</v>
      </c>
      <c r="CB41" s="15">
        <v>8.9456869009584707</v>
      </c>
      <c r="CC41" s="15">
        <v>9.4339622641509404</v>
      </c>
      <c r="CD41" s="15">
        <v>10.9677419354839</v>
      </c>
      <c r="CE41" s="20" t="s">
        <v>76</v>
      </c>
      <c r="CF41" s="15">
        <v>7.1856287425149699</v>
      </c>
      <c r="CG41" s="15">
        <v>11.731843575418999</v>
      </c>
      <c r="CH41" s="15">
        <v>6.9852941176470598</v>
      </c>
      <c r="CI41" s="15">
        <v>7.8028747433264902</v>
      </c>
      <c r="CJ41" s="15">
        <v>11.372549019607799</v>
      </c>
      <c r="CK41" s="15">
        <v>6.2780269058296003</v>
      </c>
      <c r="CL41" s="15">
        <v>8.7878787878787907</v>
      </c>
      <c r="CM41" s="24">
        <v>11.349036402569601</v>
      </c>
      <c r="CN41" s="37"/>
    </row>
    <row r="42" spans="1:92">
      <c r="A42" s="9" t="s">
        <v>297</v>
      </c>
      <c r="B42" s="35">
        <v>8.64224629944494</v>
      </c>
      <c r="C42" s="32">
        <v>8.5592412431964195</v>
      </c>
      <c r="D42" s="32">
        <v>9.0120350167385705</v>
      </c>
      <c r="E42" s="32">
        <v>9.7361096142988597</v>
      </c>
      <c r="F42" s="20" t="s">
        <v>76</v>
      </c>
      <c r="G42" s="15">
        <v>35.294117647058798</v>
      </c>
      <c r="H42" s="20" t="s">
        <v>76</v>
      </c>
      <c r="I42" s="20" t="s">
        <v>76</v>
      </c>
      <c r="J42" s="15">
        <v>9.7222222222222197</v>
      </c>
      <c r="K42" s="20" t="s">
        <v>76</v>
      </c>
      <c r="L42" s="15">
        <v>13.1147540983607</v>
      </c>
      <c r="M42" s="15">
        <v>9.2105263157894708</v>
      </c>
      <c r="N42" s="15">
        <v>12.9411764705882</v>
      </c>
      <c r="O42" s="15">
        <v>11.6279069767442</v>
      </c>
      <c r="P42" s="15">
        <v>7.0422535211267601</v>
      </c>
      <c r="Q42" s="15">
        <v>8.4507042253521103</v>
      </c>
      <c r="R42" s="20" t="s">
        <v>76</v>
      </c>
      <c r="S42" s="20" t="s">
        <v>76</v>
      </c>
      <c r="T42" s="20" t="s">
        <v>76</v>
      </c>
      <c r="U42" s="20" t="s">
        <v>76</v>
      </c>
      <c r="V42" s="20" t="s">
        <v>76</v>
      </c>
      <c r="W42" s="15">
        <v>8.4745762711864394</v>
      </c>
      <c r="X42" s="20" t="s">
        <v>76</v>
      </c>
      <c r="Y42" s="20" t="s">
        <v>76</v>
      </c>
      <c r="Z42" s="20" t="s">
        <v>76</v>
      </c>
      <c r="AA42" s="15">
        <v>17.431192660550501</v>
      </c>
      <c r="AB42" s="15">
        <v>19.117647058823501</v>
      </c>
      <c r="AC42" s="15">
        <v>6.0606060606060597</v>
      </c>
      <c r="AD42" s="20" t="s">
        <v>76</v>
      </c>
      <c r="AE42" s="15">
        <v>18.518518518518501</v>
      </c>
      <c r="AF42" s="15">
        <v>35.714285714285701</v>
      </c>
      <c r="AG42" s="15">
        <v>5.71428571428571</v>
      </c>
      <c r="AH42" s="20" t="s">
        <v>76</v>
      </c>
      <c r="AI42" s="20" t="s">
        <v>76</v>
      </c>
      <c r="AJ42" s="15">
        <v>11.7117117117117</v>
      </c>
      <c r="AK42" s="15">
        <v>16.6666666666667</v>
      </c>
      <c r="AL42" s="15">
        <v>5.5555555555555598</v>
      </c>
      <c r="AM42" s="15">
        <v>10.9375</v>
      </c>
      <c r="AN42" s="20" t="s">
        <v>76</v>
      </c>
      <c r="AO42" s="20" t="s">
        <v>76</v>
      </c>
      <c r="AP42" s="15">
        <v>10.3896103896104</v>
      </c>
      <c r="AQ42" s="15">
        <v>12.8205128205128</v>
      </c>
      <c r="AR42" s="15">
        <v>18.181818181818201</v>
      </c>
      <c r="AS42" s="20" t="s">
        <v>76</v>
      </c>
      <c r="AT42" s="15">
        <v>10.7692307692308</v>
      </c>
      <c r="AU42" s="20" t="s">
        <v>76</v>
      </c>
      <c r="AV42" s="20" t="s">
        <v>76</v>
      </c>
      <c r="AW42" s="15">
        <v>11.2068965517241</v>
      </c>
      <c r="AX42" s="20" t="s">
        <v>76</v>
      </c>
      <c r="AY42" s="20" t="s">
        <v>76</v>
      </c>
      <c r="AZ42" s="20" t="s">
        <v>76</v>
      </c>
      <c r="BA42" s="20" t="s">
        <v>76</v>
      </c>
      <c r="BB42" s="20" t="s">
        <v>76</v>
      </c>
      <c r="BC42" s="15">
        <v>9.4594594594594597</v>
      </c>
      <c r="BD42" s="15">
        <v>10.2564102564103</v>
      </c>
      <c r="BE42" s="15">
        <v>12.0689655172414</v>
      </c>
      <c r="BF42" s="15">
        <v>13.253012048192801</v>
      </c>
      <c r="BG42" s="15">
        <v>11.9402985074627</v>
      </c>
      <c r="BH42" s="20" t="s">
        <v>76</v>
      </c>
      <c r="BI42" s="20" t="s">
        <v>76</v>
      </c>
      <c r="BJ42" s="15">
        <v>8.9285714285714306</v>
      </c>
      <c r="BK42" s="20" t="s">
        <v>76</v>
      </c>
      <c r="BL42" s="15">
        <v>10.15625</v>
      </c>
      <c r="BM42" s="15">
        <v>10.891089108910901</v>
      </c>
      <c r="BN42" s="15">
        <v>15.126050420168101</v>
      </c>
      <c r="BO42" s="15">
        <v>10</v>
      </c>
      <c r="BP42" s="20" t="s">
        <v>76</v>
      </c>
      <c r="BQ42" s="15">
        <v>10.958904109589</v>
      </c>
      <c r="BR42" s="15">
        <v>16.6666666666667</v>
      </c>
      <c r="BS42" s="15">
        <v>18.0722891566265</v>
      </c>
      <c r="BT42" s="15">
        <v>6.0975609756097597</v>
      </c>
      <c r="BU42" s="15">
        <v>6.5420560747663501</v>
      </c>
      <c r="BV42" s="15">
        <v>11.1111111111111</v>
      </c>
      <c r="BW42" s="20" t="s">
        <v>76</v>
      </c>
      <c r="BX42" s="20" t="s">
        <v>76</v>
      </c>
      <c r="BY42" s="20" t="s">
        <v>76</v>
      </c>
      <c r="BZ42" s="15">
        <v>6.8027210884353702</v>
      </c>
      <c r="CA42" s="32">
        <v>8.4272936116520896</v>
      </c>
      <c r="CB42" s="15">
        <v>7.9872204472843498</v>
      </c>
      <c r="CC42" s="15">
        <v>6.6037735849056602</v>
      </c>
      <c r="CD42" s="15">
        <v>7.0967741935483897</v>
      </c>
      <c r="CE42" s="20" t="s">
        <v>76</v>
      </c>
      <c r="CF42" s="15">
        <v>8.3832335329341294</v>
      </c>
      <c r="CG42" s="15">
        <v>12.290502793296101</v>
      </c>
      <c r="CH42" s="15">
        <v>7.5367647058823497</v>
      </c>
      <c r="CI42" s="15">
        <v>10.472279260780301</v>
      </c>
      <c r="CJ42" s="15">
        <v>12.9411764705882</v>
      </c>
      <c r="CK42" s="15">
        <v>9.4170403587443907</v>
      </c>
      <c r="CL42" s="15">
        <v>8.9393939393939394</v>
      </c>
      <c r="CM42" s="24">
        <v>5.99571734475375</v>
      </c>
      <c r="CN42" s="37"/>
    </row>
    <row r="43" spans="1:92">
      <c r="A43" s="9" t="s">
        <v>298</v>
      </c>
      <c r="B43" s="35">
        <v>5.04071518210396</v>
      </c>
      <c r="C43" s="32">
        <v>4.64970047276476</v>
      </c>
      <c r="D43" s="32">
        <v>4.3341601014970701</v>
      </c>
      <c r="E43" s="32">
        <v>4.8746290558676604</v>
      </c>
      <c r="F43" s="20" t="s">
        <v>76</v>
      </c>
      <c r="G43" s="20" t="s">
        <v>76</v>
      </c>
      <c r="H43" s="20" t="s">
        <v>76</v>
      </c>
      <c r="I43" s="20" t="s">
        <v>76</v>
      </c>
      <c r="J43" s="20" t="s">
        <v>76</v>
      </c>
      <c r="K43" s="20" t="s">
        <v>76</v>
      </c>
      <c r="L43" s="15">
        <v>8.1967213114754092</v>
      </c>
      <c r="M43" s="20" t="s">
        <v>76</v>
      </c>
      <c r="N43" s="15">
        <v>9.4117647058823497</v>
      </c>
      <c r="O43" s="15">
        <v>11.6279069767442</v>
      </c>
      <c r="P43" s="20" t="s">
        <v>76</v>
      </c>
      <c r="Q43" s="20" t="s">
        <v>76</v>
      </c>
      <c r="R43" s="20" t="s">
        <v>76</v>
      </c>
      <c r="S43" s="20" t="s">
        <v>76</v>
      </c>
      <c r="T43" s="20" t="s">
        <v>76</v>
      </c>
      <c r="U43" s="20" t="s">
        <v>76</v>
      </c>
      <c r="V43" s="20" t="s">
        <v>76</v>
      </c>
      <c r="W43" s="20" t="s">
        <v>76</v>
      </c>
      <c r="X43" s="20" t="s">
        <v>76</v>
      </c>
      <c r="Y43" s="20" t="s">
        <v>76</v>
      </c>
      <c r="Z43" s="20" t="s">
        <v>76</v>
      </c>
      <c r="AA43" s="15">
        <v>11.926605504587201</v>
      </c>
      <c r="AB43" s="20" t="s">
        <v>76</v>
      </c>
      <c r="AC43" s="20" t="s">
        <v>76</v>
      </c>
      <c r="AD43" s="20" t="s">
        <v>76</v>
      </c>
      <c r="AE43" s="20" t="s">
        <v>76</v>
      </c>
      <c r="AF43" s="20" t="s">
        <v>76</v>
      </c>
      <c r="AG43" s="15">
        <v>4.7619047619047601</v>
      </c>
      <c r="AH43" s="20" t="s">
        <v>76</v>
      </c>
      <c r="AI43" s="20" t="s">
        <v>76</v>
      </c>
      <c r="AJ43" s="15">
        <v>5.4054054054054097</v>
      </c>
      <c r="AK43" s="20" t="s">
        <v>76</v>
      </c>
      <c r="AL43" s="15">
        <v>5.5555555555555598</v>
      </c>
      <c r="AM43" s="15">
        <v>12.5</v>
      </c>
      <c r="AN43" s="20" t="s">
        <v>76</v>
      </c>
      <c r="AO43" s="15">
        <v>15</v>
      </c>
      <c r="AP43" s="15">
        <v>6.4935064935064899</v>
      </c>
      <c r="AQ43" s="20" t="s">
        <v>76</v>
      </c>
      <c r="AR43" s="20" t="s">
        <v>76</v>
      </c>
      <c r="AS43" s="20" t="s">
        <v>76</v>
      </c>
      <c r="AT43" s="20" t="s">
        <v>76</v>
      </c>
      <c r="AU43" s="20" t="s">
        <v>76</v>
      </c>
      <c r="AV43" s="20" t="s">
        <v>76</v>
      </c>
      <c r="AW43" s="20" t="s">
        <v>76</v>
      </c>
      <c r="AX43" s="20" t="s">
        <v>76</v>
      </c>
      <c r="AY43" s="20" t="s">
        <v>76</v>
      </c>
      <c r="AZ43" s="20" t="s">
        <v>76</v>
      </c>
      <c r="BA43" s="15">
        <v>9.4339622641509404</v>
      </c>
      <c r="BB43" s="20" t="s">
        <v>76</v>
      </c>
      <c r="BC43" s="20" t="s">
        <v>76</v>
      </c>
      <c r="BD43" s="20" t="s">
        <v>76</v>
      </c>
      <c r="BE43" s="20" t="s">
        <v>76</v>
      </c>
      <c r="BF43" s="20" t="s">
        <v>76</v>
      </c>
      <c r="BG43" s="15">
        <v>7.4626865671641802</v>
      </c>
      <c r="BH43" s="20" t="s">
        <v>76</v>
      </c>
      <c r="BI43" s="20" t="s">
        <v>76</v>
      </c>
      <c r="BJ43" s="15">
        <v>5.3571428571428603</v>
      </c>
      <c r="BK43" s="20" t="s">
        <v>76</v>
      </c>
      <c r="BL43" s="20" t="s">
        <v>76</v>
      </c>
      <c r="BM43" s="15">
        <v>6.9306930693069297</v>
      </c>
      <c r="BN43" s="15">
        <v>7.5630252100840298</v>
      </c>
      <c r="BO43" s="20" t="s">
        <v>76</v>
      </c>
      <c r="BP43" s="20" t="s">
        <v>76</v>
      </c>
      <c r="BQ43" s="20" t="s">
        <v>76</v>
      </c>
      <c r="BR43" s="20" t="s">
        <v>76</v>
      </c>
      <c r="BS43" s="15">
        <v>7.2289156626505999</v>
      </c>
      <c r="BT43" s="15">
        <v>6.0975609756097597</v>
      </c>
      <c r="BU43" s="20" t="s">
        <v>76</v>
      </c>
      <c r="BV43" s="20" t="s">
        <v>76</v>
      </c>
      <c r="BW43" s="20" t="s">
        <v>76</v>
      </c>
      <c r="BX43" s="20" t="s">
        <v>76</v>
      </c>
      <c r="BY43" s="15">
        <v>7.9365079365079403</v>
      </c>
      <c r="BZ43" s="20" t="s">
        <v>76</v>
      </c>
      <c r="CA43" s="32">
        <v>3.8976932279882601</v>
      </c>
      <c r="CB43" s="15">
        <v>4.47284345047923</v>
      </c>
      <c r="CC43" s="15">
        <v>3.7735849056603801</v>
      </c>
      <c r="CD43" s="20" t="s">
        <v>76</v>
      </c>
      <c r="CE43" s="20" t="s">
        <v>76</v>
      </c>
      <c r="CF43" s="15">
        <v>5.9880239520958103</v>
      </c>
      <c r="CG43" s="15">
        <v>3.91061452513966</v>
      </c>
      <c r="CH43" s="15">
        <v>3.3088235294117601</v>
      </c>
      <c r="CI43" s="15">
        <v>2.0533880903490802</v>
      </c>
      <c r="CJ43" s="15">
        <v>3.52941176470588</v>
      </c>
      <c r="CK43" s="15">
        <v>2.6905829596412598</v>
      </c>
      <c r="CL43" s="15">
        <v>3.48484848484848</v>
      </c>
      <c r="CM43" s="24">
        <v>5.7815845824411101</v>
      </c>
      <c r="CN43" s="37"/>
    </row>
    <row r="44" spans="1:92">
      <c r="A44" s="9" t="s">
        <v>299</v>
      </c>
      <c r="B44" s="35">
        <v>4.2750869581579201</v>
      </c>
      <c r="C44" s="32">
        <v>4.0666296394674299</v>
      </c>
      <c r="D44" s="32">
        <v>4.0774986732355103</v>
      </c>
      <c r="E44" s="32">
        <v>5.1944359066074304</v>
      </c>
      <c r="F44" s="20" t="s">
        <v>76</v>
      </c>
      <c r="G44" s="20" t="s">
        <v>76</v>
      </c>
      <c r="H44" s="20" t="s">
        <v>76</v>
      </c>
      <c r="I44" s="20" t="s">
        <v>76</v>
      </c>
      <c r="J44" s="15">
        <v>4.1666666666666696</v>
      </c>
      <c r="K44" s="20" t="s">
        <v>76</v>
      </c>
      <c r="L44" s="20" t="s">
        <v>76</v>
      </c>
      <c r="M44" s="15">
        <v>6.5789473684210504</v>
      </c>
      <c r="N44" s="20" t="s">
        <v>76</v>
      </c>
      <c r="O44" s="20" t="s">
        <v>76</v>
      </c>
      <c r="P44" s="15">
        <v>7.0422535211267601</v>
      </c>
      <c r="Q44" s="20" t="s">
        <v>76</v>
      </c>
      <c r="R44" s="20" t="s">
        <v>76</v>
      </c>
      <c r="S44" s="20" t="s">
        <v>76</v>
      </c>
      <c r="T44" s="20" t="s">
        <v>76</v>
      </c>
      <c r="U44" s="20" t="s">
        <v>76</v>
      </c>
      <c r="V44" s="20" t="s">
        <v>76</v>
      </c>
      <c r="W44" s="20" t="s">
        <v>76</v>
      </c>
      <c r="X44" s="20" t="s">
        <v>76</v>
      </c>
      <c r="Y44" s="20" t="s">
        <v>76</v>
      </c>
      <c r="Z44" s="20" t="s">
        <v>76</v>
      </c>
      <c r="AA44" s="15">
        <v>6.4220183486238502</v>
      </c>
      <c r="AB44" s="20" t="s">
        <v>76</v>
      </c>
      <c r="AC44" s="15">
        <v>4.5454545454545396</v>
      </c>
      <c r="AD44" s="20" t="s">
        <v>76</v>
      </c>
      <c r="AE44" s="20" t="s">
        <v>76</v>
      </c>
      <c r="AF44" s="20" t="s">
        <v>76</v>
      </c>
      <c r="AG44" s="15">
        <v>4.7619047619047601</v>
      </c>
      <c r="AH44" s="20" t="s">
        <v>76</v>
      </c>
      <c r="AI44" s="20" t="s">
        <v>76</v>
      </c>
      <c r="AJ44" s="15">
        <v>4.5045045045045002</v>
      </c>
      <c r="AK44" s="20" t="s">
        <v>76</v>
      </c>
      <c r="AL44" s="20" t="s">
        <v>76</v>
      </c>
      <c r="AM44" s="15">
        <v>15.625</v>
      </c>
      <c r="AN44" s="20" t="s">
        <v>76</v>
      </c>
      <c r="AO44" s="20" t="s">
        <v>76</v>
      </c>
      <c r="AP44" s="20" t="s">
        <v>76</v>
      </c>
      <c r="AQ44" s="20" t="s">
        <v>76</v>
      </c>
      <c r="AR44" s="15">
        <v>16.363636363636399</v>
      </c>
      <c r="AS44" s="20" t="s">
        <v>76</v>
      </c>
      <c r="AT44" s="20" t="s">
        <v>76</v>
      </c>
      <c r="AU44" s="20" t="s">
        <v>76</v>
      </c>
      <c r="AV44" s="20" t="s">
        <v>76</v>
      </c>
      <c r="AW44" s="15">
        <v>8.6206896551724093</v>
      </c>
      <c r="AX44" s="20" t="s">
        <v>76</v>
      </c>
      <c r="AY44" s="20" t="s">
        <v>76</v>
      </c>
      <c r="AZ44" s="20" t="s">
        <v>76</v>
      </c>
      <c r="BA44" s="20" t="s">
        <v>76</v>
      </c>
      <c r="BB44" s="20" t="s">
        <v>76</v>
      </c>
      <c r="BC44" s="15">
        <v>8.1081081081081106</v>
      </c>
      <c r="BD44" s="15">
        <v>7.6923076923076898</v>
      </c>
      <c r="BE44" s="20" t="s">
        <v>76</v>
      </c>
      <c r="BF44" s="20" t="s">
        <v>76</v>
      </c>
      <c r="BG44" s="20" t="s">
        <v>76</v>
      </c>
      <c r="BH44" s="20" t="s">
        <v>76</v>
      </c>
      <c r="BI44" s="20" t="s">
        <v>76</v>
      </c>
      <c r="BJ44" s="20" t="s">
        <v>76</v>
      </c>
      <c r="BK44" s="20" t="s">
        <v>76</v>
      </c>
      <c r="BL44" s="15">
        <v>11.71875</v>
      </c>
      <c r="BM44" s="20" t="s">
        <v>76</v>
      </c>
      <c r="BN44" s="15">
        <v>9.2436974789915993</v>
      </c>
      <c r="BO44" s="20" t="s">
        <v>76</v>
      </c>
      <c r="BP44" s="20" t="s">
        <v>76</v>
      </c>
      <c r="BQ44" s="15">
        <v>6.8493150684931496</v>
      </c>
      <c r="BR44" s="15">
        <v>8.3333333333333304</v>
      </c>
      <c r="BS44" s="15">
        <v>8.4337349397590398</v>
      </c>
      <c r="BT44" s="20" t="s">
        <v>76</v>
      </c>
      <c r="BU44" s="15">
        <v>4.6728971962616797</v>
      </c>
      <c r="BV44" s="20" t="s">
        <v>76</v>
      </c>
      <c r="BW44" s="20" t="s">
        <v>76</v>
      </c>
      <c r="BX44" s="20" t="s">
        <v>76</v>
      </c>
      <c r="BY44" s="20" t="s">
        <v>76</v>
      </c>
      <c r="BZ44" s="15">
        <v>6.12244897959184</v>
      </c>
      <c r="CA44" s="32">
        <v>3.1754929276452701</v>
      </c>
      <c r="CB44" s="20" t="s">
        <v>76</v>
      </c>
      <c r="CC44" s="15">
        <v>6.2893081761006302</v>
      </c>
      <c r="CD44" s="20" t="s">
        <v>76</v>
      </c>
      <c r="CE44" s="20" t="s">
        <v>76</v>
      </c>
      <c r="CF44" s="15">
        <v>3.2934131736526902</v>
      </c>
      <c r="CG44" s="20" t="s">
        <v>76</v>
      </c>
      <c r="CH44" s="15">
        <v>3.3088235294117601</v>
      </c>
      <c r="CI44" s="15">
        <v>3.0800821355236101</v>
      </c>
      <c r="CJ44" s="20" t="s">
        <v>76</v>
      </c>
      <c r="CK44" s="15">
        <v>2.6905829596412598</v>
      </c>
      <c r="CL44" s="15">
        <v>2.4242424242424199</v>
      </c>
      <c r="CM44" s="24">
        <v>4.9250535331905798</v>
      </c>
      <c r="CN44" s="37"/>
    </row>
    <row r="45" spans="1:92">
      <c r="A45" s="9" t="s">
        <v>300</v>
      </c>
      <c r="B45" s="35">
        <v>9.4786400672536804</v>
      </c>
      <c r="C45" s="32">
        <v>9.4646857799728394</v>
      </c>
      <c r="D45" s="32">
        <v>9.4081513130329402</v>
      </c>
      <c r="E45" s="32">
        <v>10.995200415767499</v>
      </c>
      <c r="F45" s="20" t="s">
        <v>76</v>
      </c>
      <c r="G45" s="15">
        <v>35.294117647058798</v>
      </c>
      <c r="H45" s="20" t="s">
        <v>76</v>
      </c>
      <c r="I45" s="20" t="s">
        <v>76</v>
      </c>
      <c r="J45" s="15">
        <v>9.0277777777777803</v>
      </c>
      <c r="K45" s="20" t="s">
        <v>76</v>
      </c>
      <c r="L45" s="15">
        <v>13.1147540983607</v>
      </c>
      <c r="M45" s="15">
        <v>14.473684210526301</v>
      </c>
      <c r="N45" s="15">
        <v>14.117647058823501</v>
      </c>
      <c r="O45" s="15">
        <v>11.6279069767442</v>
      </c>
      <c r="P45" s="15">
        <v>7.0422535211267601</v>
      </c>
      <c r="Q45" s="15">
        <v>9.8591549295774694</v>
      </c>
      <c r="R45" s="20" t="s">
        <v>76</v>
      </c>
      <c r="S45" s="15">
        <v>12.1951219512195</v>
      </c>
      <c r="T45" s="20" t="s">
        <v>76</v>
      </c>
      <c r="U45" s="20" t="s">
        <v>76</v>
      </c>
      <c r="V45" s="20" t="s">
        <v>76</v>
      </c>
      <c r="W45" s="15">
        <v>10.1694915254237</v>
      </c>
      <c r="X45" s="20" t="s">
        <v>76</v>
      </c>
      <c r="Y45" s="20" t="s">
        <v>76</v>
      </c>
      <c r="Z45" s="15">
        <v>7.6923076923076898</v>
      </c>
      <c r="AA45" s="15">
        <v>21.100917431192698</v>
      </c>
      <c r="AB45" s="15">
        <v>13.235294117647101</v>
      </c>
      <c r="AC45" s="15">
        <v>11.363636363636401</v>
      </c>
      <c r="AD45" s="20" t="s">
        <v>76</v>
      </c>
      <c r="AE45" s="20" t="s">
        <v>76</v>
      </c>
      <c r="AF45" s="20" t="s">
        <v>76</v>
      </c>
      <c r="AG45" s="15">
        <v>5.71428571428571</v>
      </c>
      <c r="AH45" s="20" t="s">
        <v>76</v>
      </c>
      <c r="AI45" s="20" t="s">
        <v>76</v>
      </c>
      <c r="AJ45" s="15">
        <v>14.4144144144144</v>
      </c>
      <c r="AK45" s="20" t="s">
        <v>76</v>
      </c>
      <c r="AL45" s="15">
        <v>8.8888888888888893</v>
      </c>
      <c r="AM45" s="15">
        <v>14.0625</v>
      </c>
      <c r="AN45" s="20" t="s">
        <v>76</v>
      </c>
      <c r="AO45" s="20" t="s">
        <v>76</v>
      </c>
      <c r="AP45" s="15">
        <v>15.5844155844156</v>
      </c>
      <c r="AQ45" s="15">
        <v>12.8205128205128</v>
      </c>
      <c r="AR45" s="15">
        <v>18.181818181818201</v>
      </c>
      <c r="AS45" s="20" t="s">
        <v>76</v>
      </c>
      <c r="AT45" s="15">
        <v>10.7692307692308</v>
      </c>
      <c r="AU45" s="15">
        <v>12.244897959183699</v>
      </c>
      <c r="AV45" s="20" t="s">
        <v>76</v>
      </c>
      <c r="AW45" s="15">
        <v>12.9310344827586</v>
      </c>
      <c r="AX45" s="20" t="s">
        <v>76</v>
      </c>
      <c r="AY45" s="15">
        <v>17.1428571428571</v>
      </c>
      <c r="AZ45" s="15">
        <v>16</v>
      </c>
      <c r="BA45" s="15">
        <v>9.4339622641509404</v>
      </c>
      <c r="BB45" s="20" t="s">
        <v>76</v>
      </c>
      <c r="BC45" s="15">
        <v>12.1621621621622</v>
      </c>
      <c r="BD45" s="15">
        <v>8.9743589743589691</v>
      </c>
      <c r="BE45" s="15">
        <v>12.0689655172414</v>
      </c>
      <c r="BF45" s="15">
        <v>12.048192771084301</v>
      </c>
      <c r="BG45" s="15">
        <v>13.4328358208955</v>
      </c>
      <c r="BH45" s="20" t="s">
        <v>76</v>
      </c>
      <c r="BI45" s="20" t="s">
        <v>76</v>
      </c>
      <c r="BJ45" s="15">
        <v>10.714285714285699</v>
      </c>
      <c r="BK45" s="20" t="s">
        <v>76</v>
      </c>
      <c r="BL45" s="15">
        <v>7.8125</v>
      </c>
      <c r="BM45" s="15">
        <v>8.9108910891089099</v>
      </c>
      <c r="BN45" s="15">
        <v>11.764705882352899</v>
      </c>
      <c r="BO45" s="15">
        <v>8.8888888888888893</v>
      </c>
      <c r="BP45" s="20" t="s">
        <v>76</v>
      </c>
      <c r="BQ45" s="15">
        <v>6.8493150684931496</v>
      </c>
      <c r="BR45" s="20" t="s">
        <v>76</v>
      </c>
      <c r="BS45" s="15">
        <v>16.867469879518101</v>
      </c>
      <c r="BT45" s="15">
        <v>14.634146341463399</v>
      </c>
      <c r="BU45" s="15">
        <v>16.822429906542101</v>
      </c>
      <c r="BV45" s="15">
        <v>17.171717171717201</v>
      </c>
      <c r="BW45" s="20" t="s">
        <v>76</v>
      </c>
      <c r="BX45" s="20" t="s">
        <v>76</v>
      </c>
      <c r="BY45" s="15">
        <v>11.1111111111111</v>
      </c>
      <c r="BZ45" s="15">
        <v>7.4829931972789101</v>
      </c>
      <c r="CA45" s="32">
        <v>8.1264970119414102</v>
      </c>
      <c r="CB45" s="15">
        <v>6.38977635782748</v>
      </c>
      <c r="CC45" s="15">
        <v>9.4339622641509404</v>
      </c>
      <c r="CD45" s="15">
        <v>6.4516129032258096</v>
      </c>
      <c r="CE45" s="20" t="s">
        <v>76</v>
      </c>
      <c r="CF45" s="15">
        <v>9.5808383233532908</v>
      </c>
      <c r="CG45" s="15">
        <v>15.6424581005587</v>
      </c>
      <c r="CH45" s="15">
        <v>6.25</v>
      </c>
      <c r="CI45" s="15">
        <v>8.2135523613962995</v>
      </c>
      <c r="CJ45" s="15">
        <v>8.62745098039216</v>
      </c>
      <c r="CK45" s="15">
        <v>8.52017937219731</v>
      </c>
      <c r="CL45" s="15">
        <v>9.2424242424242404</v>
      </c>
      <c r="CM45" s="24">
        <v>8.1370449678800796</v>
      </c>
      <c r="CN45" s="37"/>
    </row>
    <row r="46" spans="1:92">
      <c r="A46" s="9" t="s">
        <v>301</v>
      </c>
      <c r="B46" s="35">
        <v>12.134961699338399</v>
      </c>
      <c r="C46" s="32">
        <v>12.135224378193101</v>
      </c>
      <c r="D46" s="32">
        <v>11.8772775203743</v>
      </c>
      <c r="E46" s="32">
        <v>14.462472105781799</v>
      </c>
      <c r="F46" s="20" t="s">
        <v>76</v>
      </c>
      <c r="G46" s="15">
        <v>35.294117647058798</v>
      </c>
      <c r="H46" s="20" t="s">
        <v>76</v>
      </c>
      <c r="I46" s="20" t="s">
        <v>76</v>
      </c>
      <c r="J46" s="15">
        <v>25</v>
      </c>
      <c r="K46" s="15">
        <v>20.5128205128205</v>
      </c>
      <c r="L46" s="15">
        <v>26.229508196721302</v>
      </c>
      <c r="M46" s="15">
        <v>15.789473684210501</v>
      </c>
      <c r="N46" s="15">
        <v>21.176470588235301</v>
      </c>
      <c r="O46" s="15">
        <v>23.255813953488399</v>
      </c>
      <c r="P46" s="15">
        <v>11.2676056338028</v>
      </c>
      <c r="Q46" s="15">
        <v>12.6760563380282</v>
      </c>
      <c r="R46" s="15">
        <v>19.230769230769202</v>
      </c>
      <c r="S46" s="15">
        <v>14.634146341463399</v>
      </c>
      <c r="T46" s="20" t="s">
        <v>76</v>
      </c>
      <c r="U46" s="15">
        <v>23.8095238095238</v>
      </c>
      <c r="V46" s="20" t="s">
        <v>76</v>
      </c>
      <c r="W46" s="15">
        <v>11.864406779661</v>
      </c>
      <c r="X46" s="20" t="s">
        <v>76</v>
      </c>
      <c r="Y46" s="20" t="s">
        <v>76</v>
      </c>
      <c r="Z46" s="20" t="s">
        <v>76</v>
      </c>
      <c r="AA46" s="15">
        <v>21.100917431192698</v>
      </c>
      <c r="AB46" s="15">
        <v>14.705882352941201</v>
      </c>
      <c r="AC46" s="15">
        <v>11.363636363636401</v>
      </c>
      <c r="AD46" s="15">
        <v>34.375</v>
      </c>
      <c r="AE46" s="20" t="s">
        <v>76</v>
      </c>
      <c r="AF46" s="20" t="s">
        <v>76</v>
      </c>
      <c r="AG46" s="15">
        <v>16.1904761904762</v>
      </c>
      <c r="AH46" s="20" t="s">
        <v>76</v>
      </c>
      <c r="AI46" s="20" t="s">
        <v>76</v>
      </c>
      <c r="AJ46" s="15">
        <v>15.315315315315299</v>
      </c>
      <c r="AK46" s="15">
        <v>16.6666666666667</v>
      </c>
      <c r="AL46" s="15">
        <v>13.3333333333333</v>
      </c>
      <c r="AM46" s="15">
        <v>21.875</v>
      </c>
      <c r="AN46" s="20" t="s">
        <v>76</v>
      </c>
      <c r="AO46" s="20" t="s">
        <v>76</v>
      </c>
      <c r="AP46" s="15">
        <v>12.987012987012999</v>
      </c>
      <c r="AQ46" s="20" t="s">
        <v>76</v>
      </c>
      <c r="AR46" s="15">
        <v>14.545454545454501</v>
      </c>
      <c r="AS46" s="20" t="s">
        <v>76</v>
      </c>
      <c r="AT46" s="20" t="s">
        <v>76</v>
      </c>
      <c r="AU46" s="15">
        <v>10.2040816326531</v>
      </c>
      <c r="AV46" s="15">
        <v>10.958904109589</v>
      </c>
      <c r="AW46" s="15">
        <v>10.3448275862069</v>
      </c>
      <c r="AX46" s="20" t="s">
        <v>76</v>
      </c>
      <c r="AY46" s="15">
        <v>22.8571428571429</v>
      </c>
      <c r="AZ46" s="15">
        <v>18</v>
      </c>
      <c r="BA46" s="15">
        <v>15.094339622641501</v>
      </c>
      <c r="BB46" s="15">
        <v>16.417910447761201</v>
      </c>
      <c r="BC46" s="15">
        <v>10.8108108108108</v>
      </c>
      <c r="BD46" s="15">
        <v>7.6923076923076898</v>
      </c>
      <c r="BE46" s="15">
        <v>18.965517241379299</v>
      </c>
      <c r="BF46" s="15">
        <v>13.253012048192801</v>
      </c>
      <c r="BG46" s="15">
        <v>13.4328358208955</v>
      </c>
      <c r="BH46" s="20" t="s">
        <v>76</v>
      </c>
      <c r="BI46" s="20" t="s">
        <v>76</v>
      </c>
      <c r="BJ46" s="15">
        <v>13.3928571428571</v>
      </c>
      <c r="BK46" s="20" t="s">
        <v>76</v>
      </c>
      <c r="BL46" s="15">
        <v>12.5</v>
      </c>
      <c r="BM46" s="15">
        <v>18.8118811881188</v>
      </c>
      <c r="BN46" s="15">
        <v>13.445378151260501</v>
      </c>
      <c r="BO46" s="15">
        <v>18.8888888888889</v>
      </c>
      <c r="BP46" s="20" t="s">
        <v>76</v>
      </c>
      <c r="BQ46" s="15">
        <v>13.698630136986299</v>
      </c>
      <c r="BR46" s="15">
        <v>13.3333333333333</v>
      </c>
      <c r="BS46" s="15">
        <v>18.0722891566265</v>
      </c>
      <c r="BT46" s="15">
        <v>13.4146341463415</v>
      </c>
      <c r="BU46" s="15">
        <v>16.822429906542101</v>
      </c>
      <c r="BV46" s="15">
        <v>15.1515151515152</v>
      </c>
      <c r="BW46" s="15">
        <v>7.2463768115942004</v>
      </c>
      <c r="BX46" s="20" t="s">
        <v>76</v>
      </c>
      <c r="BY46" s="15">
        <v>14.285714285714301</v>
      </c>
      <c r="BZ46" s="15">
        <v>14.285714285714301</v>
      </c>
      <c r="CA46" s="32">
        <v>9.7895502069362994</v>
      </c>
      <c r="CB46" s="15">
        <v>9.5846645367412204</v>
      </c>
      <c r="CC46" s="15">
        <v>11.6352201257862</v>
      </c>
      <c r="CD46" s="15">
        <v>10.322580645161301</v>
      </c>
      <c r="CE46" s="20" t="s">
        <v>76</v>
      </c>
      <c r="CF46" s="15">
        <v>12.275449101796401</v>
      </c>
      <c r="CG46" s="15">
        <v>12.290502793296101</v>
      </c>
      <c r="CH46" s="15">
        <v>8.6397058823529402</v>
      </c>
      <c r="CI46" s="15">
        <v>10.2669404517454</v>
      </c>
      <c r="CJ46" s="15">
        <v>10.588235294117601</v>
      </c>
      <c r="CK46" s="15">
        <v>11.6591928251121</v>
      </c>
      <c r="CL46" s="15">
        <v>7.7272727272727302</v>
      </c>
      <c r="CM46" s="24">
        <v>9.8501070663811596</v>
      </c>
      <c r="CN46" s="37"/>
    </row>
    <row r="47" spans="1:92">
      <c r="A47" s="9" t="s">
        <v>302</v>
      </c>
      <c r="B47" s="35">
        <v>16.396052662636802</v>
      </c>
      <c r="C47" s="32">
        <v>16.417575132437999</v>
      </c>
      <c r="D47" s="32">
        <v>16.724263121314198</v>
      </c>
      <c r="E47" s="32">
        <v>17.684249569428601</v>
      </c>
      <c r="F47" s="20" t="s">
        <v>76</v>
      </c>
      <c r="G47" s="15">
        <v>47.058823529411796</v>
      </c>
      <c r="H47" s="20" t="s">
        <v>76</v>
      </c>
      <c r="I47" s="20" t="s">
        <v>76</v>
      </c>
      <c r="J47" s="15">
        <v>19.4444444444444</v>
      </c>
      <c r="K47" s="15">
        <v>12.8205128205128</v>
      </c>
      <c r="L47" s="15">
        <v>18.032786885245901</v>
      </c>
      <c r="M47" s="15">
        <v>27.6315789473684</v>
      </c>
      <c r="N47" s="15">
        <v>27.0588235294118</v>
      </c>
      <c r="O47" s="15">
        <v>25.581395348837201</v>
      </c>
      <c r="P47" s="20" t="s">
        <v>76</v>
      </c>
      <c r="Q47" s="15">
        <v>19.7183098591549</v>
      </c>
      <c r="R47" s="20" t="s">
        <v>76</v>
      </c>
      <c r="S47" s="15">
        <v>14.634146341463399</v>
      </c>
      <c r="T47" s="15">
        <v>10.4166666666667</v>
      </c>
      <c r="U47" s="20" t="s">
        <v>76</v>
      </c>
      <c r="V47" s="20" t="s">
        <v>76</v>
      </c>
      <c r="W47" s="15">
        <v>15.254237288135601</v>
      </c>
      <c r="X47" s="20" t="s">
        <v>76</v>
      </c>
      <c r="Y47" s="20" t="s">
        <v>76</v>
      </c>
      <c r="Z47" s="15">
        <v>12.8205128205128</v>
      </c>
      <c r="AA47" s="15">
        <v>26.605504587155998</v>
      </c>
      <c r="AB47" s="15">
        <v>22.0588235294118</v>
      </c>
      <c r="AC47" s="15">
        <v>18.939393939393899</v>
      </c>
      <c r="AD47" s="15">
        <v>21.875</v>
      </c>
      <c r="AE47" s="20" t="s">
        <v>76</v>
      </c>
      <c r="AF47" s="20" t="s">
        <v>76</v>
      </c>
      <c r="AG47" s="15">
        <v>10.476190476190499</v>
      </c>
      <c r="AH47" s="15">
        <v>12.5</v>
      </c>
      <c r="AI47" s="20" t="s">
        <v>76</v>
      </c>
      <c r="AJ47" s="15">
        <v>21.6216216216216</v>
      </c>
      <c r="AK47" s="15">
        <v>20</v>
      </c>
      <c r="AL47" s="15">
        <v>7.7777777777777803</v>
      </c>
      <c r="AM47" s="15">
        <v>20.3125</v>
      </c>
      <c r="AN47" s="20" t="s">
        <v>76</v>
      </c>
      <c r="AO47" s="15">
        <v>17.5</v>
      </c>
      <c r="AP47" s="15">
        <v>18.181818181818201</v>
      </c>
      <c r="AQ47" s="15">
        <v>12.8205128205128</v>
      </c>
      <c r="AR47" s="15">
        <v>40</v>
      </c>
      <c r="AS47" s="20" t="s">
        <v>76</v>
      </c>
      <c r="AT47" s="15">
        <v>23.076923076923102</v>
      </c>
      <c r="AU47" s="15">
        <v>10.2040816326531</v>
      </c>
      <c r="AV47" s="15">
        <v>8.2191780821917799</v>
      </c>
      <c r="AW47" s="15">
        <v>17.241379310344801</v>
      </c>
      <c r="AX47" s="20" t="s">
        <v>76</v>
      </c>
      <c r="AY47" s="15">
        <v>25.714285714285701</v>
      </c>
      <c r="AZ47" s="15">
        <v>28</v>
      </c>
      <c r="BA47" s="15">
        <v>18.867924528301899</v>
      </c>
      <c r="BB47" s="15">
        <v>7.4626865671641802</v>
      </c>
      <c r="BC47" s="15">
        <v>10.8108108108108</v>
      </c>
      <c r="BD47" s="15">
        <v>10.2564102564103</v>
      </c>
      <c r="BE47" s="15">
        <v>36.2068965517241</v>
      </c>
      <c r="BF47" s="15">
        <v>20.481927710843401</v>
      </c>
      <c r="BG47" s="15">
        <v>23.880597014925399</v>
      </c>
      <c r="BH47" s="15">
        <v>20.8333333333333</v>
      </c>
      <c r="BI47" s="20" t="s">
        <v>76</v>
      </c>
      <c r="BJ47" s="15">
        <v>16.964285714285701</v>
      </c>
      <c r="BK47" s="20" t="s">
        <v>76</v>
      </c>
      <c r="BL47" s="15">
        <v>16.40625</v>
      </c>
      <c r="BM47" s="15">
        <v>15.841584158415801</v>
      </c>
      <c r="BN47" s="15">
        <v>31.092436974789901</v>
      </c>
      <c r="BO47" s="15">
        <v>16.6666666666667</v>
      </c>
      <c r="BP47" s="20" t="s">
        <v>76</v>
      </c>
      <c r="BQ47" s="15">
        <v>12.328767123287699</v>
      </c>
      <c r="BR47" s="15">
        <v>23.3333333333333</v>
      </c>
      <c r="BS47" s="15">
        <v>20.481927710843401</v>
      </c>
      <c r="BT47" s="15">
        <v>14.634146341463399</v>
      </c>
      <c r="BU47" s="15">
        <v>14.018691588785</v>
      </c>
      <c r="BV47" s="15">
        <v>21.2121212121212</v>
      </c>
      <c r="BW47" s="15">
        <v>10.144927536231901</v>
      </c>
      <c r="BX47" s="20" t="s">
        <v>76</v>
      </c>
      <c r="BY47" s="15">
        <v>14.285714285714301</v>
      </c>
      <c r="BZ47" s="15">
        <v>18.367346938775501</v>
      </c>
      <c r="CA47" s="32">
        <v>15.949006225925499</v>
      </c>
      <c r="CB47" s="15">
        <v>12.4600638977636</v>
      </c>
      <c r="CC47" s="15">
        <v>17.295597484276701</v>
      </c>
      <c r="CD47" s="15">
        <v>17.419354838709701</v>
      </c>
      <c r="CE47" s="20" t="s">
        <v>76</v>
      </c>
      <c r="CF47" s="15">
        <v>15.868263473053901</v>
      </c>
      <c r="CG47" s="15">
        <v>20.670391061452499</v>
      </c>
      <c r="CH47" s="15">
        <v>13.602941176470599</v>
      </c>
      <c r="CI47" s="15">
        <v>18.0698151950719</v>
      </c>
      <c r="CJ47" s="15">
        <v>10.980392156862701</v>
      </c>
      <c r="CK47" s="15">
        <v>16.5919282511211</v>
      </c>
      <c r="CL47" s="15">
        <v>15.303030303030299</v>
      </c>
      <c r="CM47" s="24">
        <v>18.415417558886499</v>
      </c>
      <c r="CN47" s="37"/>
    </row>
    <row r="48" spans="1:92">
      <c r="A48" s="9" t="s">
        <v>303</v>
      </c>
      <c r="B48" s="35">
        <v>8.0721542520431093</v>
      </c>
      <c r="C48" s="32">
        <v>7.8046431174528399</v>
      </c>
      <c r="D48" s="32">
        <v>8.0986274997466907</v>
      </c>
      <c r="E48" s="32">
        <v>8.6474800195996693</v>
      </c>
      <c r="F48" s="20" t="s">
        <v>76</v>
      </c>
      <c r="G48" s="15">
        <v>29.411764705882401</v>
      </c>
      <c r="H48" s="20" t="s">
        <v>76</v>
      </c>
      <c r="I48" s="20" t="s">
        <v>76</v>
      </c>
      <c r="J48" s="15">
        <v>4.8611111111111098</v>
      </c>
      <c r="K48" s="20" t="s">
        <v>76</v>
      </c>
      <c r="L48" s="15">
        <v>9.8360655737704903</v>
      </c>
      <c r="M48" s="15">
        <v>22.3684210526316</v>
      </c>
      <c r="N48" s="15">
        <v>11.764705882352899</v>
      </c>
      <c r="O48" s="15">
        <v>18.604651162790699</v>
      </c>
      <c r="P48" s="15">
        <v>7.0422535211267601</v>
      </c>
      <c r="Q48" s="15">
        <v>9.8591549295774694</v>
      </c>
      <c r="R48" s="20" t="s">
        <v>76</v>
      </c>
      <c r="S48" s="15">
        <v>14.634146341463399</v>
      </c>
      <c r="T48" s="20" t="s">
        <v>76</v>
      </c>
      <c r="U48" s="20" t="s">
        <v>76</v>
      </c>
      <c r="V48" s="20" t="s">
        <v>76</v>
      </c>
      <c r="W48" s="15">
        <v>8.4745762711864394</v>
      </c>
      <c r="X48" s="20" t="s">
        <v>76</v>
      </c>
      <c r="Y48" s="20" t="s">
        <v>76</v>
      </c>
      <c r="Z48" s="15">
        <v>7.6923076923076898</v>
      </c>
      <c r="AA48" s="15">
        <v>16.5137614678899</v>
      </c>
      <c r="AB48" s="20" t="s">
        <v>76</v>
      </c>
      <c r="AC48" s="15">
        <v>8.3333333333333304</v>
      </c>
      <c r="AD48" s="20" t="s">
        <v>76</v>
      </c>
      <c r="AE48" s="20" t="s">
        <v>76</v>
      </c>
      <c r="AF48" s="20" t="s">
        <v>76</v>
      </c>
      <c r="AG48" s="20" t="s">
        <v>76</v>
      </c>
      <c r="AH48" s="15">
        <v>16.071428571428601</v>
      </c>
      <c r="AI48" s="20" t="s">
        <v>76</v>
      </c>
      <c r="AJ48" s="15">
        <v>10.8108108108108</v>
      </c>
      <c r="AK48" s="20" t="s">
        <v>76</v>
      </c>
      <c r="AL48" s="20" t="s">
        <v>76</v>
      </c>
      <c r="AM48" s="15">
        <v>10.9375</v>
      </c>
      <c r="AN48" s="20" t="s">
        <v>76</v>
      </c>
      <c r="AO48" s="20" t="s">
        <v>76</v>
      </c>
      <c r="AP48" s="15">
        <v>7.7922077922077904</v>
      </c>
      <c r="AQ48" s="20" t="s">
        <v>76</v>
      </c>
      <c r="AR48" s="20" t="s">
        <v>76</v>
      </c>
      <c r="AS48" s="20" t="s">
        <v>76</v>
      </c>
      <c r="AT48" s="15">
        <v>7.6923076923076898</v>
      </c>
      <c r="AU48" s="20" t="s">
        <v>76</v>
      </c>
      <c r="AV48" s="20" t="s">
        <v>76</v>
      </c>
      <c r="AW48" s="15">
        <v>4.31034482758621</v>
      </c>
      <c r="AX48" s="20" t="s">
        <v>76</v>
      </c>
      <c r="AY48" s="20" t="s">
        <v>76</v>
      </c>
      <c r="AZ48" s="15">
        <v>10</v>
      </c>
      <c r="BA48" s="20" t="s">
        <v>76</v>
      </c>
      <c r="BB48" s="15">
        <v>7.4626865671641802</v>
      </c>
      <c r="BC48" s="15">
        <v>10.8108108108108</v>
      </c>
      <c r="BD48" s="15">
        <v>8.9743589743589691</v>
      </c>
      <c r="BE48" s="15">
        <v>17.241379310344801</v>
      </c>
      <c r="BF48" s="15">
        <v>13.253012048192801</v>
      </c>
      <c r="BG48" s="15">
        <v>16.417910447761201</v>
      </c>
      <c r="BH48" s="20" t="s">
        <v>76</v>
      </c>
      <c r="BI48" s="20" t="s">
        <v>76</v>
      </c>
      <c r="BJ48" s="20" t="s">
        <v>76</v>
      </c>
      <c r="BK48" s="20" t="s">
        <v>76</v>
      </c>
      <c r="BL48" s="15">
        <v>7.8125</v>
      </c>
      <c r="BM48" s="15">
        <v>5.9405940594059397</v>
      </c>
      <c r="BN48" s="15">
        <v>10.084033613445399</v>
      </c>
      <c r="BO48" s="15">
        <v>8.8888888888888893</v>
      </c>
      <c r="BP48" s="20" t="s">
        <v>76</v>
      </c>
      <c r="BQ48" s="20" t="s">
        <v>76</v>
      </c>
      <c r="BR48" s="20" t="s">
        <v>76</v>
      </c>
      <c r="BS48" s="15">
        <v>13.253012048192801</v>
      </c>
      <c r="BT48" s="15">
        <v>8.5365853658536608</v>
      </c>
      <c r="BU48" s="15">
        <v>10.2803738317757</v>
      </c>
      <c r="BV48" s="15">
        <v>15.1515151515152</v>
      </c>
      <c r="BW48" s="20" t="s">
        <v>76</v>
      </c>
      <c r="BX48" s="20" t="s">
        <v>76</v>
      </c>
      <c r="BY48" s="20" t="s">
        <v>76</v>
      </c>
      <c r="BZ48" s="15">
        <v>7.4829931972789101</v>
      </c>
      <c r="CA48" s="32">
        <v>7.6553903046766498</v>
      </c>
      <c r="CB48" s="15">
        <v>7.3482428115016001</v>
      </c>
      <c r="CC48" s="15">
        <v>8.1761006289308202</v>
      </c>
      <c r="CD48" s="15">
        <v>9.0322580645161299</v>
      </c>
      <c r="CE48" s="20" t="s">
        <v>76</v>
      </c>
      <c r="CF48" s="15">
        <v>8.6826347305389202</v>
      </c>
      <c r="CG48" s="15">
        <v>12.290502793296101</v>
      </c>
      <c r="CH48" s="15">
        <v>6.25</v>
      </c>
      <c r="CI48" s="15">
        <v>8.0082135523614006</v>
      </c>
      <c r="CJ48" s="15">
        <v>6.2745098039215703</v>
      </c>
      <c r="CK48" s="15">
        <v>7.6233183856502196</v>
      </c>
      <c r="CL48" s="15">
        <v>6.9696969696969697</v>
      </c>
      <c r="CM48" s="24">
        <v>8.5653104925053505</v>
      </c>
      <c r="CN48" s="37"/>
    </row>
    <row r="49" spans="1:92">
      <c r="A49" s="9" t="s">
        <v>304</v>
      </c>
      <c r="B49" s="35">
        <v>17.887479680374099</v>
      </c>
      <c r="C49" s="32">
        <v>18.497256954996701</v>
      </c>
      <c r="D49" s="32">
        <v>19.674055181130001</v>
      </c>
      <c r="E49" s="32">
        <v>20.1581614925488</v>
      </c>
      <c r="F49" s="20" t="s">
        <v>76</v>
      </c>
      <c r="G49" s="15">
        <v>47.058823529411796</v>
      </c>
      <c r="H49" s="20" t="s">
        <v>76</v>
      </c>
      <c r="I49" s="20" t="s">
        <v>76</v>
      </c>
      <c r="J49" s="15">
        <v>16.6666666666667</v>
      </c>
      <c r="K49" s="15">
        <v>28.205128205128201</v>
      </c>
      <c r="L49" s="15">
        <v>27.868852459016399</v>
      </c>
      <c r="M49" s="15">
        <v>19.7368421052632</v>
      </c>
      <c r="N49" s="15">
        <v>22.352941176470601</v>
      </c>
      <c r="O49" s="15">
        <v>25.581395348837201</v>
      </c>
      <c r="P49" s="15">
        <v>15.492957746478901</v>
      </c>
      <c r="Q49" s="15">
        <v>21.126760563380302</v>
      </c>
      <c r="R49" s="20" t="s">
        <v>76</v>
      </c>
      <c r="S49" s="15">
        <v>21.951219512195099</v>
      </c>
      <c r="T49" s="15">
        <v>14.5833333333333</v>
      </c>
      <c r="U49" s="15">
        <v>42.857142857142897</v>
      </c>
      <c r="V49" s="15">
        <v>14.705882352941201</v>
      </c>
      <c r="W49" s="15">
        <v>18.644067796610202</v>
      </c>
      <c r="X49" s="20" t="s">
        <v>76</v>
      </c>
      <c r="Y49" s="20" t="s">
        <v>76</v>
      </c>
      <c r="Z49" s="15">
        <v>19.230769230769202</v>
      </c>
      <c r="AA49" s="15">
        <v>24.7706422018349</v>
      </c>
      <c r="AB49" s="15">
        <v>16.176470588235301</v>
      </c>
      <c r="AC49" s="15">
        <v>21.969696969697001</v>
      </c>
      <c r="AD49" s="15">
        <v>40.625</v>
      </c>
      <c r="AE49" s="20" t="s">
        <v>76</v>
      </c>
      <c r="AF49" s="15">
        <v>42.857142857142897</v>
      </c>
      <c r="AG49" s="15">
        <v>13.3333333333333</v>
      </c>
      <c r="AH49" s="15">
        <v>16.071428571428601</v>
      </c>
      <c r="AI49" s="20" t="s">
        <v>76</v>
      </c>
      <c r="AJ49" s="15">
        <v>25.225225225225198</v>
      </c>
      <c r="AK49" s="15">
        <v>30</v>
      </c>
      <c r="AL49" s="15">
        <v>11.1111111111111</v>
      </c>
      <c r="AM49" s="15">
        <v>20.3125</v>
      </c>
      <c r="AN49" s="20" t="s">
        <v>76</v>
      </c>
      <c r="AO49" s="15">
        <v>25</v>
      </c>
      <c r="AP49" s="15">
        <v>25.974025974025999</v>
      </c>
      <c r="AQ49" s="20" t="s">
        <v>76</v>
      </c>
      <c r="AR49" s="15">
        <v>25.454545454545499</v>
      </c>
      <c r="AS49" s="20" t="s">
        <v>76</v>
      </c>
      <c r="AT49" s="15">
        <v>13.846153846153801</v>
      </c>
      <c r="AU49" s="15">
        <v>14.285714285714301</v>
      </c>
      <c r="AV49" s="15">
        <v>12.328767123287699</v>
      </c>
      <c r="AW49" s="15">
        <v>22.413793103448299</v>
      </c>
      <c r="AX49" s="20" t="s">
        <v>76</v>
      </c>
      <c r="AY49" s="15">
        <v>34.285714285714299</v>
      </c>
      <c r="AZ49" s="15">
        <v>30</v>
      </c>
      <c r="BA49" s="15">
        <v>16.981132075471699</v>
      </c>
      <c r="BB49" s="15">
        <v>14.9253731343284</v>
      </c>
      <c r="BC49" s="15">
        <v>13.5135135135135</v>
      </c>
      <c r="BD49" s="15">
        <v>16.6666666666667</v>
      </c>
      <c r="BE49" s="15">
        <v>32.758620689655203</v>
      </c>
      <c r="BF49" s="15">
        <v>21.6867469879518</v>
      </c>
      <c r="BG49" s="15">
        <v>23.880597014925399</v>
      </c>
      <c r="BH49" s="20" t="s">
        <v>76</v>
      </c>
      <c r="BI49" s="15">
        <v>26.315789473684202</v>
      </c>
      <c r="BJ49" s="15">
        <v>19.6428571428571</v>
      </c>
      <c r="BK49" s="15">
        <v>12.5</v>
      </c>
      <c r="BL49" s="15">
        <v>21.875</v>
      </c>
      <c r="BM49" s="15">
        <v>15.841584158415801</v>
      </c>
      <c r="BN49" s="15">
        <v>25.210084033613398</v>
      </c>
      <c r="BO49" s="15">
        <v>21.1111111111111</v>
      </c>
      <c r="BP49" s="20" t="s">
        <v>76</v>
      </c>
      <c r="BQ49" s="15">
        <v>19.178082191780799</v>
      </c>
      <c r="BR49" s="15">
        <v>35</v>
      </c>
      <c r="BS49" s="15">
        <v>19.277108433734899</v>
      </c>
      <c r="BT49" s="15">
        <v>15.853658536585399</v>
      </c>
      <c r="BU49" s="15">
        <v>17.757009345794401</v>
      </c>
      <c r="BV49" s="15">
        <v>24.2424242424242</v>
      </c>
      <c r="BW49" s="15">
        <v>14.492753623188401</v>
      </c>
      <c r="BX49" s="20" t="s">
        <v>76</v>
      </c>
      <c r="BY49" s="15">
        <v>23.8095238095238</v>
      </c>
      <c r="BZ49" s="15">
        <v>19.047619047619001</v>
      </c>
      <c r="CA49" s="32">
        <v>19.283105124735201</v>
      </c>
      <c r="CB49" s="15">
        <v>16.9329073482428</v>
      </c>
      <c r="CC49" s="15">
        <v>17.6100628930818</v>
      </c>
      <c r="CD49" s="15">
        <v>21.290322580645199</v>
      </c>
      <c r="CE49" s="20" t="s">
        <v>76</v>
      </c>
      <c r="CF49" s="15">
        <v>17.365269461077801</v>
      </c>
      <c r="CG49" s="15">
        <v>22.905027932960898</v>
      </c>
      <c r="CH49" s="15">
        <v>18.382352941176499</v>
      </c>
      <c r="CI49" s="15">
        <v>17.453798767967101</v>
      </c>
      <c r="CJ49" s="15">
        <v>16.470588235294102</v>
      </c>
      <c r="CK49" s="15">
        <v>17.937219730941699</v>
      </c>
      <c r="CL49" s="15">
        <v>20.151515151515198</v>
      </c>
      <c r="CM49" s="24">
        <v>21.841541755888699</v>
      </c>
      <c r="CN49" s="37"/>
    </row>
    <row r="50" spans="1:92">
      <c r="A50" s="9" t="s">
        <v>305</v>
      </c>
      <c r="B50" s="35">
        <v>11.3567429047348</v>
      </c>
      <c r="C50" s="32">
        <v>10.8094948091147</v>
      </c>
      <c r="D50" s="32">
        <v>12.457764743730401</v>
      </c>
      <c r="E50" s="32">
        <v>11.7951419079227</v>
      </c>
      <c r="F50" s="20" t="s">
        <v>76</v>
      </c>
      <c r="G50" s="20" t="s">
        <v>76</v>
      </c>
      <c r="H50" s="20" t="s">
        <v>76</v>
      </c>
      <c r="I50" s="20" t="s">
        <v>76</v>
      </c>
      <c r="J50" s="15">
        <v>15.2777777777778</v>
      </c>
      <c r="K50" s="20" t="s">
        <v>76</v>
      </c>
      <c r="L50" s="15">
        <v>36.065573770491802</v>
      </c>
      <c r="M50" s="15">
        <v>27.6315789473684</v>
      </c>
      <c r="N50" s="15">
        <v>22.352941176470601</v>
      </c>
      <c r="O50" s="15">
        <v>16.2790697674419</v>
      </c>
      <c r="P50" s="15">
        <v>12.6760563380282</v>
      </c>
      <c r="Q50" s="15">
        <v>9.8591549295774694</v>
      </c>
      <c r="R50" s="20" t="s">
        <v>76</v>
      </c>
      <c r="S50" s="20" t="s">
        <v>76</v>
      </c>
      <c r="T50" s="15">
        <v>10.4166666666667</v>
      </c>
      <c r="U50" s="20" t="s">
        <v>76</v>
      </c>
      <c r="V50" s="20" t="s">
        <v>76</v>
      </c>
      <c r="W50" s="15">
        <v>18.644067796610202</v>
      </c>
      <c r="X50" s="20" t="s">
        <v>76</v>
      </c>
      <c r="Y50" s="20" t="s">
        <v>76</v>
      </c>
      <c r="Z50" s="15">
        <v>7.6923076923076898</v>
      </c>
      <c r="AA50" s="15">
        <v>12.8440366972477</v>
      </c>
      <c r="AB50" s="15">
        <v>8.8235294117646994</v>
      </c>
      <c r="AC50" s="15">
        <v>9.8484848484848495</v>
      </c>
      <c r="AD50" s="20" t="s">
        <v>76</v>
      </c>
      <c r="AE50" s="15">
        <v>25.925925925925899</v>
      </c>
      <c r="AF50" s="20" t="s">
        <v>76</v>
      </c>
      <c r="AG50" s="15">
        <v>17.1428571428571</v>
      </c>
      <c r="AH50" s="15">
        <v>14.285714285714301</v>
      </c>
      <c r="AI50" s="20" t="s">
        <v>76</v>
      </c>
      <c r="AJ50" s="15">
        <v>4.5045045045045002</v>
      </c>
      <c r="AK50" s="15">
        <v>20</v>
      </c>
      <c r="AL50" s="15">
        <v>18.8888888888889</v>
      </c>
      <c r="AM50" s="15">
        <v>18.75</v>
      </c>
      <c r="AN50" s="20" t="s">
        <v>76</v>
      </c>
      <c r="AO50" s="15">
        <v>12.5</v>
      </c>
      <c r="AP50" s="15">
        <v>12.987012987012999</v>
      </c>
      <c r="AQ50" s="20" t="s">
        <v>76</v>
      </c>
      <c r="AR50" s="20" t="s">
        <v>76</v>
      </c>
      <c r="AS50" s="20" t="s">
        <v>76</v>
      </c>
      <c r="AT50" s="20" t="s">
        <v>76</v>
      </c>
      <c r="AU50" s="20" t="s">
        <v>76</v>
      </c>
      <c r="AV50" s="15">
        <v>15.068493150684899</v>
      </c>
      <c r="AW50" s="15">
        <v>9.4827586206896601</v>
      </c>
      <c r="AX50" s="20" t="s">
        <v>76</v>
      </c>
      <c r="AY50" s="20" t="s">
        <v>76</v>
      </c>
      <c r="AZ50" s="20" t="s">
        <v>76</v>
      </c>
      <c r="BA50" s="15">
        <v>9.4339622641509404</v>
      </c>
      <c r="BB50" s="15">
        <v>13.4328358208955</v>
      </c>
      <c r="BC50" s="15">
        <v>14.8648648648649</v>
      </c>
      <c r="BD50" s="15">
        <v>17.948717948717899</v>
      </c>
      <c r="BE50" s="20" t="s">
        <v>76</v>
      </c>
      <c r="BF50" s="15">
        <v>12.048192771084301</v>
      </c>
      <c r="BG50" s="15">
        <v>11.9402985074627</v>
      </c>
      <c r="BH50" s="20" t="s">
        <v>76</v>
      </c>
      <c r="BI50" s="20" t="s">
        <v>76</v>
      </c>
      <c r="BJ50" s="15">
        <v>9.8214285714285694</v>
      </c>
      <c r="BK50" s="15">
        <v>12.5</v>
      </c>
      <c r="BL50" s="15">
        <v>14.0625</v>
      </c>
      <c r="BM50" s="15">
        <v>7.9207920792079198</v>
      </c>
      <c r="BN50" s="15">
        <v>9.2436974789915993</v>
      </c>
      <c r="BO50" s="15">
        <v>10</v>
      </c>
      <c r="BP50" s="20" t="s">
        <v>76</v>
      </c>
      <c r="BQ50" s="15">
        <v>12.328767123287699</v>
      </c>
      <c r="BR50" s="15">
        <v>16.6666666666667</v>
      </c>
      <c r="BS50" s="15">
        <v>12.048192771084301</v>
      </c>
      <c r="BT50" s="15">
        <v>9.7560975609756095</v>
      </c>
      <c r="BU50" s="15">
        <v>14.018691588785</v>
      </c>
      <c r="BV50" s="20" t="s">
        <v>76</v>
      </c>
      <c r="BW50" s="20" t="s">
        <v>76</v>
      </c>
      <c r="BX50" s="20" t="s">
        <v>76</v>
      </c>
      <c r="BY50" s="20" t="s">
        <v>76</v>
      </c>
      <c r="BZ50" s="15">
        <v>10.2040816326531</v>
      </c>
      <c r="CA50" s="32">
        <v>12.992879508642901</v>
      </c>
      <c r="CB50" s="15">
        <v>12.1405750798722</v>
      </c>
      <c r="CC50" s="15">
        <v>16.352201257861601</v>
      </c>
      <c r="CD50" s="15">
        <v>15.4838709677419</v>
      </c>
      <c r="CE50" s="15">
        <v>60</v>
      </c>
      <c r="CF50" s="15">
        <v>17.065868263473099</v>
      </c>
      <c r="CG50" s="15">
        <v>13.966480446927401</v>
      </c>
      <c r="CH50" s="15">
        <v>10.661764705882399</v>
      </c>
      <c r="CI50" s="15">
        <v>13.1416837782341</v>
      </c>
      <c r="CJ50" s="15">
        <v>9.8039215686274499</v>
      </c>
      <c r="CK50" s="15">
        <v>12.556053811659201</v>
      </c>
      <c r="CL50" s="15">
        <v>10</v>
      </c>
      <c r="CM50" s="24">
        <v>14.5610278372591</v>
      </c>
      <c r="CN50" s="37"/>
    </row>
    <row r="51" spans="1:92">
      <c r="A51" s="9" t="s">
        <v>306</v>
      </c>
      <c r="B51" s="35">
        <v>13.537086730306299</v>
      </c>
      <c r="C51" s="32">
        <v>13.06358433736</v>
      </c>
      <c r="D51" s="32">
        <v>13.766708537050899</v>
      </c>
      <c r="E51" s="32">
        <v>14.546472951855501</v>
      </c>
      <c r="F51" s="20" t="s">
        <v>76</v>
      </c>
      <c r="G51" s="15">
        <v>52.941176470588204</v>
      </c>
      <c r="H51" s="20" t="s">
        <v>76</v>
      </c>
      <c r="I51" s="20" t="s">
        <v>76</v>
      </c>
      <c r="J51" s="15">
        <v>9.7222222222222197</v>
      </c>
      <c r="K51" s="20" t="s">
        <v>76</v>
      </c>
      <c r="L51" s="15">
        <v>26.229508196721302</v>
      </c>
      <c r="M51" s="15">
        <v>11.842105263157899</v>
      </c>
      <c r="N51" s="15">
        <v>14.117647058823501</v>
      </c>
      <c r="O51" s="15">
        <v>20.930232558139501</v>
      </c>
      <c r="P51" s="15">
        <v>16.901408450704199</v>
      </c>
      <c r="Q51" s="15">
        <v>18.309859154929601</v>
      </c>
      <c r="R51" s="20" t="s">
        <v>76</v>
      </c>
      <c r="S51" s="15">
        <v>14.634146341463399</v>
      </c>
      <c r="T51" s="20" t="s">
        <v>76</v>
      </c>
      <c r="U51" s="20" t="s">
        <v>76</v>
      </c>
      <c r="V51" s="20" t="s">
        <v>76</v>
      </c>
      <c r="W51" s="15">
        <v>18.644067796610202</v>
      </c>
      <c r="X51" s="20" t="s">
        <v>76</v>
      </c>
      <c r="Y51" s="20" t="s">
        <v>76</v>
      </c>
      <c r="Z51" s="20" t="s">
        <v>76</v>
      </c>
      <c r="AA51" s="15">
        <v>20.183486238532101</v>
      </c>
      <c r="AB51" s="15">
        <v>16.176470588235301</v>
      </c>
      <c r="AC51" s="15">
        <v>10.6060606060606</v>
      </c>
      <c r="AD51" s="15">
        <v>21.875</v>
      </c>
      <c r="AE51" s="15">
        <v>22.2222222222222</v>
      </c>
      <c r="AF51" s="20" t="s">
        <v>76</v>
      </c>
      <c r="AG51" s="15">
        <v>13.3333333333333</v>
      </c>
      <c r="AH51" s="15">
        <v>17.8571428571429</v>
      </c>
      <c r="AI51" s="20" t="s">
        <v>76</v>
      </c>
      <c r="AJ51" s="15">
        <v>18.918918918918902</v>
      </c>
      <c r="AK51" s="20" t="s">
        <v>76</v>
      </c>
      <c r="AL51" s="15">
        <v>12.2222222222222</v>
      </c>
      <c r="AM51" s="15">
        <v>21.875</v>
      </c>
      <c r="AN51" s="20" t="s">
        <v>76</v>
      </c>
      <c r="AO51" s="20" t="s">
        <v>76</v>
      </c>
      <c r="AP51" s="15">
        <v>15.5844155844156</v>
      </c>
      <c r="AQ51" s="20" t="s">
        <v>76</v>
      </c>
      <c r="AR51" s="15">
        <v>12.7272727272727</v>
      </c>
      <c r="AS51" s="20" t="s">
        <v>76</v>
      </c>
      <c r="AT51" s="15">
        <v>16.923076923076898</v>
      </c>
      <c r="AU51" s="15">
        <v>18.367346938775501</v>
      </c>
      <c r="AV51" s="20" t="s">
        <v>76</v>
      </c>
      <c r="AW51" s="15">
        <v>12.9310344827586</v>
      </c>
      <c r="AX51" s="20" t="s">
        <v>76</v>
      </c>
      <c r="AY51" s="15">
        <v>14.285714285714301</v>
      </c>
      <c r="AZ51" s="15">
        <v>18</v>
      </c>
      <c r="BA51" s="15">
        <v>13.207547169811299</v>
      </c>
      <c r="BB51" s="15">
        <v>16.417910447761201</v>
      </c>
      <c r="BC51" s="15">
        <v>10.8108108108108</v>
      </c>
      <c r="BD51" s="15">
        <v>15.384615384615399</v>
      </c>
      <c r="BE51" s="15">
        <v>10.3448275862069</v>
      </c>
      <c r="BF51" s="15">
        <v>12.048192771084301</v>
      </c>
      <c r="BG51" s="15">
        <v>23.880597014925399</v>
      </c>
      <c r="BH51" s="20" t="s">
        <v>76</v>
      </c>
      <c r="BI51" s="20" t="s">
        <v>76</v>
      </c>
      <c r="BJ51" s="15">
        <v>15.1785714285714</v>
      </c>
      <c r="BK51" s="15">
        <v>12.5</v>
      </c>
      <c r="BL51" s="15">
        <v>17.96875</v>
      </c>
      <c r="BM51" s="15">
        <v>17.821782178217799</v>
      </c>
      <c r="BN51" s="15">
        <v>11.764705882352899</v>
      </c>
      <c r="BO51" s="15">
        <v>15.5555555555556</v>
      </c>
      <c r="BP51" s="20" t="s">
        <v>76</v>
      </c>
      <c r="BQ51" s="15">
        <v>16.438356164383599</v>
      </c>
      <c r="BR51" s="15">
        <v>15</v>
      </c>
      <c r="BS51" s="15">
        <v>18.0722891566265</v>
      </c>
      <c r="BT51" s="15">
        <v>10.975609756097599</v>
      </c>
      <c r="BU51" s="15">
        <v>14.018691588785</v>
      </c>
      <c r="BV51" s="15">
        <v>10.1010101010101</v>
      </c>
      <c r="BW51" s="15">
        <v>8.6956521739130395</v>
      </c>
      <c r="BX51" s="20" t="s">
        <v>76</v>
      </c>
      <c r="BY51" s="15">
        <v>12.698412698412699</v>
      </c>
      <c r="BZ51" s="15">
        <v>12.244897959183699</v>
      </c>
      <c r="CA51" s="32">
        <v>13.1369936691553</v>
      </c>
      <c r="CB51" s="15">
        <v>15.3354632587859</v>
      </c>
      <c r="CC51" s="15">
        <v>14.150943396226401</v>
      </c>
      <c r="CD51" s="15">
        <v>12.9032258064516</v>
      </c>
      <c r="CE51" s="20" t="s">
        <v>76</v>
      </c>
      <c r="CF51" s="15">
        <v>12.874251497006</v>
      </c>
      <c r="CG51" s="15">
        <v>23.463687150837998</v>
      </c>
      <c r="CH51" s="15">
        <v>9.9264705882352899</v>
      </c>
      <c r="CI51" s="15">
        <v>12.114989733059501</v>
      </c>
      <c r="CJ51" s="15">
        <v>13.3333333333333</v>
      </c>
      <c r="CK51" s="15">
        <v>12.556053811659201</v>
      </c>
      <c r="CL51" s="15">
        <v>11.818181818181801</v>
      </c>
      <c r="CM51" s="24">
        <v>14.7751605995717</v>
      </c>
      <c r="CN51" s="37"/>
    </row>
    <row r="52" spans="1:92">
      <c r="A52" s="9" t="s">
        <v>307</v>
      </c>
      <c r="B52" s="35">
        <v>19.038375606849701</v>
      </c>
      <c r="C52" s="32">
        <v>17.5410907929632</v>
      </c>
      <c r="D52" s="32">
        <v>18.3921409393968</v>
      </c>
      <c r="E52" s="32">
        <v>16.565238962470399</v>
      </c>
      <c r="F52" s="20" t="s">
        <v>76</v>
      </c>
      <c r="G52" s="20" t="s">
        <v>76</v>
      </c>
      <c r="H52" s="20" t="s">
        <v>76</v>
      </c>
      <c r="I52" s="20" t="s">
        <v>76</v>
      </c>
      <c r="J52" s="15">
        <v>20.8333333333333</v>
      </c>
      <c r="K52" s="20" t="s">
        <v>76</v>
      </c>
      <c r="L52" s="15">
        <v>18.032786885245901</v>
      </c>
      <c r="M52" s="15">
        <v>21.052631578947398</v>
      </c>
      <c r="N52" s="15">
        <v>20</v>
      </c>
      <c r="O52" s="15">
        <v>13.953488372093</v>
      </c>
      <c r="P52" s="15">
        <v>18.309859154929601</v>
      </c>
      <c r="Q52" s="15">
        <v>16.901408450704199</v>
      </c>
      <c r="R52" s="20" t="s">
        <v>76</v>
      </c>
      <c r="S52" s="20" t="s">
        <v>76</v>
      </c>
      <c r="T52" s="20" t="s">
        <v>76</v>
      </c>
      <c r="U52" s="15">
        <v>23.8095238095238</v>
      </c>
      <c r="V52" s="15">
        <v>17.647058823529399</v>
      </c>
      <c r="W52" s="15">
        <v>22.033898305084701</v>
      </c>
      <c r="X52" s="20" t="s">
        <v>76</v>
      </c>
      <c r="Y52" s="20" t="s">
        <v>76</v>
      </c>
      <c r="Z52" s="15">
        <v>12.8205128205128</v>
      </c>
      <c r="AA52" s="15">
        <v>16.5137614678899</v>
      </c>
      <c r="AB52" s="15">
        <v>16.176470588235301</v>
      </c>
      <c r="AC52" s="15">
        <v>9.8484848484848495</v>
      </c>
      <c r="AD52" s="15">
        <v>15.625</v>
      </c>
      <c r="AE52" s="15">
        <v>29.629629629629601</v>
      </c>
      <c r="AF52" s="20" t="s">
        <v>76</v>
      </c>
      <c r="AG52" s="15">
        <v>13.3333333333333</v>
      </c>
      <c r="AH52" s="15">
        <v>8.9285714285714306</v>
      </c>
      <c r="AI52" s="20" t="s">
        <v>76</v>
      </c>
      <c r="AJ52" s="15">
        <v>19.819819819819799</v>
      </c>
      <c r="AK52" s="15">
        <v>20</v>
      </c>
      <c r="AL52" s="15">
        <v>14.4444444444444</v>
      </c>
      <c r="AM52" s="15">
        <v>23.4375</v>
      </c>
      <c r="AN52" s="20" t="s">
        <v>76</v>
      </c>
      <c r="AO52" s="15">
        <v>17.5</v>
      </c>
      <c r="AP52" s="15">
        <v>15.5844155844156</v>
      </c>
      <c r="AQ52" s="15">
        <v>15.384615384615399</v>
      </c>
      <c r="AR52" s="15">
        <v>29.090909090909101</v>
      </c>
      <c r="AS52" s="20" t="s">
        <v>76</v>
      </c>
      <c r="AT52" s="15">
        <v>10.7692307692308</v>
      </c>
      <c r="AU52" s="20" t="s">
        <v>76</v>
      </c>
      <c r="AV52" s="15">
        <v>10.958904109589</v>
      </c>
      <c r="AW52" s="15">
        <v>22.413793103448299</v>
      </c>
      <c r="AX52" s="20" t="s">
        <v>76</v>
      </c>
      <c r="AY52" s="20" t="s">
        <v>76</v>
      </c>
      <c r="AZ52" s="20" t="s">
        <v>76</v>
      </c>
      <c r="BA52" s="15">
        <v>9.4339622641509404</v>
      </c>
      <c r="BB52" s="15">
        <v>14.9253731343284</v>
      </c>
      <c r="BC52" s="15">
        <v>24.324324324324301</v>
      </c>
      <c r="BD52" s="15">
        <v>14.1025641025641</v>
      </c>
      <c r="BE52" s="15">
        <v>15.517241379310301</v>
      </c>
      <c r="BF52" s="15">
        <v>22.891566265060199</v>
      </c>
      <c r="BG52" s="15">
        <v>14.9253731343284</v>
      </c>
      <c r="BH52" s="15">
        <v>33.3333333333333</v>
      </c>
      <c r="BI52" s="20" t="s">
        <v>76</v>
      </c>
      <c r="BJ52" s="15">
        <v>14.285714285714301</v>
      </c>
      <c r="BK52" s="15">
        <v>12.5</v>
      </c>
      <c r="BL52" s="15">
        <v>14.0625</v>
      </c>
      <c r="BM52" s="15">
        <v>15.841584158415801</v>
      </c>
      <c r="BN52" s="15">
        <v>19.327731092436998</v>
      </c>
      <c r="BO52" s="15">
        <v>23.3333333333333</v>
      </c>
      <c r="BP52" s="20" t="s">
        <v>76</v>
      </c>
      <c r="BQ52" s="15">
        <v>12.328767123287699</v>
      </c>
      <c r="BR52" s="15">
        <v>13.3333333333333</v>
      </c>
      <c r="BS52" s="15">
        <v>24.096385542168701</v>
      </c>
      <c r="BT52" s="15">
        <v>19.512195121951201</v>
      </c>
      <c r="BU52" s="15">
        <v>18.691588785046701</v>
      </c>
      <c r="BV52" s="15">
        <v>15.1515151515152</v>
      </c>
      <c r="BW52" s="15">
        <v>14.492753623188401</v>
      </c>
      <c r="BX52" s="20" t="s">
        <v>76</v>
      </c>
      <c r="BY52" s="15">
        <v>9.5238095238095202</v>
      </c>
      <c r="BZ52" s="15">
        <v>14.285714285714301</v>
      </c>
      <c r="CA52" s="32">
        <v>19.867493385875001</v>
      </c>
      <c r="CB52" s="15">
        <v>19.169329073482398</v>
      </c>
      <c r="CC52" s="15">
        <v>25.471698113207498</v>
      </c>
      <c r="CD52" s="15">
        <v>18.709677419354801</v>
      </c>
      <c r="CE52" s="20" t="s">
        <v>76</v>
      </c>
      <c r="CF52" s="15">
        <v>20.6586826347305</v>
      </c>
      <c r="CG52" s="15">
        <v>23.463687150837998</v>
      </c>
      <c r="CH52" s="15">
        <v>19.669117647058801</v>
      </c>
      <c r="CI52" s="15">
        <v>26.078028747433301</v>
      </c>
      <c r="CJ52" s="15">
        <v>26.2745098039216</v>
      </c>
      <c r="CK52" s="15">
        <v>13.901345291479799</v>
      </c>
      <c r="CL52" s="15">
        <v>18.484848484848499</v>
      </c>
      <c r="CM52" s="24">
        <v>14.7751605995717</v>
      </c>
      <c r="CN52" s="37"/>
    </row>
    <row r="53" spans="1:92">
      <c r="A53" s="9" t="s">
        <v>308</v>
      </c>
      <c r="B53" s="35">
        <v>16.492159997940099</v>
      </c>
      <c r="C53" s="32">
        <v>16.607758166374499</v>
      </c>
      <c r="D53" s="32">
        <v>16.326703582718501</v>
      </c>
      <c r="E53" s="32">
        <v>16.882554243120399</v>
      </c>
      <c r="F53" s="20" t="s">
        <v>76</v>
      </c>
      <c r="G53" s="15">
        <v>52.941176470588204</v>
      </c>
      <c r="H53" s="20" t="s">
        <v>76</v>
      </c>
      <c r="I53" s="20" t="s">
        <v>76</v>
      </c>
      <c r="J53" s="15">
        <v>17.3611111111111</v>
      </c>
      <c r="K53" s="15">
        <v>17.948717948717899</v>
      </c>
      <c r="L53" s="15">
        <v>37.7049180327869</v>
      </c>
      <c r="M53" s="15">
        <v>18.421052631578899</v>
      </c>
      <c r="N53" s="15">
        <v>11.764705882352899</v>
      </c>
      <c r="O53" s="15">
        <v>32.558139534883701</v>
      </c>
      <c r="P53" s="15">
        <v>19.7183098591549</v>
      </c>
      <c r="Q53" s="15">
        <v>16.901408450704199</v>
      </c>
      <c r="R53" s="20" t="s">
        <v>76</v>
      </c>
      <c r="S53" s="15">
        <v>17.0731707317073</v>
      </c>
      <c r="T53" s="20" t="s">
        <v>76</v>
      </c>
      <c r="U53" s="20" t="s">
        <v>76</v>
      </c>
      <c r="V53" s="20" t="s">
        <v>76</v>
      </c>
      <c r="W53" s="15">
        <v>15.254237288135601</v>
      </c>
      <c r="X53" s="20" t="s">
        <v>76</v>
      </c>
      <c r="Y53" s="20" t="s">
        <v>76</v>
      </c>
      <c r="Z53" s="15">
        <v>11.538461538461499</v>
      </c>
      <c r="AA53" s="15">
        <v>17.431192660550501</v>
      </c>
      <c r="AB53" s="15">
        <v>16.176470588235301</v>
      </c>
      <c r="AC53" s="15">
        <v>17.424242424242401</v>
      </c>
      <c r="AD53" s="20" t="s">
        <v>76</v>
      </c>
      <c r="AE53" s="15">
        <v>25.925925925925899</v>
      </c>
      <c r="AF53" s="20" t="s">
        <v>76</v>
      </c>
      <c r="AG53" s="15">
        <v>7.6190476190476204</v>
      </c>
      <c r="AH53" s="20" t="s">
        <v>76</v>
      </c>
      <c r="AI53" s="20" t="s">
        <v>76</v>
      </c>
      <c r="AJ53" s="15">
        <v>22.5225225225225</v>
      </c>
      <c r="AK53" s="15">
        <v>16.6666666666667</v>
      </c>
      <c r="AL53" s="15">
        <v>14.4444444444444</v>
      </c>
      <c r="AM53" s="15">
        <v>26.5625</v>
      </c>
      <c r="AN53" s="20" t="s">
        <v>76</v>
      </c>
      <c r="AO53" s="15">
        <v>15</v>
      </c>
      <c r="AP53" s="15">
        <v>14.285714285714301</v>
      </c>
      <c r="AQ53" s="15">
        <v>28.205128205128201</v>
      </c>
      <c r="AR53" s="15">
        <v>32.727272727272698</v>
      </c>
      <c r="AS53" s="20" t="s">
        <v>76</v>
      </c>
      <c r="AT53" s="15">
        <v>20</v>
      </c>
      <c r="AU53" s="20" t="s">
        <v>76</v>
      </c>
      <c r="AV53" s="15">
        <v>13.698630136986299</v>
      </c>
      <c r="AW53" s="15">
        <v>15.517241379310301</v>
      </c>
      <c r="AX53" s="20" t="s">
        <v>76</v>
      </c>
      <c r="AY53" s="20" t="s">
        <v>76</v>
      </c>
      <c r="AZ53" s="15">
        <v>16</v>
      </c>
      <c r="BA53" s="15">
        <v>15.094339622641501</v>
      </c>
      <c r="BB53" s="15">
        <v>7.4626865671641802</v>
      </c>
      <c r="BC53" s="15">
        <v>17.5675675675676</v>
      </c>
      <c r="BD53" s="15">
        <v>14.1025641025641</v>
      </c>
      <c r="BE53" s="15">
        <v>12.0689655172414</v>
      </c>
      <c r="BF53" s="15">
        <v>22.891566265060199</v>
      </c>
      <c r="BG53" s="15">
        <v>22.388059701492502</v>
      </c>
      <c r="BH53" s="15">
        <v>20.8333333333333</v>
      </c>
      <c r="BI53" s="20" t="s">
        <v>76</v>
      </c>
      <c r="BJ53" s="15">
        <v>15.1785714285714</v>
      </c>
      <c r="BK53" s="20" t="s">
        <v>76</v>
      </c>
      <c r="BL53" s="15">
        <v>18.75</v>
      </c>
      <c r="BM53" s="15">
        <v>18.8118811881188</v>
      </c>
      <c r="BN53" s="15">
        <v>18.487394957983199</v>
      </c>
      <c r="BO53" s="15">
        <v>17.7777777777778</v>
      </c>
      <c r="BP53" s="20" t="s">
        <v>76</v>
      </c>
      <c r="BQ53" s="15">
        <v>27.397260273972599</v>
      </c>
      <c r="BR53" s="15">
        <v>15</v>
      </c>
      <c r="BS53" s="15">
        <v>18.0722891566265</v>
      </c>
      <c r="BT53" s="15">
        <v>10.975609756097599</v>
      </c>
      <c r="BU53" s="15">
        <v>21.495327102803699</v>
      </c>
      <c r="BV53" s="15">
        <v>12.1212121212121</v>
      </c>
      <c r="BW53" s="15">
        <v>13.0434782608696</v>
      </c>
      <c r="BX53" s="20" t="s">
        <v>76</v>
      </c>
      <c r="BY53" s="15">
        <v>15.8730158730159</v>
      </c>
      <c r="BZ53" s="15">
        <v>21.0884353741497</v>
      </c>
      <c r="CA53" s="32">
        <v>15.8778148946237</v>
      </c>
      <c r="CB53" s="15">
        <v>12.779552715655001</v>
      </c>
      <c r="CC53" s="15">
        <v>16.981132075471699</v>
      </c>
      <c r="CD53" s="15">
        <v>25.161290322580601</v>
      </c>
      <c r="CE53" s="20" t="s">
        <v>76</v>
      </c>
      <c r="CF53" s="15">
        <v>15.568862275449099</v>
      </c>
      <c r="CG53" s="15">
        <v>17.877094972066999</v>
      </c>
      <c r="CH53" s="15">
        <v>11.580882352941201</v>
      </c>
      <c r="CI53" s="15">
        <v>10.8829568788501</v>
      </c>
      <c r="CJ53" s="15">
        <v>14.901960784313699</v>
      </c>
      <c r="CK53" s="15">
        <v>14.349775784753399</v>
      </c>
      <c r="CL53" s="15">
        <v>18.7878787878788</v>
      </c>
      <c r="CM53" s="24">
        <v>23.126338329764501</v>
      </c>
      <c r="CN53" s="37"/>
    </row>
    <row r="54" spans="1:92">
      <c r="A54" s="9" t="s">
        <v>309</v>
      </c>
      <c r="B54" s="35">
        <v>17.1272477347595</v>
      </c>
      <c r="C54" s="32">
        <v>16.011226180524201</v>
      </c>
      <c r="D54" s="32">
        <v>16.410639474272699</v>
      </c>
      <c r="E54" s="32">
        <v>17.166409162500301</v>
      </c>
      <c r="F54" s="20" t="s">
        <v>76</v>
      </c>
      <c r="G54" s="15">
        <v>35.294117647058798</v>
      </c>
      <c r="H54" s="15">
        <v>21.739130434782599</v>
      </c>
      <c r="I54" s="20" t="s">
        <v>76</v>
      </c>
      <c r="J54" s="15">
        <v>16.6666666666667</v>
      </c>
      <c r="K54" s="15">
        <v>25.6410256410256</v>
      </c>
      <c r="L54" s="15">
        <v>44.262295081967203</v>
      </c>
      <c r="M54" s="15">
        <v>31.578947368421101</v>
      </c>
      <c r="N54" s="15">
        <v>18.823529411764699</v>
      </c>
      <c r="O54" s="15">
        <v>18.604651162790699</v>
      </c>
      <c r="P54" s="15">
        <v>25.352112676056301</v>
      </c>
      <c r="Q54" s="15">
        <v>15.492957746478901</v>
      </c>
      <c r="R54" s="15">
        <v>19.230769230769202</v>
      </c>
      <c r="S54" s="15">
        <v>12.1951219512195</v>
      </c>
      <c r="T54" s="20" t="s">
        <v>76</v>
      </c>
      <c r="U54" s="15">
        <v>28.571428571428601</v>
      </c>
      <c r="V54" s="15">
        <v>14.705882352941201</v>
      </c>
      <c r="W54" s="15">
        <v>23.728813559321999</v>
      </c>
      <c r="X54" s="20" t="s">
        <v>76</v>
      </c>
      <c r="Y54" s="20" t="s">
        <v>76</v>
      </c>
      <c r="Z54" s="15">
        <v>15.384615384615399</v>
      </c>
      <c r="AA54" s="15">
        <v>14.678899082568799</v>
      </c>
      <c r="AB54" s="15">
        <v>7.3529411764705896</v>
      </c>
      <c r="AC54" s="15">
        <v>15.909090909090899</v>
      </c>
      <c r="AD54" s="15">
        <v>15.625</v>
      </c>
      <c r="AE54" s="15">
        <v>18.518518518518501</v>
      </c>
      <c r="AF54" s="20" t="s">
        <v>76</v>
      </c>
      <c r="AG54" s="15">
        <v>20.952380952380999</v>
      </c>
      <c r="AH54" s="15">
        <v>17.8571428571429</v>
      </c>
      <c r="AI54" s="20" t="s">
        <v>76</v>
      </c>
      <c r="AJ54" s="15">
        <v>24.324324324324301</v>
      </c>
      <c r="AK54" s="15">
        <v>23.3333333333333</v>
      </c>
      <c r="AL54" s="15">
        <v>21.1111111111111</v>
      </c>
      <c r="AM54" s="15">
        <v>39.0625</v>
      </c>
      <c r="AN54" s="20" t="s">
        <v>76</v>
      </c>
      <c r="AO54" s="15">
        <v>17.5</v>
      </c>
      <c r="AP54" s="15">
        <v>18.181818181818201</v>
      </c>
      <c r="AQ54" s="20" t="s">
        <v>76</v>
      </c>
      <c r="AR54" s="15">
        <v>27.272727272727298</v>
      </c>
      <c r="AS54" s="20" t="s">
        <v>76</v>
      </c>
      <c r="AT54" s="20" t="s">
        <v>76</v>
      </c>
      <c r="AU54" s="20" t="s">
        <v>76</v>
      </c>
      <c r="AV54" s="15">
        <v>15.068493150684899</v>
      </c>
      <c r="AW54" s="15">
        <v>18.1034482758621</v>
      </c>
      <c r="AX54" s="20" t="s">
        <v>76</v>
      </c>
      <c r="AY54" s="20" t="s">
        <v>76</v>
      </c>
      <c r="AZ54" s="20" t="s">
        <v>76</v>
      </c>
      <c r="BA54" s="15">
        <v>18.867924528301899</v>
      </c>
      <c r="BB54" s="15">
        <v>17.910447761194</v>
      </c>
      <c r="BC54" s="15">
        <v>10.8108108108108</v>
      </c>
      <c r="BD54" s="15">
        <v>14.1025641025641</v>
      </c>
      <c r="BE54" s="20" t="s">
        <v>76</v>
      </c>
      <c r="BF54" s="15">
        <v>13.253012048192801</v>
      </c>
      <c r="BG54" s="15">
        <v>13.4328358208955</v>
      </c>
      <c r="BH54" s="15">
        <v>29.1666666666667</v>
      </c>
      <c r="BI54" s="15">
        <v>26.315789473684202</v>
      </c>
      <c r="BJ54" s="15">
        <v>10.714285714285699</v>
      </c>
      <c r="BK54" s="20" t="s">
        <v>76</v>
      </c>
      <c r="BL54" s="15">
        <v>12.5</v>
      </c>
      <c r="BM54" s="15">
        <v>27.722772277227701</v>
      </c>
      <c r="BN54" s="15">
        <v>12.605042016806699</v>
      </c>
      <c r="BO54" s="15">
        <v>15.5555555555556</v>
      </c>
      <c r="BP54" s="20" t="s">
        <v>76</v>
      </c>
      <c r="BQ54" s="15">
        <v>15.068493150684899</v>
      </c>
      <c r="BR54" s="15">
        <v>15</v>
      </c>
      <c r="BS54" s="15">
        <v>18.0722891566265</v>
      </c>
      <c r="BT54" s="15">
        <v>13.4146341463415</v>
      </c>
      <c r="BU54" s="15">
        <v>18.691588785046701</v>
      </c>
      <c r="BV54" s="15">
        <v>15.1515151515152</v>
      </c>
      <c r="BW54" s="15">
        <v>18.840579710144901</v>
      </c>
      <c r="BX54" s="20" t="s">
        <v>76</v>
      </c>
      <c r="BY54" s="15">
        <v>14.285714285714301</v>
      </c>
      <c r="BZ54" s="15">
        <v>14.965986394557801</v>
      </c>
      <c r="CA54" s="32">
        <v>15.8003020437027</v>
      </c>
      <c r="CB54" s="15">
        <v>18.210862619808299</v>
      </c>
      <c r="CC54" s="15">
        <v>15.7232704402516</v>
      </c>
      <c r="CD54" s="15">
        <v>16.7741935483871</v>
      </c>
      <c r="CE54" s="20" t="s">
        <v>76</v>
      </c>
      <c r="CF54" s="15">
        <v>16.766467065868301</v>
      </c>
      <c r="CG54" s="15">
        <v>15.083798882681601</v>
      </c>
      <c r="CH54" s="15">
        <v>15.257352941176499</v>
      </c>
      <c r="CI54" s="15">
        <v>14.579055441478401</v>
      </c>
      <c r="CJ54" s="15">
        <v>13.3333333333333</v>
      </c>
      <c r="CK54" s="15">
        <v>17.937219730941699</v>
      </c>
      <c r="CL54" s="15">
        <v>17.424242424242401</v>
      </c>
      <c r="CM54" s="24">
        <v>13.918629550321199</v>
      </c>
      <c r="CN54" s="37"/>
    </row>
    <row r="55" spans="1:92">
      <c r="A55" s="9" t="s">
        <v>310</v>
      </c>
      <c r="B55" s="35">
        <v>7.3665660204329297</v>
      </c>
      <c r="C55" s="32">
        <v>7.9162055279894998</v>
      </c>
      <c r="D55" s="32">
        <v>8.6257083115613806</v>
      </c>
      <c r="E55" s="32">
        <v>9.9254985256836203</v>
      </c>
      <c r="F55" s="20" t="s">
        <v>76</v>
      </c>
      <c r="G55" s="15">
        <v>29.411764705882401</v>
      </c>
      <c r="H55" s="20" t="s">
        <v>76</v>
      </c>
      <c r="I55" s="20" t="s">
        <v>76</v>
      </c>
      <c r="J55" s="20" t="s">
        <v>76</v>
      </c>
      <c r="K55" s="20" t="s">
        <v>76</v>
      </c>
      <c r="L55" s="15">
        <v>11.4754098360656</v>
      </c>
      <c r="M55" s="15">
        <v>13.157894736842101</v>
      </c>
      <c r="N55" s="15">
        <v>10.588235294117601</v>
      </c>
      <c r="O55" s="15">
        <v>16.2790697674419</v>
      </c>
      <c r="P55" s="20" t="s">
        <v>76</v>
      </c>
      <c r="Q55" s="15">
        <v>8.4507042253521103</v>
      </c>
      <c r="R55" s="20" t="s">
        <v>76</v>
      </c>
      <c r="S55" s="15">
        <v>12.1951219512195</v>
      </c>
      <c r="T55" s="20" t="s">
        <v>76</v>
      </c>
      <c r="U55" s="20" t="s">
        <v>76</v>
      </c>
      <c r="V55" s="15">
        <v>17.647058823529399</v>
      </c>
      <c r="W55" s="15">
        <v>10.1694915254237</v>
      </c>
      <c r="X55" s="20" t="s">
        <v>76</v>
      </c>
      <c r="Y55" s="20" t="s">
        <v>76</v>
      </c>
      <c r="Z55" s="15">
        <v>8.9743589743589691</v>
      </c>
      <c r="AA55" s="15">
        <v>17.431192660550501</v>
      </c>
      <c r="AB55" s="15">
        <v>10.294117647058799</v>
      </c>
      <c r="AC55" s="15">
        <v>9.8484848484848495</v>
      </c>
      <c r="AD55" s="15">
        <v>18.75</v>
      </c>
      <c r="AE55" s="20" t="s">
        <v>76</v>
      </c>
      <c r="AF55" s="20" t="s">
        <v>76</v>
      </c>
      <c r="AG55" s="15">
        <v>11.4285714285714</v>
      </c>
      <c r="AH55" s="20" t="s">
        <v>76</v>
      </c>
      <c r="AI55" s="20" t="s">
        <v>76</v>
      </c>
      <c r="AJ55" s="15">
        <v>17.1171171171171</v>
      </c>
      <c r="AK55" s="15">
        <v>23.3333333333333</v>
      </c>
      <c r="AL55" s="15">
        <v>6.6666666666666696</v>
      </c>
      <c r="AM55" s="15">
        <v>14.0625</v>
      </c>
      <c r="AN55" s="20" t="s">
        <v>76</v>
      </c>
      <c r="AO55" s="20" t="s">
        <v>76</v>
      </c>
      <c r="AP55" s="15">
        <v>7.7922077922077904</v>
      </c>
      <c r="AQ55" s="15">
        <v>15.384615384615399</v>
      </c>
      <c r="AR55" s="15">
        <v>14.545454545454501</v>
      </c>
      <c r="AS55" s="20" t="s">
        <v>76</v>
      </c>
      <c r="AT55" s="15">
        <v>13.846153846153801</v>
      </c>
      <c r="AU55" s="20" t="s">
        <v>76</v>
      </c>
      <c r="AV55" s="20" t="s">
        <v>76</v>
      </c>
      <c r="AW55" s="15">
        <v>5.1724137931034502</v>
      </c>
      <c r="AX55" s="20" t="s">
        <v>76</v>
      </c>
      <c r="AY55" s="20" t="s">
        <v>76</v>
      </c>
      <c r="AZ55" s="15">
        <v>16</v>
      </c>
      <c r="BA55" s="20" t="s">
        <v>76</v>
      </c>
      <c r="BB55" s="15">
        <v>10.4477611940298</v>
      </c>
      <c r="BC55" s="15">
        <v>10.8108108108108</v>
      </c>
      <c r="BD55" s="15">
        <v>10.2564102564103</v>
      </c>
      <c r="BE55" s="15">
        <v>10.3448275862069</v>
      </c>
      <c r="BF55" s="15">
        <v>9.6385542168674707</v>
      </c>
      <c r="BG55" s="15">
        <v>16.417910447761201</v>
      </c>
      <c r="BH55" s="20" t="s">
        <v>76</v>
      </c>
      <c r="BI55" s="20" t="s">
        <v>76</v>
      </c>
      <c r="BJ55" s="15">
        <v>7.1428571428571397</v>
      </c>
      <c r="BK55" s="20" t="s">
        <v>76</v>
      </c>
      <c r="BL55" s="15">
        <v>12.5</v>
      </c>
      <c r="BM55" s="15">
        <v>8.9108910891089099</v>
      </c>
      <c r="BN55" s="15">
        <v>11.764705882352899</v>
      </c>
      <c r="BO55" s="15">
        <v>8.8888888888888893</v>
      </c>
      <c r="BP55" s="20" t="s">
        <v>76</v>
      </c>
      <c r="BQ55" s="15">
        <v>10.958904109589</v>
      </c>
      <c r="BR55" s="15">
        <v>8.3333333333333304</v>
      </c>
      <c r="BS55" s="15">
        <v>8.4337349397590398</v>
      </c>
      <c r="BT55" s="15">
        <v>15.853658536585399</v>
      </c>
      <c r="BU55" s="15">
        <v>9.3457943925233593</v>
      </c>
      <c r="BV55" s="15">
        <v>18.181818181818201</v>
      </c>
      <c r="BW55" s="20" t="s">
        <v>76</v>
      </c>
      <c r="BX55" s="20" t="s">
        <v>76</v>
      </c>
      <c r="BY55" s="15">
        <v>11.1111111111111</v>
      </c>
      <c r="BZ55" s="15">
        <v>8.1632653061224492</v>
      </c>
      <c r="CA55" s="32">
        <v>7.57603586250102</v>
      </c>
      <c r="CB55" s="15">
        <v>5.4313099041533501</v>
      </c>
      <c r="CC55" s="15">
        <v>7.5471698113207504</v>
      </c>
      <c r="CD55" s="15">
        <v>8.3870967741935498</v>
      </c>
      <c r="CE55" s="20" t="s">
        <v>76</v>
      </c>
      <c r="CF55" s="15">
        <v>9.8802395209580904</v>
      </c>
      <c r="CG55" s="15">
        <v>7.2625698324022299</v>
      </c>
      <c r="CH55" s="15">
        <v>6.8014705882352899</v>
      </c>
      <c r="CI55" s="15">
        <v>9.4455852156057496</v>
      </c>
      <c r="CJ55" s="15">
        <v>7.4509803921568603</v>
      </c>
      <c r="CK55" s="15">
        <v>10.3139013452915</v>
      </c>
      <c r="CL55" s="15">
        <v>9.0909090909090899</v>
      </c>
      <c r="CM55" s="24">
        <v>6.42398286937902</v>
      </c>
      <c r="CN55" s="37"/>
    </row>
    <row r="56" spans="1:92">
      <c r="A56" s="9" t="s">
        <v>311</v>
      </c>
      <c r="B56" s="35">
        <v>10.333373390479901</v>
      </c>
      <c r="C56" s="32">
        <v>10.497953996089301</v>
      </c>
      <c r="D56" s="32">
        <v>10.851423791654</v>
      </c>
      <c r="E56" s="32">
        <v>9.5318316425639509</v>
      </c>
      <c r="F56" s="20" t="s">
        <v>76</v>
      </c>
      <c r="G56" s="20" t="s">
        <v>76</v>
      </c>
      <c r="H56" s="20" t="s">
        <v>76</v>
      </c>
      <c r="I56" s="20" t="s">
        <v>76</v>
      </c>
      <c r="J56" s="15">
        <v>7.6388888888888902</v>
      </c>
      <c r="K56" s="20" t="s">
        <v>76</v>
      </c>
      <c r="L56" s="15">
        <v>14.7540983606557</v>
      </c>
      <c r="M56" s="15">
        <v>13.157894736842101</v>
      </c>
      <c r="N56" s="15">
        <v>16.470588235294102</v>
      </c>
      <c r="O56" s="15">
        <v>13.953488372093</v>
      </c>
      <c r="P56" s="15">
        <v>8.4507042253521103</v>
      </c>
      <c r="Q56" s="15">
        <v>7.0422535211267601</v>
      </c>
      <c r="R56" s="20" t="s">
        <v>76</v>
      </c>
      <c r="S56" s="20" t="s">
        <v>76</v>
      </c>
      <c r="T56" s="20" t="s">
        <v>76</v>
      </c>
      <c r="U56" s="20" t="s">
        <v>76</v>
      </c>
      <c r="V56" s="20" t="s">
        <v>76</v>
      </c>
      <c r="W56" s="15">
        <v>15.254237288135601</v>
      </c>
      <c r="X56" s="20" t="s">
        <v>76</v>
      </c>
      <c r="Y56" s="20" t="s">
        <v>76</v>
      </c>
      <c r="Z56" s="20" t="s">
        <v>76</v>
      </c>
      <c r="AA56" s="15">
        <v>11.926605504587201</v>
      </c>
      <c r="AB56" s="15">
        <v>8.8235294117646994</v>
      </c>
      <c r="AC56" s="15">
        <v>7.5757575757575797</v>
      </c>
      <c r="AD56" s="20" t="s">
        <v>76</v>
      </c>
      <c r="AE56" s="20" t="s">
        <v>76</v>
      </c>
      <c r="AF56" s="20" t="s">
        <v>76</v>
      </c>
      <c r="AG56" s="15">
        <v>11.4285714285714</v>
      </c>
      <c r="AH56" s="20" t="s">
        <v>76</v>
      </c>
      <c r="AI56" s="20" t="s">
        <v>76</v>
      </c>
      <c r="AJ56" s="15">
        <v>6.3063063063063103</v>
      </c>
      <c r="AK56" s="15">
        <v>16.6666666666667</v>
      </c>
      <c r="AL56" s="15">
        <v>7.7777777777777803</v>
      </c>
      <c r="AM56" s="15">
        <v>20.3125</v>
      </c>
      <c r="AN56" s="20" t="s">
        <v>76</v>
      </c>
      <c r="AO56" s="20" t="s">
        <v>76</v>
      </c>
      <c r="AP56" s="15">
        <v>12.987012987012999</v>
      </c>
      <c r="AQ56" s="20" t="s">
        <v>76</v>
      </c>
      <c r="AR56" s="20" t="s">
        <v>76</v>
      </c>
      <c r="AS56" s="20" t="s">
        <v>76</v>
      </c>
      <c r="AT56" s="20" t="s">
        <v>76</v>
      </c>
      <c r="AU56" s="20" t="s">
        <v>76</v>
      </c>
      <c r="AV56" s="20" t="s">
        <v>76</v>
      </c>
      <c r="AW56" s="15">
        <v>10.3448275862069</v>
      </c>
      <c r="AX56" s="20" t="s">
        <v>76</v>
      </c>
      <c r="AY56" s="20" t="s">
        <v>76</v>
      </c>
      <c r="AZ56" s="20" t="s">
        <v>76</v>
      </c>
      <c r="BA56" s="15">
        <v>11.320754716981099</v>
      </c>
      <c r="BB56" s="15">
        <v>8.9552238805970106</v>
      </c>
      <c r="BC56" s="15">
        <v>10.8108108108108</v>
      </c>
      <c r="BD56" s="15">
        <v>10.2564102564103</v>
      </c>
      <c r="BE56" s="15">
        <v>8.6206896551724093</v>
      </c>
      <c r="BF56" s="15">
        <v>14.4578313253012</v>
      </c>
      <c r="BG56" s="15">
        <v>8.9552238805970106</v>
      </c>
      <c r="BH56" s="15">
        <v>20.8333333333333</v>
      </c>
      <c r="BI56" s="20" t="s">
        <v>76</v>
      </c>
      <c r="BJ56" s="15">
        <v>9.8214285714285694</v>
      </c>
      <c r="BK56" s="20" t="s">
        <v>76</v>
      </c>
      <c r="BL56" s="15">
        <v>8.59375</v>
      </c>
      <c r="BM56" s="15">
        <v>13.8613861386139</v>
      </c>
      <c r="BN56" s="15">
        <v>11.764705882352899</v>
      </c>
      <c r="BO56" s="15">
        <v>8.8888888888888893</v>
      </c>
      <c r="BP56" s="20" t="s">
        <v>76</v>
      </c>
      <c r="BQ56" s="15">
        <v>6.8493150684931496</v>
      </c>
      <c r="BR56" s="20" t="s">
        <v>76</v>
      </c>
      <c r="BS56" s="15">
        <v>12.048192771084301</v>
      </c>
      <c r="BT56" s="15">
        <v>7.3170731707317103</v>
      </c>
      <c r="BU56" s="15">
        <v>15.887850467289701</v>
      </c>
      <c r="BV56" s="15">
        <v>12.1212121212121</v>
      </c>
      <c r="BW56" s="20" t="s">
        <v>76</v>
      </c>
      <c r="BX56" s="20" t="s">
        <v>76</v>
      </c>
      <c r="BY56" s="20" t="s">
        <v>76</v>
      </c>
      <c r="BZ56" s="15">
        <v>6.8027210884353702</v>
      </c>
      <c r="CA56" s="32">
        <v>11.9170877025272</v>
      </c>
      <c r="CB56" s="15">
        <v>9.2651757188498394</v>
      </c>
      <c r="CC56" s="15">
        <v>11.9496855345912</v>
      </c>
      <c r="CD56" s="15">
        <v>14.8387096774194</v>
      </c>
      <c r="CE56" s="20" t="s">
        <v>76</v>
      </c>
      <c r="CF56" s="15">
        <v>13.1736526946108</v>
      </c>
      <c r="CG56" s="15">
        <v>17.318435754189899</v>
      </c>
      <c r="CH56" s="15">
        <v>8.0882352941176503</v>
      </c>
      <c r="CI56" s="15">
        <v>11.088295687884999</v>
      </c>
      <c r="CJ56" s="15">
        <v>12.5490196078431</v>
      </c>
      <c r="CK56" s="15">
        <v>10.762331838565</v>
      </c>
      <c r="CL56" s="15">
        <v>11.5151515151515</v>
      </c>
      <c r="CM56" s="24">
        <v>14.5610278372591</v>
      </c>
      <c r="CN56" s="37"/>
    </row>
    <row r="57" spans="1:92">
      <c r="A57" s="9" t="s">
        <v>312</v>
      </c>
      <c r="B57" s="35">
        <v>9.0367005028882907</v>
      </c>
      <c r="C57" s="32">
        <v>8.94287216543478</v>
      </c>
      <c r="D57" s="32">
        <v>9.2364148665548598</v>
      </c>
      <c r="E57" s="32">
        <v>10.356449118329399</v>
      </c>
      <c r="F57" s="20" t="s">
        <v>76</v>
      </c>
      <c r="G57" s="20" t="s">
        <v>76</v>
      </c>
      <c r="H57" s="20" t="s">
        <v>76</v>
      </c>
      <c r="I57" s="20" t="s">
        <v>76</v>
      </c>
      <c r="J57" s="15">
        <v>6.9444444444444402</v>
      </c>
      <c r="K57" s="20" t="s">
        <v>76</v>
      </c>
      <c r="L57" s="15">
        <v>16.393442622950801</v>
      </c>
      <c r="M57" s="15">
        <v>15.789473684210501</v>
      </c>
      <c r="N57" s="15">
        <v>11.764705882352899</v>
      </c>
      <c r="O57" s="15">
        <v>11.6279069767442</v>
      </c>
      <c r="P57" s="15">
        <v>11.2676056338028</v>
      </c>
      <c r="Q57" s="15">
        <v>9.8591549295774694</v>
      </c>
      <c r="R57" s="20" t="s">
        <v>76</v>
      </c>
      <c r="S57" s="20" t="s">
        <v>76</v>
      </c>
      <c r="T57" s="20" t="s">
        <v>76</v>
      </c>
      <c r="U57" s="20" t="s">
        <v>76</v>
      </c>
      <c r="V57" s="20" t="s">
        <v>76</v>
      </c>
      <c r="W57" s="15">
        <v>8.4745762711864394</v>
      </c>
      <c r="X57" s="20" t="s">
        <v>76</v>
      </c>
      <c r="Y57" s="20" t="s">
        <v>76</v>
      </c>
      <c r="Z57" s="20" t="s">
        <v>76</v>
      </c>
      <c r="AA57" s="15">
        <v>16.5137614678899</v>
      </c>
      <c r="AB57" s="15">
        <v>10.294117647058799</v>
      </c>
      <c r="AC57" s="15">
        <v>9.8484848484848495</v>
      </c>
      <c r="AD57" s="15">
        <v>21.875</v>
      </c>
      <c r="AE57" s="20" t="s">
        <v>76</v>
      </c>
      <c r="AF57" s="20" t="s">
        <v>76</v>
      </c>
      <c r="AG57" s="15">
        <v>5.71428571428571</v>
      </c>
      <c r="AH57" s="20" t="s">
        <v>76</v>
      </c>
      <c r="AI57" s="20" t="s">
        <v>76</v>
      </c>
      <c r="AJ57" s="15">
        <v>9.9099099099099099</v>
      </c>
      <c r="AK57" s="20" t="s">
        <v>76</v>
      </c>
      <c r="AL57" s="15">
        <v>6.6666666666666696</v>
      </c>
      <c r="AM57" s="15">
        <v>18.75</v>
      </c>
      <c r="AN57" s="20" t="s">
        <v>76</v>
      </c>
      <c r="AO57" s="20" t="s">
        <v>76</v>
      </c>
      <c r="AP57" s="15">
        <v>11.6883116883117</v>
      </c>
      <c r="AQ57" s="20" t="s">
        <v>76</v>
      </c>
      <c r="AR57" s="15">
        <v>16.363636363636399</v>
      </c>
      <c r="AS57" s="20" t="s">
        <v>76</v>
      </c>
      <c r="AT57" s="15">
        <v>15.384615384615399</v>
      </c>
      <c r="AU57" s="15">
        <v>14.285714285714301</v>
      </c>
      <c r="AV57" s="20" t="s">
        <v>76</v>
      </c>
      <c r="AW57" s="15">
        <v>8.6206896551724093</v>
      </c>
      <c r="AX57" s="20" t="s">
        <v>76</v>
      </c>
      <c r="AY57" s="20" t="s">
        <v>76</v>
      </c>
      <c r="AZ57" s="20" t="s">
        <v>76</v>
      </c>
      <c r="BA57" s="20" t="s">
        <v>76</v>
      </c>
      <c r="BB57" s="20" t="s">
        <v>76</v>
      </c>
      <c r="BC57" s="15">
        <v>9.4594594594594597</v>
      </c>
      <c r="BD57" s="15">
        <v>10.2564102564103</v>
      </c>
      <c r="BE57" s="15">
        <v>8.6206896551724093</v>
      </c>
      <c r="BF57" s="15">
        <v>14.4578313253012</v>
      </c>
      <c r="BG57" s="15">
        <v>10.4477611940298</v>
      </c>
      <c r="BH57" s="20" t="s">
        <v>76</v>
      </c>
      <c r="BI57" s="20" t="s">
        <v>76</v>
      </c>
      <c r="BJ57" s="15">
        <v>10.714285714285699</v>
      </c>
      <c r="BK57" s="15">
        <v>12.5</v>
      </c>
      <c r="BL57" s="15">
        <v>8.59375</v>
      </c>
      <c r="BM57" s="15">
        <v>10.891089108910901</v>
      </c>
      <c r="BN57" s="15">
        <v>10.924369747899201</v>
      </c>
      <c r="BO57" s="15">
        <v>11.1111111111111</v>
      </c>
      <c r="BP57" s="20" t="s">
        <v>76</v>
      </c>
      <c r="BQ57" s="15">
        <v>9.5890410958904102</v>
      </c>
      <c r="BR57" s="15">
        <v>13.3333333333333</v>
      </c>
      <c r="BS57" s="15">
        <v>16.867469879518101</v>
      </c>
      <c r="BT57" s="15">
        <v>8.5365853658536608</v>
      </c>
      <c r="BU57" s="15">
        <v>5.6074766355140202</v>
      </c>
      <c r="BV57" s="15">
        <v>12.1212121212121</v>
      </c>
      <c r="BW57" s="15">
        <v>8.6956521739130395</v>
      </c>
      <c r="BX57" s="20" t="s">
        <v>76</v>
      </c>
      <c r="BY57" s="15">
        <v>9.5238095238095202</v>
      </c>
      <c r="BZ57" s="15">
        <v>10.2040816326531</v>
      </c>
      <c r="CA57" s="32">
        <v>8.3319080597501802</v>
      </c>
      <c r="CB57" s="15">
        <v>5.7507987220447303</v>
      </c>
      <c r="CC57" s="15">
        <v>6.6037735849056602</v>
      </c>
      <c r="CD57" s="15">
        <v>7.7419354838709697</v>
      </c>
      <c r="CE57" s="20" t="s">
        <v>76</v>
      </c>
      <c r="CF57" s="15">
        <v>10.179640718562901</v>
      </c>
      <c r="CG57" s="15">
        <v>7.8212290502793298</v>
      </c>
      <c r="CH57" s="15">
        <v>6.6176470588235299</v>
      </c>
      <c r="CI57" s="15">
        <v>7.8028747433264902</v>
      </c>
      <c r="CJ57" s="15">
        <v>9.4117647058823497</v>
      </c>
      <c r="CK57" s="15">
        <v>8.0717488789237706</v>
      </c>
      <c r="CL57" s="15">
        <v>9.3939393939393891</v>
      </c>
      <c r="CM57" s="24">
        <v>10.9207708779443</v>
      </c>
      <c r="CN57" s="37"/>
    </row>
    <row r="58" spans="1:92">
      <c r="A58" s="9" t="s">
        <v>313</v>
      </c>
      <c r="B58" s="35">
        <v>12.578480973612001</v>
      </c>
      <c r="C58" s="32">
        <v>13.039370272176701</v>
      </c>
      <c r="D58" s="32">
        <v>12.760022843468899</v>
      </c>
      <c r="E58" s="32">
        <v>12.8898155077173</v>
      </c>
      <c r="F58" s="20" t="s">
        <v>76</v>
      </c>
      <c r="G58" s="20" t="s">
        <v>76</v>
      </c>
      <c r="H58" s="20" t="s">
        <v>76</v>
      </c>
      <c r="I58" s="20" t="s">
        <v>76</v>
      </c>
      <c r="J58" s="15">
        <v>13.1944444444444</v>
      </c>
      <c r="K58" s="20" t="s">
        <v>76</v>
      </c>
      <c r="L58" s="15">
        <v>18.032786885245901</v>
      </c>
      <c r="M58" s="15">
        <v>27.6315789473684</v>
      </c>
      <c r="N58" s="15">
        <v>8.2352941176470598</v>
      </c>
      <c r="O58" s="15">
        <v>25.581395348837201</v>
      </c>
      <c r="P58" s="15">
        <v>14.084507042253501</v>
      </c>
      <c r="Q58" s="15">
        <v>12.6760563380282</v>
      </c>
      <c r="R58" s="20" t="s">
        <v>76</v>
      </c>
      <c r="S58" s="20" t="s">
        <v>76</v>
      </c>
      <c r="T58" s="20" t="s">
        <v>76</v>
      </c>
      <c r="U58" s="20" t="s">
        <v>76</v>
      </c>
      <c r="V58" s="20" t="s">
        <v>76</v>
      </c>
      <c r="W58" s="15">
        <v>15.254237288135601</v>
      </c>
      <c r="X58" s="20" t="s">
        <v>76</v>
      </c>
      <c r="Y58" s="20" t="s">
        <v>76</v>
      </c>
      <c r="Z58" s="15">
        <v>6.4102564102564097</v>
      </c>
      <c r="AA58" s="15">
        <v>18.348623853210999</v>
      </c>
      <c r="AB58" s="15">
        <v>7.3529411764705896</v>
      </c>
      <c r="AC58" s="15">
        <v>11.363636363636401</v>
      </c>
      <c r="AD58" s="15">
        <v>25</v>
      </c>
      <c r="AE58" s="15">
        <v>22.2222222222222</v>
      </c>
      <c r="AF58" s="20" t="s">
        <v>76</v>
      </c>
      <c r="AG58" s="15">
        <v>6.6666666666666696</v>
      </c>
      <c r="AH58" s="15">
        <v>10.714285714285699</v>
      </c>
      <c r="AI58" s="20" t="s">
        <v>76</v>
      </c>
      <c r="AJ58" s="15">
        <v>18.018018018018001</v>
      </c>
      <c r="AK58" s="20" t="s">
        <v>76</v>
      </c>
      <c r="AL58" s="15">
        <v>7.7777777777777803</v>
      </c>
      <c r="AM58" s="15">
        <v>20.3125</v>
      </c>
      <c r="AN58" s="20" t="s">
        <v>76</v>
      </c>
      <c r="AO58" s="20" t="s">
        <v>76</v>
      </c>
      <c r="AP58" s="15">
        <v>10.3896103896104</v>
      </c>
      <c r="AQ58" s="20" t="s">
        <v>76</v>
      </c>
      <c r="AR58" s="15">
        <v>14.545454545454501</v>
      </c>
      <c r="AS58" s="20" t="s">
        <v>76</v>
      </c>
      <c r="AT58" s="15">
        <v>9.2307692307692299</v>
      </c>
      <c r="AU58" s="20" t="s">
        <v>76</v>
      </c>
      <c r="AV58" s="15">
        <v>6.8493150684931496</v>
      </c>
      <c r="AW58" s="15">
        <v>15.517241379310301</v>
      </c>
      <c r="AX58" s="20" t="s">
        <v>76</v>
      </c>
      <c r="AY58" s="20" t="s">
        <v>76</v>
      </c>
      <c r="AZ58" s="15">
        <v>10</v>
      </c>
      <c r="BA58" s="15">
        <v>11.320754716981099</v>
      </c>
      <c r="BB58" s="15">
        <v>10.4477611940298</v>
      </c>
      <c r="BC58" s="15">
        <v>16.2162162162162</v>
      </c>
      <c r="BD58" s="15">
        <v>17.948717948717899</v>
      </c>
      <c r="BE58" s="20" t="s">
        <v>76</v>
      </c>
      <c r="BF58" s="15">
        <v>8.4337349397590398</v>
      </c>
      <c r="BG58" s="15">
        <v>16.417910447761201</v>
      </c>
      <c r="BH58" s="20" t="s">
        <v>76</v>
      </c>
      <c r="BI58" s="20" t="s">
        <v>76</v>
      </c>
      <c r="BJ58" s="15">
        <v>10.714285714285699</v>
      </c>
      <c r="BK58" s="20" t="s">
        <v>76</v>
      </c>
      <c r="BL58" s="15">
        <v>10.9375</v>
      </c>
      <c r="BM58" s="15">
        <v>13.8613861386139</v>
      </c>
      <c r="BN58" s="15">
        <v>16.806722689075599</v>
      </c>
      <c r="BO58" s="15">
        <v>14.4444444444444</v>
      </c>
      <c r="BP58" s="20" t="s">
        <v>76</v>
      </c>
      <c r="BQ58" s="15">
        <v>9.5890410958904102</v>
      </c>
      <c r="BR58" s="15">
        <v>18.3333333333333</v>
      </c>
      <c r="BS58" s="15">
        <v>15.662650602409601</v>
      </c>
      <c r="BT58" s="15">
        <v>12.1951219512195</v>
      </c>
      <c r="BU58" s="15">
        <v>16.822429906542101</v>
      </c>
      <c r="BV58" s="15">
        <v>11.1111111111111</v>
      </c>
      <c r="BW58" s="15">
        <v>11.5942028985507</v>
      </c>
      <c r="BX58" s="20" t="s">
        <v>76</v>
      </c>
      <c r="BY58" s="15">
        <v>9.5238095238095202</v>
      </c>
      <c r="BZ58" s="15">
        <v>14.285714285714301</v>
      </c>
      <c r="CA58" s="32">
        <v>12.6552060951418</v>
      </c>
      <c r="CB58" s="15">
        <v>14.057507987220401</v>
      </c>
      <c r="CC58" s="15">
        <v>13.207547169811299</v>
      </c>
      <c r="CD58" s="15">
        <v>16.129032258064498</v>
      </c>
      <c r="CE58" s="20" t="s">
        <v>76</v>
      </c>
      <c r="CF58" s="15">
        <v>11.6766467065868</v>
      </c>
      <c r="CG58" s="15">
        <v>17.877094972066999</v>
      </c>
      <c r="CH58" s="15">
        <v>13.419117647058799</v>
      </c>
      <c r="CI58" s="15">
        <v>10.472279260780301</v>
      </c>
      <c r="CJ58" s="15">
        <v>14.509803921568601</v>
      </c>
      <c r="CK58" s="15">
        <v>12.556053811659201</v>
      </c>
      <c r="CL58" s="15">
        <v>10.1515151515152</v>
      </c>
      <c r="CM58" s="24">
        <v>18.415417558886499</v>
      </c>
      <c r="CN58" s="37"/>
    </row>
    <row r="59" spans="1:92">
      <c r="A59" s="9" t="s">
        <v>314</v>
      </c>
      <c r="B59" s="35">
        <v>2.7703451670810102</v>
      </c>
      <c r="C59" s="32">
        <v>2.7154581272209599</v>
      </c>
      <c r="D59" s="32">
        <v>2.0314540110221602</v>
      </c>
      <c r="E59" s="32">
        <v>2.2255639344154101</v>
      </c>
      <c r="F59" s="20" t="s">
        <v>76</v>
      </c>
      <c r="G59" s="20" t="s">
        <v>76</v>
      </c>
      <c r="H59" s="20" t="s">
        <v>76</v>
      </c>
      <c r="I59" s="20" t="s">
        <v>76</v>
      </c>
      <c r="J59" s="20" t="s">
        <v>76</v>
      </c>
      <c r="K59" s="20" t="s">
        <v>76</v>
      </c>
      <c r="L59" s="20" t="s">
        <v>76</v>
      </c>
      <c r="M59" s="15">
        <v>6.5789473684210504</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20" t="s">
        <v>76</v>
      </c>
      <c r="AH59" s="20" t="s">
        <v>76</v>
      </c>
      <c r="AI59" s="20" t="s">
        <v>76</v>
      </c>
      <c r="AJ59" s="20" t="s">
        <v>76</v>
      </c>
      <c r="AK59" s="20" t="s">
        <v>76</v>
      </c>
      <c r="AL59" s="20" t="s">
        <v>76</v>
      </c>
      <c r="AM59" s="20" t="s">
        <v>76</v>
      </c>
      <c r="AN59" s="20" t="s">
        <v>76</v>
      </c>
      <c r="AO59" s="20" t="s">
        <v>76</v>
      </c>
      <c r="AP59" s="20" t="s">
        <v>76</v>
      </c>
      <c r="AQ59" s="20" t="s">
        <v>76</v>
      </c>
      <c r="AR59" s="20" t="s">
        <v>76</v>
      </c>
      <c r="AS59" s="20" t="s">
        <v>76</v>
      </c>
      <c r="AT59" s="20" t="s">
        <v>76</v>
      </c>
      <c r="AU59" s="20" t="s">
        <v>76</v>
      </c>
      <c r="AV59" s="20" t="s">
        <v>76</v>
      </c>
      <c r="AW59" s="20" t="s">
        <v>76</v>
      </c>
      <c r="AX59" s="20" t="s">
        <v>76</v>
      </c>
      <c r="AY59" s="20" t="s">
        <v>76</v>
      </c>
      <c r="AZ59" s="20" t="s">
        <v>76</v>
      </c>
      <c r="BA59" s="20" t="s">
        <v>76</v>
      </c>
      <c r="BB59" s="20" t="s">
        <v>76</v>
      </c>
      <c r="BC59" s="20" t="s">
        <v>76</v>
      </c>
      <c r="BD59" s="20" t="s">
        <v>76</v>
      </c>
      <c r="BE59" s="20" t="s">
        <v>76</v>
      </c>
      <c r="BF59" s="20" t="s">
        <v>76</v>
      </c>
      <c r="BG59" s="20" t="s">
        <v>76</v>
      </c>
      <c r="BH59" s="20" t="s">
        <v>76</v>
      </c>
      <c r="BI59" s="20" t="s">
        <v>76</v>
      </c>
      <c r="BJ59" s="20" t="s">
        <v>76</v>
      </c>
      <c r="BK59" s="20" t="s">
        <v>76</v>
      </c>
      <c r="BL59" s="20" t="s">
        <v>76</v>
      </c>
      <c r="BM59" s="20" t="s">
        <v>76</v>
      </c>
      <c r="BN59" s="20" t="s">
        <v>76</v>
      </c>
      <c r="BO59" s="20" t="s">
        <v>76</v>
      </c>
      <c r="BP59" s="20" t="s">
        <v>76</v>
      </c>
      <c r="BQ59" s="20" t="s">
        <v>76</v>
      </c>
      <c r="BR59" s="20" t="s">
        <v>76</v>
      </c>
      <c r="BS59" s="20" t="s">
        <v>76</v>
      </c>
      <c r="BT59" s="20" t="s">
        <v>76</v>
      </c>
      <c r="BU59" s="20" t="s">
        <v>76</v>
      </c>
      <c r="BV59" s="15">
        <v>5.0505050505050502</v>
      </c>
      <c r="BW59" s="20" t="s">
        <v>76</v>
      </c>
      <c r="BX59" s="20" t="s">
        <v>76</v>
      </c>
      <c r="BY59" s="20" t="s">
        <v>76</v>
      </c>
      <c r="BZ59" s="20" t="s">
        <v>76</v>
      </c>
      <c r="CA59" s="32">
        <v>1.87469653088317</v>
      </c>
      <c r="CB59" s="15">
        <v>2.5559105431309899</v>
      </c>
      <c r="CC59" s="15">
        <v>3.1446540880503102</v>
      </c>
      <c r="CD59" s="20" t="s">
        <v>76</v>
      </c>
      <c r="CE59" s="20" t="s">
        <v>76</v>
      </c>
      <c r="CF59" s="15">
        <v>2.6946107784431099</v>
      </c>
      <c r="CG59" s="20" t="s">
        <v>76</v>
      </c>
      <c r="CH59" s="20" t="s">
        <v>76</v>
      </c>
      <c r="CI59" s="15">
        <v>1.84804928131417</v>
      </c>
      <c r="CJ59" s="15">
        <v>3.1372549019607798</v>
      </c>
      <c r="CK59" s="20" t="s">
        <v>76</v>
      </c>
      <c r="CL59" s="15">
        <v>1.9696969696969699</v>
      </c>
      <c r="CM59" s="24">
        <v>1.2847965738758</v>
      </c>
      <c r="CN59" s="37"/>
    </row>
    <row r="60" spans="1:92">
      <c r="A60" s="9" t="s">
        <v>315</v>
      </c>
      <c r="B60" s="35">
        <v>2.7574126033696298</v>
      </c>
      <c r="C60" s="32">
        <v>2.7687150404199699</v>
      </c>
      <c r="D60" s="32">
        <v>2.2245550317846998</v>
      </c>
      <c r="E60" s="32">
        <v>2.4333402875708301</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20" t="s">
        <v>76</v>
      </c>
      <c r="AH60" s="20" t="s">
        <v>76</v>
      </c>
      <c r="AI60" s="20" t="s">
        <v>76</v>
      </c>
      <c r="AJ60" s="20" t="s">
        <v>76</v>
      </c>
      <c r="AK60" s="20" t="s">
        <v>76</v>
      </c>
      <c r="AL60" s="20" t="s">
        <v>76</v>
      </c>
      <c r="AM60" s="20" t="s">
        <v>76</v>
      </c>
      <c r="AN60" s="20" t="s">
        <v>76</v>
      </c>
      <c r="AO60" s="20" t="s">
        <v>76</v>
      </c>
      <c r="AP60" s="20" t="s">
        <v>76</v>
      </c>
      <c r="AQ60" s="20" t="s">
        <v>76</v>
      </c>
      <c r="AR60" s="20" t="s">
        <v>76</v>
      </c>
      <c r="AS60" s="20" t="s">
        <v>76</v>
      </c>
      <c r="AT60" s="20" t="s">
        <v>76</v>
      </c>
      <c r="AU60" s="20" t="s">
        <v>76</v>
      </c>
      <c r="AV60" s="20" t="s">
        <v>76</v>
      </c>
      <c r="AW60" s="20" t="s">
        <v>76</v>
      </c>
      <c r="AX60" s="20" t="s">
        <v>76</v>
      </c>
      <c r="AY60" s="20" t="s">
        <v>76</v>
      </c>
      <c r="AZ60" s="20" t="s">
        <v>76</v>
      </c>
      <c r="BA60" s="20" t="s">
        <v>76</v>
      </c>
      <c r="BB60" s="20" t="s">
        <v>76</v>
      </c>
      <c r="BC60" s="20" t="s">
        <v>76</v>
      </c>
      <c r="BD60" s="20" t="s">
        <v>76</v>
      </c>
      <c r="BE60" s="20" t="s">
        <v>76</v>
      </c>
      <c r="BF60" s="20" t="s">
        <v>76</v>
      </c>
      <c r="BG60" s="20" t="s">
        <v>76</v>
      </c>
      <c r="BH60" s="20" t="s">
        <v>76</v>
      </c>
      <c r="BI60" s="20" t="s">
        <v>76</v>
      </c>
      <c r="BJ60" s="20" t="s">
        <v>76</v>
      </c>
      <c r="BK60" s="20" t="s">
        <v>76</v>
      </c>
      <c r="BL60" s="20" t="s">
        <v>76</v>
      </c>
      <c r="BM60" s="20" t="s">
        <v>76</v>
      </c>
      <c r="BN60" s="15">
        <v>4.2016806722689104</v>
      </c>
      <c r="BO60" s="20" t="s">
        <v>76</v>
      </c>
      <c r="BP60" s="20" t="s">
        <v>76</v>
      </c>
      <c r="BQ60" s="20" t="s">
        <v>76</v>
      </c>
      <c r="BR60" s="20" t="s">
        <v>76</v>
      </c>
      <c r="BS60" s="20" t="s">
        <v>76</v>
      </c>
      <c r="BT60" s="20" t="s">
        <v>76</v>
      </c>
      <c r="BU60" s="20" t="s">
        <v>76</v>
      </c>
      <c r="BV60" s="15">
        <v>5.0505050505050502</v>
      </c>
      <c r="BW60" s="20" t="s">
        <v>76</v>
      </c>
      <c r="BX60" s="20" t="s">
        <v>76</v>
      </c>
      <c r="BY60" s="20" t="s">
        <v>76</v>
      </c>
      <c r="BZ60" s="20" t="s">
        <v>76</v>
      </c>
      <c r="CA60" s="32">
        <v>2.0559461836893802</v>
      </c>
      <c r="CB60" s="15">
        <v>1.59744408945687</v>
      </c>
      <c r="CC60" s="15">
        <v>1.88679245283019</v>
      </c>
      <c r="CD60" s="20" t="s">
        <v>76</v>
      </c>
      <c r="CE60" s="20" t="s">
        <v>76</v>
      </c>
      <c r="CF60" s="15">
        <v>2.0958083832335301</v>
      </c>
      <c r="CG60" s="20" t="s">
        <v>76</v>
      </c>
      <c r="CH60" s="20" t="s">
        <v>76</v>
      </c>
      <c r="CI60" s="15">
        <v>2.4640657084188899</v>
      </c>
      <c r="CJ60" s="15">
        <v>3.9215686274509798</v>
      </c>
      <c r="CK60" s="15">
        <v>2.6905829596412598</v>
      </c>
      <c r="CL60" s="15">
        <v>3.0303030303030298</v>
      </c>
      <c r="CM60" s="24">
        <v>2.1413276231263398</v>
      </c>
      <c r="CN60" s="37"/>
    </row>
    <row r="61" spans="1:92">
      <c r="A61" s="9" t="s">
        <v>316</v>
      </c>
      <c r="B61" s="35">
        <v>3.8513079361879301</v>
      </c>
      <c r="C61" s="32">
        <v>3.72792337132466</v>
      </c>
      <c r="D61" s="32">
        <v>3.2264736667752398</v>
      </c>
      <c r="E61" s="32">
        <v>3.4738320131558198</v>
      </c>
      <c r="F61" s="20" t="s">
        <v>76</v>
      </c>
      <c r="G61" s="20" t="s">
        <v>76</v>
      </c>
      <c r="H61" s="20" t="s">
        <v>76</v>
      </c>
      <c r="I61" s="20" t="s">
        <v>76</v>
      </c>
      <c r="J61" s="20" t="s">
        <v>76</v>
      </c>
      <c r="K61" s="20" t="s">
        <v>76</v>
      </c>
      <c r="L61" s="20" t="s">
        <v>76</v>
      </c>
      <c r="M61" s="15">
        <v>7.8947368421052602</v>
      </c>
      <c r="N61" s="20" t="s">
        <v>76</v>
      </c>
      <c r="O61" s="20" t="s">
        <v>76</v>
      </c>
      <c r="P61" s="20" t="s">
        <v>76</v>
      </c>
      <c r="Q61" s="20" t="s">
        <v>76</v>
      </c>
      <c r="R61" s="20" t="s">
        <v>76</v>
      </c>
      <c r="S61" s="20" t="s">
        <v>76</v>
      </c>
      <c r="T61" s="20" t="s">
        <v>76</v>
      </c>
      <c r="U61" s="20" t="s">
        <v>76</v>
      </c>
      <c r="V61" s="20" t="s">
        <v>76</v>
      </c>
      <c r="W61" s="20" t="s">
        <v>76</v>
      </c>
      <c r="X61" s="20" t="s">
        <v>76</v>
      </c>
      <c r="Y61" s="20" t="s">
        <v>76</v>
      </c>
      <c r="Z61" s="15">
        <v>6.4102564102564097</v>
      </c>
      <c r="AA61" s="15">
        <v>4.5871559633027497</v>
      </c>
      <c r="AB61" s="20" t="s">
        <v>76</v>
      </c>
      <c r="AC61" s="20" t="s">
        <v>76</v>
      </c>
      <c r="AD61" s="20" t="s">
        <v>76</v>
      </c>
      <c r="AE61" s="20" t="s">
        <v>76</v>
      </c>
      <c r="AF61" s="20" t="s">
        <v>76</v>
      </c>
      <c r="AG61" s="15">
        <v>4.7619047619047601</v>
      </c>
      <c r="AH61" s="20" t="s">
        <v>76</v>
      </c>
      <c r="AI61" s="20" t="s">
        <v>76</v>
      </c>
      <c r="AJ61" s="20" t="s">
        <v>76</v>
      </c>
      <c r="AK61" s="20" t="s">
        <v>76</v>
      </c>
      <c r="AL61" s="20" t="s">
        <v>76</v>
      </c>
      <c r="AM61" s="20" t="s">
        <v>76</v>
      </c>
      <c r="AN61" s="20" t="s">
        <v>76</v>
      </c>
      <c r="AO61" s="20" t="s">
        <v>76</v>
      </c>
      <c r="AP61" s="20" t="s">
        <v>76</v>
      </c>
      <c r="AQ61" s="20" t="s">
        <v>76</v>
      </c>
      <c r="AR61" s="20" t="s">
        <v>76</v>
      </c>
      <c r="AS61" s="20" t="s">
        <v>76</v>
      </c>
      <c r="AT61" s="20" t="s">
        <v>76</v>
      </c>
      <c r="AU61" s="20" t="s">
        <v>76</v>
      </c>
      <c r="AV61" s="20" t="s">
        <v>76</v>
      </c>
      <c r="AW61" s="20" t="s">
        <v>76</v>
      </c>
      <c r="AX61" s="20" t="s">
        <v>76</v>
      </c>
      <c r="AY61" s="15">
        <v>14.285714285714301</v>
      </c>
      <c r="AZ61" s="20" t="s">
        <v>76</v>
      </c>
      <c r="BA61" s="20" t="s">
        <v>76</v>
      </c>
      <c r="BB61" s="20" t="s">
        <v>76</v>
      </c>
      <c r="BC61" s="20" t="s">
        <v>76</v>
      </c>
      <c r="BD61" s="20" t="s">
        <v>76</v>
      </c>
      <c r="BE61" s="20" t="s">
        <v>76</v>
      </c>
      <c r="BF61" s="20" t="s">
        <v>76</v>
      </c>
      <c r="BG61" s="20" t="s">
        <v>76</v>
      </c>
      <c r="BH61" s="20" t="s">
        <v>76</v>
      </c>
      <c r="BI61" s="20" t="s">
        <v>76</v>
      </c>
      <c r="BJ61" s="20" t="s">
        <v>76</v>
      </c>
      <c r="BK61" s="20" t="s">
        <v>76</v>
      </c>
      <c r="BL61" s="20" t="s">
        <v>76</v>
      </c>
      <c r="BM61" s="20" t="s">
        <v>76</v>
      </c>
      <c r="BN61" s="20" t="s">
        <v>76</v>
      </c>
      <c r="BO61" s="20" t="s">
        <v>76</v>
      </c>
      <c r="BP61" s="20" t="s">
        <v>76</v>
      </c>
      <c r="BQ61" s="20" t="s">
        <v>76</v>
      </c>
      <c r="BR61" s="20" t="s">
        <v>76</v>
      </c>
      <c r="BS61" s="20" t="s">
        <v>76</v>
      </c>
      <c r="BT61" s="15">
        <v>6.0975609756097597</v>
      </c>
      <c r="BU61" s="20" t="s">
        <v>76</v>
      </c>
      <c r="BV61" s="15">
        <v>7.0707070707070701</v>
      </c>
      <c r="BW61" s="20" t="s">
        <v>76</v>
      </c>
      <c r="BX61" s="20" t="s">
        <v>76</v>
      </c>
      <c r="BY61" s="20" t="s">
        <v>76</v>
      </c>
      <c r="BZ61" s="20" t="s">
        <v>76</v>
      </c>
      <c r="CA61" s="32">
        <v>3.0267143222134898</v>
      </c>
      <c r="CB61" s="15">
        <v>1.91693290734824</v>
      </c>
      <c r="CC61" s="15">
        <v>3.7735849056603801</v>
      </c>
      <c r="CD61" s="20" t="s">
        <v>76</v>
      </c>
      <c r="CE61" s="20" t="s">
        <v>76</v>
      </c>
      <c r="CF61" s="15">
        <v>3.2934131736526902</v>
      </c>
      <c r="CG61" s="15">
        <v>3.3519553072625698</v>
      </c>
      <c r="CH61" s="15">
        <v>1.8382352941176501</v>
      </c>
      <c r="CI61" s="15">
        <v>3.0800821355236101</v>
      </c>
      <c r="CJ61" s="15">
        <v>5.4901960784313699</v>
      </c>
      <c r="CK61" s="15">
        <v>2.2421524663677102</v>
      </c>
      <c r="CL61" s="15">
        <v>4.2424242424242404</v>
      </c>
      <c r="CM61" s="24">
        <v>2.35546038543897</v>
      </c>
      <c r="CN61" s="37"/>
    </row>
    <row r="62" spans="1:92">
      <c r="A62" s="9" t="s">
        <v>317</v>
      </c>
      <c r="B62" s="35">
        <v>9.9645988293959995</v>
      </c>
      <c r="C62" s="32">
        <v>9.8672052033820297</v>
      </c>
      <c r="D62" s="32">
        <v>9.9289491075343808</v>
      </c>
      <c r="E62" s="32">
        <v>11.346193593711201</v>
      </c>
      <c r="F62" s="20" t="s">
        <v>76</v>
      </c>
      <c r="G62" s="15">
        <v>29.411764705882401</v>
      </c>
      <c r="H62" s="20" t="s">
        <v>76</v>
      </c>
      <c r="I62" s="20" t="s">
        <v>76</v>
      </c>
      <c r="J62" s="15">
        <v>9.0277777777777803</v>
      </c>
      <c r="K62" s="20" t="s">
        <v>76</v>
      </c>
      <c r="L62" s="15">
        <v>14.7540983606557</v>
      </c>
      <c r="M62" s="15">
        <v>14.473684210526301</v>
      </c>
      <c r="N62" s="15">
        <v>14.117647058823501</v>
      </c>
      <c r="O62" s="15">
        <v>16.2790697674419</v>
      </c>
      <c r="P62" s="15">
        <v>7.0422535211267601</v>
      </c>
      <c r="Q62" s="20" t="s">
        <v>76</v>
      </c>
      <c r="R62" s="20" t="s">
        <v>76</v>
      </c>
      <c r="S62" s="15">
        <v>14.634146341463399</v>
      </c>
      <c r="T62" s="20" t="s">
        <v>76</v>
      </c>
      <c r="U62" s="20" t="s">
        <v>76</v>
      </c>
      <c r="V62" s="20" t="s">
        <v>76</v>
      </c>
      <c r="W62" s="15">
        <v>13.559322033898299</v>
      </c>
      <c r="X62" s="20" t="s">
        <v>76</v>
      </c>
      <c r="Y62" s="20" t="s">
        <v>76</v>
      </c>
      <c r="Z62" s="15">
        <v>11.538461538461499</v>
      </c>
      <c r="AA62" s="15">
        <v>22.0183486238532</v>
      </c>
      <c r="AB62" s="15">
        <v>17.647058823529399</v>
      </c>
      <c r="AC62" s="15">
        <v>9.8484848484848495</v>
      </c>
      <c r="AD62" s="20" t="s">
        <v>76</v>
      </c>
      <c r="AE62" s="20" t="s">
        <v>76</v>
      </c>
      <c r="AF62" s="20" t="s">
        <v>76</v>
      </c>
      <c r="AG62" s="15">
        <v>5.71428571428571</v>
      </c>
      <c r="AH62" s="20" t="s">
        <v>76</v>
      </c>
      <c r="AI62" s="20" t="s">
        <v>76</v>
      </c>
      <c r="AJ62" s="15">
        <v>12.612612612612599</v>
      </c>
      <c r="AK62" s="15">
        <v>23.3333333333333</v>
      </c>
      <c r="AL62" s="15">
        <v>12.2222222222222</v>
      </c>
      <c r="AM62" s="15">
        <v>12.5</v>
      </c>
      <c r="AN62" s="20" t="s">
        <v>76</v>
      </c>
      <c r="AO62" s="20" t="s">
        <v>76</v>
      </c>
      <c r="AP62" s="15">
        <v>12.987012987012999</v>
      </c>
      <c r="AQ62" s="15">
        <v>15.384615384615399</v>
      </c>
      <c r="AR62" s="15">
        <v>16.363636363636399</v>
      </c>
      <c r="AS62" s="20" t="s">
        <v>76</v>
      </c>
      <c r="AT62" s="15">
        <v>18.461538461538499</v>
      </c>
      <c r="AU62" s="15">
        <v>10.2040816326531</v>
      </c>
      <c r="AV62" s="20" t="s">
        <v>76</v>
      </c>
      <c r="AW62" s="15">
        <v>10.3448275862069</v>
      </c>
      <c r="AX62" s="20" t="s">
        <v>76</v>
      </c>
      <c r="AY62" s="15">
        <v>17.1428571428571</v>
      </c>
      <c r="AZ62" s="15">
        <v>16</v>
      </c>
      <c r="BA62" s="15">
        <v>13.207547169811299</v>
      </c>
      <c r="BB62" s="15">
        <v>8.9552238805970106</v>
      </c>
      <c r="BC62" s="15">
        <v>8.1081081081081106</v>
      </c>
      <c r="BD62" s="15">
        <v>11.538461538461499</v>
      </c>
      <c r="BE62" s="15">
        <v>13.7931034482759</v>
      </c>
      <c r="BF62" s="15">
        <v>14.4578313253012</v>
      </c>
      <c r="BG62" s="15">
        <v>16.417910447761201</v>
      </c>
      <c r="BH62" s="20" t="s">
        <v>76</v>
      </c>
      <c r="BI62" s="20" t="s">
        <v>76</v>
      </c>
      <c r="BJ62" s="15">
        <v>8.9285714285714306</v>
      </c>
      <c r="BK62" s="20" t="s">
        <v>76</v>
      </c>
      <c r="BL62" s="15">
        <v>13.28125</v>
      </c>
      <c r="BM62" s="15">
        <v>6.9306930693069297</v>
      </c>
      <c r="BN62" s="15">
        <v>11.764705882352899</v>
      </c>
      <c r="BO62" s="15">
        <v>11.1111111111111</v>
      </c>
      <c r="BP62" s="20" t="s">
        <v>76</v>
      </c>
      <c r="BQ62" s="15">
        <v>8.2191780821917799</v>
      </c>
      <c r="BR62" s="15">
        <v>15</v>
      </c>
      <c r="BS62" s="15">
        <v>12.048192771084301</v>
      </c>
      <c r="BT62" s="15">
        <v>8.5365853658536608</v>
      </c>
      <c r="BU62" s="15">
        <v>12.1495327102804</v>
      </c>
      <c r="BV62" s="15">
        <v>15.1515151515152</v>
      </c>
      <c r="BW62" s="20" t="s">
        <v>76</v>
      </c>
      <c r="BX62" s="20" t="s">
        <v>76</v>
      </c>
      <c r="BY62" s="15">
        <v>11.1111111111111</v>
      </c>
      <c r="BZ62" s="15">
        <v>10.8843537414966</v>
      </c>
      <c r="CA62" s="32">
        <v>8.7844240337499198</v>
      </c>
      <c r="CB62" s="15">
        <v>7.3482428115016001</v>
      </c>
      <c r="CC62" s="15">
        <v>7.8616352201257902</v>
      </c>
      <c r="CD62" s="15">
        <v>10.322580645161301</v>
      </c>
      <c r="CE62" s="20" t="s">
        <v>76</v>
      </c>
      <c r="CF62" s="15">
        <v>9.2814371257485</v>
      </c>
      <c r="CG62" s="15">
        <v>13.407821229050301</v>
      </c>
      <c r="CH62" s="15">
        <v>7.5367647058823497</v>
      </c>
      <c r="CI62" s="15">
        <v>9.6509240246406591</v>
      </c>
      <c r="CJ62" s="15">
        <v>10.588235294117601</v>
      </c>
      <c r="CK62" s="15">
        <v>9.8654708520179408</v>
      </c>
      <c r="CL62" s="15">
        <v>10.303030303030299</v>
      </c>
      <c r="CM62" s="24">
        <v>7.7087794432548202</v>
      </c>
      <c r="CN62" s="37"/>
    </row>
    <row r="63" spans="1:92">
      <c r="A63" s="9" t="s">
        <v>318</v>
      </c>
      <c r="B63" s="35">
        <v>11.1626096279553</v>
      </c>
      <c r="C63" s="32">
        <v>10.7299333836168</v>
      </c>
      <c r="D63" s="32">
        <v>10.313405344128</v>
      </c>
      <c r="E63" s="32">
        <v>11.5755358875988</v>
      </c>
      <c r="F63" s="20" t="s">
        <v>76</v>
      </c>
      <c r="G63" s="20" t="s">
        <v>76</v>
      </c>
      <c r="H63" s="20" t="s">
        <v>76</v>
      </c>
      <c r="I63" s="20" t="s">
        <v>76</v>
      </c>
      <c r="J63" s="15">
        <v>8.3333333333333304</v>
      </c>
      <c r="K63" s="20" t="s">
        <v>76</v>
      </c>
      <c r="L63" s="15">
        <v>14.7540983606557</v>
      </c>
      <c r="M63" s="15">
        <v>22.3684210526316</v>
      </c>
      <c r="N63" s="15">
        <v>7.0588235294117601</v>
      </c>
      <c r="O63" s="15">
        <v>18.604651162790699</v>
      </c>
      <c r="P63" s="15">
        <v>12.6760563380282</v>
      </c>
      <c r="Q63" s="15">
        <v>11.2676056338028</v>
      </c>
      <c r="R63" s="20" t="s">
        <v>76</v>
      </c>
      <c r="S63" s="20" t="s">
        <v>76</v>
      </c>
      <c r="T63" s="20" t="s">
        <v>76</v>
      </c>
      <c r="U63" s="20" t="s">
        <v>76</v>
      </c>
      <c r="V63" s="20" t="s">
        <v>76</v>
      </c>
      <c r="W63" s="15">
        <v>11.864406779661</v>
      </c>
      <c r="X63" s="20" t="s">
        <v>76</v>
      </c>
      <c r="Y63" s="20" t="s">
        <v>76</v>
      </c>
      <c r="Z63" s="15">
        <v>10.2564102564103</v>
      </c>
      <c r="AA63" s="15">
        <v>22.0183486238532</v>
      </c>
      <c r="AB63" s="15">
        <v>10.294117647058799</v>
      </c>
      <c r="AC63" s="15">
        <v>9.0909090909090899</v>
      </c>
      <c r="AD63" s="15">
        <v>15.625</v>
      </c>
      <c r="AE63" s="20" t="s">
        <v>76</v>
      </c>
      <c r="AF63" s="20" t="s">
        <v>76</v>
      </c>
      <c r="AG63" s="15">
        <v>5.71428571428571</v>
      </c>
      <c r="AH63" s="15">
        <v>8.9285714285714306</v>
      </c>
      <c r="AI63" s="20" t="s">
        <v>76</v>
      </c>
      <c r="AJ63" s="15">
        <v>13.5135135135135</v>
      </c>
      <c r="AK63" s="20" t="s">
        <v>76</v>
      </c>
      <c r="AL63" s="15">
        <v>6.6666666666666696</v>
      </c>
      <c r="AM63" s="15">
        <v>7.8125</v>
      </c>
      <c r="AN63" s="20" t="s">
        <v>76</v>
      </c>
      <c r="AO63" s="15">
        <v>22.5</v>
      </c>
      <c r="AP63" s="15">
        <v>14.285714285714301</v>
      </c>
      <c r="AQ63" s="15">
        <v>12.8205128205128</v>
      </c>
      <c r="AR63" s="15">
        <v>18.181818181818201</v>
      </c>
      <c r="AS63" s="20" t="s">
        <v>76</v>
      </c>
      <c r="AT63" s="15">
        <v>13.846153846153801</v>
      </c>
      <c r="AU63" s="20" t="s">
        <v>76</v>
      </c>
      <c r="AV63" s="15">
        <v>8.2191780821917799</v>
      </c>
      <c r="AW63" s="15">
        <v>10.3448275862069</v>
      </c>
      <c r="AX63" s="20" t="s">
        <v>76</v>
      </c>
      <c r="AY63" s="20" t="s">
        <v>76</v>
      </c>
      <c r="AZ63" s="15">
        <v>16</v>
      </c>
      <c r="BA63" s="15">
        <v>9.4339622641509404</v>
      </c>
      <c r="BB63" s="15">
        <v>7.4626865671641802</v>
      </c>
      <c r="BC63" s="15">
        <v>9.4594594594594597</v>
      </c>
      <c r="BD63" s="15">
        <v>16.6666666666667</v>
      </c>
      <c r="BE63" s="15">
        <v>13.7931034482759</v>
      </c>
      <c r="BF63" s="15">
        <v>8.4337349397590398</v>
      </c>
      <c r="BG63" s="15">
        <v>16.417910447761201</v>
      </c>
      <c r="BH63" s="20" t="s">
        <v>76</v>
      </c>
      <c r="BI63" s="20" t="s">
        <v>76</v>
      </c>
      <c r="BJ63" s="15">
        <v>11.6071428571429</v>
      </c>
      <c r="BK63" s="20" t="s">
        <v>76</v>
      </c>
      <c r="BL63" s="15">
        <v>14.0625</v>
      </c>
      <c r="BM63" s="15">
        <v>10.891089108910901</v>
      </c>
      <c r="BN63" s="15">
        <v>15.126050420168101</v>
      </c>
      <c r="BO63" s="15">
        <v>17.7777777777778</v>
      </c>
      <c r="BP63" s="20" t="s">
        <v>76</v>
      </c>
      <c r="BQ63" s="15">
        <v>6.8493150684931496</v>
      </c>
      <c r="BR63" s="15">
        <v>8.3333333333333304</v>
      </c>
      <c r="BS63" s="15">
        <v>16.867469879518101</v>
      </c>
      <c r="BT63" s="15">
        <v>12.1951219512195</v>
      </c>
      <c r="BU63" s="15">
        <v>10.2803738317757</v>
      </c>
      <c r="BV63" s="15">
        <v>18.181818181818201</v>
      </c>
      <c r="BW63" s="15">
        <v>8.6956521739130395</v>
      </c>
      <c r="BX63" s="20" t="s">
        <v>76</v>
      </c>
      <c r="BY63" s="15">
        <v>9.5238095238095202</v>
      </c>
      <c r="BZ63" s="15">
        <v>8.1632653061224492</v>
      </c>
      <c r="CA63" s="32">
        <v>9.2941457403822607</v>
      </c>
      <c r="CB63" s="15">
        <v>7.6677316293929696</v>
      </c>
      <c r="CC63" s="15">
        <v>13.522012578616399</v>
      </c>
      <c r="CD63" s="15">
        <v>9.67741935483871</v>
      </c>
      <c r="CE63" s="20" t="s">
        <v>76</v>
      </c>
      <c r="CF63" s="15">
        <v>9.5808383233532908</v>
      </c>
      <c r="CG63" s="15">
        <v>11.731843575418999</v>
      </c>
      <c r="CH63" s="15">
        <v>6.9852941176470598</v>
      </c>
      <c r="CI63" s="15">
        <v>9.4455852156057496</v>
      </c>
      <c r="CJ63" s="15">
        <v>12.5490196078431</v>
      </c>
      <c r="CK63" s="15">
        <v>8.52017937219731</v>
      </c>
      <c r="CL63" s="15">
        <v>8.1818181818181799</v>
      </c>
      <c r="CM63" s="24">
        <v>9.4218415417558905</v>
      </c>
      <c r="CN63" s="37"/>
    </row>
    <row r="64" spans="1:92">
      <c r="A64" s="11" t="s">
        <v>319</v>
      </c>
      <c r="B64" s="36">
        <v>1.56184640078493</v>
      </c>
      <c r="C64" s="33">
        <v>1.6551901519563299</v>
      </c>
      <c r="D64" s="33">
        <v>1.51561309021255</v>
      </c>
      <c r="E64" s="33">
        <v>2.3732996912278699</v>
      </c>
      <c r="F64" s="28" t="s">
        <v>76</v>
      </c>
      <c r="G64" s="28" t="s">
        <v>76</v>
      </c>
      <c r="H64" s="28" t="s">
        <v>76</v>
      </c>
      <c r="I64" s="28" t="s">
        <v>76</v>
      </c>
      <c r="J64" s="16">
        <v>4.1666666666666696</v>
      </c>
      <c r="K64" s="28" t="s">
        <v>76</v>
      </c>
      <c r="L64" s="28" t="s">
        <v>76</v>
      </c>
      <c r="M64" s="28" t="s">
        <v>76</v>
      </c>
      <c r="N64" s="28" t="s">
        <v>76</v>
      </c>
      <c r="O64" s="28" t="s">
        <v>76</v>
      </c>
      <c r="P64" s="28" t="s">
        <v>76</v>
      </c>
      <c r="Q64" s="28" t="s">
        <v>76</v>
      </c>
      <c r="R64" s="28" t="s">
        <v>76</v>
      </c>
      <c r="S64" s="28" t="s">
        <v>76</v>
      </c>
      <c r="T64" s="28" t="s">
        <v>76</v>
      </c>
      <c r="U64" s="28" t="s">
        <v>76</v>
      </c>
      <c r="V64" s="28" t="s">
        <v>76</v>
      </c>
      <c r="W64" s="28" t="s">
        <v>76</v>
      </c>
      <c r="X64" s="28" t="s">
        <v>76</v>
      </c>
      <c r="Y64" s="28" t="s">
        <v>76</v>
      </c>
      <c r="Z64" s="28" t="s">
        <v>76</v>
      </c>
      <c r="AA64" s="28" t="s">
        <v>76</v>
      </c>
      <c r="AB64" s="28" t="s">
        <v>76</v>
      </c>
      <c r="AC64" s="16">
        <v>3.7878787878787898</v>
      </c>
      <c r="AD64" s="28" t="s">
        <v>76</v>
      </c>
      <c r="AE64" s="28" t="s">
        <v>76</v>
      </c>
      <c r="AF64" s="28" t="s">
        <v>76</v>
      </c>
      <c r="AG64" s="28" t="s">
        <v>76</v>
      </c>
      <c r="AH64" s="28" t="s">
        <v>76</v>
      </c>
      <c r="AI64" s="28" t="s">
        <v>76</v>
      </c>
      <c r="AJ64" s="28" t="s">
        <v>76</v>
      </c>
      <c r="AK64" s="28" t="s">
        <v>76</v>
      </c>
      <c r="AL64" s="28" t="s">
        <v>76</v>
      </c>
      <c r="AM64" s="28" t="s">
        <v>76</v>
      </c>
      <c r="AN64" s="28" t="s">
        <v>76</v>
      </c>
      <c r="AO64" s="28" t="s">
        <v>76</v>
      </c>
      <c r="AP64" s="28" t="s">
        <v>76</v>
      </c>
      <c r="AQ64" s="28" t="s">
        <v>76</v>
      </c>
      <c r="AR64" s="28" t="s">
        <v>76</v>
      </c>
      <c r="AS64" s="28" t="s">
        <v>76</v>
      </c>
      <c r="AT64" s="28" t="s">
        <v>76</v>
      </c>
      <c r="AU64" s="28" t="s">
        <v>76</v>
      </c>
      <c r="AV64" s="28" t="s">
        <v>76</v>
      </c>
      <c r="AW64" s="28" t="s">
        <v>76</v>
      </c>
      <c r="AX64" s="28" t="s">
        <v>76</v>
      </c>
      <c r="AY64" s="28" t="s">
        <v>76</v>
      </c>
      <c r="AZ64" s="28" t="s">
        <v>76</v>
      </c>
      <c r="BA64" s="28" t="s">
        <v>76</v>
      </c>
      <c r="BB64" s="28" t="s">
        <v>76</v>
      </c>
      <c r="BC64" s="28" t="s">
        <v>76</v>
      </c>
      <c r="BD64" s="28" t="s">
        <v>76</v>
      </c>
      <c r="BE64" s="28" t="s">
        <v>76</v>
      </c>
      <c r="BF64" s="28" t="s">
        <v>76</v>
      </c>
      <c r="BG64" s="28" t="s">
        <v>76</v>
      </c>
      <c r="BH64" s="28" t="s">
        <v>76</v>
      </c>
      <c r="BI64" s="28" t="s">
        <v>76</v>
      </c>
      <c r="BJ64" s="28" t="s">
        <v>76</v>
      </c>
      <c r="BK64" s="28" t="s">
        <v>76</v>
      </c>
      <c r="BL64" s="28" t="s">
        <v>76</v>
      </c>
      <c r="BM64" s="28" t="s">
        <v>76</v>
      </c>
      <c r="BN64" s="28" t="s">
        <v>76</v>
      </c>
      <c r="BO64" s="16">
        <v>6.6666666666666696</v>
      </c>
      <c r="BP64" s="28" t="s">
        <v>76</v>
      </c>
      <c r="BQ64" s="28" t="s">
        <v>76</v>
      </c>
      <c r="BR64" s="28" t="s">
        <v>76</v>
      </c>
      <c r="BS64" s="28" t="s">
        <v>76</v>
      </c>
      <c r="BT64" s="28" t="s">
        <v>76</v>
      </c>
      <c r="BU64" s="28" t="s">
        <v>76</v>
      </c>
      <c r="BV64" s="16">
        <v>6.0606060606060597</v>
      </c>
      <c r="BW64" s="28" t="s">
        <v>76</v>
      </c>
      <c r="BX64" s="28" t="s">
        <v>76</v>
      </c>
      <c r="BY64" s="28" t="s">
        <v>76</v>
      </c>
      <c r="BZ64" s="28" t="s">
        <v>76</v>
      </c>
      <c r="CA64" s="33">
        <v>0.82297055049163703</v>
      </c>
      <c r="CB64" s="28" t="s">
        <v>76</v>
      </c>
      <c r="CC64" s="28" t="s">
        <v>76</v>
      </c>
      <c r="CD64" s="28" t="s">
        <v>76</v>
      </c>
      <c r="CE64" s="28" t="s">
        <v>76</v>
      </c>
      <c r="CF64" s="28" t="s">
        <v>76</v>
      </c>
      <c r="CG64" s="28" t="s">
        <v>76</v>
      </c>
      <c r="CH64" s="28" t="s">
        <v>76</v>
      </c>
      <c r="CI64" s="28" t="s">
        <v>76</v>
      </c>
      <c r="CJ64" s="16">
        <v>1.9607843137254899</v>
      </c>
      <c r="CK64" s="28" t="s">
        <v>76</v>
      </c>
      <c r="CL64" s="16">
        <v>1.0606060606060601</v>
      </c>
      <c r="CM64" s="25">
        <v>1.2847965738758</v>
      </c>
      <c r="CN64" s="37"/>
    </row>
    <row r="65" spans="1:1" ht="30" customHeight="1">
      <c r="A65" t="s">
        <v>252</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71"/>
  <sheetViews>
    <sheetView zoomScale="70" workbookViewId="0"/>
  </sheetViews>
  <sheetFormatPr defaultColWidth="10.88671875" defaultRowHeight="15"/>
  <cols>
    <col min="1" max="1" width="51.6640625" customWidth="1"/>
    <col min="2" max="4" width="15.88671875" customWidth="1"/>
  </cols>
  <sheetData>
    <row r="1" spans="1:4" ht="39.950000000000003" customHeight="1">
      <c r="A1" s="10" t="s">
        <v>356</v>
      </c>
      <c r="B1" s="12"/>
      <c r="C1" s="12"/>
      <c r="D1" s="12"/>
    </row>
    <row r="2" spans="1:4" ht="45">
      <c r="A2" s="7" t="s">
        <v>52</v>
      </c>
      <c r="B2" s="6" t="s">
        <v>68</v>
      </c>
      <c r="C2" s="6" t="s">
        <v>69</v>
      </c>
      <c r="D2" s="8" t="s">
        <v>70</v>
      </c>
    </row>
    <row r="3" spans="1:4">
      <c r="A3" s="9" t="s">
        <v>258</v>
      </c>
      <c r="B3" s="15">
        <v>19.663407937520599</v>
      </c>
      <c r="C3" s="15">
        <v>20.075821170752999</v>
      </c>
      <c r="D3" s="24">
        <v>15.2088174826422</v>
      </c>
    </row>
    <row r="4" spans="1:4">
      <c r="A4" s="9" t="s">
        <v>259</v>
      </c>
      <c r="B4" s="15">
        <v>9.12371896411012</v>
      </c>
      <c r="C4" s="15">
        <v>7.5753089711349499</v>
      </c>
      <c r="D4" s="26" t="s">
        <v>76</v>
      </c>
    </row>
    <row r="5" spans="1:4">
      <c r="A5" s="9" t="s">
        <v>260</v>
      </c>
      <c r="B5" s="15">
        <v>10.3043655453636</v>
      </c>
      <c r="C5" s="15">
        <v>11.5639640944938</v>
      </c>
      <c r="D5" s="26" t="s">
        <v>76</v>
      </c>
    </row>
    <row r="6" spans="1:4">
      <c r="A6" s="9" t="s">
        <v>261</v>
      </c>
      <c r="B6" s="15">
        <v>11.435387030166901</v>
      </c>
      <c r="C6" s="15">
        <v>10.6471952520344</v>
      </c>
      <c r="D6" s="24">
        <v>8.1574644417510402</v>
      </c>
    </row>
    <row r="7" spans="1:4">
      <c r="A7" s="9" t="s">
        <v>262</v>
      </c>
      <c r="B7" s="15">
        <v>12.5204858525183</v>
      </c>
      <c r="C7" s="15">
        <v>12.1386571185365</v>
      </c>
      <c r="D7" s="24">
        <v>14.286099034864</v>
      </c>
    </row>
    <row r="8" spans="1:4">
      <c r="A8" s="9" t="s">
        <v>263</v>
      </c>
      <c r="B8" s="15">
        <v>4.2647697475436797</v>
      </c>
      <c r="C8" s="15">
        <v>3.58635545960452</v>
      </c>
      <c r="D8" s="26" t="s">
        <v>76</v>
      </c>
    </row>
    <row r="9" spans="1:4">
      <c r="A9" s="9" t="s">
        <v>264</v>
      </c>
      <c r="B9" s="15">
        <v>6.9763653054640304</v>
      </c>
      <c r="C9" s="15">
        <v>6.5321897216169802</v>
      </c>
      <c r="D9" s="26" t="s">
        <v>76</v>
      </c>
    </row>
    <row r="10" spans="1:4">
      <c r="A10" s="9" t="s">
        <v>265</v>
      </c>
      <c r="B10" s="15">
        <v>15.646436313533099</v>
      </c>
      <c r="C10" s="15">
        <v>15.458505314532401</v>
      </c>
      <c r="D10" s="24">
        <v>14.623037986477399</v>
      </c>
    </row>
    <row r="11" spans="1:4">
      <c r="A11" s="9" t="s">
        <v>266</v>
      </c>
      <c r="B11" s="15">
        <v>14.8212994657453</v>
      </c>
      <c r="C11" s="15">
        <v>14.7403663361354</v>
      </c>
      <c r="D11" s="24">
        <v>13.9762019815782</v>
      </c>
    </row>
    <row r="12" spans="1:4">
      <c r="A12" s="9" t="s">
        <v>267</v>
      </c>
      <c r="B12" s="15">
        <v>15.0174873659606</v>
      </c>
      <c r="C12" s="15">
        <v>15.0182753343611</v>
      </c>
      <c r="D12" s="24">
        <v>15.5473188486858</v>
      </c>
    </row>
    <row r="13" spans="1:4">
      <c r="A13" s="9" t="s">
        <v>268</v>
      </c>
      <c r="B13" s="15">
        <v>8.6292681075159692</v>
      </c>
      <c r="C13" s="15">
        <v>8.2753673515878301</v>
      </c>
      <c r="D13" s="26" t="s">
        <v>76</v>
      </c>
    </row>
    <row r="14" spans="1:4">
      <c r="A14" s="9" t="s">
        <v>269</v>
      </c>
      <c r="B14" s="15">
        <v>13.0424501775009</v>
      </c>
      <c r="C14" s="15">
        <v>14.3822656816004</v>
      </c>
      <c r="D14" s="24">
        <v>15.5551107902222</v>
      </c>
    </row>
    <row r="15" spans="1:4">
      <c r="A15" s="9" t="s">
        <v>270</v>
      </c>
      <c r="B15" s="15">
        <v>8.0664929830010799</v>
      </c>
      <c r="C15" s="15">
        <v>8.0928373053001792</v>
      </c>
      <c r="D15" s="24">
        <v>7.2380844481644599</v>
      </c>
    </row>
    <row r="16" spans="1:4">
      <c r="A16" s="9" t="s">
        <v>271</v>
      </c>
      <c r="B16" s="15">
        <v>7.6822119995059897</v>
      </c>
      <c r="C16" s="15">
        <v>8.0405705226938906</v>
      </c>
      <c r="D16" s="26" t="s">
        <v>76</v>
      </c>
    </row>
    <row r="17" spans="1:4">
      <c r="A17" s="9" t="s">
        <v>272</v>
      </c>
      <c r="B17" s="15">
        <v>10.2865473444041</v>
      </c>
      <c r="C17" s="15">
        <v>9.1882863230999394</v>
      </c>
      <c r="D17" s="26" t="s">
        <v>76</v>
      </c>
    </row>
    <row r="18" spans="1:4">
      <c r="A18" s="9" t="s">
        <v>273</v>
      </c>
      <c r="B18" s="15">
        <v>5.7490051227088399</v>
      </c>
      <c r="C18" s="15">
        <v>6.0459944604474298</v>
      </c>
      <c r="D18" s="26" t="s">
        <v>76</v>
      </c>
    </row>
    <row r="19" spans="1:4">
      <c r="A19" s="9" t="s">
        <v>274</v>
      </c>
      <c r="B19" s="15">
        <v>10.987776797482899</v>
      </c>
      <c r="C19" s="15">
        <v>9.0603162254681706</v>
      </c>
      <c r="D19" s="24">
        <v>9.18627263705174</v>
      </c>
    </row>
    <row r="20" spans="1:4">
      <c r="A20" s="9" t="s">
        <v>275</v>
      </c>
      <c r="B20" s="15">
        <v>12.3359358628576</v>
      </c>
      <c r="C20" s="15">
        <v>11.4784887221138</v>
      </c>
      <c r="D20" s="24">
        <v>8.97077580440261</v>
      </c>
    </row>
    <row r="21" spans="1:4">
      <c r="A21" s="9" t="s">
        <v>276</v>
      </c>
      <c r="B21" s="15">
        <v>5.51532538032051</v>
      </c>
      <c r="C21" s="15">
        <v>4.8535392331522997</v>
      </c>
      <c r="D21" s="26" t="s">
        <v>76</v>
      </c>
    </row>
    <row r="22" spans="1:4">
      <c r="A22" s="9" t="s">
        <v>277</v>
      </c>
      <c r="B22" s="15">
        <v>12.097493076620101</v>
      </c>
      <c r="C22" s="15">
        <v>11.1621471602648</v>
      </c>
      <c r="D22" s="24">
        <v>12.9387807805196</v>
      </c>
    </row>
    <row r="23" spans="1:4">
      <c r="A23" s="9" t="s">
        <v>278</v>
      </c>
      <c r="B23" s="15">
        <v>6.6440855274347204</v>
      </c>
      <c r="C23" s="15">
        <v>6.4246242025334199</v>
      </c>
      <c r="D23" s="26" t="s">
        <v>76</v>
      </c>
    </row>
    <row r="24" spans="1:4">
      <c r="A24" s="9" t="s">
        <v>279</v>
      </c>
      <c r="B24" s="15">
        <v>4.4522684338142797</v>
      </c>
      <c r="C24" s="15">
        <v>3.48060386729958</v>
      </c>
      <c r="D24" s="26" t="s">
        <v>76</v>
      </c>
    </row>
    <row r="25" spans="1:4">
      <c r="A25" s="9" t="s">
        <v>280</v>
      </c>
      <c r="B25" s="15">
        <v>4.3640742239868997</v>
      </c>
      <c r="C25" s="15">
        <v>4.2881055008423097</v>
      </c>
      <c r="D25" s="26" t="s">
        <v>76</v>
      </c>
    </row>
    <row r="26" spans="1:4">
      <c r="A26" s="9" t="s">
        <v>281</v>
      </c>
      <c r="B26" s="15">
        <v>10.9753941611577</v>
      </c>
      <c r="C26" s="15">
        <v>10.720435967749699</v>
      </c>
      <c r="D26" s="24">
        <v>8.8647599840033102</v>
      </c>
    </row>
    <row r="27" spans="1:4">
      <c r="A27" s="9" t="s">
        <v>282</v>
      </c>
      <c r="B27" s="15">
        <v>9.0327579865323795</v>
      </c>
      <c r="C27" s="15">
        <v>6.6671333941998103</v>
      </c>
      <c r="D27" s="24">
        <v>8.6077982118312608</v>
      </c>
    </row>
    <row r="28" spans="1:4">
      <c r="A28" s="9" t="s">
        <v>283</v>
      </c>
      <c r="B28" s="15">
        <v>16.1305789291171</v>
      </c>
      <c r="C28" s="15">
        <v>16.205007230951999</v>
      </c>
      <c r="D28" s="24">
        <v>13.243525237608999</v>
      </c>
    </row>
    <row r="29" spans="1:4">
      <c r="A29" s="9" t="s">
        <v>284</v>
      </c>
      <c r="B29" s="15">
        <v>9.0591510656122303</v>
      </c>
      <c r="C29" s="15">
        <v>7.70214475074863</v>
      </c>
      <c r="D29" s="26" t="s">
        <v>76</v>
      </c>
    </row>
    <row r="30" spans="1:4">
      <c r="A30" s="9" t="s">
        <v>285</v>
      </c>
      <c r="B30" s="15">
        <v>11.2765127816303</v>
      </c>
      <c r="C30" s="15">
        <v>13.9849626148757</v>
      </c>
      <c r="D30" s="24">
        <v>14.3633651976686</v>
      </c>
    </row>
    <row r="31" spans="1:4">
      <c r="A31" s="9" t="s">
        <v>286</v>
      </c>
      <c r="B31" s="15">
        <v>14.171154459351101</v>
      </c>
      <c r="C31" s="15">
        <v>14.891041847392099</v>
      </c>
      <c r="D31" s="24">
        <v>15.032522956436001</v>
      </c>
    </row>
    <row r="32" spans="1:4">
      <c r="A32" s="9" t="s">
        <v>287</v>
      </c>
      <c r="B32" s="15">
        <v>5.1471384786880696</v>
      </c>
      <c r="C32" s="15">
        <v>5.5980499336740497</v>
      </c>
      <c r="D32" s="26" t="s">
        <v>76</v>
      </c>
    </row>
    <row r="33" spans="1:4">
      <c r="A33" s="9" t="s">
        <v>288</v>
      </c>
      <c r="B33" s="15">
        <v>9.4367004799546095</v>
      </c>
      <c r="C33" s="15">
        <v>8.9362400267970301</v>
      </c>
      <c r="D33" s="26" t="s">
        <v>76</v>
      </c>
    </row>
    <row r="34" spans="1:4">
      <c r="A34" s="9" t="s">
        <v>289</v>
      </c>
      <c r="B34" s="15">
        <v>18.329980402851501</v>
      </c>
      <c r="C34" s="15">
        <v>17.075863284635101</v>
      </c>
      <c r="D34" s="24">
        <v>16.677461968068702</v>
      </c>
    </row>
    <row r="35" spans="1:4">
      <c r="A35" s="9" t="s">
        <v>290</v>
      </c>
      <c r="B35" s="15">
        <v>11.5432778201159</v>
      </c>
      <c r="C35" s="15">
        <v>10.995753092343</v>
      </c>
      <c r="D35" s="26" t="s">
        <v>76</v>
      </c>
    </row>
    <row r="36" spans="1:4">
      <c r="A36" s="9" t="s">
        <v>291</v>
      </c>
      <c r="B36" s="15">
        <v>6.1474383846734604</v>
      </c>
      <c r="C36" s="15">
        <v>4.8721702009875498</v>
      </c>
      <c r="D36" s="26" t="s">
        <v>76</v>
      </c>
    </row>
    <row r="37" spans="1:4">
      <c r="A37" s="9" t="s">
        <v>292</v>
      </c>
      <c r="B37" s="15">
        <v>11.152704531694599</v>
      </c>
      <c r="C37" s="15">
        <v>10.2079207125552</v>
      </c>
      <c r="D37" s="26" t="s">
        <v>76</v>
      </c>
    </row>
    <row r="38" spans="1:4">
      <c r="A38" s="9" t="s">
        <v>293</v>
      </c>
      <c r="B38" s="15">
        <v>13.2580705212756</v>
      </c>
      <c r="C38" s="15">
        <v>13.092876414103699</v>
      </c>
      <c r="D38" s="24">
        <v>13.130560872242301</v>
      </c>
    </row>
    <row r="39" spans="1:4">
      <c r="A39" s="9" t="s">
        <v>294</v>
      </c>
      <c r="B39" s="15">
        <v>9.5619838742495507</v>
      </c>
      <c r="C39" s="15">
        <v>7.1136106938819204</v>
      </c>
      <c r="D39" s="26" t="s">
        <v>76</v>
      </c>
    </row>
    <row r="40" spans="1:4">
      <c r="A40" s="9" t="s">
        <v>295</v>
      </c>
      <c r="B40" s="15">
        <v>10.616843916097499</v>
      </c>
      <c r="C40" s="15">
        <v>11.726930451940801</v>
      </c>
      <c r="D40" s="24">
        <v>10.1722026974101</v>
      </c>
    </row>
    <row r="41" spans="1:4">
      <c r="A41" s="9" t="s">
        <v>296</v>
      </c>
      <c r="B41" s="15">
        <v>7.3219097513533304</v>
      </c>
      <c r="C41" s="15">
        <v>7.0367634082355703</v>
      </c>
      <c r="D41" s="26" t="s">
        <v>76</v>
      </c>
    </row>
    <row r="42" spans="1:4">
      <c r="A42" s="9" t="s">
        <v>297</v>
      </c>
      <c r="B42" s="15">
        <v>8.9752650044603204</v>
      </c>
      <c r="C42" s="15">
        <v>7.7241058986760498</v>
      </c>
      <c r="D42" s="26" t="s">
        <v>76</v>
      </c>
    </row>
    <row r="43" spans="1:4">
      <c r="A43" s="9" t="s">
        <v>298</v>
      </c>
      <c r="B43" s="15">
        <v>5.1988901643499101</v>
      </c>
      <c r="C43" s="15">
        <v>5.2706469609146502</v>
      </c>
      <c r="D43" s="26" t="s">
        <v>76</v>
      </c>
    </row>
    <row r="44" spans="1:4">
      <c r="A44" s="9" t="s">
        <v>299</v>
      </c>
      <c r="B44" s="15">
        <v>4.0188848096017002</v>
      </c>
      <c r="C44" s="15">
        <v>3.84930087213908</v>
      </c>
      <c r="D44" s="26" t="s">
        <v>76</v>
      </c>
    </row>
    <row r="45" spans="1:4">
      <c r="A45" s="9" t="s">
        <v>300</v>
      </c>
      <c r="B45" s="15">
        <v>9.9349764529603402</v>
      </c>
      <c r="C45" s="15">
        <v>10.392241293916101</v>
      </c>
      <c r="D45" s="26" t="s">
        <v>76</v>
      </c>
    </row>
    <row r="46" spans="1:4">
      <c r="A46" s="9" t="s">
        <v>301</v>
      </c>
      <c r="B46" s="15">
        <v>11.4474337724302</v>
      </c>
      <c r="C46" s="15">
        <v>10.874257207308199</v>
      </c>
      <c r="D46" s="24">
        <v>9.3390692544769003</v>
      </c>
    </row>
    <row r="47" spans="1:4">
      <c r="A47" s="9" t="s">
        <v>302</v>
      </c>
      <c r="B47" s="15">
        <v>14.349930964329401</v>
      </c>
      <c r="C47" s="15">
        <v>14.2682233201859</v>
      </c>
      <c r="D47" s="24">
        <v>11.988105345598401</v>
      </c>
    </row>
    <row r="48" spans="1:4">
      <c r="A48" s="9" t="s">
        <v>303</v>
      </c>
      <c r="B48" s="15">
        <v>8.0686836500071095</v>
      </c>
      <c r="C48" s="15">
        <v>9.2894587125365895</v>
      </c>
      <c r="D48" s="24">
        <v>8.6908197048023208</v>
      </c>
    </row>
    <row r="49" spans="1:4">
      <c r="A49" s="9" t="s">
        <v>304</v>
      </c>
      <c r="B49" s="15">
        <v>14.7160678159638</v>
      </c>
      <c r="C49" s="15">
        <v>15.3151970383544</v>
      </c>
      <c r="D49" s="24">
        <v>13.9807843000966</v>
      </c>
    </row>
    <row r="50" spans="1:4">
      <c r="A50" s="9" t="s">
        <v>305</v>
      </c>
      <c r="B50" s="15">
        <v>10.6202102528443</v>
      </c>
      <c r="C50" s="15">
        <v>9.9143669874501796</v>
      </c>
      <c r="D50" s="24">
        <v>10.903105015025799</v>
      </c>
    </row>
    <row r="51" spans="1:4">
      <c r="A51" s="9" t="s">
        <v>306</v>
      </c>
      <c r="B51" s="15">
        <v>11.582412745666</v>
      </c>
      <c r="C51" s="15">
        <v>11.909141356438001</v>
      </c>
      <c r="D51" s="24">
        <v>10.184062422988299</v>
      </c>
    </row>
    <row r="52" spans="1:4">
      <c r="A52" s="9" t="s">
        <v>307</v>
      </c>
      <c r="B52" s="15">
        <v>18.5031954932183</v>
      </c>
      <c r="C52" s="15">
        <v>18.676366064504101</v>
      </c>
      <c r="D52" s="24">
        <v>17.8680877585806</v>
      </c>
    </row>
    <row r="53" spans="1:4">
      <c r="A53" s="9" t="s">
        <v>308</v>
      </c>
      <c r="B53" s="15">
        <v>14.507494064534599</v>
      </c>
      <c r="C53" s="15">
        <v>13.7973795641888</v>
      </c>
      <c r="D53" s="24">
        <v>10.905332060149</v>
      </c>
    </row>
    <row r="54" spans="1:4">
      <c r="A54" s="9" t="s">
        <v>309</v>
      </c>
      <c r="B54" s="15">
        <v>14.7865648991214</v>
      </c>
      <c r="C54" s="15">
        <v>12.2864019422396</v>
      </c>
      <c r="D54" s="24">
        <v>12.0737897778979</v>
      </c>
    </row>
    <row r="55" spans="1:4">
      <c r="A55" s="9" t="s">
        <v>310</v>
      </c>
      <c r="B55" s="15">
        <v>6.3798932352811404</v>
      </c>
      <c r="C55" s="15">
        <v>8.1079942414673898</v>
      </c>
      <c r="D55" s="26" t="s">
        <v>76</v>
      </c>
    </row>
    <row r="56" spans="1:4">
      <c r="A56" s="9" t="s">
        <v>311</v>
      </c>
      <c r="B56" s="15">
        <v>8.5445067396954109</v>
      </c>
      <c r="C56" s="15">
        <v>8.0356097609833501</v>
      </c>
      <c r="D56" s="24">
        <v>9.1694798946782203</v>
      </c>
    </row>
    <row r="57" spans="1:4">
      <c r="A57" s="9" t="s">
        <v>312</v>
      </c>
      <c r="B57" s="15">
        <v>7.9050075093065502</v>
      </c>
      <c r="C57" s="15">
        <v>7.4728763415363497</v>
      </c>
      <c r="D57" s="26" t="s">
        <v>76</v>
      </c>
    </row>
    <row r="58" spans="1:4">
      <c r="A58" s="9" t="s">
        <v>313</v>
      </c>
      <c r="B58" s="15">
        <v>12.893833022931901</v>
      </c>
      <c r="C58" s="15">
        <v>14.0423453474162</v>
      </c>
      <c r="D58" s="24">
        <v>11.4842251228963</v>
      </c>
    </row>
    <row r="59" spans="1:4">
      <c r="A59" s="9" t="s">
        <v>314</v>
      </c>
      <c r="B59" s="15">
        <v>4.4486652432699296</v>
      </c>
      <c r="C59" s="15">
        <v>3.2197357166380902</v>
      </c>
      <c r="D59" s="26" t="s">
        <v>76</v>
      </c>
    </row>
    <row r="60" spans="1:4">
      <c r="A60" s="9" t="s">
        <v>315</v>
      </c>
      <c r="B60" s="15">
        <v>4.39046728976738</v>
      </c>
      <c r="C60" s="15">
        <v>3.6542787648931401</v>
      </c>
      <c r="D60" s="26" t="s">
        <v>76</v>
      </c>
    </row>
    <row r="61" spans="1:4">
      <c r="A61" s="9" t="s">
        <v>316</v>
      </c>
      <c r="B61" s="15">
        <v>6.3405332130841199</v>
      </c>
      <c r="C61" s="15">
        <v>5.7594522750203501</v>
      </c>
      <c r="D61" s="26" t="s">
        <v>76</v>
      </c>
    </row>
    <row r="62" spans="1:4">
      <c r="A62" s="9" t="s">
        <v>317</v>
      </c>
      <c r="B62" s="15">
        <v>9.6398059347400302</v>
      </c>
      <c r="C62" s="15">
        <v>10.3701543023305</v>
      </c>
      <c r="D62" s="26" t="s">
        <v>76</v>
      </c>
    </row>
    <row r="63" spans="1:4">
      <c r="A63" s="9" t="s">
        <v>318</v>
      </c>
      <c r="B63" s="15">
        <v>11.869512802441101</v>
      </c>
      <c r="C63" s="15">
        <v>11.5912906490372</v>
      </c>
      <c r="D63" s="24">
        <v>11.759300845923701</v>
      </c>
    </row>
    <row r="64" spans="1:4">
      <c r="A64" s="11" t="s">
        <v>319</v>
      </c>
      <c r="B64" s="16">
        <v>1.95454557261704</v>
      </c>
      <c r="C64" s="28" t="s">
        <v>76</v>
      </c>
      <c r="D64" s="29" t="s">
        <v>76</v>
      </c>
    </row>
    <row r="65" spans="1:1" ht="30" customHeight="1">
      <c r="A65" t="s">
        <v>252</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43"/>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357</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30">
      <c r="A3" s="39" t="s">
        <v>358</v>
      </c>
      <c r="B3" s="15"/>
      <c r="C3" s="15"/>
      <c r="D3" s="24"/>
      <c r="E3" s="15"/>
      <c r="F3" s="15"/>
      <c r="G3" s="24"/>
      <c r="H3" s="15"/>
      <c r="I3" s="15"/>
      <c r="J3" s="24"/>
      <c r="K3" s="15"/>
      <c r="L3" s="15"/>
      <c r="M3" s="24"/>
      <c r="N3" s="15"/>
      <c r="O3" s="15"/>
      <c r="P3" s="24"/>
    </row>
    <row r="4" spans="1:16">
      <c r="A4" s="9" t="s">
        <v>359</v>
      </c>
      <c r="B4" s="15">
        <v>54.064893836262101</v>
      </c>
      <c r="C4" s="15">
        <v>63.272057006650499</v>
      </c>
      <c r="D4" s="24">
        <v>46.629458941495997</v>
      </c>
      <c r="E4" s="15">
        <v>58.145778752512598</v>
      </c>
      <c r="F4" s="15">
        <v>64.483186152677007</v>
      </c>
      <c r="G4" s="24">
        <v>52.991068253586803</v>
      </c>
      <c r="H4" s="15">
        <v>50.885306008676302</v>
      </c>
      <c r="I4" s="15">
        <v>62.546621894367803</v>
      </c>
      <c r="J4" s="24">
        <v>41.2621170482943</v>
      </c>
      <c r="K4" s="20" t="s">
        <v>76</v>
      </c>
      <c r="L4" s="20" t="s">
        <v>76</v>
      </c>
      <c r="M4" s="26" t="s">
        <v>76</v>
      </c>
      <c r="N4" s="15">
        <v>37.122212663407197</v>
      </c>
      <c r="O4" s="15">
        <v>52.529097704996097</v>
      </c>
      <c r="P4" s="26" t="s">
        <v>76</v>
      </c>
    </row>
    <row r="5" spans="1:16">
      <c r="A5" s="9" t="s">
        <v>360</v>
      </c>
      <c r="B5" s="15">
        <v>32.429143311231499</v>
      </c>
      <c r="C5" s="15">
        <v>23.616900181628399</v>
      </c>
      <c r="D5" s="24">
        <v>39.545652365588701</v>
      </c>
      <c r="E5" s="15">
        <v>30.6376709228336</v>
      </c>
      <c r="F5" s="15">
        <v>23.427035657354502</v>
      </c>
      <c r="G5" s="24">
        <v>36.502646134294103</v>
      </c>
      <c r="H5" s="15">
        <v>34.113681405987101</v>
      </c>
      <c r="I5" s="15">
        <v>23.594939009601699</v>
      </c>
      <c r="J5" s="24">
        <v>42.793992161499602</v>
      </c>
      <c r="K5" s="15">
        <v>39.798145302280197</v>
      </c>
      <c r="L5" s="20" t="s">
        <v>76</v>
      </c>
      <c r="M5" s="26" t="s">
        <v>76</v>
      </c>
      <c r="N5" s="15">
        <v>33.495016070258103</v>
      </c>
      <c r="O5" s="20" t="s">
        <v>76</v>
      </c>
      <c r="P5" s="24">
        <v>37.182377688877402</v>
      </c>
    </row>
    <row r="6" spans="1:16">
      <c r="A6" s="9" t="s">
        <v>361</v>
      </c>
      <c r="B6" s="15">
        <v>5.5783036103504697</v>
      </c>
      <c r="C6" s="15">
        <v>2.7300655929493098</v>
      </c>
      <c r="D6" s="24">
        <v>7.8784570833871204</v>
      </c>
      <c r="E6" s="15">
        <v>4.6130473236341603</v>
      </c>
      <c r="F6" s="15">
        <v>2.8358631338281501</v>
      </c>
      <c r="G6" s="24">
        <v>6.0585706146696099</v>
      </c>
      <c r="H6" s="15">
        <v>6.2464105797813598</v>
      </c>
      <c r="I6" s="15">
        <v>2.6537250476793099</v>
      </c>
      <c r="J6" s="24">
        <v>9.2111782003094795</v>
      </c>
      <c r="K6" s="20" t="s">
        <v>76</v>
      </c>
      <c r="L6" s="20" t="s">
        <v>76</v>
      </c>
      <c r="M6" s="26" t="s">
        <v>76</v>
      </c>
      <c r="N6" s="20" t="s">
        <v>76</v>
      </c>
      <c r="O6" s="20" t="s">
        <v>76</v>
      </c>
      <c r="P6" s="26" t="s">
        <v>76</v>
      </c>
    </row>
    <row r="7" spans="1:16">
      <c r="A7" s="9" t="s">
        <v>362</v>
      </c>
      <c r="B7" s="15">
        <v>7.9276592421559497</v>
      </c>
      <c r="C7" s="15">
        <v>10.3809772187718</v>
      </c>
      <c r="D7" s="24">
        <v>5.94643160952816</v>
      </c>
      <c r="E7" s="15">
        <v>6.6035030010196101</v>
      </c>
      <c r="F7" s="15">
        <v>9.2539150561403698</v>
      </c>
      <c r="G7" s="24">
        <v>4.44771499744955</v>
      </c>
      <c r="H7" s="15">
        <v>8.7546020055552791</v>
      </c>
      <c r="I7" s="15">
        <v>11.2047140483511</v>
      </c>
      <c r="J7" s="24">
        <v>6.73271258989661</v>
      </c>
      <c r="K7" s="20" t="s">
        <v>76</v>
      </c>
      <c r="L7" s="20" t="s">
        <v>76</v>
      </c>
      <c r="M7" s="26" t="s">
        <v>76</v>
      </c>
      <c r="N7" s="20" t="s">
        <v>76</v>
      </c>
      <c r="O7" s="20" t="s">
        <v>76</v>
      </c>
      <c r="P7" s="26" t="s">
        <v>76</v>
      </c>
    </row>
    <row r="8" spans="1:16" ht="30">
      <c r="A8" s="39" t="s">
        <v>363</v>
      </c>
      <c r="B8" s="15"/>
      <c r="C8" s="15"/>
      <c r="D8" s="24"/>
      <c r="E8" s="15"/>
      <c r="F8" s="15"/>
      <c r="G8" s="24"/>
      <c r="H8" s="15"/>
      <c r="I8" s="15"/>
      <c r="J8" s="24"/>
      <c r="K8" s="15"/>
      <c r="L8" s="15"/>
      <c r="M8" s="24"/>
      <c r="N8" s="15"/>
      <c r="O8" s="15"/>
      <c r="P8" s="24"/>
    </row>
    <row r="9" spans="1:16">
      <c r="A9" s="9" t="s">
        <v>364</v>
      </c>
      <c r="B9" s="15">
        <v>14.1628638255398</v>
      </c>
      <c r="C9" s="15">
        <v>20.4631870517815</v>
      </c>
      <c r="D9" s="24">
        <v>9.0749076008292295</v>
      </c>
      <c r="E9" s="15">
        <v>15.8787981905849</v>
      </c>
      <c r="F9" s="15">
        <v>21.275599365553202</v>
      </c>
      <c r="G9" s="24">
        <v>11.489156508956199</v>
      </c>
      <c r="H9" s="15">
        <v>12.8710585684804</v>
      </c>
      <c r="I9" s="15">
        <v>19.920810997506301</v>
      </c>
      <c r="J9" s="24">
        <v>7.0534389779101003</v>
      </c>
      <c r="K9" s="20" t="s">
        <v>76</v>
      </c>
      <c r="L9" s="20" t="s">
        <v>76</v>
      </c>
      <c r="M9" s="26" t="s">
        <v>76</v>
      </c>
      <c r="N9" s="20" t="s">
        <v>76</v>
      </c>
      <c r="O9" s="20" t="s">
        <v>76</v>
      </c>
      <c r="P9" s="26" t="s">
        <v>76</v>
      </c>
    </row>
    <row r="10" spans="1:16">
      <c r="A10" s="9" t="s">
        <v>365</v>
      </c>
      <c r="B10" s="15">
        <v>45.470772801533798</v>
      </c>
      <c r="C10" s="15">
        <v>51.312814233653803</v>
      </c>
      <c r="D10" s="24">
        <v>40.752911510581697</v>
      </c>
      <c r="E10" s="15">
        <v>47.666014621959</v>
      </c>
      <c r="F10" s="15">
        <v>52.006003208969602</v>
      </c>
      <c r="G10" s="24">
        <v>44.135961506847401</v>
      </c>
      <c r="H10" s="15">
        <v>44.462203304515697</v>
      </c>
      <c r="I10" s="15">
        <v>51.368136535732802</v>
      </c>
      <c r="J10" s="24">
        <v>38.7632666593531</v>
      </c>
      <c r="K10" s="20" t="s">
        <v>76</v>
      </c>
      <c r="L10" s="20" t="s">
        <v>76</v>
      </c>
      <c r="M10" s="26" t="s">
        <v>76</v>
      </c>
      <c r="N10" s="15">
        <v>28.344810692514098</v>
      </c>
      <c r="O10" s="20" t="s">
        <v>76</v>
      </c>
      <c r="P10" s="26" t="s">
        <v>76</v>
      </c>
    </row>
    <row r="11" spans="1:16">
      <c r="A11" s="9" t="s">
        <v>366</v>
      </c>
      <c r="B11" s="15">
        <v>15.1738029285436</v>
      </c>
      <c r="C11" s="15">
        <v>10.228849110706401</v>
      </c>
      <c r="D11" s="24">
        <v>19.167202577243799</v>
      </c>
      <c r="E11" s="15">
        <v>14.840875455274301</v>
      </c>
      <c r="F11" s="15">
        <v>11.141053734931999</v>
      </c>
      <c r="G11" s="24">
        <v>17.850230647668599</v>
      </c>
      <c r="H11" s="15">
        <v>14.9533002107905</v>
      </c>
      <c r="I11" s="15">
        <v>8.9651071336713493</v>
      </c>
      <c r="J11" s="24">
        <v>19.894896346015301</v>
      </c>
      <c r="K11" s="20" t="s">
        <v>76</v>
      </c>
      <c r="L11" s="20" t="s">
        <v>76</v>
      </c>
      <c r="M11" s="26" t="s">
        <v>76</v>
      </c>
      <c r="N11" s="20" t="s">
        <v>76</v>
      </c>
      <c r="O11" s="20" t="s">
        <v>76</v>
      </c>
      <c r="P11" s="26" t="s">
        <v>76</v>
      </c>
    </row>
    <row r="12" spans="1:16">
      <c r="A12" s="9" t="s">
        <v>367</v>
      </c>
      <c r="B12" s="15">
        <v>18.401965872405199</v>
      </c>
      <c r="C12" s="15">
        <v>11.048766293642499</v>
      </c>
      <c r="D12" s="24">
        <v>24.340194154483701</v>
      </c>
      <c r="E12" s="15">
        <v>15.9389645734633</v>
      </c>
      <c r="F12" s="15">
        <v>9.2585108597082808</v>
      </c>
      <c r="G12" s="24">
        <v>21.372701545302601</v>
      </c>
      <c r="H12" s="15">
        <v>20.373203245995299</v>
      </c>
      <c r="I12" s="15">
        <v>12.633462934237301</v>
      </c>
      <c r="J12" s="24">
        <v>26.760216877597699</v>
      </c>
      <c r="K12" s="20" t="s">
        <v>76</v>
      </c>
      <c r="L12" s="20" t="s">
        <v>76</v>
      </c>
      <c r="M12" s="26" t="s">
        <v>76</v>
      </c>
      <c r="N12" s="15">
        <v>28.945269239319</v>
      </c>
      <c r="O12" s="20" t="s">
        <v>76</v>
      </c>
      <c r="P12" s="26" t="s">
        <v>76</v>
      </c>
    </row>
    <row r="13" spans="1:16">
      <c r="A13" s="9" t="s">
        <v>368</v>
      </c>
      <c r="B13" s="15">
        <v>6.7905945719776799</v>
      </c>
      <c r="C13" s="15">
        <v>6.94638331021594</v>
      </c>
      <c r="D13" s="24">
        <v>6.6647841568615602</v>
      </c>
      <c r="E13" s="15">
        <v>5.6753471587183997</v>
      </c>
      <c r="F13" s="15">
        <v>6.3188328308369002</v>
      </c>
      <c r="G13" s="24">
        <v>5.1519497912252596</v>
      </c>
      <c r="H13" s="15">
        <v>7.3402346702180798</v>
      </c>
      <c r="I13" s="15">
        <v>7.1124823988522303</v>
      </c>
      <c r="J13" s="24">
        <v>7.5281811391237801</v>
      </c>
      <c r="K13" s="20" t="s">
        <v>76</v>
      </c>
      <c r="L13" s="20" t="s">
        <v>76</v>
      </c>
      <c r="M13" s="26" t="s">
        <v>76</v>
      </c>
      <c r="N13" s="20" t="s">
        <v>76</v>
      </c>
      <c r="O13" s="20" t="s">
        <v>76</v>
      </c>
      <c r="P13" s="26" t="s">
        <v>76</v>
      </c>
    </row>
    <row r="14" spans="1:16">
      <c r="A14" s="39" t="s">
        <v>369</v>
      </c>
      <c r="B14" s="15"/>
      <c r="C14" s="15"/>
      <c r="D14" s="24"/>
      <c r="E14" s="15"/>
      <c r="F14" s="15"/>
      <c r="G14" s="24"/>
      <c r="H14" s="15"/>
      <c r="I14" s="15"/>
      <c r="J14" s="24"/>
      <c r="K14" s="15"/>
      <c r="L14" s="15"/>
      <c r="M14" s="24"/>
      <c r="N14" s="15"/>
      <c r="O14" s="15"/>
      <c r="P14" s="24"/>
    </row>
    <row r="15" spans="1:16">
      <c r="A15" s="9" t="s">
        <v>370</v>
      </c>
      <c r="B15" s="15">
        <v>60.4201233773219</v>
      </c>
      <c r="C15" s="15">
        <v>71.455969401504007</v>
      </c>
      <c r="D15" s="24">
        <v>51.507897852159701</v>
      </c>
      <c r="E15" s="15">
        <v>69.559408843812903</v>
      </c>
      <c r="F15" s="15">
        <v>74.965035245774999</v>
      </c>
      <c r="G15" s="24">
        <v>65.162588912882995</v>
      </c>
      <c r="H15" s="15">
        <v>52.728187351118102</v>
      </c>
      <c r="I15" s="15">
        <v>68.781110649859798</v>
      </c>
      <c r="J15" s="24">
        <v>39.4809418614511</v>
      </c>
      <c r="K15" s="20" t="s">
        <v>76</v>
      </c>
      <c r="L15" s="20" t="s">
        <v>76</v>
      </c>
      <c r="M15" s="26" t="s">
        <v>76</v>
      </c>
      <c r="N15" s="15">
        <v>30.448733385645198</v>
      </c>
      <c r="O15" s="15">
        <v>49.474996680187402</v>
      </c>
      <c r="P15" s="26" t="s">
        <v>76</v>
      </c>
    </row>
    <row r="16" spans="1:16">
      <c r="A16" s="9" t="s">
        <v>371</v>
      </c>
      <c r="B16" s="15">
        <v>33.144483410633903</v>
      </c>
      <c r="C16" s="15">
        <v>25.555603316014299</v>
      </c>
      <c r="D16" s="24">
        <v>39.273040363899099</v>
      </c>
      <c r="E16" s="15">
        <v>26.705033292960401</v>
      </c>
      <c r="F16" s="15">
        <v>21.9664566471771</v>
      </c>
      <c r="G16" s="24">
        <v>30.5592893386345</v>
      </c>
      <c r="H16" s="15">
        <v>38.933655155507701</v>
      </c>
      <c r="I16" s="15">
        <v>28.4020879974419</v>
      </c>
      <c r="J16" s="24">
        <v>47.6245492024971</v>
      </c>
      <c r="K16" s="15">
        <v>55.691969489941997</v>
      </c>
      <c r="L16" s="20" t="s">
        <v>76</v>
      </c>
      <c r="M16" s="24">
        <v>56.398630890635197</v>
      </c>
      <c r="N16" s="15">
        <v>46.3399421158745</v>
      </c>
      <c r="O16" s="15">
        <v>45.340951704165498</v>
      </c>
      <c r="P16" s="24">
        <v>47.026076308205802</v>
      </c>
    </row>
    <row r="17" spans="1:16">
      <c r="A17" s="9" t="s">
        <v>372</v>
      </c>
      <c r="B17" s="15">
        <v>6.4353932120441399</v>
      </c>
      <c r="C17" s="15">
        <v>2.9884272824817102</v>
      </c>
      <c r="D17" s="24">
        <v>9.2190617839412301</v>
      </c>
      <c r="E17" s="15">
        <v>3.7355578632267901</v>
      </c>
      <c r="F17" s="15">
        <v>3.06850810704782</v>
      </c>
      <c r="G17" s="24">
        <v>4.2781217484825298</v>
      </c>
      <c r="H17" s="15">
        <v>8.3381574933742204</v>
      </c>
      <c r="I17" s="15">
        <v>2.8168013526983202</v>
      </c>
      <c r="J17" s="24">
        <v>12.8945089360518</v>
      </c>
      <c r="K17" s="20" t="s">
        <v>76</v>
      </c>
      <c r="L17" s="20" t="s">
        <v>76</v>
      </c>
      <c r="M17" s="26" t="s">
        <v>76</v>
      </c>
      <c r="N17" s="20" t="s">
        <v>76</v>
      </c>
      <c r="O17" s="20" t="s">
        <v>76</v>
      </c>
      <c r="P17" s="26" t="s">
        <v>76</v>
      </c>
    </row>
    <row r="18" spans="1:16" ht="30">
      <c r="A18" s="39" t="s">
        <v>373</v>
      </c>
      <c r="B18" s="15"/>
      <c r="C18" s="15"/>
      <c r="D18" s="24"/>
      <c r="E18" s="15"/>
      <c r="F18" s="15"/>
      <c r="G18" s="24"/>
      <c r="H18" s="15"/>
      <c r="I18" s="15"/>
      <c r="J18" s="24"/>
      <c r="K18" s="15"/>
      <c r="L18" s="15"/>
      <c r="M18" s="24"/>
      <c r="N18" s="15"/>
      <c r="O18" s="15"/>
      <c r="P18" s="24"/>
    </row>
    <row r="19" spans="1:16">
      <c r="A19" s="9" t="s">
        <v>370</v>
      </c>
      <c r="B19" s="15">
        <v>40.908250262837598</v>
      </c>
      <c r="C19" s="15">
        <v>49.0835390806715</v>
      </c>
      <c r="D19" s="24">
        <v>34.306126826336303</v>
      </c>
      <c r="E19" s="15">
        <v>46.222336496460798</v>
      </c>
      <c r="F19" s="15">
        <v>51.816991800809198</v>
      </c>
      <c r="G19" s="24">
        <v>41.671764533161202</v>
      </c>
      <c r="H19" s="15">
        <v>36.386413451471398</v>
      </c>
      <c r="I19" s="15">
        <v>47.116771900708201</v>
      </c>
      <c r="J19" s="24">
        <v>27.531472209691199</v>
      </c>
      <c r="K19" s="20" t="s">
        <v>76</v>
      </c>
      <c r="L19" s="20" t="s">
        <v>76</v>
      </c>
      <c r="M19" s="26" t="s">
        <v>76</v>
      </c>
      <c r="N19" s="15">
        <v>19.4130222565555</v>
      </c>
      <c r="O19" s="20" t="s">
        <v>76</v>
      </c>
      <c r="P19" s="26" t="s">
        <v>76</v>
      </c>
    </row>
    <row r="20" spans="1:16">
      <c r="A20" s="9" t="s">
        <v>374</v>
      </c>
      <c r="B20" s="15">
        <v>23.365232341423098</v>
      </c>
      <c r="C20" s="15">
        <v>21.913681761138101</v>
      </c>
      <c r="D20" s="24">
        <v>24.537462010479</v>
      </c>
      <c r="E20" s="15">
        <v>22.563704160232302</v>
      </c>
      <c r="F20" s="15">
        <v>20.735345844500401</v>
      </c>
      <c r="G20" s="24">
        <v>24.050851381611398</v>
      </c>
      <c r="H20" s="15">
        <v>24.502053275498699</v>
      </c>
      <c r="I20" s="15">
        <v>22.8629846479054</v>
      </c>
      <c r="J20" s="24">
        <v>25.854650810543401</v>
      </c>
      <c r="K20" s="20" t="s">
        <v>76</v>
      </c>
      <c r="L20" s="20" t="s">
        <v>76</v>
      </c>
      <c r="M20" s="26" t="s">
        <v>76</v>
      </c>
      <c r="N20" s="15">
        <v>19.1879811617966</v>
      </c>
      <c r="O20" s="20" t="s">
        <v>76</v>
      </c>
      <c r="P20" s="26" t="s">
        <v>76</v>
      </c>
    </row>
    <row r="21" spans="1:16">
      <c r="A21" s="9" t="s">
        <v>372</v>
      </c>
      <c r="B21" s="15">
        <v>4.4894928304235702</v>
      </c>
      <c r="C21" s="15">
        <v>2.9703553570762899</v>
      </c>
      <c r="D21" s="24">
        <v>5.7163036917321897</v>
      </c>
      <c r="E21" s="15">
        <v>3.9784852940821001</v>
      </c>
      <c r="F21" s="15">
        <v>3.3351966989588702</v>
      </c>
      <c r="G21" s="24">
        <v>4.5017223633976897</v>
      </c>
      <c r="H21" s="15">
        <v>4.95838453900073</v>
      </c>
      <c r="I21" s="15">
        <v>2.4171574416479702</v>
      </c>
      <c r="J21" s="24">
        <v>7.05546421583845</v>
      </c>
      <c r="K21" s="20" t="s">
        <v>76</v>
      </c>
      <c r="L21" s="20" t="s">
        <v>76</v>
      </c>
      <c r="M21" s="26" t="s">
        <v>76</v>
      </c>
      <c r="N21" s="20" t="s">
        <v>76</v>
      </c>
      <c r="O21" s="20" t="s">
        <v>76</v>
      </c>
      <c r="P21" s="26" t="s">
        <v>76</v>
      </c>
    </row>
    <row r="22" spans="1:16">
      <c r="A22" s="9" t="s">
        <v>375</v>
      </c>
      <c r="B22" s="15">
        <v>31.2370245653157</v>
      </c>
      <c r="C22" s="15">
        <v>26.032423801114099</v>
      </c>
      <c r="D22" s="24">
        <v>35.4401074714525</v>
      </c>
      <c r="E22" s="15">
        <v>27.235474049224798</v>
      </c>
      <c r="F22" s="15">
        <v>24.112465655731601</v>
      </c>
      <c r="G22" s="24">
        <v>29.7756617218297</v>
      </c>
      <c r="H22" s="15">
        <v>34.153148734029202</v>
      </c>
      <c r="I22" s="15">
        <v>27.603086009738501</v>
      </c>
      <c r="J22" s="24">
        <v>39.558412763927002</v>
      </c>
      <c r="K22" s="15">
        <v>50.175664249956</v>
      </c>
      <c r="L22" s="20" t="s">
        <v>76</v>
      </c>
      <c r="M22" s="24">
        <v>53.471008825440499</v>
      </c>
      <c r="N22" s="15">
        <v>54.832665733004902</v>
      </c>
      <c r="O22" s="20" t="s">
        <v>76</v>
      </c>
      <c r="P22" s="24">
        <v>67.397101294441995</v>
      </c>
    </row>
    <row r="23" spans="1:16" ht="30">
      <c r="A23" s="39" t="s">
        <v>376</v>
      </c>
      <c r="B23" s="15"/>
      <c r="C23" s="15"/>
      <c r="D23" s="24"/>
      <c r="E23" s="15"/>
      <c r="F23" s="15"/>
      <c r="G23" s="24"/>
      <c r="H23" s="15"/>
      <c r="I23" s="15"/>
      <c r="J23" s="24"/>
      <c r="K23" s="15"/>
      <c r="L23" s="15"/>
      <c r="M23" s="24"/>
      <c r="N23" s="15"/>
      <c r="O23" s="15"/>
      <c r="P23" s="24"/>
    </row>
    <row r="24" spans="1:16">
      <c r="A24" s="9" t="s">
        <v>359</v>
      </c>
      <c r="B24" s="15">
        <v>48.895256667694802</v>
      </c>
      <c r="C24" s="15">
        <v>51.489539519209302</v>
      </c>
      <c r="D24" s="24">
        <v>46.800189937142797</v>
      </c>
      <c r="E24" s="15">
        <v>54.1749690632724</v>
      </c>
      <c r="F24" s="15">
        <v>53.995188231372801</v>
      </c>
      <c r="G24" s="24">
        <v>54.321198914563702</v>
      </c>
      <c r="H24" s="15">
        <v>44.4523348449354</v>
      </c>
      <c r="I24" s="15">
        <v>49.668725862547198</v>
      </c>
      <c r="J24" s="24">
        <v>40.147647711357997</v>
      </c>
      <c r="K24" s="20" t="s">
        <v>76</v>
      </c>
      <c r="L24" s="20" t="s">
        <v>76</v>
      </c>
      <c r="M24" s="26" t="s">
        <v>76</v>
      </c>
      <c r="N24" s="15">
        <v>29.9529739541554</v>
      </c>
      <c r="O24" s="20" t="s">
        <v>76</v>
      </c>
      <c r="P24" s="26" t="s">
        <v>76</v>
      </c>
    </row>
    <row r="25" spans="1:16">
      <c r="A25" s="9" t="s">
        <v>360</v>
      </c>
      <c r="B25" s="15">
        <v>22.369645084744899</v>
      </c>
      <c r="C25" s="15">
        <v>24.247531888815601</v>
      </c>
      <c r="D25" s="24">
        <v>20.853118787446899</v>
      </c>
      <c r="E25" s="15">
        <v>21.0906306580391</v>
      </c>
      <c r="F25" s="15">
        <v>22.856215839557301</v>
      </c>
      <c r="G25" s="24">
        <v>19.6545417501865</v>
      </c>
      <c r="H25" s="15">
        <v>23.738458935937199</v>
      </c>
      <c r="I25" s="15">
        <v>25.519634188429499</v>
      </c>
      <c r="J25" s="24">
        <v>22.268591710462101</v>
      </c>
      <c r="K25" s="20" t="s">
        <v>76</v>
      </c>
      <c r="L25" s="20" t="s">
        <v>76</v>
      </c>
      <c r="M25" s="26" t="s">
        <v>76</v>
      </c>
      <c r="N25" s="15">
        <v>21.680349570268799</v>
      </c>
      <c r="O25" s="20" t="s">
        <v>76</v>
      </c>
      <c r="P25" s="26" t="s">
        <v>76</v>
      </c>
    </row>
    <row r="26" spans="1:16">
      <c r="A26" s="9" t="s">
        <v>361</v>
      </c>
      <c r="B26" s="15">
        <v>5.1826400291284598</v>
      </c>
      <c r="C26" s="15">
        <v>5.0434293114880404</v>
      </c>
      <c r="D26" s="24">
        <v>5.2950625211071003</v>
      </c>
      <c r="E26" s="15">
        <v>4.83776356497071</v>
      </c>
      <c r="F26" s="15">
        <v>5.5660233392787601</v>
      </c>
      <c r="G26" s="24">
        <v>4.2454127710997502</v>
      </c>
      <c r="H26" s="15">
        <v>5.3308944373814704</v>
      </c>
      <c r="I26" s="15">
        <v>4.3659154973511001</v>
      </c>
      <c r="J26" s="24">
        <v>6.1272174916343296</v>
      </c>
      <c r="K26" s="20" t="s">
        <v>76</v>
      </c>
      <c r="L26" s="20" t="s">
        <v>76</v>
      </c>
      <c r="M26" s="26" t="s">
        <v>76</v>
      </c>
      <c r="N26" s="20" t="s">
        <v>76</v>
      </c>
      <c r="O26" s="20" t="s">
        <v>76</v>
      </c>
      <c r="P26" s="26" t="s">
        <v>76</v>
      </c>
    </row>
    <row r="27" spans="1:16">
      <c r="A27" s="9" t="s">
        <v>377</v>
      </c>
      <c r="B27" s="15">
        <v>23.552458218431799</v>
      </c>
      <c r="C27" s="15">
        <v>19.219499280487099</v>
      </c>
      <c r="D27" s="24">
        <v>27.051628754303199</v>
      </c>
      <c r="E27" s="15">
        <v>19.896636713717701</v>
      </c>
      <c r="F27" s="15">
        <v>17.582572589791098</v>
      </c>
      <c r="G27" s="24">
        <v>21.778846564150101</v>
      </c>
      <c r="H27" s="15">
        <v>26.478311781746001</v>
      </c>
      <c r="I27" s="15">
        <v>20.445724451672199</v>
      </c>
      <c r="J27" s="24">
        <v>31.456543086545601</v>
      </c>
      <c r="K27" s="15">
        <v>38.503659718748402</v>
      </c>
      <c r="L27" s="20" t="s">
        <v>76</v>
      </c>
      <c r="M27" s="26" t="s">
        <v>76</v>
      </c>
      <c r="N27" s="15">
        <v>39.4589603814212</v>
      </c>
      <c r="O27" s="20" t="s">
        <v>76</v>
      </c>
      <c r="P27" s="24">
        <v>46.579144591494803</v>
      </c>
    </row>
    <row r="28" spans="1:16" ht="30">
      <c r="A28" s="39" t="s">
        <v>378</v>
      </c>
      <c r="B28" s="15"/>
      <c r="C28" s="15"/>
      <c r="D28" s="24"/>
      <c r="E28" s="15"/>
      <c r="F28" s="15"/>
      <c r="G28" s="24"/>
      <c r="H28" s="15"/>
      <c r="I28" s="15"/>
      <c r="J28" s="24"/>
      <c r="K28" s="15"/>
      <c r="L28" s="15"/>
      <c r="M28" s="24"/>
      <c r="N28" s="15"/>
      <c r="O28" s="15"/>
      <c r="P28" s="24"/>
    </row>
    <row r="29" spans="1:16">
      <c r="A29" s="9" t="s">
        <v>359</v>
      </c>
      <c r="B29" s="15">
        <v>58.693580263504501</v>
      </c>
      <c r="C29" s="15">
        <v>62.322790394101098</v>
      </c>
      <c r="D29" s="24">
        <v>55.762736620778199</v>
      </c>
      <c r="E29" s="15">
        <v>63.519365872227802</v>
      </c>
      <c r="F29" s="15">
        <v>64.904750522892897</v>
      </c>
      <c r="G29" s="24">
        <v>62.392523876296003</v>
      </c>
      <c r="H29" s="15">
        <v>54.471742194721699</v>
      </c>
      <c r="I29" s="15">
        <v>60.094886315707399</v>
      </c>
      <c r="J29" s="24">
        <v>49.831392944419399</v>
      </c>
      <c r="K29" s="15">
        <v>45.282770901435804</v>
      </c>
      <c r="L29" s="20" t="s">
        <v>76</v>
      </c>
      <c r="M29" s="26" t="s">
        <v>76</v>
      </c>
      <c r="N29" s="15">
        <v>43.691452131277003</v>
      </c>
      <c r="O29" s="15">
        <v>53.456043029278497</v>
      </c>
      <c r="P29" s="24">
        <v>36.984861546703797</v>
      </c>
    </row>
    <row r="30" spans="1:16">
      <c r="A30" s="9" t="s">
        <v>360</v>
      </c>
      <c r="B30" s="15">
        <v>26.689653734288999</v>
      </c>
      <c r="C30" s="15">
        <v>25.929972848396702</v>
      </c>
      <c r="D30" s="24">
        <v>27.303149733362499</v>
      </c>
      <c r="E30" s="15">
        <v>23.985503044205299</v>
      </c>
      <c r="F30" s="15">
        <v>23.762716717122899</v>
      </c>
      <c r="G30" s="24">
        <v>24.166712637768502</v>
      </c>
      <c r="H30" s="15">
        <v>29.454837672783398</v>
      </c>
      <c r="I30" s="15">
        <v>27.9660231240528</v>
      </c>
      <c r="J30" s="24">
        <v>30.683442048982599</v>
      </c>
      <c r="K30" s="20" t="s">
        <v>76</v>
      </c>
      <c r="L30" s="20" t="s">
        <v>76</v>
      </c>
      <c r="M30" s="26" t="s">
        <v>76</v>
      </c>
      <c r="N30" s="15">
        <v>28.384081320294602</v>
      </c>
      <c r="O30" s="20" t="s">
        <v>76</v>
      </c>
      <c r="P30" s="26" t="s">
        <v>76</v>
      </c>
    </row>
    <row r="31" spans="1:16">
      <c r="A31" s="9" t="s">
        <v>361</v>
      </c>
      <c r="B31" s="15">
        <v>3.147137435236</v>
      </c>
      <c r="C31" s="15">
        <v>2.7829074418108202</v>
      </c>
      <c r="D31" s="24">
        <v>3.4412788936543701</v>
      </c>
      <c r="E31" s="15">
        <v>2.6255762053032399</v>
      </c>
      <c r="F31" s="15">
        <v>3.0204414247831699</v>
      </c>
      <c r="G31" s="24">
        <v>2.3044013519300801</v>
      </c>
      <c r="H31" s="15">
        <v>3.32233021902911</v>
      </c>
      <c r="I31" s="15">
        <v>2.4093227239433199</v>
      </c>
      <c r="J31" s="24">
        <v>4.0757652287295203</v>
      </c>
      <c r="K31" s="20" t="s">
        <v>76</v>
      </c>
      <c r="L31" s="20" t="s">
        <v>76</v>
      </c>
      <c r="M31" s="26" t="s">
        <v>76</v>
      </c>
      <c r="N31" s="20" t="s">
        <v>76</v>
      </c>
      <c r="O31" s="20" t="s">
        <v>76</v>
      </c>
      <c r="P31" s="26" t="s">
        <v>76</v>
      </c>
    </row>
    <row r="32" spans="1:16">
      <c r="A32" s="9" t="s">
        <v>379</v>
      </c>
      <c r="B32" s="15">
        <v>11.469628566970499</v>
      </c>
      <c r="C32" s="15">
        <v>8.9643293156913693</v>
      </c>
      <c r="D32" s="24">
        <v>13.492834752204899</v>
      </c>
      <c r="E32" s="15">
        <v>9.8695548782637008</v>
      </c>
      <c r="F32" s="15">
        <v>8.3120913352010408</v>
      </c>
      <c r="G32" s="24">
        <v>11.136362134005401</v>
      </c>
      <c r="H32" s="15">
        <v>12.751089913465799</v>
      </c>
      <c r="I32" s="15">
        <v>9.5297678362964895</v>
      </c>
      <c r="J32" s="24">
        <v>15.409399777868501</v>
      </c>
      <c r="K32" s="20" t="s">
        <v>76</v>
      </c>
      <c r="L32" s="20" t="s">
        <v>76</v>
      </c>
      <c r="M32" s="26" t="s">
        <v>76</v>
      </c>
      <c r="N32" s="20" t="s">
        <v>76</v>
      </c>
      <c r="O32" s="20" t="s">
        <v>76</v>
      </c>
      <c r="P32" s="26" t="s">
        <v>76</v>
      </c>
    </row>
    <row r="33" spans="1:16">
      <c r="A33" s="39" t="s">
        <v>380</v>
      </c>
      <c r="B33" s="15"/>
      <c r="C33" s="15"/>
      <c r="D33" s="24"/>
      <c r="E33" s="15"/>
      <c r="F33" s="15"/>
      <c r="G33" s="24"/>
      <c r="H33" s="15"/>
      <c r="I33" s="15"/>
      <c r="J33" s="24"/>
      <c r="K33" s="15"/>
      <c r="L33" s="15"/>
      <c r="M33" s="24"/>
      <c r="N33" s="15"/>
      <c r="O33" s="15"/>
      <c r="P33" s="24"/>
    </row>
    <row r="34" spans="1:16">
      <c r="A34" s="9" t="s">
        <v>381</v>
      </c>
      <c r="B34" s="15">
        <v>27.893006079551299</v>
      </c>
      <c r="C34" s="15">
        <v>34.865988469768602</v>
      </c>
      <c r="D34" s="24">
        <v>22.261830045704102</v>
      </c>
      <c r="E34" s="15">
        <v>34.258686559684897</v>
      </c>
      <c r="F34" s="15">
        <v>40.0206474278923</v>
      </c>
      <c r="G34" s="24">
        <v>29.572031859061202</v>
      </c>
      <c r="H34" s="15">
        <v>21.766988785550101</v>
      </c>
      <c r="I34" s="15">
        <v>30.012181677456201</v>
      </c>
      <c r="J34" s="24">
        <v>14.962863934514401</v>
      </c>
      <c r="K34" s="20" t="s">
        <v>76</v>
      </c>
      <c r="L34" s="20" t="s">
        <v>76</v>
      </c>
      <c r="M34" s="26" t="s">
        <v>76</v>
      </c>
      <c r="N34" s="20" t="s">
        <v>76</v>
      </c>
      <c r="O34" s="20" t="s">
        <v>76</v>
      </c>
      <c r="P34" s="26" t="s">
        <v>76</v>
      </c>
    </row>
    <row r="35" spans="1:16">
      <c r="A35" s="9" t="s">
        <v>382</v>
      </c>
      <c r="B35" s="15">
        <v>41.758470975678399</v>
      </c>
      <c r="C35" s="15">
        <v>40.309792744426097</v>
      </c>
      <c r="D35" s="24">
        <v>42.928381019912599</v>
      </c>
      <c r="E35" s="15">
        <v>43.7958100410942</v>
      </c>
      <c r="F35" s="15">
        <v>38.544430758458098</v>
      </c>
      <c r="G35" s="24">
        <v>48.067168691848401</v>
      </c>
      <c r="H35" s="15">
        <v>40.603098429987199</v>
      </c>
      <c r="I35" s="15">
        <v>42.519893523975398</v>
      </c>
      <c r="J35" s="24">
        <v>39.021314558544901</v>
      </c>
      <c r="K35" s="20" t="s">
        <v>76</v>
      </c>
      <c r="L35" s="20" t="s">
        <v>76</v>
      </c>
      <c r="M35" s="26" t="s">
        <v>76</v>
      </c>
      <c r="N35" s="15">
        <v>27.08779150769</v>
      </c>
      <c r="O35" s="20" t="s">
        <v>76</v>
      </c>
      <c r="P35" s="26" t="s">
        <v>76</v>
      </c>
    </row>
    <row r="36" spans="1:16">
      <c r="A36" s="9" t="s">
        <v>383</v>
      </c>
      <c r="B36" s="15">
        <v>22.2908863387945</v>
      </c>
      <c r="C36" s="15">
        <v>18.052456624840101</v>
      </c>
      <c r="D36" s="24">
        <v>25.713717846278399</v>
      </c>
      <c r="E36" s="15">
        <v>16.369460931726401</v>
      </c>
      <c r="F36" s="15">
        <v>14.9548085774064</v>
      </c>
      <c r="G36" s="24">
        <v>17.520108646587602</v>
      </c>
      <c r="H36" s="15">
        <v>28.029740440466298</v>
      </c>
      <c r="I36" s="15">
        <v>20.8930544329199</v>
      </c>
      <c r="J36" s="24">
        <v>33.919099640983397</v>
      </c>
      <c r="K36" s="20" t="s">
        <v>76</v>
      </c>
      <c r="L36" s="20" t="s">
        <v>76</v>
      </c>
      <c r="M36" s="26" t="s">
        <v>76</v>
      </c>
      <c r="N36" s="15">
        <v>27.792333453336202</v>
      </c>
      <c r="O36" s="20" t="s">
        <v>76</v>
      </c>
      <c r="P36" s="26" t="s">
        <v>76</v>
      </c>
    </row>
    <row r="37" spans="1:16">
      <c r="A37" s="11" t="s">
        <v>384</v>
      </c>
      <c r="B37" s="16">
        <v>8.0576366059758193</v>
      </c>
      <c r="C37" s="16">
        <v>6.77176216096513</v>
      </c>
      <c r="D37" s="25">
        <v>9.0960710881049405</v>
      </c>
      <c r="E37" s="16">
        <v>5.5760424674944602</v>
      </c>
      <c r="F37" s="16">
        <v>6.4801132362431897</v>
      </c>
      <c r="G37" s="25">
        <v>4.8406908025028601</v>
      </c>
      <c r="H37" s="16">
        <v>9.6001723439963698</v>
      </c>
      <c r="I37" s="16">
        <v>6.5748703656485397</v>
      </c>
      <c r="J37" s="25">
        <v>12.096721865957299</v>
      </c>
      <c r="K37" s="28" t="s">
        <v>76</v>
      </c>
      <c r="L37" s="28" t="s">
        <v>76</v>
      </c>
      <c r="M37" s="29" t="s">
        <v>76</v>
      </c>
      <c r="N37" s="16">
        <v>25.666094922565399</v>
      </c>
      <c r="O37" s="28" t="s">
        <v>76</v>
      </c>
      <c r="P37" s="29" t="s">
        <v>76</v>
      </c>
    </row>
    <row r="38" spans="1:16" ht="30" customHeight="1">
      <c r="A38" t="s">
        <v>143</v>
      </c>
    </row>
    <row r="39" spans="1:16">
      <c r="A39" t="s">
        <v>144</v>
      </c>
    </row>
    <row r="40" spans="1:16">
      <c r="A40" t="s">
        <v>145</v>
      </c>
    </row>
    <row r="41" spans="1:16">
      <c r="A41" t="s">
        <v>146</v>
      </c>
    </row>
    <row r="42" spans="1:16">
      <c r="A42" t="s">
        <v>147</v>
      </c>
    </row>
    <row r="43" spans="1:16">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N44"/>
  <sheetViews>
    <sheetView zoomScale="55" workbookViewId="0"/>
  </sheetViews>
  <sheetFormatPr defaultColWidth="10.88671875" defaultRowHeight="15"/>
  <cols>
    <col min="1" max="1" width="51.6640625" customWidth="1"/>
    <col min="2" max="91" width="13.6640625" customWidth="1"/>
  </cols>
  <sheetData>
    <row r="1" spans="1:92" ht="39.950000000000003" customHeight="1">
      <c r="A1" s="10" t="s">
        <v>385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0">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ht="30">
      <c r="A3" s="39" t="s">
        <v>358</v>
      </c>
      <c r="B3" s="35"/>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32"/>
      <c r="CB3" s="15"/>
      <c r="CC3" s="15"/>
      <c r="CD3" s="15"/>
      <c r="CE3" s="15"/>
      <c r="CF3" s="15"/>
      <c r="CG3" s="15"/>
      <c r="CH3" s="15"/>
      <c r="CI3" s="15"/>
      <c r="CJ3" s="15"/>
      <c r="CK3" s="15"/>
      <c r="CL3" s="15"/>
      <c r="CM3" s="24"/>
      <c r="CN3" s="37"/>
    </row>
    <row r="4" spans="1:92">
      <c r="A4" s="9" t="s">
        <v>359</v>
      </c>
      <c r="B4" s="35">
        <v>51.412597068578997</v>
      </c>
      <c r="C4" s="32">
        <v>52.564848192151501</v>
      </c>
      <c r="D4" s="32">
        <v>54.064893836262101</v>
      </c>
      <c r="E4" s="32">
        <v>63.272057006650499</v>
      </c>
      <c r="F4" s="15">
        <v>47.058823529411796</v>
      </c>
      <c r="G4" s="15">
        <v>29.411764705882401</v>
      </c>
      <c r="H4" s="15">
        <v>65.2173913043478</v>
      </c>
      <c r="I4" s="15">
        <v>60</v>
      </c>
      <c r="J4" s="15">
        <v>54.1666666666667</v>
      </c>
      <c r="K4" s="15">
        <v>58.974358974358999</v>
      </c>
      <c r="L4" s="15">
        <v>63.934426229508198</v>
      </c>
      <c r="M4" s="15">
        <v>60.526315789473699</v>
      </c>
      <c r="N4" s="15">
        <v>87.058823529411796</v>
      </c>
      <c r="O4" s="15">
        <v>86.046511627906995</v>
      </c>
      <c r="P4" s="15">
        <v>71.830985915493002</v>
      </c>
      <c r="Q4" s="15">
        <v>63.380281690140798</v>
      </c>
      <c r="R4" s="15">
        <v>34.615384615384599</v>
      </c>
      <c r="S4" s="15">
        <v>70.731707317073202</v>
      </c>
      <c r="T4" s="15">
        <v>45.8333333333333</v>
      </c>
      <c r="U4" s="15">
        <v>80.952380952380906</v>
      </c>
      <c r="V4" s="15">
        <v>61.764705882352899</v>
      </c>
      <c r="W4" s="15">
        <v>59.322033898305101</v>
      </c>
      <c r="X4" s="15">
        <v>69.230769230769198</v>
      </c>
      <c r="Y4" s="15">
        <v>87.5</v>
      </c>
      <c r="Z4" s="15">
        <v>52.564102564102598</v>
      </c>
      <c r="AA4" s="15">
        <v>65.137614678899098</v>
      </c>
      <c r="AB4" s="15">
        <v>72.058823529411796</v>
      </c>
      <c r="AC4" s="15">
        <v>59.090909090909101</v>
      </c>
      <c r="AD4" s="15">
        <v>75</v>
      </c>
      <c r="AE4" s="15">
        <v>66.6666666666667</v>
      </c>
      <c r="AF4" s="15">
        <v>71.428571428571402</v>
      </c>
      <c r="AG4" s="15">
        <v>58.095238095238102</v>
      </c>
      <c r="AH4" s="15">
        <v>48.214285714285701</v>
      </c>
      <c r="AI4" s="20" t="s">
        <v>76</v>
      </c>
      <c r="AJ4" s="15">
        <v>57.657657657657701</v>
      </c>
      <c r="AK4" s="15">
        <v>60</v>
      </c>
      <c r="AL4" s="15">
        <v>48.8888888888889</v>
      </c>
      <c r="AM4" s="15">
        <v>82.8125</v>
      </c>
      <c r="AN4" s="15">
        <v>62.5</v>
      </c>
      <c r="AO4" s="15">
        <v>55</v>
      </c>
      <c r="AP4" s="15">
        <v>61.038961038960998</v>
      </c>
      <c r="AQ4" s="15">
        <v>58.974358974358999</v>
      </c>
      <c r="AR4" s="15">
        <v>63.636363636363598</v>
      </c>
      <c r="AS4" s="15">
        <v>45.454545454545503</v>
      </c>
      <c r="AT4" s="15">
        <v>61.538461538461497</v>
      </c>
      <c r="AU4" s="15">
        <v>51.020408163265301</v>
      </c>
      <c r="AV4" s="15">
        <v>69.863013698630098</v>
      </c>
      <c r="AW4" s="15">
        <v>61.2068965517241</v>
      </c>
      <c r="AX4" s="15">
        <v>62.5</v>
      </c>
      <c r="AY4" s="15">
        <v>71.428571428571402</v>
      </c>
      <c r="AZ4" s="15">
        <v>76</v>
      </c>
      <c r="BA4" s="15">
        <v>75.471698113207495</v>
      </c>
      <c r="BB4" s="15">
        <v>62.686567164179102</v>
      </c>
      <c r="BC4" s="15">
        <v>51.351351351351397</v>
      </c>
      <c r="BD4" s="15">
        <v>62.820512820512803</v>
      </c>
      <c r="BE4" s="15">
        <v>63.7931034482759</v>
      </c>
      <c r="BF4" s="15">
        <v>56.6265060240964</v>
      </c>
      <c r="BG4" s="15">
        <v>76.119402985074601</v>
      </c>
      <c r="BH4" s="15">
        <v>50</v>
      </c>
      <c r="BI4" s="15">
        <v>68.421052631578902</v>
      </c>
      <c r="BJ4" s="15">
        <v>55.357142857142897</v>
      </c>
      <c r="BK4" s="15">
        <v>77.5</v>
      </c>
      <c r="BL4" s="15">
        <v>66.40625</v>
      </c>
      <c r="BM4" s="15">
        <v>79.207920792079193</v>
      </c>
      <c r="BN4" s="15">
        <v>76.470588235294102</v>
      </c>
      <c r="BO4" s="15">
        <v>64.4444444444444</v>
      </c>
      <c r="BP4" s="15">
        <v>86.6666666666667</v>
      </c>
      <c r="BQ4" s="15">
        <v>64.383561643835606</v>
      </c>
      <c r="BR4" s="15">
        <v>60</v>
      </c>
      <c r="BS4" s="15">
        <v>71.0843373493976</v>
      </c>
      <c r="BT4" s="15">
        <v>57.317073170731703</v>
      </c>
      <c r="BU4" s="15">
        <v>70.093457943925202</v>
      </c>
      <c r="BV4" s="15">
        <v>72.727272727272705</v>
      </c>
      <c r="BW4" s="15">
        <v>44.927536231884098</v>
      </c>
      <c r="BX4" s="15">
        <v>77.7777777777778</v>
      </c>
      <c r="BY4" s="15">
        <v>53.968253968253997</v>
      </c>
      <c r="BZ4" s="15">
        <v>67.346938775510196</v>
      </c>
      <c r="CA4" s="32">
        <v>46.629458941495997</v>
      </c>
      <c r="CB4" s="15">
        <v>51.757188498402598</v>
      </c>
      <c r="CC4" s="15">
        <v>44.339622641509401</v>
      </c>
      <c r="CD4" s="15">
        <v>61.290322580645203</v>
      </c>
      <c r="CE4" s="15">
        <v>60</v>
      </c>
      <c r="CF4" s="15">
        <v>55.389221556886199</v>
      </c>
      <c r="CG4" s="15">
        <v>40.782122905027897</v>
      </c>
      <c r="CH4" s="15">
        <v>42.647058823529399</v>
      </c>
      <c r="CI4" s="15">
        <v>54.825462012320301</v>
      </c>
      <c r="CJ4" s="15">
        <v>41.176470588235297</v>
      </c>
      <c r="CK4" s="15">
        <v>39.013452914798201</v>
      </c>
      <c r="CL4" s="15">
        <v>44.848484848484901</v>
      </c>
      <c r="CM4" s="24">
        <v>59.528907922912197</v>
      </c>
      <c r="CN4" s="37"/>
    </row>
    <row r="5" spans="1:92">
      <c r="A5" s="9" t="s">
        <v>360</v>
      </c>
      <c r="B5" s="35">
        <v>33.290941640186297</v>
      </c>
      <c r="C5" s="32">
        <v>32.727005877833101</v>
      </c>
      <c r="D5" s="32">
        <v>32.429143311231499</v>
      </c>
      <c r="E5" s="32">
        <v>23.616900181628399</v>
      </c>
      <c r="F5" s="15">
        <v>29.411764705882401</v>
      </c>
      <c r="G5" s="15">
        <v>41.176470588235297</v>
      </c>
      <c r="H5" s="15">
        <v>30.434782608695699</v>
      </c>
      <c r="I5" s="20" t="s">
        <v>76</v>
      </c>
      <c r="J5" s="15">
        <v>27.0833333333333</v>
      </c>
      <c r="K5" s="15">
        <v>20.5128205128205</v>
      </c>
      <c r="L5" s="15">
        <v>18.032786885245901</v>
      </c>
      <c r="M5" s="15">
        <v>31.578947368421101</v>
      </c>
      <c r="N5" s="15">
        <v>11.764705882352899</v>
      </c>
      <c r="O5" s="20" t="s">
        <v>76</v>
      </c>
      <c r="P5" s="15">
        <v>23.943661971830998</v>
      </c>
      <c r="Q5" s="15">
        <v>22.5352112676056</v>
      </c>
      <c r="R5" s="15">
        <v>50</v>
      </c>
      <c r="S5" s="15">
        <v>17.0731707317073</v>
      </c>
      <c r="T5" s="15">
        <v>25</v>
      </c>
      <c r="U5" s="20" t="s">
        <v>76</v>
      </c>
      <c r="V5" s="15">
        <v>20.588235294117599</v>
      </c>
      <c r="W5" s="15">
        <v>25.4237288135593</v>
      </c>
      <c r="X5" s="20" t="s">
        <v>76</v>
      </c>
      <c r="Y5" s="20" t="s">
        <v>76</v>
      </c>
      <c r="Z5" s="15">
        <v>37.179487179487197</v>
      </c>
      <c r="AA5" s="15">
        <v>22.0183486238532</v>
      </c>
      <c r="AB5" s="15">
        <v>22.0588235294118</v>
      </c>
      <c r="AC5" s="15">
        <v>23.484848484848499</v>
      </c>
      <c r="AD5" s="15">
        <v>15.625</v>
      </c>
      <c r="AE5" s="15">
        <v>22.2222222222222</v>
      </c>
      <c r="AF5" s="20" t="s">
        <v>76</v>
      </c>
      <c r="AG5" s="15">
        <v>19.047619047619001</v>
      </c>
      <c r="AH5" s="15">
        <v>35.714285714285701</v>
      </c>
      <c r="AI5" s="20" t="s">
        <v>76</v>
      </c>
      <c r="AJ5" s="15">
        <v>27.9279279279279</v>
      </c>
      <c r="AK5" s="15">
        <v>26.6666666666667</v>
      </c>
      <c r="AL5" s="15">
        <v>33.3333333333333</v>
      </c>
      <c r="AM5" s="15">
        <v>14.0625</v>
      </c>
      <c r="AN5" s="20" t="s">
        <v>76</v>
      </c>
      <c r="AO5" s="15">
        <v>30</v>
      </c>
      <c r="AP5" s="15">
        <v>20.7792207792208</v>
      </c>
      <c r="AQ5" s="15">
        <v>28.205128205128201</v>
      </c>
      <c r="AR5" s="15">
        <v>18.181818181818201</v>
      </c>
      <c r="AS5" s="20" t="s">
        <v>76</v>
      </c>
      <c r="AT5" s="15">
        <v>30.769230769230798</v>
      </c>
      <c r="AU5" s="15">
        <v>32.653061224489797</v>
      </c>
      <c r="AV5" s="15">
        <v>23.287671232876701</v>
      </c>
      <c r="AW5" s="15">
        <v>26.724137931034502</v>
      </c>
      <c r="AX5" s="15">
        <v>31.25</v>
      </c>
      <c r="AY5" s="15">
        <v>14.285714285714301</v>
      </c>
      <c r="AZ5" s="15">
        <v>20</v>
      </c>
      <c r="BA5" s="15">
        <v>16.981132075471699</v>
      </c>
      <c r="BB5" s="15">
        <v>19.402985074626901</v>
      </c>
      <c r="BC5" s="15">
        <v>33.783783783783797</v>
      </c>
      <c r="BD5" s="15">
        <v>24.3589743589744</v>
      </c>
      <c r="BE5" s="15">
        <v>32.758620689655203</v>
      </c>
      <c r="BF5" s="15">
        <v>24.096385542168701</v>
      </c>
      <c r="BG5" s="15">
        <v>16.417910447761201</v>
      </c>
      <c r="BH5" s="15">
        <v>41.6666666666667</v>
      </c>
      <c r="BI5" s="15">
        <v>26.315789473684202</v>
      </c>
      <c r="BJ5" s="15">
        <v>25</v>
      </c>
      <c r="BK5" s="15">
        <v>20</v>
      </c>
      <c r="BL5" s="15">
        <v>20.3125</v>
      </c>
      <c r="BM5" s="15">
        <v>18.8118811881188</v>
      </c>
      <c r="BN5" s="15">
        <v>17.647058823529399</v>
      </c>
      <c r="BO5" s="15">
        <v>23.3333333333333</v>
      </c>
      <c r="BP5" s="20" t="s">
        <v>76</v>
      </c>
      <c r="BQ5" s="15">
        <v>21.917808219178099</v>
      </c>
      <c r="BR5" s="15">
        <v>21.6666666666667</v>
      </c>
      <c r="BS5" s="15">
        <v>27.710843373494001</v>
      </c>
      <c r="BT5" s="15">
        <v>21.951219512195099</v>
      </c>
      <c r="BU5" s="15">
        <v>22.429906542056099</v>
      </c>
      <c r="BV5" s="15">
        <v>18.181818181818201</v>
      </c>
      <c r="BW5" s="15">
        <v>24.6376811594203</v>
      </c>
      <c r="BX5" s="20" t="s">
        <v>76</v>
      </c>
      <c r="BY5" s="15">
        <v>26.984126984126998</v>
      </c>
      <c r="BZ5" s="15">
        <v>22.4489795918367</v>
      </c>
      <c r="CA5" s="32">
        <v>39.545652365588701</v>
      </c>
      <c r="CB5" s="15">
        <v>35.143769968051103</v>
      </c>
      <c r="CC5" s="15">
        <v>42.138364779874202</v>
      </c>
      <c r="CD5" s="15">
        <v>32.258064516128997</v>
      </c>
      <c r="CE5" s="20" t="s">
        <v>76</v>
      </c>
      <c r="CF5" s="15">
        <v>32.934131736527</v>
      </c>
      <c r="CG5" s="15">
        <v>41.899441340782097</v>
      </c>
      <c r="CH5" s="15">
        <v>42.095588235294102</v>
      </c>
      <c r="CI5" s="15">
        <v>33.264887063655003</v>
      </c>
      <c r="CJ5" s="15">
        <v>45.098039215686299</v>
      </c>
      <c r="CK5" s="15">
        <v>42.600896860986502</v>
      </c>
      <c r="CL5" s="15">
        <v>40.454545454545503</v>
      </c>
      <c r="CM5" s="24">
        <v>34.475374732333997</v>
      </c>
      <c r="CN5" s="37"/>
    </row>
    <row r="6" spans="1:92">
      <c r="A6" s="9" t="s">
        <v>361</v>
      </c>
      <c r="B6" s="35">
        <v>6.7829086738774702</v>
      </c>
      <c r="C6" s="32">
        <v>6.2425010898129001</v>
      </c>
      <c r="D6" s="32">
        <v>5.5783036103504697</v>
      </c>
      <c r="E6" s="32">
        <v>2.7300655929493098</v>
      </c>
      <c r="F6" s="20" t="s">
        <v>76</v>
      </c>
      <c r="G6" s="20" t="s">
        <v>76</v>
      </c>
      <c r="H6" s="20" t="s">
        <v>76</v>
      </c>
      <c r="I6" s="20" t="s">
        <v>76</v>
      </c>
      <c r="J6" s="15">
        <v>4.8611111111111098</v>
      </c>
      <c r="K6" s="20" t="s">
        <v>76</v>
      </c>
      <c r="L6" s="20" t="s">
        <v>76</v>
      </c>
      <c r="M6" s="20" t="s">
        <v>76</v>
      </c>
      <c r="N6" s="20" t="s">
        <v>76</v>
      </c>
      <c r="O6" s="20" t="s">
        <v>76</v>
      </c>
      <c r="P6" s="20" t="s">
        <v>76</v>
      </c>
      <c r="Q6" s="20" t="s">
        <v>76</v>
      </c>
      <c r="R6" s="20" t="s">
        <v>76</v>
      </c>
      <c r="S6" s="20" t="s">
        <v>76</v>
      </c>
      <c r="T6" s="20" t="s">
        <v>76</v>
      </c>
      <c r="U6" s="20" t="s">
        <v>76</v>
      </c>
      <c r="V6" s="20" t="s">
        <v>76</v>
      </c>
      <c r="W6" s="20" t="s">
        <v>76</v>
      </c>
      <c r="X6" s="20" t="s">
        <v>76</v>
      </c>
      <c r="Y6" s="20" t="s">
        <v>76</v>
      </c>
      <c r="Z6" s="20" t="s">
        <v>76</v>
      </c>
      <c r="AA6" s="20" t="s">
        <v>76</v>
      </c>
      <c r="AB6" s="20" t="s">
        <v>76</v>
      </c>
      <c r="AC6" s="20" t="s">
        <v>76</v>
      </c>
      <c r="AD6" s="20" t="s">
        <v>76</v>
      </c>
      <c r="AE6" s="20" t="s">
        <v>76</v>
      </c>
      <c r="AF6" s="20" t="s">
        <v>76</v>
      </c>
      <c r="AG6" s="20" t="s">
        <v>76</v>
      </c>
      <c r="AH6" s="20" t="s">
        <v>76</v>
      </c>
      <c r="AI6" s="20" t="s">
        <v>76</v>
      </c>
      <c r="AJ6" s="20" t="s">
        <v>76</v>
      </c>
      <c r="AK6" s="20" t="s">
        <v>76</v>
      </c>
      <c r="AL6" s="15">
        <v>6.6666666666666696</v>
      </c>
      <c r="AM6" s="20" t="s">
        <v>76</v>
      </c>
      <c r="AN6" s="20" t="s">
        <v>76</v>
      </c>
      <c r="AO6" s="20" t="s">
        <v>76</v>
      </c>
      <c r="AP6" s="20" t="s">
        <v>76</v>
      </c>
      <c r="AQ6" s="20" t="s">
        <v>76</v>
      </c>
      <c r="AR6" s="15">
        <v>10.909090909090899</v>
      </c>
      <c r="AS6" s="20" t="s">
        <v>76</v>
      </c>
      <c r="AT6" s="20" t="s">
        <v>76</v>
      </c>
      <c r="AU6" s="20" t="s">
        <v>76</v>
      </c>
      <c r="AV6" s="20" t="s">
        <v>76</v>
      </c>
      <c r="AW6" s="20" t="s">
        <v>76</v>
      </c>
      <c r="AX6" s="20" t="s">
        <v>76</v>
      </c>
      <c r="AY6" s="20" t="s">
        <v>76</v>
      </c>
      <c r="AZ6" s="20" t="s">
        <v>76</v>
      </c>
      <c r="BA6" s="20" t="s">
        <v>76</v>
      </c>
      <c r="BB6" s="20" t="s">
        <v>76</v>
      </c>
      <c r="BC6" s="15">
        <v>6.7567567567567597</v>
      </c>
      <c r="BD6" s="15">
        <v>6.4102564102564097</v>
      </c>
      <c r="BE6" s="20" t="s">
        <v>76</v>
      </c>
      <c r="BF6" s="20" t="s">
        <v>76</v>
      </c>
      <c r="BG6" s="20" t="s">
        <v>76</v>
      </c>
      <c r="BH6" s="20" t="s">
        <v>76</v>
      </c>
      <c r="BI6" s="20" t="s">
        <v>76</v>
      </c>
      <c r="BJ6" s="20" t="s">
        <v>76</v>
      </c>
      <c r="BK6" s="20" t="s">
        <v>76</v>
      </c>
      <c r="BL6" s="20" t="s">
        <v>76</v>
      </c>
      <c r="BM6" s="20" t="s">
        <v>76</v>
      </c>
      <c r="BN6" s="20" t="s">
        <v>76</v>
      </c>
      <c r="BO6" s="20" t="s">
        <v>76</v>
      </c>
      <c r="BP6" s="20" t="s">
        <v>76</v>
      </c>
      <c r="BQ6" s="20" t="s">
        <v>76</v>
      </c>
      <c r="BR6" s="20" t="s">
        <v>76</v>
      </c>
      <c r="BS6" s="20" t="s">
        <v>76</v>
      </c>
      <c r="BT6" s="20" t="s">
        <v>76</v>
      </c>
      <c r="BU6" s="20" t="s">
        <v>76</v>
      </c>
      <c r="BV6" s="20" t="s">
        <v>76</v>
      </c>
      <c r="BW6" s="20" t="s">
        <v>76</v>
      </c>
      <c r="BX6" s="20" t="s">
        <v>76</v>
      </c>
      <c r="BY6" s="15">
        <v>7.9365079365079403</v>
      </c>
      <c r="BZ6" s="20" t="s">
        <v>76</v>
      </c>
      <c r="CA6" s="32">
        <v>7.8784570833871204</v>
      </c>
      <c r="CB6" s="15">
        <v>7.3482428115016001</v>
      </c>
      <c r="CC6" s="15">
        <v>6.6037735849056602</v>
      </c>
      <c r="CD6" s="20" t="s">
        <v>76</v>
      </c>
      <c r="CE6" s="20" t="s">
        <v>76</v>
      </c>
      <c r="CF6" s="15">
        <v>5.3892215568862296</v>
      </c>
      <c r="CG6" s="15">
        <v>9.4972067039106101</v>
      </c>
      <c r="CH6" s="15">
        <v>9.0073529411764692</v>
      </c>
      <c r="CI6" s="15">
        <v>5.74948665297741</v>
      </c>
      <c r="CJ6" s="15">
        <v>6.6666666666666696</v>
      </c>
      <c r="CK6" s="15">
        <v>10.3139013452915</v>
      </c>
      <c r="CL6" s="15">
        <v>8.0303030303030294</v>
      </c>
      <c r="CM6" s="24">
        <v>2.9978586723768701</v>
      </c>
      <c r="CN6" s="37"/>
    </row>
    <row r="7" spans="1:92">
      <c r="A7" s="9" t="s">
        <v>362</v>
      </c>
      <c r="B7" s="35">
        <v>8.5135526173571403</v>
      </c>
      <c r="C7" s="32">
        <v>8.4656448402025006</v>
      </c>
      <c r="D7" s="32">
        <v>7.9276592421559497</v>
      </c>
      <c r="E7" s="32">
        <v>10.3809772187718</v>
      </c>
      <c r="F7" s="20" t="s">
        <v>76</v>
      </c>
      <c r="G7" s="20" t="s">
        <v>76</v>
      </c>
      <c r="H7" s="20" t="s">
        <v>76</v>
      </c>
      <c r="I7" s="20" t="s">
        <v>76</v>
      </c>
      <c r="J7" s="15">
        <v>13.8888888888889</v>
      </c>
      <c r="K7" s="15">
        <v>15.384615384615399</v>
      </c>
      <c r="L7" s="15">
        <v>14.7540983606557</v>
      </c>
      <c r="M7" s="15">
        <v>6.5789473684210504</v>
      </c>
      <c r="N7" s="20" t="s">
        <v>76</v>
      </c>
      <c r="O7" s="20" t="s">
        <v>76</v>
      </c>
      <c r="P7" s="20" t="s">
        <v>76</v>
      </c>
      <c r="Q7" s="15">
        <v>12.6760563380282</v>
      </c>
      <c r="R7" s="20" t="s">
        <v>76</v>
      </c>
      <c r="S7" s="20" t="s">
        <v>76</v>
      </c>
      <c r="T7" s="15">
        <v>29.1666666666667</v>
      </c>
      <c r="U7" s="20" t="s">
        <v>76</v>
      </c>
      <c r="V7" s="20" t="s">
        <v>76</v>
      </c>
      <c r="W7" s="15">
        <v>15.254237288135601</v>
      </c>
      <c r="X7" s="20" t="s">
        <v>76</v>
      </c>
      <c r="Y7" s="20" t="s">
        <v>76</v>
      </c>
      <c r="Z7" s="15">
        <v>6.4102564102564097</v>
      </c>
      <c r="AA7" s="15">
        <v>11.0091743119266</v>
      </c>
      <c r="AB7" s="20" t="s">
        <v>76</v>
      </c>
      <c r="AC7" s="15">
        <v>16.6666666666667</v>
      </c>
      <c r="AD7" s="20" t="s">
        <v>76</v>
      </c>
      <c r="AE7" s="20" t="s">
        <v>76</v>
      </c>
      <c r="AF7" s="20" t="s">
        <v>76</v>
      </c>
      <c r="AG7" s="15">
        <v>22.8571428571429</v>
      </c>
      <c r="AH7" s="15">
        <v>8.9285714285714306</v>
      </c>
      <c r="AI7" s="20" t="s">
        <v>76</v>
      </c>
      <c r="AJ7" s="15">
        <v>12.612612612612599</v>
      </c>
      <c r="AK7" s="20" t="s">
        <v>76</v>
      </c>
      <c r="AL7" s="15">
        <v>11.1111111111111</v>
      </c>
      <c r="AM7" s="20" t="s">
        <v>76</v>
      </c>
      <c r="AN7" s="20" t="s">
        <v>76</v>
      </c>
      <c r="AO7" s="20" t="s">
        <v>76</v>
      </c>
      <c r="AP7" s="15">
        <v>16.883116883116902</v>
      </c>
      <c r="AQ7" s="15">
        <v>12.8205128205128</v>
      </c>
      <c r="AR7" s="20" t="s">
        <v>76</v>
      </c>
      <c r="AS7" s="20" t="s">
        <v>76</v>
      </c>
      <c r="AT7" s="20" t="s">
        <v>76</v>
      </c>
      <c r="AU7" s="15">
        <v>12.244897959183699</v>
      </c>
      <c r="AV7" s="20" t="s">
        <v>76</v>
      </c>
      <c r="AW7" s="15">
        <v>10.3448275862069</v>
      </c>
      <c r="AX7" s="20" t="s">
        <v>76</v>
      </c>
      <c r="AY7" s="15">
        <v>14.285714285714301</v>
      </c>
      <c r="AZ7" s="20" t="s">
        <v>76</v>
      </c>
      <c r="BA7" s="20" t="s">
        <v>76</v>
      </c>
      <c r="BB7" s="15">
        <v>16.417910447761201</v>
      </c>
      <c r="BC7" s="15">
        <v>8.1081081081081106</v>
      </c>
      <c r="BD7" s="15">
        <v>6.4102564102564097</v>
      </c>
      <c r="BE7" s="20" t="s">
        <v>76</v>
      </c>
      <c r="BF7" s="15">
        <v>15.662650602409601</v>
      </c>
      <c r="BG7" s="20" t="s">
        <v>76</v>
      </c>
      <c r="BH7" s="20" t="s">
        <v>76</v>
      </c>
      <c r="BI7" s="20" t="s">
        <v>76</v>
      </c>
      <c r="BJ7" s="15">
        <v>16.071428571428601</v>
      </c>
      <c r="BK7" s="20" t="s">
        <v>76</v>
      </c>
      <c r="BL7" s="15">
        <v>11.71875</v>
      </c>
      <c r="BM7" s="20" t="s">
        <v>76</v>
      </c>
      <c r="BN7" s="20" t="s">
        <v>76</v>
      </c>
      <c r="BO7" s="15">
        <v>10</v>
      </c>
      <c r="BP7" s="20" t="s">
        <v>76</v>
      </c>
      <c r="BQ7" s="15">
        <v>9.5890410958904102</v>
      </c>
      <c r="BR7" s="15">
        <v>15</v>
      </c>
      <c r="BS7" s="20" t="s">
        <v>76</v>
      </c>
      <c r="BT7" s="15">
        <v>19.512195121951201</v>
      </c>
      <c r="BU7" s="15">
        <v>5.6074766355140202</v>
      </c>
      <c r="BV7" s="15">
        <v>8.0808080808080796</v>
      </c>
      <c r="BW7" s="15">
        <v>26.086956521739101</v>
      </c>
      <c r="BX7" s="20" t="s">
        <v>76</v>
      </c>
      <c r="BY7" s="15">
        <v>11.1111111111111</v>
      </c>
      <c r="BZ7" s="15">
        <v>8.1632653061224492</v>
      </c>
      <c r="CA7" s="32">
        <v>5.94643160952816</v>
      </c>
      <c r="CB7" s="15">
        <v>5.7507987220447303</v>
      </c>
      <c r="CC7" s="15">
        <v>6.9182389937106903</v>
      </c>
      <c r="CD7" s="15">
        <v>3.87096774193548</v>
      </c>
      <c r="CE7" s="20" t="s">
        <v>76</v>
      </c>
      <c r="CF7" s="15">
        <v>6.2874251497006002</v>
      </c>
      <c r="CG7" s="15">
        <v>7.8212290502793298</v>
      </c>
      <c r="CH7" s="15">
        <v>6.25</v>
      </c>
      <c r="CI7" s="15">
        <v>6.16016427104723</v>
      </c>
      <c r="CJ7" s="15">
        <v>7.0588235294117698</v>
      </c>
      <c r="CK7" s="15">
        <v>8.0717488789237706</v>
      </c>
      <c r="CL7" s="15">
        <v>6.6666666666666696</v>
      </c>
      <c r="CM7" s="24">
        <v>2.9978586723768701</v>
      </c>
      <c r="CN7" s="37"/>
    </row>
    <row r="8" spans="1:92" ht="30">
      <c r="A8" s="39" t="s">
        <v>363</v>
      </c>
      <c r="B8" s="35"/>
      <c r="C8" s="32"/>
      <c r="D8" s="32"/>
      <c r="E8" s="32"/>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32"/>
      <c r="CB8" s="15"/>
      <c r="CC8" s="15"/>
      <c r="CD8" s="15"/>
      <c r="CE8" s="15"/>
      <c r="CF8" s="15"/>
      <c r="CG8" s="15"/>
      <c r="CH8" s="15"/>
      <c r="CI8" s="15"/>
      <c r="CJ8" s="15"/>
      <c r="CK8" s="15"/>
      <c r="CL8" s="15"/>
      <c r="CM8" s="24"/>
      <c r="CN8" s="37"/>
    </row>
    <row r="9" spans="1:92">
      <c r="A9" s="9" t="s">
        <v>364</v>
      </c>
      <c r="B9" s="35">
        <v>15.3555012742789</v>
      </c>
      <c r="C9" s="32">
        <v>15.2308857961863</v>
      </c>
      <c r="D9" s="32">
        <v>14.1628638255398</v>
      </c>
      <c r="E9" s="32">
        <v>20.4631870517815</v>
      </c>
      <c r="F9" s="20" t="s">
        <v>76</v>
      </c>
      <c r="G9" s="20" t="s">
        <v>76</v>
      </c>
      <c r="H9" s="15">
        <v>30.434782608695699</v>
      </c>
      <c r="I9" s="20" t="s">
        <v>76</v>
      </c>
      <c r="J9" s="15">
        <v>15.2777777777778</v>
      </c>
      <c r="K9" s="15">
        <v>17.948717948717899</v>
      </c>
      <c r="L9" s="15">
        <v>27.868852459016399</v>
      </c>
      <c r="M9" s="15">
        <v>31.578947368421101</v>
      </c>
      <c r="N9" s="15">
        <v>18.823529411764699</v>
      </c>
      <c r="O9" s="15">
        <v>60.465116279069797</v>
      </c>
      <c r="P9" s="15">
        <v>21.126760563380302</v>
      </c>
      <c r="Q9" s="15">
        <v>19.7183098591549</v>
      </c>
      <c r="R9" s="15">
        <v>19.230769230769202</v>
      </c>
      <c r="S9" s="15">
        <v>17.0731707317073</v>
      </c>
      <c r="T9" s="15">
        <v>20.8333333333333</v>
      </c>
      <c r="U9" s="15">
        <v>28.571428571428601</v>
      </c>
      <c r="V9" s="15">
        <v>20.588235294117599</v>
      </c>
      <c r="W9" s="15">
        <v>38.983050847457598</v>
      </c>
      <c r="X9" s="15">
        <v>38.461538461538503</v>
      </c>
      <c r="Y9" s="20" t="s">
        <v>76</v>
      </c>
      <c r="Z9" s="15">
        <v>16.6666666666667</v>
      </c>
      <c r="AA9" s="15">
        <v>19.2660550458716</v>
      </c>
      <c r="AB9" s="15">
        <v>38.235294117647101</v>
      </c>
      <c r="AC9" s="15">
        <v>18.939393939393899</v>
      </c>
      <c r="AD9" s="15">
        <v>28.125</v>
      </c>
      <c r="AE9" s="20" t="s">
        <v>76</v>
      </c>
      <c r="AF9" s="15">
        <v>35.714285714285701</v>
      </c>
      <c r="AG9" s="15">
        <v>22.8571428571429</v>
      </c>
      <c r="AH9" s="15">
        <v>32.142857142857103</v>
      </c>
      <c r="AI9" s="20" t="s">
        <v>76</v>
      </c>
      <c r="AJ9" s="15">
        <v>14.4144144144144</v>
      </c>
      <c r="AK9" s="20" t="s">
        <v>76</v>
      </c>
      <c r="AL9" s="15">
        <v>11.1111111111111</v>
      </c>
      <c r="AM9" s="15">
        <v>29.6875</v>
      </c>
      <c r="AN9" s="20" t="s">
        <v>76</v>
      </c>
      <c r="AO9" s="15">
        <v>15</v>
      </c>
      <c r="AP9" s="15">
        <v>28.571428571428601</v>
      </c>
      <c r="AQ9" s="15">
        <v>28.205128205128201</v>
      </c>
      <c r="AR9" s="15">
        <v>14.545454545454501</v>
      </c>
      <c r="AS9" s="20" t="s">
        <v>76</v>
      </c>
      <c r="AT9" s="15">
        <v>18.461538461538499</v>
      </c>
      <c r="AU9" s="15">
        <v>14.285714285714301</v>
      </c>
      <c r="AV9" s="15">
        <v>31.5068493150685</v>
      </c>
      <c r="AW9" s="15">
        <v>11.2068965517241</v>
      </c>
      <c r="AX9" s="15">
        <v>31.25</v>
      </c>
      <c r="AY9" s="15">
        <v>28.571428571428601</v>
      </c>
      <c r="AZ9" s="20" t="s">
        <v>76</v>
      </c>
      <c r="BA9" s="15">
        <v>18.867924528301899</v>
      </c>
      <c r="BB9" s="15">
        <v>20.8955223880597</v>
      </c>
      <c r="BC9" s="15">
        <v>20.270270270270299</v>
      </c>
      <c r="BD9" s="15">
        <v>24.3589743589744</v>
      </c>
      <c r="BE9" s="15">
        <v>12.0689655172414</v>
      </c>
      <c r="BF9" s="15">
        <v>19.277108433734899</v>
      </c>
      <c r="BG9" s="15">
        <v>11.9402985074627</v>
      </c>
      <c r="BH9" s="15">
        <v>20.8333333333333</v>
      </c>
      <c r="BI9" s="20" t="s">
        <v>76</v>
      </c>
      <c r="BJ9" s="15">
        <v>20.535714285714299</v>
      </c>
      <c r="BK9" s="15">
        <v>30</v>
      </c>
      <c r="BL9" s="15">
        <v>15.625</v>
      </c>
      <c r="BM9" s="15">
        <v>22.7722772277228</v>
      </c>
      <c r="BN9" s="15">
        <v>21.008403361344499</v>
      </c>
      <c r="BO9" s="15">
        <v>13.3333333333333</v>
      </c>
      <c r="BP9" s="20" t="s">
        <v>76</v>
      </c>
      <c r="BQ9" s="15">
        <v>21.917808219178099</v>
      </c>
      <c r="BR9" s="15">
        <v>8.3333333333333304</v>
      </c>
      <c r="BS9" s="15">
        <v>14.4578313253012</v>
      </c>
      <c r="BT9" s="15">
        <v>25.609756097561</v>
      </c>
      <c r="BU9" s="15">
        <v>16.822429906542101</v>
      </c>
      <c r="BV9" s="15">
        <v>13.1313131313131</v>
      </c>
      <c r="BW9" s="15">
        <v>21.739130434782599</v>
      </c>
      <c r="BX9" s="20" t="s">
        <v>76</v>
      </c>
      <c r="BY9" s="15">
        <v>20.634920634920601</v>
      </c>
      <c r="BZ9" s="15">
        <v>17.687074829932001</v>
      </c>
      <c r="CA9" s="32">
        <v>9.0749076008292295</v>
      </c>
      <c r="CB9" s="15">
        <v>14.6964856230032</v>
      </c>
      <c r="CC9" s="15">
        <v>6.9182389937106903</v>
      </c>
      <c r="CD9" s="15">
        <v>16.7741935483871</v>
      </c>
      <c r="CE9" s="20" t="s">
        <v>76</v>
      </c>
      <c r="CF9" s="15">
        <v>6.5868263473053901</v>
      </c>
      <c r="CG9" s="15">
        <v>6.1452513966480398</v>
      </c>
      <c r="CH9" s="15">
        <v>5.8823529411764701</v>
      </c>
      <c r="CI9" s="15">
        <v>9.8562628336755704</v>
      </c>
      <c r="CJ9" s="15">
        <v>5.8823529411764701</v>
      </c>
      <c r="CK9" s="15">
        <v>10.3139013452915</v>
      </c>
      <c r="CL9" s="15">
        <v>9.3939393939393891</v>
      </c>
      <c r="CM9" s="24">
        <v>13.2762312633833</v>
      </c>
      <c r="CN9" s="37"/>
    </row>
    <row r="10" spans="1:92">
      <c r="A10" s="9" t="s">
        <v>365</v>
      </c>
      <c r="B10" s="35">
        <v>44.745349152909299</v>
      </c>
      <c r="C10" s="32">
        <v>45.318583663116698</v>
      </c>
      <c r="D10" s="32">
        <v>45.470772801533798</v>
      </c>
      <c r="E10" s="32">
        <v>51.312814233653803</v>
      </c>
      <c r="F10" s="15">
        <v>58.823529411764703</v>
      </c>
      <c r="G10" s="15">
        <v>41.176470588235297</v>
      </c>
      <c r="H10" s="15">
        <v>60.869565217391298</v>
      </c>
      <c r="I10" s="15">
        <v>50</v>
      </c>
      <c r="J10" s="15">
        <v>39.5833333333333</v>
      </c>
      <c r="K10" s="15">
        <v>61.538461538461497</v>
      </c>
      <c r="L10" s="15">
        <v>42.622950819672099</v>
      </c>
      <c r="M10" s="15">
        <v>44.7368421052632</v>
      </c>
      <c r="N10" s="15">
        <v>67.058823529411796</v>
      </c>
      <c r="O10" s="15">
        <v>34.883720930232599</v>
      </c>
      <c r="P10" s="15">
        <v>49.295774647887299</v>
      </c>
      <c r="Q10" s="15">
        <v>50.704225352112701</v>
      </c>
      <c r="R10" s="15">
        <v>42.307692307692299</v>
      </c>
      <c r="S10" s="15">
        <v>48.780487804878</v>
      </c>
      <c r="T10" s="15">
        <v>62.5</v>
      </c>
      <c r="U10" s="15">
        <v>52.380952380952401</v>
      </c>
      <c r="V10" s="15">
        <v>47.058823529411796</v>
      </c>
      <c r="W10" s="15">
        <v>44.067796610169502</v>
      </c>
      <c r="X10" s="20" t="s">
        <v>76</v>
      </c>
      <c r="Y10" s="20" t="s">
        <v>76</v>
      </c>
      <c r="Z10" s="15">
        <v>56.410256410256402</v>
      </c>
      <c r="AA10" s="15">
        <v>44.954128440367001</v>
      </c>
      <c r="AB10" s="15">
        <v>48.529411764705898</v>
      </c>
      <c r="AC10" s="15">
        <v>51.515151515151501</v>
      </c>
      <c r="AD10" s="15">
        <v>50</v>
      </c>
      <c r="AE10" s="15">
        <v>59.259259259259302</v>
      </c>
      <c r="AF10" s="15">
        <v>50</v>
      </c>
      <c r="AG10" s="15">
        <v>51.428571428571402</v>
      </c>
      <c r="AH10" s="15">
        <v>41.071428571428598</v>
      </c>
      <c r="AI10" s="20" t="s">
        <v>76</v>
      </c>
      <c r="AJ10" s="15">
        <v>63.063063063063098</v>
      </c>
      <c r="AK10" s="15">
        <v>53.3333333333333</v>
      </c>
      <c r="AL10" s="15">
        <v>41.1111111111111</v>
      </c>
      <c r="AM10" s="15">
        <v>51.5625</v>
      </c>
      <c r="AN10" s="20" t="s">
        <v>76</v>
      </c>
      <c r="AO10" s="15">
        <v>52.5</v>
      </c>
      <c r="AP10" s="15">
        <v>45.454545454545503</v>
      </c>
      <c r="AQ10" s="15">
        <v>43.589743589743598</v>
      </c>
      <c r="AR10" s="15">
        <v>50.909090909090899</v>
      </c>
      <c r="AS10" s="15">
        <v>54.545454545454497</v>
      </c>
      <c r="AT10" s="15">
        <v>63.076923076923102</v>
      </c>
      <c r="AU10" s="15">
        <v>65.306122448979593</v>
      </c>
      <c r="AV10" s="15">
        <v>45.205479452054803</v>
      </c>
      <c r="AW10" s="15">
        <v>40.517241379310299</v>
      </c>
      <c r="AX10" s="15">
        <v>56.25</v>
      </c>
      <c r="AY10" s="15">
        <v>37.142857142857103</v>
      </c>
      <c r="AZ10" s="15">
        <v>66</v>
      </c>
      <c r="BA10" s="15">
        <v>54.716981132075503</v>
      </c>
      <c r="BB10" s="15">
        <v>61.194029850746297</v>
      </c>
      <c r="BC10" s="15">
        <v>55.405405405405403</v>
      </c>
      <c r="BD10" s="15">
        <v>53.846153846153797</v>
      </c>
      <c r="BE10" s="15">
        <v>55.172413793103502</v>
      </c>
      <c r="BF10" s="15">
        <v>40.963855421686802</v>
      </c>
      <c r="BG10" s="15">
        <v>62.686567164179102</v>
      </c>
      <c r="BH10" s="15">
        <v>62.5</v>
      </c>
      <c r="BI10" s="15">
        <v>78.947368421052602</v>
      </c>
      <c r="BJ10" s="15">
        <v>49.107142857142897</v>
      </c>
      <c r="BK10" s="15">
        <v>50</v>
      </c>
      <c r="BL10" s="15">
        <v>59.375</v>
      </c>
      <c r="BM10" s="15">
        <v>56.435643564356397</v>
      </c>
      <c r="BN10" s="15">
        <v>65.546218487394995</v>
      </c>
      <c r="BO10" s="15">
        <v>54.4444444444444</v>
      </c>
      <c r="BP10" s="15">
        <v>46.6666666666667</v>
      </c>
      <c r="BQ10" s="15">
        <v>67.123287671232902</v>
      </c>
      <c r="BR10" s="15">
        <v>46.6666666666667</v>
      </c>
      <c r="BS10" s="15">
        <v>50.602409638554199</v>
      </c>
      <c r="BT10" s="15">
        <v>43.902439024390198</v>
      </c>
      <c r="BU10" s="15">
        <v>43.925233644859802</v>
      </c>
      <c r="BV10" s="15">
        <v>58.585858585858603</v>
      </c>
      <c r="BW10" s="15">
        <v>42.028985507246396</v>
      </c>
      <c r="BX10" s="15">
        <v>66.6666666666667</v>
      </c>
      <c r="BY10" s="15">
        <v>50.793650793650798</v>
      </c>
      <c r="BZ10" s="15">
        <v>58.503401360544203</v>
      </c>
      <c r="CA10" s="32">
        <v>40.752911510581697</v>
      </c>
      <c r="CB10" s="15">
        <v>39.616613418530399</v>
      </c>
      <c r="CC10" s="15">
        <v>39.308176100628899</v>
      </c>
      <c r="CD10" s="15">
        <v>50.9677419354839</v>
      </c>
      <c r="CE10" s="20" t="s">
        <v>76</v>
      </c>
      <c r="CF10" s="15">
        <v>45.209580838323397</v>
      </c>
      <c r="CG10" s="15">
        <v>44.134078212290497</v>
      </c>
      <c r="CH10" s="15">
        <v>40.625</v>
      </c>
      <c r="CI10" s="15">
        <v>44.558521560574903</v>
      </c>
      <c r="CJ10" s="15">
        <v>36.078431372548998</v>
      </c>
      <c r="CK10" s="15">
        <v>40.807174887892401</v>
      </c>
      <c r="CL10" s="15">
        <v>41.969696969696997</v>
      </c>
      <c r="CM10" s="24">
        <v>46.466809421841504</v>
      </c>
      <c r="CN10" s="37"/>
    </row>
    <row r="11" spans="1:92">
      <c r="A11" s="9" t="s">
        <v>366</v>
      </c>
      <c r="B11" s="35">
        <v>14.7884917062672</v>
      </c>
      <c r="C11" s="32">
        <v>14.706087889156001</v>
      </c>
      <c r="D11" s="32">
        <v>15.1738029285436</v>
      </c>
      <c r="E11" s="32">
        <v>10.228849110706401</v>
      </c>
      <c r="F11" s="20" t="s">
        <v>76</v>
      </c>
      <c r="G11" s="20" t="s">
        <v>76</v>
      </c>
      <c r="H11" s="20" t="s">
        <v>76</v>
      </c>
      <c r="I11" s="20" t="s">
        <v>76</v>
      </c>
      <c r="J11" s="15">
        <v>16.6666666666667</v>
      </c>
      <c r="K11" s="20" t="s">
        <v>76</v>
      </c>
      <c r="L11" s="15">
        <v>13.1147540983607</v>
      </c>
      <c r="M11" s="15">
        <v>9.2105263157894708</v>
      </c>
      <c r="N11" s="15">
        <v>7.0588235294117601</v>
      </c>
      <c r="O11" s="20" t="s">
        <v>76</v>
      </c>
      <c r="P11" s="15">
        <v>9.8591549295774694</v>
      </c>
      <c r="Q11" s="15">
        <v>18.309859154929601</v>
      </c>
      <c r="R11" s="20" t="s">
        <v>76</v>
      </c>
      <c r="S11" s="15">
        <v>12.1951219512195</v>
      </c>
      <c r="T11" s="20" t="s">
        <v>76</v>
      </c>
      <c r="U11" s="20" t="s">
        <v>76</v>
      </c>
      <c r="V11" s="20" t="s">
        <v>76</v>
      </c>
      <c r="W11" s="20" t="s">
        <v>76</v>
      </c>
      <c r="X11" s="20" t="s">
        <v>76</v>
      </c>
      <c r="Y11" s="20" t="s">
        <v>76</v>
      </c>
      <c r="Z11" s="15">
        <v>8.9743589743589691</v>
      </c>
      <c r="AA11" s="15">
        <v>15.5963302752294</v>
      </c>
      <c r="AB11" s="20" t="s">
        <v>76</v>
      </c>
      <c r="AC11" s="15">
        <v>13.636363636363599</v>
      </c>
      <c r="AD11" s="20" t="s">
        <v>76</v>
      </c>
      <c r="AE11" s="20" t="s">
        <v>76</v>
      </c>
      <c r="AF11" s="20" t="s">
        <v>76</v>
      </c>
      <c r="AG11" s="15">
        <v>8.5714285714285694</v>
      </c>
      <c r="AH11" s="15">
        <v>12.5</v>
      </c>
      <c r="AI11" s="20" t="s">
        <v>76</v>
      </c>
      <c r="AJ11" s="15">
        <v>11.7117117117117</v>
      </c>
      <c r="AK11" s="20" t="s">
        <v>76</v>
      </c>
      <c r="AL11" s="15">
        <v>16.6666666666667</v>
      </c>
      <c r="AM11" s="15">
        <v>10.9375</v>
      </c>
      <c r="AN11" s="20" t="s">
        <v>76</v>
      </c>
      <c r="AO11" s="15">
        <v>20</v>
      </c>
      <c r="AP11" s="15">
        <v>9.0909090909090899</v>
      </c>
      <c r="AQ11" s="15">
        <v>17.948717948717899</v>
      </c>
      <c r="AR11" s="15">
        <v>16.363636363636399</v>
      </c>
      <c r="AS11" s="20" t="s">
        <v>76</v>
      </c>
      <c r="AT11" s="20" t="s">
        <v>76</v>
      </c>
      <c r="AU11" s="20" t="s">
        <v>76</v>
      </c>
      <c r="AV11" s="20" t="s">
        <v>76</v>
      </c>
      <c r="AW11" s="15">
        <v>15.517241379310301</v>
      </c>
      <c r="AX11" s="20" t="s">
        <v>76</v>
      </c>
      <c r="AY11" s="20" t="s">
        <v>76</v>
      </c>
      <c r="AZ11" s="15">
        <v>16</v>
      </c>
      <c r="BA11" s="20" t="s">
        <v>76</v>
      </c>
      <c r="BB11" s="15">
        <v>7.4626865671641802</v>
      </c>
      <c r="BC11" s="15">
        <v>8.1081081081081106</v>
      </c>
      <c r="BD11" s="15">
        <v>7.6923076923076898</v>
      </c>
      <c r="BE11" s="15">
        <v>10.3448275862069</v>
      </c>
      <c r="BF11" s="15">
        <v>14.4578313253012</v>
      </c>
      <c r="BG11" s="15">
        <v>7.4626865671641802</v>
      </c>
      <c r="BH11" s="20" t="s">
        <v>76</v>
      </c>
      <c r="BI11" s="20" t="s">
        <v>76</v>
      </c>
      <c r="BJ11" s="15">
        <v>8.9285714285714306</v>
      </c>
      <c r="BK11" s="20" t="s">
        <v>76</v>
      </c>
      <c r="BL11" s="15">
        <v>10.15625</v>
      </c>
      <c r="BM11" s="15">
        <v>4.9504950495049496</v>
      </c>
      <c r="BN11" s="15">
        <v>5.0420168067226898</v>
      </c>
      <c r="BO11" s="15">
        <v>10</v>
      </c>
      <c r="BP11" s="20" t="s">
        <v>76</v>
      </c>
      <c r="BQ11" s="20" t="s">
        <v>76</v>
      </c>
      <c r="BR11" s="15">
        <v>10</v>
      </c>
      <c r="BS11" s="15">
        <v>12.048192771084301</v>
      </c>
      <c r="BT11" s="15">
        <v>8.5365853658536608</v>
      </c>
      <c r="BU11" s="15">
        <v>8.4112149532710294</v>
      </c>
      <c r="BV11" s="15">
        <v>15.1515151515152</v>
      </c>
      <c r="BW11" s="15">
        <v>11.5942028985507</v>
      </c>
      <c r="BX11" s="20" t="s">
        <v>76</v>
      </c>
      <c r="BY11" s="15">
        <v>15.8730158730159</v>
      </c>
      <c r="BZ11" s="15">
        <v>8.84353741496599</v>
      </c>
      <c r="CA11" s="32">
        <v>19.167202577243799</v>
      </c>
      <c r="CB11" s="15">
        <v>12.1405750798722</v>
      </c>
      <c r="CC11" s="15">
        <v>19.811320754716998</v>
      </c>
      <c r="CD11" s="15">
        <v>11.6129032258065</v>
      </c>
      <c r="CE11" s="20" t="s">
        <v>76</v>
      </c>
      <c r="CF11" s="15">
        <v>17.664670658682599</v>
      </c>
      <c r="CG11" s="15">
        <v>19.553072625698299</v>
      </c>
      <c r="CH11" s="15">
        <v>20.588235294117599</v>
      </c>
      <c r="CI11" s="15">
        <v>15.811088295687901</v>
      </c>
      <c r="CJ11" s="15">
        <v>25.098039215686299</v>
      </c>
      <c r="CK11" s="15">
        <v>17.4887892376682</v>
      </c>
      <c r="CL11" s="15">
        <v>21.515151515151501</v>
      </c>
      <c r="CM11" s="24">
        <v>15.845824411134901</v>
      </c>
      <c r="CN11" s="37"/>
    </row>
    <row r="12" spans="1:92">
      <c r="A12" s="9" t="s">
        <v>367</v>
      </c>
      <c r="B12" s="35">
        <v>18.120517769943</v>
      </c>
      <c r="C12" s="32">
        <v>18.022045730298601</v>
      </c>
      <c r="D12" s="32">
        <v>18.401965872405199</v>
      </c>
      <c r="E12" s="32">
        <v>11.048766293642499</v>
      </c>
      <c r="F12" s="20" t="s">
        <v>76</v>
      </c>
      <c r="G12" s="20" t="s">
        <v>76</v>
      </c>
      <c r="H12" s="20" t="s">
        <v>76</v>
      </c>
      <c r="I12" s="20" t="s">
        <v>76</v>
      </c>
      <c r="J12" s="15">
        <v>20.1388888888889</v>
      </c>
      <c r="K12" s="20" t="s">
        <v>76</v>
      </c>
      <c r="L12" s="15">
        <v>9.8360655737704903</v>
      </c>
      <c r="M12" s="15">
        <v>7.8947368421052602</v>
      </c>
      <c r="N12" s="20" t="s">
        <v>76</v>
      </c>
      <c r="O12" s="20" t="s">
        <v>76</v>
      </c>
      <c r="P12" s="15">
        <v>8.4507042253521103</v>
      </c>
      <c r="Q12" s="15">
        <v>9.8591549295774694</v>
      </c>
      <c r="R12" s="15">
        <v>23.076923076923102</v>
      </c>
      <c r="S12" s="15">
        <v>17.0731707317073</v>
      </c>
      <c r="T12" s="20" t="s">
        <v>76</v>
      </c>
      <c r="U12" s="20" t="s">
        <v>76</v>
      </c>
      <c r="V12" s="20" t="s">
        <v>76</v>
      </c>
      <c r="W12" s="20" t="s">
        <v>76</v>
      </c>
      <c r="X12" s="20" t="s">
        <v>76</v>
      </c>
      <c r="Y12" s="20" t="s">
        <v>76</v>
      </c>
      <c r="Z12" s="15">
        <v>7.6923076923076898</v>
      </c>
      <c r="AA12" s="15">
        <v>10.0917431192661</v>
      </c>
      <c r="AB12" s="20" t="s">
        <v>76</v>
      </c>
      <c r="AC12" s="15">
        <v>9.8484848484848495</v>
      </c>
      <c r="AD12" s="20" t="s">
        <v>76</v>
      </c>
      <c r="AE12" s="15">
        <v>18.518518518518501</v>
      </c>
      <c r="AF12" s="20" t="s">
        <v>76</v>
      </c>
      <c r="AG12" s="15">
        <v>7.6190476190476204</v>
      </c>
      <c r="AH12" s="15">
        <v>12.5</v>
      </c>
      <c r="AI12" s="20" t="s">
        <v>76</v>
      </c>
      <c r="AJ12" s="15">
        <v>5.4054054054054097</v>
      </c>
      <c r="AK12" s="15">
        <v>20</v>
      </c>
      <c r="AL12" s="15">
        <v>21.1111111111111</v>
      </c>
      <c r="AM12" s="20" t="s">
        <v>76</v>
      </c>
      <c r="AN12" s="20" t="s">
        <v>76</v>
      </c>
      <c r="AO12" s="20" t="s">
        <v>76</v>
      </c>
      <c r="AP12" s="15">
        <v>10.3896103896104</v>
      </c>
      <c r="AQ12" s="20" t="s">
        <v>76</v>
      </c>
      <c r="AR12" s="15">
        <v>10.909090909090899</v>
      </c>
      <c r="AS12" s="20" t="s">
        <v>76</v>
      </c>
      <c r="AT12" s="15">
        <v>10.7692307692308</v>
      </c>
      <c r="AU12" s="20" t="s">
        <v>76</v>
      </c>
      <c r="AV12" s="15">
        <v>10.958904109589</v>
      </c>
      <c r="AW12" s="15">
        <v>20.689655172413801</v>
      </c>
      <c r="AX12" s="20" t="s">
        <v>76</v>
      </c>
      <c r="AY12" s="15">
        <v>17.1428571428571</v>
      </c>
      <c r="AZ12" s="15">
        <v>14</v>
      </c>
      <c r="BA12" s="20" t="s">
        <v>76</v>
      </c>
      <c r="BB12" s="20" t="s">
        <v>76</v>
      </c>
      <c r="BC12" s="15">
        <v>12.1621621621622</v>
      </c>
      <c r="BD12" s="15">
        <v>6.4102564102564097</v>
      </c>
      <c r="BE12" s="15">
        <v>17.241379310344801</v>
      </c>
      <c r="BF12" s="15">
        <v>10.8433734939759</v>
      </c>
      <c r="BG12" s="15">
        <v>14.9253731343284</v>
      </c>
      <c r="BH12" s="20" t="s">
        <v>76</v>
      </c>
      <c r="BI12" s="20" t="s">
        <v>76</v>
      </c>
      <c r="BJ12" s="15">
        <v>15.1785714285714</v>
      </c>
      <c r="BK12" s="20" t="s">
        <v>76</v>
      </c>
      <c r="BL12" s="15">
        <v>9.375</v>
      </c>
      <c r="BM12" s="15">
        <v>10.891089108910901</v>
      </c>
      <c r="BN12" s="15">
        <v>5.0420168067226898</v>
      </c>
      <c r="BO12" s="15">
        <v>16.6666666666667</v>
      </c>
      <c r="BP12" s="20" t="s">
        <v>76</v>
      </c>
      <c r="BQ12" s="20" t="s">
        <v>76</v>
      </c>
      <c r="BR12" s="15">
        <v>23.3333333333333</v>
      </c>
      <c r="BS12" s="15">
        <v>15.662650602409601</v>
      </c>
      <c r="BT12" s="15">
        <v>14.634146341463399</v>
      </c>
      <c r="BU12" s="15">
        <v>21.495327102803699</v>
      </c>
      <c r="BV12" s="15">
        <v>5.0505050505050502</v>
      </c>
      <c r="BW12" s="15">
        <v>17.3913043478261</v>
      </c>
      <c r="BX12" s="20" t="s">
        <v>76</v>
      </c>
      <c r="BY12" s="20" t="s">
        <v>76</v>
      </c>
      <c r="BZ12" s="15">
        <v>6.8027210884353702</v>
      </c>
      <c r="CA12" s="32">
        <v>24.340194154483701</v>
      </c>
      <c r="CB12" s="15">
        <v>23.0031948881789</v>
      </c>
      <c r="CC12" s="15">
        <v>29.245283018867902</v>
      </c>
      <c r="CD12" s="15">
        <v>16.7741935483871</v>
      </c>
      <c r="CE12" s="20" t="s">
        <v>76</v>
      </c>
      <c r="CF12" s="15">
        <v>21.556886227544901</v>
      </c>
      <c r="CG12" s="15">
        <v>25.698324022346402</v>
      </c>
      <c r="CH12" s="15">
        <v>27.389705882352899</v>
      </c>
      <c r="CI12" s="15">
        <v>22.9979466119097</v>
      </c>
      <c r="CJ12" s="15">
        <v>27.0588235294118</v>
      </c>
      <c r="CK12" s="15">
        <v>23.766816143497799</v>
      </c>
      <c r="CL12" s="15">
        <v>21.363636363636399</v>
      </c>
      <c r="CM12" s="24">
        <v>17.9871520342612</v>
      </c>
      <c r="CN12" s="37"/>
    </row>
    <row r="13" spans="1:92">
      <c r="A13" s="9" t="s">
        <v>368</v>
      </c>
      <c r="B13" s="35">
        <v>6.99014009660171</v>
      </c>
      <c r="C13" s="32">
        <v>6.7223969212424697</v>
      </c>
      <c r="D13" s="32">
        <v>6.7905945719776799</v>
      </c>
      <c r="E13" s="32">
        <v>6.94638331021594</v>
      </c>
      <c r="F13" s="20" t="s">
        <v>76</v>
      </c>
      <c r="G13" s="15">
        <v>29.411764705882401</v>
      </c>
      <c r="H13" s="20" t="s">
        <v>76</v>
      </c>
      <c r="I13" s="20" t="s">
        <v>76</v>
      </c>
      <c r="J13" s="15">
        <v>8.3333333333333304</v>
      </c>
      <c r="K13" s="20" t="s">
        <v>76</v>
      </c>
      <c r="L13" s="20" t="s">
        <v>76</v>
      </c>
      <c r="M13" s="15">
        <v>6.5789473684210504</v>
      </c>
      <c r="N13" s="20" t="s">
        <v>76</v>
      </c>
      <c r="O13" s="20" t="s">
        <v>76</v>
      </c>
      <c r="P13" s="15">
        <v>11.2676056338028</v>
      </c>
      <c r="Q13" s="20" t="s">
        <v>76</v>
      </c>
      <c r="R13" s="20" t="s">
        <v>76</v>
      </c>
      <c r="S13" s="20" t="s">
        <v>76</v>
      </c>
      <c r="T13" s="20" t="s">
        <v>76</v>
      </c>
      <c r="U13" s="20" t="s">
        <v>76</v>
      </c>
      <c r="V13" s="20" t="s">
        <v>76</v>
      </c>
      <c r="W13" s="20" t="s">
        <v>76</v>
      </c>
      <c r="X13" s="20" t="s">
        <v>76</v>
      </c>
      <c r="Y13" s="20" t="s">
        <v>76</v>
      </c>
      <c r="Z13" s="15">
        <v>10.2564102564103</v>
      </c>
      <c r="AA13" s="15">
        <v>10.0917431192661</v>
      </c>
      <c r="AB13" s="20" t="s">
        <v>76</v>
      </c>
      <c r="AC13" s="15">
        <v>6.0606060606060597</v>
      </c>
      <c r="AD13" s="20" t="s">
        <v>76</v>
      </c>
      <c r="AE13" s="20" t="s">
        <v>76</v>
      </c>
      <c r="AF13" s="20" t="s">
        <v>76</v>
      </c>
      <c r="AG13" s="15">
        <v>9.5238095238095202</v>
      </c>
      <c r="AH13" s="20" t="s">
        <v>76</v>
      </c>
      <c r="AI13" s="20" t="s">
        <v>76</v>
      </c>
      <c r="AJ13" s="15">
        <v>5.4054054054054097</v>
      </c>
      <c r="AK13" s="20" t="s">
        <v>76</v>
      </c>
      <c r="AL13" s="15">
        <v>10</v>
      </c>
      <c r="AM13" s="20" t="s">
        <v>76</v>
      </c>
      <c r="AN13" s="20" t="s">
        <v>76</v>
      </c>
      <c r="AO13" s="20" t="s">
        <v>76</v>
      </c>
      <c r="AP13" s="15">
        <v>6.4935064935064899</v>
      </c>
      <c r="AQ13" s="20" t="s">
        <v>76</v>
      </c>
      <c r="AR13" s="20" t="s">
        <v>76</v>
      </c>
      <c r="AS13" s="20" t="s">
        <v>76</v>
      </c>
      <c r="AT13" s="20" t="s">
        <v>76</v>
      </c>
      <c r="AU13" s="20" t="s">
        <v>76</v>
      </c>
      <c r="AV13" s="15">
        <v>6.8493150684931496</v>
      </c>
      <c r="AW13" s="15">
        <v>12.0689655172414</v>
      </c>
      <c r="AX13" s="20" t="s">
        <v>76</v>
      </c>
      <c r="AY13" s="15">
        <v>14.285714285714301</v>
      </c>
      <c r="AZ13" s="20" t="s">
        <v>76</v>
      </c>
      <c r="BA13" s="15">
        <v>13.207547169811299</v>
      </c>
      <c r="BB13" s="15">
        <v>7.4626865671641802</v>
      </c>
      <c r="BC13" s="20" t="s">
        <v>76</v>
      </c>
      <c r="BD13" s="15">
        <v>7.6923076923076898</v>
      </c>
      <c r="BE13" s="20" t="s">
        <v>76</v>
      </c>
      <c r="BF13" s="15">
        <v>14.4578313253012</v>
      </c>
      <c r="BG13" s="20" t="s">
        <v>76</v>
      </c>
      <c r="BH13" s="20" t="s">
        <v>76</v>
      </c>
      <c r="BI13" s="20" t="s">
        <v>76</v>
      </c>
      <c r="BJ13" s="15">
        <v>6.25</v>
      </c>
      <c r="BK13" s="20" t="s">
        <v>76</v>
      </c>
      <c r="BL13" s="15">
        <v>5.46875</v>
      </c>
      <c r="BM13" s="15">
        <v>4.9504950495049496</v>
      </c>
      <c r="BN13" s="20" t="s">
        <v>76</v>
      </c>
      <c r="BO13" s="15">
        <v>5.5555555555555598</v>
      </c>
      <c r="BP13" s="20" t="s">
        <v>76</v>
      </c>
      <c r="BQ13" s="20" t="s">
        <v>76</v>
      </c>
      <c r="BR13" s="15">
        <v>11.6666666666667</v>
      </c>
      <c r="BS13" s="15">
        <v>7.2289156626505999</v>
      </c>
      <c r="BT13" s="15">
        <v>7.3170731707317103</v>
      </c>
      <c r="BU13" s="15">
        <v>9.3457943925233593</v>
      </c>
      <c r="BV13" s="15">
        <v>8.0808080808080796</v>
      </c>
      <c r="BW13" s="15">
        <v>7.2463768115942004</v>
      </c>
      <c r="BX13" s="20" t="s">
        <v>76</v>
      </c>
      <c r="BY13" s="15">
        <v>7.9365079365079403</v>
      </c>
      <c r="BZ13" s="15">
        <v>8.1632653061224492</v>
      </c>
      <c r="CA13" s="32">
        <v>6.6647841568615602</v>
      </c>
      <c r="CB13" s="15">
        <v>10.5431309904153</v>
      </c>
      <c r="CC13" s="15">
        <v>4.7169811320754702</v>
      </c>
      <c r="CD13" s="15">
        <v>3.87096774193548</v>
      </c>
      <c r="CE13" s="20" t="s">
        <v>76</v>
      </c>
      <c r="CF13" s="15">
        <v>8.9820359281437092</v>
      </c>
      <c r="CG13" s="15">
        <v>4.4692737430167604</v>
      </c>
      <c r="CH13" s="15">
        <v>5.5147058823529402</v>
      </c>
      <c r="CI13" s="15">
        <v>6.7761806981519497</v>
      </c>
      <c r="CJ13" s="15">
        <v>5.8823529411764701</v>
      </c>
      <c r="CK13" s="15">
        <v>7.6233183856502196</v>
      </c>
      <c r="CL13" s="15">
        <v>5.7575757575757596</v>
      </c>
      <c r="CM13" s="24">
        <v>6.42398286937902</v>
      </c>
      <c r="CN13" s="37"/>
    </row>
    <row r="14" spans="1:92">
      <c r="A14" s="39" t="s">
        <v>369</v>
      </c>
      <c r="B14" s="35"/>
      <c r="C14" s="32"/>
      <c r="D14" s="32"/>
      <c r="E14" s="32"/>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32"/>
      <c r="CB14" s="15"/>
      <c r="CC14" s="15"/>
      <c r="CD14" s="15"/>
      <c r="CE14" s="15"/>
      <c r="CF14" s="15"/>
      <c r="CG14" s="15"/>
      <c r="CH14" s="15"/>
      <c r="CI14" s="15"/>
      <c r="CJ14" s="15"/>
      <c r="CK14" s="15"/>
      <c r="CL14" s="15"/>
      <c r="CM14" s="24"/>
      <c r="CN14" s="37"/>
    </row>
    <row r="15" spans="1:92">
      <c r="A15" s="9" t="s">
        <v>370</v>
      </c>
      <c r="B15" s="35">
        <v>57.3251753061665</v>
      </c>
      <c r="C15" s="32">
        <v>59.5234638904805</v>
      </c>
      <c r="D15" s="32">
        <v>60.4201233773219</v>
      </c>
      <c r="E15" s="32">
        <v>71.455969401504007</v>
      </c>
      <c r="F15" s="15">
        <v>58.823529411764703</v>
      </c>
      <c r="G15" s="15">
        <v>52.941176470588204</v>
      </c>
      <c r="H15" s="15">
        <v>86.956521739130395</v>
      </c>
      <c r="I15" s="15">
        <v>80</v>
      </c>
      <c r="J15" s="15">
        <v>68.0555555555556</v>
      </c>
      <c r="K15" s="15">
        <v>74.358974358974393</v>
      </c>
      <c r="L15" s="15">
        <v>72.131147540983605</v>
      </c>
      <c r="M15" s="15">
        <v>65.789473684210506</v>
      </c>
      <c r="N15" s="15">
        <v>87.058823529411796</v>
      </c>
      <c r="O15" s="15">
        <v>93.023255813953497</v>
      </c>
      <c r="P15" s="15">
        <v>61.971830985915503</v>
      </c>
      <c r="Q15" s="15">
        <v>74.647887323943706</v>
      </c>
      <c r="R15" s="15">
        <v>38.461538461538503</v>
      </c>
      <c r="S15" s="15">
        <v>73.170731707317103</v>
      </c>
      <c r="T15" s="15">
        <v>62.5</v>
      </c>
      <c r="U15" s="15">
        <v>90.476190476190496</v>
      </c>
      <c r="V15" s="15">
        <v>73.529411764705898</v>
      </c>
      <c r="W15" s="15">
        <v>84.745762711864401</v>
      </c>
      <c r="X15" s="15">
        <v>69.230769230769198</v>
      </c>
      <c r="Y15" s="15">
        <v>87.5</v>
      </c>
      <c r="Z15" s="15">
        <v>60.256410256410298</v>
      </c>
      <c r="AA15" s="15">
        <v>62.385321100917402</v>
      </c>
      <c r="AB15" s="15">
        <v>77.941176470588204</v>
      </c>
      <c r="AC15" s="15">
        <v>73.484848484848499</v>
      </c>
      <c r="AD15" s="15">
        <v>87.5</v>
      </c>
      <c r="AE15" s="15">
        <v>81.481481481481495</v>
      </c>
      <c r="AF15" s="15">
        <v>71.428571428571402</v>
      </c>
      <c r="AG15" s="15">
        <v>75.238095238095198</v>
      </c>
      <c r="AH15" s="15">
        <v>62.5</v>
      </c>
      <c r="AI15" s="20" t="s">
        <v>76</v>
      </c>
      <c r="AJ15" s="15">
        <v>62.162162162162197</v>
      </c>
      <c r="AK15" s="15">
        <v>60</v>
      </c>
      <c r="AL15" s="15">
        <v>42.2222222222222</v>
      </c>
      <c r="AM15" s="15">
        <v>89.0625</v>
      </c>
      <c r="AN15" s="15">
        <v>100</v>
      </c>
      <c r="AO15" s="15">
        <v>65</v>
      </c>
      <c r="AP15" s="15">
        <v>76.6233766233766</v>
      </c>
      <c r="AQ15" s="15">
        <v>79.487179487179503</v>
      </c>
      <c r="AR15" s="15">
        <v>67.272727272727295</v>
      </c>
      <c r="AS15" s="15">
        <v>63.636363636363598</v>
      </c>
      <c r="AT15" s="15">
        <v>56.923076923076898</v>
      </c>
      <c r="AU15" s="15">
        <v>63.265306122448997</v>
      </c>
      <c r="AV15" s="15">
        <v>82.191780821917803</v>
      </c>
      <c r="AW15" s="15">
        <v>64.655172413793096</v>
      </c>
      <c r="AX15" s="15">
        <v>56.25</v>
      </c>
      <c r="AY15" s="15">
        <v>74.285714285714306</v>
      </c>
      <c r="AZ15" s="15">
        <v>58</v>
      </c>
      <c r="BA15" s="15">
        <v>79.245283018867894</v>
      </c>
      <c r="BB15" s="15">
        <v>74.626865671641795</v>
      </c>
      <c r="BC15" s="15">
        <v>63.513513513513502</v>
      </c>
      <c r="BD15" s="15">
        <v>73.076923076923094</v>
      </c>
      <c r="BE15" s="15">
        <v>74.137931034482804</v>
      </c>
      <c r="BF15" s="15">
        <v>79.518072289156606</v>
      </c>
      <c r="BG15" s="15">
        <v>82.089552238805993</v>
      </c>
      <c r="BH15" s="15">
        <v>66.6666666666667</v>
      </c>
      <c r="BI15" s="15">
        <v>63.157894736842103</v>
      </c>
      <c r="BJ15" s="15">
        <v>66.071428571428598</v>
      </c>
      <c r="BK15" s="15">
        <v>80</v>
      </c>
      <c r="BL15" s="15">
        <v>68.75</v>
      </c>
      <c r="BM15" s="15">
        <v>72.277227722772295</v>
      </c>
      <c r="BN15" s="15">
        <v>84.873949579831901</v>
      </c>
      <c r="BO15" s="15">
        <v>68.8888888888889</v>
      </c>
      <c r="BP15" s="15">
        <v>93.3333333333333</v>
      </c>
      <c r="BQ15" s="15">
        <v>71.232876712328803</v>
      </c>
      <c r="BR15" s="15">
        <v>70</v>
      </c>
      <c r="BS15" s="15">
        <v>72.289156626505999</v>
      </c>
      <c r="BT15" s="15">
        <v>78.048780487804905</v>
      </c>
      <c r="BU15" s="15">
        <v>80.373831775700907</v>
      </c>
      <c r="BV15" s="15">
        <v>81.818181818181799</v>
      </c>
      <c r="BW15" s="15">
        <v>63.768115942028999</v>
      </c>
      <c r="BX15" s="15">
        <v>88.8888888888889</v>
      </c>
      <c r="BY15" s="15">
        <v>66.6666666666667</v>
      </c>
      <c r="BZ15" s="15">
        <v>77.551020408163296</v>
      </c>
      <c r="CA15" s="32">
        <v>51.507897852159701</v>
      </c>
      <c r="CB15" s="15">
        <v>57.188498402555901</v>
      </c>
      <c r="CC15" s="15">
        <v>48.427672955974799</v>
      </c>
      <c r="CD15" s="15">
        <v>67.096774193548399</v>
      </c>
      <c r="CE15" s="15">
        <v>60</v>
      </c>
      <c r="CF15" s="15">
        <v>57.485029940119801</v>
      </c>
      <c r="CG15" s="15">
        <v>40.782122905027897</v>
      </c>
      <c r="CH15" s="15">
        <v>46.875</v>
      </c>
      <c r="CI15" s="15">
        <v>53.7987679671458</v>
      </c>
      <c r="CJ15" s="15">
        <v>46.274509803921603</v>
      </c>
      <c r="CK15" s="15">
        <v>45.739910313901298</v>
      </c>
      <c r="CL15" s="15">
        <v>53.484848484848499</v>
      </c>
      <c r="CM15" s="24">
        <v>62.526766595289097</v>
      </c>
      <c r="CN15" s="37"/>
    </row>
    <row r="16" spans="1:92">
      <c r="A16" s="9" t="s">
        <v>371</v>
      </c>
      <c r="B16" s="35">
        <v>35.141830361794</v>
      </c>
      <c r="C16" s="32">
        <v>33.900522947359001</v>
      </c>
      <c r="D16" s="32">
        <v>33.144483410633903</v>
      </c>
      <c r="E16" s="32">
        <v>25.555603316014299</v>
      </c>
      <c r="F16" s="15">
        <v>35.294117647058798</v>
      </c>
      <c r="G16" s="15">
        <v>47.058823529411796</v>
      </c>
      <c r="H16" s="20" t="s">
        <v>76</v>
      </c>
      <c r="I16" s="20" t="s">
        <v>76</v>
      </c>
      <c r="J16" s="15">
        <v>27.0833333333333</v>
      </c>
      <c r="K16" s="15">
        <v>25.6410256410256</v>
      </c>
      <c r="L16" s="15">
        <v>24.590163934426201</v>
      </c>
      <c r="M16" s="15">
        <v>30.2631578947368</v>
      </c>
      <c r="N16" s="15">
        <v>10.588235294117601</v>
      </c>
      <c r="O16" s="20" t="s">
        <v>76</v>
      </c>
      <c r="P16" s="15">
        <v>36.619718309859202</v>
      </c>
      <c r="Q16" s="15">
        <v>22.5352112676056</v>
      </c>
      <c r="R16" s="15">
        <v>50</v>
      </c>
      <c r="S16" s="15">
        <v>21.951219512195099</v>
      </c>
      <c r="T16" s="15">
        <v>35.4166666666667</v>
      </c>
      <c r="U16" s="20" t="s">
        <v>76</v>
      </c>
      <c r="V16" s="15">
        <v>26.470588235294102</v>
      </c>
      <c r="W16" s="15">
        <v>13.559322033898299</v>
      </c>
      <c r="X16" s="20" t="s">
        <v>76</v>
      </c>
      <c r="Y16" s="20" t="s">
        <v>76</v>
      </c>
      <c r="Z16" s="15">
        <v>37.179487179487197</v>
      </c>
      <c r="AA16" s="15">
        <v>33.944954128440401</v>
      </c>
      <c r="AB16" s="15">
        <v>22.0588235294118</v>
      </c>
      <c r="AC16" s="15">
        <v>23.484848484848499</v>
      </c>
      <c r="AD16" s="20" t="s">
        <v>76</v>
      </c>
      <c r="AE16" s="15">
        <v>18.518518518518501</v>
      </c>
      <c r="AF16" s="20" t="s">
        <v>76</v>
      </c>
      <c r="AG16" s="15">
        <v>24.761904761904798</v>
      </c>
      <c r="AH16" s="15">
        <v>33.928571428571402</v>
      </c>
      <c r="AI16" s="20" t="s">
        <v>76</v>
      </c>
      <c r="AJ16" s="15">
        <v>36.936936936936902</v>
      </c>
      <c r="AK16" s="15">
        <v>33.3333333333333</v>
      </c>
      <c r="AL16" s="15">
        <v>47.7777777777778</v>
      </c>
      <c r="AM16" s="15">
        <v>9.375</v>
      </c>
      <c r="AN16" s="20" t="s">
        <v>76</v>
      </c>
      <c r="AO16" s="15">
        <v>20</v>
      </c>
      <c r="AP16" s="15">
        <v>22.0779220779221</v>
      </c>
      <c r="AQ16" s="15">
        <v>20.5128205128205</v>
      </c>
      <c r="AR16" s="15">
        <v>27.272727272727298</v>
      </c>
      <c r="AS16" s="20" t="s">
        <v>76</v>
      </c>
      <c r="AT16" s="15">
        <v>40</v>
      </c>
      <c r="AU16" s="15">
        <v>34.6938775510204</v>
      </c>
      <c r="AV16" s="15">
        <v>13.698630136986299</v>
      </c>
      <c r="AW16" s="15">
        <v>34.482758620689701</v>
      </c>
      <c r="AX16" s="15">
        <v>43.75</v>
      </c>
      <c r="AY16" s="15">
        <v>20</v>
      </c>
      <c r="AZ16" s="15">
        <v>38</v>
      </c>
      <c r="BA16" s="15">
        <v>20.754716981132098</v>
      </c>
      <c r="BB16" s="15">
        <v>20.8955223880597</v>
      </c>
      <c r="BC16" s="15">
        <v>28.3783783783784</v>
      </c>
      <c r="BD16" s="15">
        <v>24.3589743589744</v>
      </c>
      <c r="BE16" s="15">
        <v>25.862068965517199</v>
      </c>
      <c r="BF16" s="15">
        <v>14.4578313253012</v>
      </c>
      <c r="BG16" s="15">
        <v>14.9253731343284</v>
      </c>
      <c r="BH16" s="15">
        <v>33.3333333333333</v>
      </c>
      <c r="BI16" s="15">
        <v>31.578947368421101</v>
      </c>
      <c r="BJ16" s="15">
        <v>27.678571428571399</v>
      </c>
      <c r="BK16" s="15">
        <v>20</v>
      </c>
      <c r="BL16" s="15">
        <v>29.6875</v>
      </c>
      <c r="BM16" s="15">
        <v>25.742574257425701</v>
      </c>
      <c r="BN16" s="15">
        <v>11.764705882352899</v>
      </c>
      <c r="BO16" s="15">
        <v>30</v>
      </c>
      <c r="BP16" s="20" t="s">
        <v>76</v>
      </c>
      <c r="BQ16" s="15">
        <v>26.027397260274</v>
      </c>
      <c r="BR16" s="15">
        <v>28.3333333333333</v>
      </c>
      <c r="BS16" s="15">
        <v>25.3012048192771</v>
      </c>
      <c r="BT16" s="15">
        <v>20.731707317073202</v>
      </c>
      <c r="BU16" s="15">
        <v>14.018691588785</v>
      </c>
      <c r="BV16" s="15">
        <v>17.171717171717201</v>
      </c>
      <c r="BW16" s="15">
        <v>31.884057971014499</v>
      </c>
      <c r="BX16" s="20" t="s">
        <v>76</v>
      </c>
      <c r="BY16" s="15">
        <v>30.158730158730201</v>
      </c>
      <c r="BZ16" s="15">
        <v>21.7687074829932</v>
      </c>
      <c r="CA16" s="32">
        <v>39.273040363899099</v>
      </c>
      <c r="CB16" s="15">
        <v>32.907348242811501</v>
      </c>
      <c r="CC16" s="15">
        <v>40.251572327044002</v>
      </c>
      <c r="CD16" s="15">
        <v>30.322580645161299</v>
      </c>
      <c r="CE16" s="20" t="s">
        <v>76</v>
      </c>
      <c r="CF16" s="15">
        <v>33.233532934131702</v>
      </c>
      <c r="CG16" s="15">
        <v>44.134078212290497</v>
      </c>
      <c r="CH16" s="15">
        <v>46.139705882352899</v>
      </c>
      <c r="CI16" s="15">
        <v>38.398357289527702</v>
      </c>
      <c r="CJ16" s="15">
        <v>45.098039215686299</v>
      </c>
      <c r="CK16" s="15">
        <v>43.497757847533599</v>
      </c>
      <c r="CL16" s="15">
        <v>37.272727272727302</v>
      </c>
      <c r="CM16" s="24">
        <v>33.404710920770903</v>
      </c>
      <c r="CN16" s="37"/>
    </row>
    <row r="17" spans="1:92">
      <c r="A17" s="9" t="s">
        <v>372</v>
      </c>
      <c r="B17" s="35">
        <v>7.5329943320395998</v>
      </c>
      <c r="C17" s="32">
        <v>6.57601316216049</v>
      </c>
      <c r="D17" s="32">
        <v>6.4353932120441399</v>
      </c>
      <c r="E17" s="32">
        <v>2.9884272824817102</v>
      </c>
      <c r="F17" s="20" t="s">
        <v>76</v>
      </c>
      <c r="G17" s="20" t="s">
        <v>76</v>
      </c>
      <c r="H17" s="20" t="s">
        <v>76</v>
      </c>
      <c r="I17" s="20" t="s">
        <v>76</v>
      </c>
      <c r="J17" s="15">
        <v>4.8611111111111098</v>
      </c>
      <c r="K17" s="20" t="s">
        <v>76</v>
      </c>
      <c r="L17" s="20" t="s">
        <v>76</v>
      </c>
      <c r="M17" s="20" t="s">
        <v>76</v>
      </c>
      <c r="N17" s="20" t="s">
        <v>76</v>
      </c>
      <c r="O17" s="20" t="s">
        <v>76</v>
      </c>
      <c r="P17" s="20" t="s">
        <v>76</v>
      </c>
      <c r="Q17" s="20" t="s">
        <v>76</v>
      </c>
      <c r="R17" s="20" t="s">
        <v>76</v>
      </c>
      <c r="S17" s="20" t="s">
        <v>76</v>
      </c>
      <c r="T17" s="20" t="s">
        <v>76</v>
      </c>
      <c r="U17" s="20" t="s">
        <v>76</v>
      </c>
      <c r="V17" s="20" t="s">
        <v>76</v>
      </c>
      <c r="W17" s="20" t="s">
        <v>76</v>
      </c>
      <c r="X17" s="20" t="s">
        <v>76</v>
      </c>
      <c r="Y17" s="20" t="s">
        <v>76</v>
      </c>
      <c r="Z17" s="20" t="s">
        <v>76</v>
      </c>
      <c r="AA17" s="20" t="s">
        <v>76</v>
      </c>
      <c r="AB17" s="20" t="s">
        <v>76</v>
      </c>
      <c r="AC17" s="20" t="s">
        <v>76</v>
      </c>
      <c r="AD17" s="20" t="s">
        <v>76</v>
      </c>
      <c r="AE17" s="20" t="s">
        <v>76</v>
      </c>
      <c r="AF17" s="20" t="s">
        <v>76</v>
      </c>
      <c r="AG17" s="20" t="s">
        <v>76</v>
      </c>
      <c r="AH17" s="20" t="s">
        <v>76</v>
      </c>
      <c r="AI17" s="20" t="s">
        <v>76</v>
      </c>
      <c r="AJ17" s="20" t="s">
        <v>76</v>
      </c>
      <c r="AK17" s="20" t="s">
        <v>76</v>
      </c>
      <c r="AL17" s="15">
        <v>10</v>
      </c>
      <c r="AM17" s="20" t="s">
        <v>76</v>
      </c>
      <c r="AN17" s="20" t="s">
        <v>76</v>
      </c>
      <c r="AO17" s="15">
        <v>15</v>
      </c>
      <c r="AP17" s="20" t="s">
        <v>76</v>
      </c>
      <c r="AQ17" s="20" t="s">
        <v>76</v>
      </c>
      <c r="AR17" s="20" t="s">
        <v>76</v>
      </c>
      <c r="AS17" s="20" t="s">
        <v>76</v>
      </c>
      <c r="AT17" s="20" t="s">
        <v>76</v>
      </c>
      <c r="AU17" s="20" t="s">
        <v>76</v>
      </c>
      <c r="AV17" s="20" t="s">
        <v>76</v>
      </c>
      <c r="AW17" s="20" t="s">
        <v>76</v>
      </c>
      <c r="AX17" s="20" t="s">
        <v>76</v>
      </c>
      <c r="AY17" s="20" t="s">
        <v>76</v>
      </c>
      <c r="AZ17" s="20" t="s">
        <v>76</v>
      </c>
      <c r="BA17" s="20" t="s">
        <v>76</v>
      </c>
      <c r="BB17" s="20" t="s">
        <v>76</v>
      </c>
      <c r="BC17" s="15">
        <v>8.1081081081081106</v>
      </c>
      <c r="BD17" s="20" t="s">
        <v>76</v>
      </c>
      <c r="BE17" s="20" t="s">
        <v>76</v>
      </c>
      <c r="BF17" s="15">
        <v>6.0240963855421699</v>
      </c>
      <c r="BG17" s="20" t="s">
        <v>76</v>
      </c>
      <c r="BH17" s="20" t="s">
        <v>76</v>
      </c>
      <c r="BI17" s="20" t="s">
        <v>76</v>
      </c>
      <c r="BJ17" s="15">
        <v>6.25</v>
      </c>
      <c r="BK17" s="20" t="s">
        <v>76</v>
      </c>
      <c r="BL17" s="20" t="s">
        <v>76</v>
      </c>
      <c r="BM17" s="20" t="s">
        <v>76</v>
      </c>
      <c r="BN17" s="20" t="s">
        <v>76</v>
      </c>
      <c r="BO17" s="20" t="s">
        <v>76</v>
      </c>
      <c r="BP17" s="20" t="s">
        <v>76</v>
      </c>
      <c r="BQ17" s="20" t="s">
        <v>76</v>
      </c>
      <c r="BR17" s="20" t="s">
        <v>76</v>
      </c>
      <c r="BS17" s="20" t="s">
        <v>76</v>
      </c>
      <c r="BT17" s="20" t="s">
        <v>76</v>
      </c>
      <c r="BU17" s="15">
        <v>5.6074766355140202</v>
      </c>
      <c r="BV17" s="20" t="s">
        <v>76</v>
      </c>
      <c r="BW17" s="20" t="s">
        <v>76</v>
      </c>
      <c r="BX17" s="20" t="s">
        <v>76</v>
      </c>
      <c r="BY17" s="20" t="s">
        <v>76</v>
      </c>
      <c r="BZ17" s="20" t="s">
        <v>76</v>
      </c>
      <c r="CA17" s="32">
        <v>9.2190617839412301</v>
      </c>
      <c r="CB17" s="15">
        <v>9.9041533546325908</v>
      </c>
      <c r="CC17" s="15">
        <v>11.320754716981099</v>
      </c>
      <c r="CD17" s="20" t="s">
        <v>76</v>
      </c>
      <c r="CE17" s="20" t="s">
        <v>76</v>
      </c>
      <c r="CF17" s="15">
        <v>9.2814371257485</v>
      </c>
      <c r="CG17" s="15">
        <v>15.083798882681601</v>
      </c>
      <c r="CH17" s="15">
        <v>6.9852941176470598</v>
      </c>
      <c r="CI17" s="15">
        <v>7.8028747433264902</v>
      </c>
      <c r="CJ17" s="15">
        <v>8.62745098039216</v>
      </c>
      <c r="CK17" s="15">
        <v>10.762331838565</v>
      </c>
      <c r="CL17" s="15">
        <v>9.2424242424242404</v>
      </c>
      <c r="CM17" s="24">
        <v>4.0685224839400398</v>
      </c>
      <c r="CN17" s="37"/>
    </row>
    <row r="18" spans="1:92" ht="30">
      <c r="A18" s="39" t="s">
        <v>373</v>
      </c>
      <c r="B18" s="35"/>
      <c r="C18" s="32"/>
      <c r="D18" s="32"/>
      <c r="E18" s="32"/>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32"/>
      <c r="CB18" s="15"/>
      <c r="CC18" s="15"/>
      <c r="CD18" s="15"/>
      <c r="CE18" s="15"/>
      <c r="CF18" s="15"/>
      <c r="CG18" s="15"/>
      <c r="CH18" s="15"/>
      <c r="CI18" s="15"/>
      <c r="CJ18" s="15"/>
      <c r="CK18" s="15"/>
      <c r="CL18" s="15"/>
      <c r="CM18" s="24"/>
      <c r="CN18" s="37"/>
    </row>
    <row r="19" spans="1:92">
      <c r="A19" s="9" t="s">
        <v>370</v>
      </c>
      <c r="B19" s="35">
        <v>39.564529495395199</v>
      </c>
      <c r="C19" s="32">
        <v>41.776862657464299</v>
      </c>
      <c r="D19" s="32">
        <v>40.908250262837598</v>
      </c>
      <c r="E19" s="32">
        <v>49.0835390806715</v>
      </c>
      <c r="F19" s="15">
        <v>41.176470588235297</v>
      </c>
      <c r="G19" s="20" t="s">
        <v>76</v>
      </c>
      <c r="H19" s="15">
        <v>43.478260869565197</v>
      </c>
      <c r="I19" s="20" t="s">
        <v>76</v>
      </c>
      <c r="J19" s="15">
        <v>39.5833333333333</v>
      </c>
      <c r="K19" s="15">
        <v>58.974358974358999</v>
      </c>
      <c r="L19" s="15">
        <v>34.426229508196698</v>
      </c>
      <c r="M19" s="15">
        <v>47.368421052631597</v>
      </c>
      <c r="N19" s="15">
        <v>51.764705882352899</v>
      </c>
      <c r="O19" s="15">
        <v>76.744186046511601</v>
      </c>
      <c r="P19" s="15">
        <v>49.295774647887299</v>
      </c>
      <c r="Q19" s="15">
        <v>40.845070422535201</v>
      </c>
      <c r="R19" s="20" t="s">
        <v>76</v>
      </c>
      <c r="S19" s="15">
        <v>65.853658536585399</v>
      </c>
      <c r="T19" s="15">
        <v>50</v>
      </c>
      <c r="U19" s="15">
        <v>76.190476190476204</v>
      </c>
      <c r="V19" s="15">
        <v>73.529411764705898</v>
      </c>
      <c r="W19" s="15">
        <v>54.237288135593197</v>
      </c>
      <c r="X19" s="15">
        <v>46.153846153846203</v>
      </c>
      <c r="Y19" s="15">
        <v>62.5</v>
      </c>
      <c r="Z19" s="15">
        <v>42.307692307692299</v>
      </c>
      <c r="AA19" s="15">
        <v>52.293577981651403</v>
      </c>
      <c r="AB19" s="15">
        <v>61.764705882352899</v>
      </c>
      <c r="AC19" s="15">
        <v>46.212121212121197</v>
      </c>
      <c r="AD19" s="15">
        <v>68.75</v>
      </c>
      <c r="AE19" s="15">
        <v>74.074074074074105</v>
      </c>
      <c r="AF19" s="15">
        <v>35.714285714285701</v>
      </c>
      <c r="AG19" s="15">
        <v>44.761904761904802</v>
      </c>
      <c r="AH19" s="15">
        <v>39.285714285714299</v>
      </c>
      <c r="AI19" s="20" t="s">
        <v>76</v>
      </c>
      <c r="AJ19" s="15">
        <v>36.036036036036002</v>
      </c>
      <c r="AK19" s="15">
        <v>56.6666666666667</v>
      </c>
      <c r="AL19" s="15">
        <v>31.1111111111111</v>
      </c>
      <c r="AM19" s="15">
        <v>62.5</v>
      </c>
      <c r="AN19" s="20" t="s">
        <v>76</v>
      </c>
      <c r="AO19" s="15">
        <v>60</v>
      </c>
      <c r="AP19" s="15">
        <v>61.038961038960998</v>
      </c>
      <c r="AQ19" s="15">
        <v>35.897435897435898</v>
      </c>
      <c r="AR19" s="15">
        <v>45.454545454545503</v>
      </c>
      <c r="AS19" s="15">
        <v>45.454545454545503</v>
      </c>
      <c r="AT19" s="15">
        <v>55.384615384615401</v>
      </c>
      <c r="AU19" s="15">
        <v>59.183673469387799</v>
      </c>
      <c r="AV19" s="15">
        <v>39.726027397260303</v>
      </c>
      <c r="AW19" s="15">
        <v>37.931034482758598</v>
      </c>
      <c r="AX19" s="15">
        <v>43.75</v>
      </c>
      <c r="AY19" s="15">
        <v>48.571428571428598</v>
      </c>
      <c r="AZ19" s="15">
        <v>50</v>
      </c>
      <c r="BA19" s="15">
        <v>35.849056603773597</v>
      </c>
      <c r="BB19" s="15">
        <v>71.641791044776099</v>
      </c>
      <c r="BC19" s="15">
        <v>50</v>
      </c>
      <c r="BD19" s="15">
        <v>50</v>
      </c>
      <c r="BE19" s="15">
        <v>55.172413793103502</v>
      </c>
      <c r="BF19" s="15">
        <v>51.807228915662698</v>
      </c>
      <c r="BG19" s="15">
        <v>67.164179104477597</v>
      </c>
      <c r="BH19" s="15">
        <v>41.6666666666667</v>
      </c>
      <c r="BI19" s="15">
        <v>42.105263157894697</v>
      </c>
      <c r="BJ19" s="15">
        <v>50.892857142857103</v>
      </c>
      <c r="BK19" s="15">
        <v>60</v>
      </c>
      <c r="BL19" s="15">
        <v>57.8125</v>
      </c>
      <c r="BM19" s="15">
        <v>52.475247524752497</v>
      </c>
      <c r="BN19" s="15">
        <v>61.344537815126102</v>
      </c>
      <c r="BO19" s="15">
        <v>41.1111111111111</v>
      </c>
      <c r="BP19" s="20" t="s">
        <v>76</v>
      </c>
      <c r="BQ19" s="15">
        <v>53.424657534246599</v>
      </c>
      <c r="BR19" s="15">
        <v>48.3333333333333</v>
      </c>
      <c r="BS19" s="15">
        <v>39.759036144578303</v>
      </c>
      <c r="BT19" s="15">
        <v>58.536585365853703</v>
      </c>
      <c r="BU19" s="15">
        <v>28.037383177570099</v>
      </c>
      <c r="BV19" s="15">
        <v>66.6666666666667</v>
      </c>
      <c r="BW19" s="15">
        <v>30.434782608695699</v>
      </c>
      <c r="BX19" s="15">
        <v>55.5555555555556</v>
      </c>
      <c r="BY19" s="15">
        <v>60.317460317460302</v>
      </c>
      <c r="BZ19" s="15">
        <v>59.183673469387799</v>
      </c>
      <c r="CA19" s="32">
        <v>34.306126826336303</v>
      </c>
      <c r="CB19" s="15">
        <v>30.351437699680499</v>
      </c>
      <c r="CC19" s="15">
        <v>24.2138364779874</v>
      </c>
      <c r="CD19" s="15">
        <v>47.741935483871003</v>
      </c>
      <c r="CE19" s="20" t="s">
        <v>76</v>
      </c>
      <c r="CF19" s="15">
        <v>32.934131736527</v>
      </c>
      <c r="CG19" s="15">
        <v>27.932960893854698</v>
      </c>
      <c r="CH19" s="15">
        <v>38.786764705882298</v>
      </c>
      <c r="CI19" s="15">
        <v>34.291581108829597</v>
      </c>
      <c r="CJ19" s="15">
        <v>30.196078431372602</v>
      </c>
      <c r="CK19" s="15">
        <v>39.461883408071699</v>
      </c>
      <c r="CL19" s="15">
        <v>39.393939393939398</v>
      </c>
      <c r="CM19" s="24">
        <v>47.323340471092102</v>
      </c>
      <c r="CN19" s="37"/>
    </row>
    <row r="20" spans="1:92">
      <c r="A20" s="9" t="s">
        <v>374</v>
      </c>
      <c r="B20" s="35">
        <v>24.486337718556399</v>
      </c>
      <c r="C20" s="32">
        <v>24.276461252360399</v>
      </c>
      <c r="D20" s="32">
        <v>23.365232341423098</v>
      </c>
      <c r="E20" s="32">
        <v>21.913681761138101</v>
      </c>
      <c r="F20" s="15">
        <v>41.176470588235297</v>
      </c>
      <c r="G20" s="20" t="s">
        <v>76</v>
      </c>
      <c r="H20" s="15">
        <v>52.173913043478301</v>
      </c>
      <c r="I20" s="15">
        <v>50</v>
      </c>
      <c r="J20" s="15">
        <v>22.2222222222222</v>
      </c>
      <c r="K20" s="15">
        <v>33.3333333333333</v>
      </c>
      <c r="L20" s="15">
        <v>27.868852459016399</v>
      </c>
      <c r="M20" s="15">
        <v>26.315789473684202</v>
      </c>
      <c r="N20" s="15">
        <v>23.529411764705898</v>
      </c>
      <c r="O20" s="15">
        <v>16.2790697674419</v>
      </c>
      <c r="P20" s="15">
        <v>21.126760563380302</v>
      </c>
      <c r="Q20" s="15">
        <v>30.985915492957702</v>
      </c>
      <c r="R20" s="20" t="s">
        <v>76</v>
      </c>
      <c r="S20" s="15">
        <v>12.1951219512195</v>
      </c>
      <c r="T20" s="15">
        <v>25</v>
      </c>
      <c r="U20" s="15">
        <v>23.8095238095238</v>
      </c>
      <c r="V20" s="20" t="s">
        <v>76</v>
      </c>
      <c r="W20" s="15">
        <v>18.644067796610202</v>
      </c>
      <c r="X20" s="20" t="s">
        <v>76</v>
      </c>
      <c r="Y20" s="20" t="s">
        <v>76</v>
      </c>
      <c r="Z20" s="15">
        <v>26.923076923076898</v>
      </c>
      <c r="AA20" s="15">
        <v>24.7706422018349</v>
      </c>
      <c r="AB20" s="15">
        <v>25</v>
      </c>
      <c r="AC20" s="15">
        <v>18.181818181818201</v>
      </c>
      <c r="AD20" s="15">
        <v>25</v>
      </c>
      <c r="AE20" s="15">
        <v>18.518518518518501</v>
      </c>
      <c r="AF20" s="20" t="s">
        <v>76</v>
      </c>
      <c r="AG20" s="15">
        <v>22.8571428571429</v>
      </c>
      <c r="AH20" s="15">
        <v>30.3571428571429</v>
      </c>
      <c r="AI20" s="20" t="s">
        <v>76</v>
      </c>
      <c r="AJ20" s="15">
        <v>19.819819819819799</v>
      </c>
      <c r="AK20" s="15">
        <v>16.6666666666667</v>
      </c>
      <c r="AL20" s="15">
        <v>35.5555555555556</v>
      </c>
      <c r="AM20" s="15">
        <v>14.0625</v>
      </c>
      <c r="AN20" s="20" t="s">
        <v>76</v>
      </c>
      <c r="AO20" s="15">
        <v>17.5</v>
      </c>
      <c r="AP20" s="15">
        <v>24.675324675324699</v>
      </c>
      <c r="AQ20" s="15">
        <v>28.205128205128201</v>
      </c>
      <c r="AR20" s="15">
        <v>21.818181818181799</v>
      </c>
      <c r="AS20" s="20" t="s">
        <v>76</v>
      </c>
      <c r="AT20" s="15">
        <v>23.076923076923102</v>
      </c>
      <c r="AU20" s="15">
        <v>14.285714285714301</v>
      </c>
      <c r="AV20" s="15">
        <v>10.958904109589</v>
      </c>
      <c r="AW20" s="15">
        <v>19.827586206896601</v>
      </c>
      <c r="AX20" s="20" t="s">
        <v>76</v>
      </c>
      <c r="AY20" s="15">
        <v>34.285714285714299</v>
      </c>
      <c r="AZ20" s="15">
        <v>30</v>
      </c>
      <c r="BA20" s="20" t="s">
        <v>76</v>
      </c>
      <c r="BB20" s="15">
        <v>17.910447761194</v>
      </c>
      <c r="BC20" s="15">
        <v>20.270270270270299</v>
      </c>
      <c r="BD20" s="15">
        <v>19.230769230769202</v>
      </c>
      <c r="BE20" s="15">
        <v>27.586206896551701</v>
      </c>
      <c r="BF20" s="15">
        <v>13.253012048192801</v>
      </c>
      <c r="BG20" s="15">
        <v>22.388059701492502</v>
      </c>
      <c r="BH20" s="15">
        <v>29.1666666666667</v>
      </c>
      <c r="BI20" s="15">
        <v>36.842105263157897</v>
      </c>
      <c r="BJ20" s="15">
        <v>19.6428571428571</v>
      </c>
      <c r="BK20" s="15">
        <v>25</v>
      </c>
      <c r="BL20" s="15">
        <v>21.09375</v>
      </c>
      <c r="BM20" s="15">
        <v>26.7326732673267</v>
      </c>
      <c r="BN20" s="15">
        <v>15.966386554621799</v>
      </c>
      <c r="BO20" s="15">
        <v>20</v>
      </c>
      <c r="BP20" s="15">
        <v>33.3333333333333</v>
      </c>
      <c r="BQ20" s="15">
        <v>31.5068493150685</v>
      </c>
      <c r="BR20" s="15">
        <v>15</v>
      </c>
      <c r="BS20" s="15">
        <v>21.6867469879518</v>
      </c>
      <c r="BT20" s="15">
        <v>17.0731707317073</v>
      </c>
      <c r="BU20" s="15">
        <v>14.018691588785</v>
      </c>
      <c r="BV20" s="15">
        <v>18.181818181818201</v>
      </c>
      <c r="BW20" s="15">
        <v>26.086956521739101</v>
      </c>
      <c r="BX20" s="20" t="s">
        <v>76</v>
      </c>
      <c r="BY20" s="15">
        <v>25.396825396825399</v>
      </c>
      <c r="BZ20" s="15">
        <v>21.7687074829932</v>
      </c>
      <c r="CA20" s="32">
        <v>24.537462010479</v>
      </c>
      <c r="CB20" s="15">
        <v>25.239616613418502</v>
      </c>
      <c r="CC20" s="15">
        <v>23.2704402515723</v>
      </c>
      <c r="CD20" s="15">
        <v>23.2258064516129</v>
      </c>
      <c r="CE20" s="20" t="s">
        <v>76</v>
      </c>
      <c r="CF20" s="15">
        <v>27.245508982035901</v>
      </c>
      <c r="CG20" s="15">
        <v>24.022346368715102</v>
      </c>
      <c r="CH20" s="15">
        <v>26.286764705882401</v>
      </c>
      <c r="CI20" s="15">
        <v>23.613963039014401</v>
      </c>
      <c r="CJ20" s="15">
        <v>25.490196078431399</v>
      </c>
      <c r="CK20" s="15">
        <v>23.318385650224201</v>
      </c>
      <c r="CL20" s="15">
        <v>26.363636363636399</v>
      </c>
      <c r="CM20" s="24">
        <v>21.413276231263399</v>
      </c>
      <c r="CN20" s="37"/>
    </row>
    <row r="21" spans="1:92">
      <c r="A21" s="9" t="s">
        <v>372</v>
      </c>
      <c r="B21" s="35">
        <v>5.2809516995041204</v>
      </c>
      <c r="C21" s="32">
        <v>5.0111181195288799</v>
      </c>
      <c r="D21" s="32">
        <v>4.4894928304235702</v>
      </c>
      <c r="E21" s="32">
        <v>2.9703553570762899</v>
      </c>
      <c r="F21" s="20" t="s">
        <v>76</v>
      </c>
      <c r="G21" s="20" t="s">
        <v>76</v>
      </c>
      <c r="H21" s="20" t="s">
        <v>76</v>
      </c>
      <c r="I21" s="20" t="s">
        <v>76</v>
      </c>
      <c r="J21" s="15">
        <v>6.9444444444444402</v>
      </c>
      <c r="K21" s="20" t="s">
        <v>76</v>
      </c>
      <c r="L21" s="20" t="s">
        <v>76</v>
      </c>
      <c r="M21" s="20" t="s">
        <v>76</v>
      </c>
      <c r="N21" s="20" t="s">
        <v>76</v>
      </c>
      <c r="O21" s="20" t="s">
        <v>76</v>
      </c>
      <c r="P21" s="20" t="s">
        <v>76</v>
      </c>
      <c r="Q21" s="20" t="s">
        <v>76</v>
      </c>
      <c r="R21" s="20" t="s">
        <v>76</v>
      </c>
      <c r="S21" s="20" t="s">
        <v>76</v>
      </c>
      <c r="T21" s="20" t="s">
        <v>76</v>
      </c>
      <c r="U21" s="20" t="s">
        <v>76</v>
      </c>
      <c r="V21" s="20" t="s">
        <v>76</v>
      </c>
      <c r="W21" s="20" t="s">
        <v>76</v>
      </c>
      <c r="X21" s="20" t="s">
        <v>76</v>
      </c>
      <c r="Y21" s="20" t="s">
        <v>76</v>
      </c>
      <c r="Z21" s="20" t="s">
        <v>76</v>
      </c>
      <c r="AA21" s="20" t="s">
        <v>76</v>
      </c>
      <c r="AB21" s="20" t="s">
        <v>76</v>
      </c>
      <c r="AC21" s="15">
        <v>4.5454545454545396</v>
      </c>
      <c r="AD21" s="20" t="s">
        <v>76</v>
      </c>
      <c r="AE21" s="20" t="s">
        <v>76</v>
      </c>
      <c r="AF21" s="20" t="s">
        <v>76</v>
      </c>
      <c r="AG21" s="20" t="s">
        <v>76</v>
      </c>
      <c r="AH21" s="20" t="s">
        <v>76</v>
      </c>
      <c r="AI21" s="20" t="s">
        <v>76</v>
      </c>
      <c r="AJ21" s="20" t="s">
        <v>76</v>
      </c>
      <c r="AK21" s="20" t="s">
        <v>76</v>
      </c>
      <c r="AL21" s="15">
        <v>5.5555555555555598</v>
      </c>
      <c r="AM21" s="20" t="s">
        <v>76</v>
      </c>
      <c r="AN21" s="20" t="s">
        <v>76</v>
      </c>
      <c r="AO21" s="20" t="s">
        <v>76</v>
      </c>
      <c r="AP21" s="20" t="s">
        <v>76</v>
      </c>
      <c r="AQ21" s="20" t="s">
        <v>76</v>
      </c>
      <c r="AR21" s="20" t="s">
        <v>76</v>
      </c>
      <c r="AS21" s="20" t="s">
        <v>76</v>
      </c>
      <c r="AT21" s="20" t="s">
        <v>76</v>
      </c>
      <c r="AU21" s="20" t="s">
        <v>76</v>
      </c>
      <c r="AV21" s="20" t="s">
        <v>76</v>
      </c>
      <c r="AW21" s="20" t="s">
        <v>76</v>
      </c>
      <c r="AX21" s="20" t="s">
        <v>76</v>
      </c>
      <c r="AY21" s="20" t="s">
        <v>76</v>
      </c>
      <c r="AZ21" s="20" t="s">
        <v>76</v>
      </c>
      <c r="BA21" s="20" t="s">
        <v>76</v>
      </c>
      <c r="BB21" s="20" t="s">
        <v>76</v>
      </c>
      <c r="BC21" s="20" t="s">
        <v>76</v>
      </c>
      <c r="BD21" s="20" t="s">
        <v>76</v>
      </c>
      <c r="BE21" s="20" t="s">
        <v>76</v>
      </c>
      <c r="BF21" s="20" t="s">
        <v>76</v>
      </c>
      <c r="BG21" s="20" t="s">
        <v>76</v>
      </c>
      <c r="BH21" s="20" t="s">
        <v>76</v>
      </c>
      <c r="BI21" s="20" t="s">
        <v>76</v>
      </c>
      <c r="BJ21" s="20" t="s">
        <v>76</v>
      </c>
      <c r="BK21" s="20" t="s">
        <v>76</v>
      </c>
      <c r="BL21" s="20" t="s">
        <v>76</v>
      </c>
      <c r="BM21" s="20" t="s">
        <v>76</v>
      </c>
      <c r="BN21" s="20" t="s">
        <v>76</v>
      </c>
      <c r="BO21" s="15">
        <v>5.5555555555555598</v>
      </c>
      <c r="BP21" s="20" t="s">
        <v>76</v>
      </c>
      <c r="BQ21" s="20" t="s">
        <v>76</v>
      </c>
      <c r="BR21" s="20" t="s">
        <v>76</v>
      </c>
      <c r="BS21" s="20" t="s">
        <v>76</v>
      </c>
      <c r="BT21" s="20" t="s">
        <v>76</v>
      </c>
      <c r="BU21" s="20" t="s">
        <v>76</v>
      </c>
      <c r="BV21" s="15">
        <v>5.0505050505050502</v>
      </c>
      <c r="BW21" s="20" t="s">
        <v>76</v>
      </c>
      <c r="BX21" s="20" t="s">
        <v>76</v>
      </c>
      <c r="BY21" s="20" t="s">
        <v>76</v>
      </c>
      <c r="BZ21" s="15">
        <v>3.40136054421769</v>
      </c>
      <c r="CA21" s="32">
        <v>5.7163036917321897</v>
      </c>
      <c r="CB21" s="15">
        <v>7.0287539936102199</v>
      </c>
      <c r="CC21" s="15">
        <v>5.9748427672956002</v>
      </c>
      <c r="CD21" s="15">
        <v>3.87096774193548</v>
      </c>
      <c r="CE21" s="20" t="s">
        <v>76</v>
      </c>
      <c r="CF21" s="15">
        <v>5.9880239520958103</v>
      </c>
      <c r="CG21" s="15">
        <v>5.0279329608938497</v>
      </c>
      <c r="CH21" s="15">
        <v>4.5955882352941204</v>
      </c>
      <c r="CI21" s="15">
        <v>6.5708418891170401</v>
      </c>
      <c r="CJ21" s="15">
        <v>5.0980392156862804</v>
      </c>
      <c r="CK21" s="15">
        <v>5.3811659192825099</v>
      </c>
      <c r="CL21" s="15">
        <v>6.3636363636363598</v>
      </c>
      <c r="CM21" s="24">
        <v>3.8543897216274101</v>
      </c>
      <c r="CN21" s="37"/>
    </row>
    <row r="22" spans="1:92">
      <c r="A22" s="9" t="s">
        <v>375</v>
      </c>
      <c r="B22" s="35">
        <v>30.668181086544202</v>
      </c>
      <c r="C22" s="32">
        <v>28.935557970646499</v>
      </c>
      <c r="D22" s="32">
        <v>31.2370245653157</v>
      </c>
      <c r="E22" s="32">
        <v>26.032423801114099</v>
      </c>
      <c r="F22" s="20" t="s">
        <v>76</v>
      </c>
      <c r="G22" s="15">
        <v>52.941176470588204</v>
      </c>
      <c r="H22" s="20" t="s">
        <v>76</v>
      </c>
      <c r="I22" s="20" t="s">
        <v>76</v>
      </c>
      <c r="J22" s="15">
        <v>31.25</v>
      </c>
      <c r="K22" s="20" t="s">
        <v>76</v>
      </c>
      <c r="L22" s="15">
        <v>32.786885245901601</v>
      </c>
      <c r="M22" s="15">
        <v>22.3684210526316</v>
      </c>
      <c r="N22" s="15">
        <v>21.176470588235301</v>
      </c>
      <c r="O22" s="20" t="s">
        <v>76</v>
      </c>
      <c r="P22" s="15">
        <v>25.352112676056301</v>
      </c>
      <c r="Q22" s="15">
        <v>25.352112676056301</v>
      </c>
      <c r="R22" s="15">
        <v>69.230769230769198</v>
      </c>
      <c r="S22" s="15">
        <v>17.0731707317073</v>
      </c>
      <c r="T22" s="15">
        <v>20.8333333333333</v>
      </c>
      <c r="U22" s="20" t="s">
        <v>76</v>
      </c>
      <c r="V22" s="15">
        <v>20.588235294117599</v>
      </c>
      <c r="W22" s="15">
        <v>25.4237288135593</v>
      </c>
      <c r="X22" s="20" t="s">
        <v>76</v>
      </c>
      <c r="Y22" s="20" t="s">
        <v>76</v>
      </c>
      <c r="Z22" s="15">
        <v>26.923076923076898</v>
      </c>
      <c r="AA22" s="15">
        <v>21.100917431192698</v>
      </c>
      <c r="AB22" s="15">
        <v>13.235294117647101</v>
      </c>
      <c r="AC22" s="15">
        <v>31.060606060606101</v>
      </c>
      <c r="AD22" s="20" t="s">
        <v>76</v>
      </c>
      <c r="AE22" s="20" t="s">
        <v>76</v>
      </c>
      <c r="AF22" s="15">
        <v>42.857142857142897</v>
      </c>
      <c r="AG22" s="15">
        <v>29.523809523809501</v>
      </c>
      <c r="AH22" s="15">
        <v>25</v>
      </c>
      <c r="AI22" s="20" t="s">
        <v>76</v>
      </c>
      <c r="AJ22" s="15">
        <v>41.441441441441398</v>
      </c>
      <c r="AK22" s="15">
        <v>23.3333333333333</v>
      </c>
      <c r="AL22" s="15">
        <v>27.7777777777778</v>
      </c>
      <c r="AM22" s="15">
        <v>23.4375</v>
      </c>
      <c r="AN22" s="20" t="s">
        <v>76</v>
      </c>
      <c r="AO22" s="15">
        <v>17.5</v>
      </c>
      <c r="AP22" s="15">
        <v>14.285714285714301</v>
      </c>
      <c r="AQ22" s="15">
        <v>25.6410256410256</v>
      </c>
      <c r="AR22" s="15">
        <v>27.272727272727298</v>
      </c>
      <c r="AS22" s="20" t="s">
        <v>76</v>
      </c>
      <c r="AT22" s="15">
        <v>20</v>
      </c>
      <c r="AU22" s="15">
        <v>26.530612244897998</v>
      </c>
      <c r="AV22" s="15">
        <v>46.575342465753401</v>
      </c>
      <c r="AW22" s="15">
        <v>39.655172413793103</v>
      </c>
      <c r="AX22" s="15">
        <v>37.5</v>
      </c>
      <c r="AY22" s="15">
        <v>17.1428571428571</v>
      </c>
      <c r="AZ22" s="15">
        <v>20</v>
      </c>
      <c r="BA22" s="15">
        <v>52.830188679245303</v>
      </c>
      <c r="BB22" s="15">
        <v>7.4626865671641802</v>
      </c>
      <c r="BC22" s="15">
        <v>27.027027027027</v>
      </c>
      <c r="BD22" s="15">
        <v>26.923076923076898</v>
      </c>
      <c r="BE22" s="15">
        <v>15.517241379310301</v>
      </c>
      <c r="BF22" s="15">
        <v>30.120481927710799</v>
      </c>
      <c r="BG22" s="15">
        <v>10.4477611940298</v>
      </c>
      <c r="BH22" s="15">
        <v>29.1666666666667</v>
      </c>
      <c r="BI22" s="20" t="s">
        <v>76</v>
      </c>
      <c r="BJ22" s="15">
        <v>25.8928571428571</v>
      </c>
      <c r="BK22" s="15">
        <v>15</v>
      </c>
      <c r="BL22" s="15">
        <v>18.75</v>
      </c>
      <c r="BM22" s="15">
        <v>19.801980198019798</v>
      </c>
      <c r="BN22" s="15">
        <v>20.168067226890798</v>
      </c>
      <c r="BO22" s="15">
        <v>33.3333333333333</v>
      </c>
      <c r="BP22" s="15">
        <v>40</v>
      </c>
      <c r="BQ22" s="15">
        <v>15.068493150684899</v>
      </c>
      <c r="BR22" s="15">
        <v>31.6666666666667</v>
      </c>
      <c r="BS22" s="15">
        <v>36.144578313253</v>
      </c>
      <c r="BT22" s="15">
        <v>23.170731707317099</v>
      </c>
      <c r="BU22" s="15">
        <v>57.009345794392502</v>
      </c>
      <c r="BV22" s="15">
        <v>10.1010101010101</v>
      </c>
      <c r="BW22" s="15">
        <v>40.579710144927503</v>
      </c>
      <c r="BX22" s="20" t="s">
        <v>76</v>
      </c>
      <c r="BY22" s="15">
        <v>14.285714285714301</v>
      </c>
      <c r="BZ22" s="15">
        <v>15.6462585034014</v>
      </c>
      <c r="CA22" s="32">
        <v>35.4401074714525</v>
      </c>
      <c r="CB22" s="15">
        <v>37.380191693290698</v>
      </c>
      <c r="CC22" s="15">
        <v>46.540880503144599</v>
      </c>
      <c r="CD22" s="15">
        <v>25.161290322580601</v>
      </c>
      <c r="CE22" s="15">
        <v>50</v>
      </c>
      <c r="CF22" s="15">
        <v>33.832335329341298</v>
      </c>
      <c r="CG22" s="15">
        <v>43.016759776536297</v>
      </c>
      <c r="CH22" s="15">
        <v>30.330882352941199</v>
      </c>
      <c r="CI22" s="15">
        <v>35.523613963038997</v>
      </c>
      <c r="CJ22" s="15">
        <v>39.2156862745098</v>
      </c>
      <c r="CK22" s="15">
        <v>31.838565022421498</v>
      </c>
      <c r="CL22" s="15">
        <v>27.8787878787879</v>
      </c>
      <c r="CM22" s="24">
        <v>27.4089935760171</v>
      </c>
      <c r="CN22" s="37"/>
    </row>
    <row r="23" spans="1:92" ht="30">
      <c r="A23" s="39" t="s">
        <v>376</v>
      </c>
      <c r="B23" s="35"/>
      <c r="C23" s="32"/>
      <c r="D23" s="32"/>
      <c r="E23" s="32"/>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32"/>
      <c r="CB23" s="15"/>
      <c r="CC23" s="15"/>
      <c r="CD23" s="15"/>
      <c r="CE23" s="15"/>
      <c r="CF23" s="15"/>
      <c r="CG23" s="15"/>
      <c r="CH23" s="15"/>
      <c r="CI23" s="15"/>
      <c r="CJ23" s="15"/>
      <c r="CK23" s="15"/>
      <c r="CL23" s="15"/>
      <c r="CM23" s="24"/>
      <c r="CN23" s="37"/>
    </row>
    <row r="24" spans="1:92">
      <c r="A24" s="9" t="s">
        <v>359</v>
      </c>
      <c r="B24" s="35">
        <v>46.864163425930101</v>
      </c>
      <c r="C24" s="32">
        <v>49.188140709941102</v>
      </c>
      <c r="D24" s="32">
        <v>48.895256667694802</v>
      </c>
      <c r="E24" s="32">
        <v>51.489539519209302</v>
      </c>
      <c r="F24" s="15">
        <v>29.411764705882401</v>
      </c>
      <c r="G24" s="15">
        <v>58.823529411764703</v>
      </c>
      <c r="H24" s="15">
        <v>30.434782608695699</v>
      </c>
      <c r="I24" s="15">
        <v>50</v>
      </c>
      <c r="J24" s="15">
        <v>36.1111111111111</v>
      </c>
      <c r="K24" s="15">
        <v>48.717948717948701</v>
      </c>
      <c r="L24" s="15">
        <v>39.344262295081997</v>
      </c>
      <c r="M24" s="15">
        <v>42.105263157894697</v>
      </c>
      <c r="N24" s="15">
        <v>67.058823529411796</v>
      </c>
      <c r="O24" s="15">
        <v>67.441860465116307</v>
      </c>
      <c r="P24" s="15">
        <v>50.704225352112701</v>
      </c>
      <c r="Q24" s="15">
        <v>40.845070422535201</v>
      </c>
      <c r="R24" s="20" t="s">
        <v>76</v>
      </c>
      <c r="S24" s="15">
        <v>60.975609756097597</v>
      </c>
      <c r="T24" s="15">
        <v>45.8333333333333</v>
      </c>
      <c r="U24" s="15">
        <v>71.428571428571402</v>
      </c>
      <c r="V24" s="15">
        <v>58.823529411764703</v>
      </c>
      <c r="W24" s="15">
        <v>44.067796610169502</v>
      </c>
      <c r="X24" s="15">
        <v>46.153846153846203</v>
      </c>
      <c r="Y24" s="15">
        <v>75</v>
      </c>
      <c r="Z24" s="15">
        <v>48.717948717948701</v>
      </c>
      <c r="AA24" s="15">
        <v>61.4678899082569</v>
      </c>
      <c r="AB24" s="15">
        <v>44.117647058823501</v>
      </c>
      <c r="AC24" s="15">
        <v>54.545454545454497</v>
      </c>
      <c r="AD24" s="15">
        <v>78.125</v>
      </c>
      <c r="AE24" s="15">
        <v>70.370370370370395</v>
      </c>
      <c r="AF24" s="15">
        <v>50</v>
      </c>
      <c r="AG24" s="15">
        <v>47.619047619047599</v>
      </c>
      <c r="AH24" s="15">
        <v>35.714285714285701</v>
      </c>
      <c r="AI24" s="20" t="s">
        <v>76</v>
      </c>
      <c r="AJ24" s="15">
        <v>54.054054054053999</v>
      </c>
      <c r="AK24" s="15">
        <v>70</v>
      </c>
      <c r="AL24" s="15">
        <v>35.5555555555556</v>
      </c>
      <c r="AM24" s="15">
        <v>67.1875</v>
      </c>
      <c r="AN24" s="20" t="s">
        <v>76</v>
      </c>
      <c r="AO24" s="15">
        <v>55</v>
      </c>
      <c r="AP24" s="15">
        <v>58.441558441558399</v>
      </c>
      <c r="AQ24" s="15">
        <v>48.717948717948701</v>
      </c>
      <c r="AR24" s="15">
        <v>47.272727272727302</v>
      </c>
      <c r="AS24" s="15">
        <v>45.454545454545503</v>
      </c>
      <c r="AT24" s="15">
        <v>50.769230769230802</v>
      </c>
      <c r="AU24" s="15">
        <v>53.061224489795897</v>
      </c>
      <c r="AV24" s="15">
        <v>50.684931506849303</v>
      </c>
      <c r="AW24" s="15">
        <v>39.655172413793103</v>
      </c>
      <c r="AX24" s="15">
        <v>43.75</v>
      </c>
      <c r="AY24" s="15">
        <v>34.285714285714299</v>
      </c>
      <c r="AZ24" s="15">
        <v>64</v>
      </c>
      <c r="BA24" s="15">
        <v>43.396226415094297</v>
      </c>
      <c r="BB24" s="15">
        <v>67.164179104477597</v>
      </c>
      <c r="BC24" s="15">
        <v>50</v>
      </c>
      <c r="BD24" s="15">
        <v>50</v>
      </c>
      <c r="BE24" s="15">
        <v>60.344827586206897</v>
      </c>
      <c r="BF24" s="15">
        <v>46.987951807228903</v>
      </c>
      <c r="BG24" s="15">
        <v>71.641791044776099</v>
      </c>
      <c r="BH24" s="15">
        <v>45.8333333333333</v>
      </c>
      <c r="BI24" s="15">
        <v>31.578947368421101</v>
      </c>
      <c r="BJ24" s="15">
        <v>50.892857142857103</v>
      </c>
      <c r="BK24" s="15">
        <v>62.5</v>
      </c>
      <c r="BL24" s="15">
        <v>62.5</v>
      </c>
      <c r="BM24" s="15">
        <v>59.405940594059402</v>
      </c>
      <c r="BN24" s="15">
        <v>71.428571428571402</v>
      </c>
      <c r="BO24" s="15">
        <v>46.6666666666667</v>
      </c>
      <c r="BP24" s="15">
        <v>33.3333333333333</v>
      </c>
      <c r="BQ24" s="15">
        <v>58.904109589041099</v>
      </c>
      <c r="BR24" s="15">
        <v>60</v>
      </c>
      <c r="BS24" s="15">
        <v>44.578313253011999</v>
      </c>
      <c r="BT24" s="15">
        <v>50</v>
      </c>
      <c r="BU24" s="15">
        <v>54.2056074766355</v>
      </c>
      <c r="BV24" s="15">
        <v>64.646464646464693</v>
      </c>
      <c r="BW24" s="15">
        <v>28.985507246376802</v>
      </c>
      <c r="BX24" s="15">
        <v>66.6666666666667</v>
      </c>
      <c r="BY24" s="15">
        <v>58.730158730158699</v>
      </c>
      <c r="BZ24" s="15">
        <v>55.1020408163265</v>
      </c>
      <c r="CA24" s="32">
        <v>46.800189937142797</v>
      </c>
      <c r="CB24" s="15">
        <v>41.853035143770001</v>
      </c>
      <c r="CC24" s="15">
        <v>32.389937106918197</v>
      </c>
      <c r="CD24" s="15">
        <v>56.129032258064498</v>
      </c>
      <c r="CE24" s="20" t="s">
        <v>76</v>
      </c>
      <c r="CF24" s="15">
        <v>37.425149700598801</v>
      </c>
      <c r="CG24" s="15">
        <v>36.871508379888297</v>
      </c>
      <c r="CH24" s="15">
        <v>49.448529411764703</v>
      </c>
      <c r="CI24" s="15">
        <v>42.5051334702259</v>
      </c>
      <c r="CJ24" s="15">
        <v>32.156862745098003</v>
      </c>
      <c r="CK24" s="15">
        <v>54.708520179372201</v>
      </c>
      <c r="CL24" s="15">
        <v>59.696969696969703</v>
      </c>
      <c r="CM24" s="24">
        <v>60.171306209850101</v>
      </c>
      <c r="CN24" s="37"/>
    </row>
    <row r="25" spans="1:92">
      <c r="A25" s="9" t="s">
        <v>360</v>
      </c>
      <c r="B25" s="35">
        <v>23.013222353707199</v>
      </c>
      <c r="C25" s="32">
        <v>22.715003386786201</v>
      </c>
      <c r="D25" s="32">
        <v>22.369645084744899</v>
      </c>
      <c r="E25" s="32">
        <v>24.247531888815601</v>
      </c>
      <c r="F25" s="15">
        <v>41.176470588235297</v>
      </c>
      <c r="G25" s="20" t="s">
        <v>76</v>
      </c>
      <c r="H25" s="15">
        <v>43.478260869565197</v>
      </c>
      <c r="I25" s="20" t="s">
        <v>76</v>
      </c>
      <c r="J25" s="15">
        <v>27.7777777777778</v>
      </c>
      <c r="K25" s="15">
        <v>43.589743589743598</v>
      </c>
      <c r="L25" s="15">
        <v>27.868852459016399</v>
      </c>
      <c r="M25" s="15">
        <v>31.578947368421101</v>
      </c>
      <c r="N25" s="15">
        <v>18.823529411764699</v>
      </c>
      <c r="O25" s="15">
        <v>18.604651162790699</v>
      </c>
      <c r="P25" s="15">
        <v>23.943661971830998</v>
      </c>
      <c r="Q25" s="15">
        <v>29.577464788732399</v>
      </c>
      <c r="R25" s="15">
        <v>19.230769230769202</v>
      </c>
      <c r="S25" s="15">
        <v>12.1951219512195</v>
      </c>
      <c r="T25" s="15">
        <v>33.3333333333333</v>
      </c>
      <c r="U25" s="15">
        <v>23.8095238095238</v>
      </c>
      <c r="V25" s="15">
        <v>29.411764705882401</v>
      </c>
      <c r="W25" s="15">
        <v>20.338983050847499</v>
      </c>
      <c r="X25" s="20" t="s">
        <v>76</v>
      </c>
      <c r="Y25" s="20" t="s">
        <v>76</v>
      </c>
      <c r="Z25" s="15">
        <v>32.051282051282101</v>
      </c>
      <c r="AA25" s="15">
        <v>28.440366972477101</v>
      </c>
      <c r="AB25" s="15">
        <v>32.352941176470601</v>
      </c>
      <c r="AC25" s="15">
        <v>20.454545454545499</v>
      </c>
      <c r="AD25" s="20" t="s">
        <v>76</v>
      </c>
      <c r="AE25" s="15">
        <v>18.518518518518501</v>
      </c>
      <c r="AF25" s="20" t="s">
        <v>76</v>
      </c>
      <c r="AG25" s="15">
        <v>23.8095238095238</v>
      </c>
      <c r="AH25" s="15">
        <v>26.785714285714299</v>
      </c>
      <c r="AI25" s="20" t="s">
        <v>76</v>
      </c>
      <c r="AJ25" s="15">
        <v>23.423423423423401</v>
      </c>
      <c r="AK25" s="20" t="s">
        <v>76</v>
      </c>
      <c r="AL25" s="15">
        <v>34.4444444444444</v>
      </c>
      <c r="AM25" s="15">
        <v>23.4375</v>
      </c>
      <c r="AN25" s="20" t="s">
        <v>76</v>
      </c>
      <c r="AO25" s="15">
        <v>20</v>
      </c>
      <c r="AP25" s="15">
        <v>25.974025974025999</v>
      </c>
      <c r="AQ25" s="15">
        <v>15.384615384615399</v>
      </c>
      <c r="AR25" s="15">
        <v>29.090909090909101</v>
      </c>
      <c r="AS25" s="20" t="s">
        <v>76</v>
      </c>
      <c r="AT25" s="15">
        <v>29.230769230769202</v>
      </c>
      <c r="AU25" s="15">
        <v>20.408163265306101</v>
      </c>
      <c r="AV25" s="15">
        <v>20.5479452054795</v>
      </c>
      <c r="AW25" s="15">
        <v>26.724137931034502</v>
      </c>
      <c r="AX25" s="15">
        <v>31.25</v>
      </c>
      <c r="AY25" s="15">
        <v>37.142857142857103</v>
      </c>
      <c r="AZ25" s="15">
        <v>24</v>
      </c>
      <c r="BA25" s="15">
        <v>20.754716981132098</v>
      </c>
      <c r="BB25" s="15">
        <v>22.388059701492502</v>
      </c>
      <c r="BC25" s="15">
        <v>29.729729729729701</v>
      </c>
      <c r="BD25" s="15">
        <v>23.076923076923102</v>
      </c>
      <c r="BE25" s="15">
        <v>18.965517241379299</v>
      </c>
      <c r="BF25" s="15">
        <v>20.481927710843401</v>
      </c>
      <c r="BG25" s="15">
        <v>17.910447761194</v>
      </c>
      <c r="BH25" s="15">
        <v>33.3333333333333</v>
      </c>
      <c r="BI25" s="15">
        <v>36.842105263157897</v>
      </c>
      <c r="BJ25" s="15">
        <v>26.785714285714299</v>
      </c>
      <c r="BK25" s="15">
        <v>17.5</v>
      </c>
      <c r="BL25" s="15">
        <v>26.5625</v>
      </c>
      <c r="BM25" s="15">
        <v>24.752475247524799</v>
      </c>
      <c r="BN25" s="15">
        <v>10.084033613445399</v>
      </c>
      <c r="BO25" s="15">
        <v>26.6666666666667</v>
      </c>
      <c r="BP25" s="15">
        <v>33.3333333333333</v>
      </c>
      <c r="BQ25" s="15">
        <v>20.5479452054795</v>
      </c>
      <c r="BR25" s="15">
        <v>8.3333333333333304</v>
      </c>
      <c r="BS25" s="15">
        <v>31.325301204819301</v>
      </c>
      <c r="BT25" s="15">
        <v>12.1951219512195</v>
      </c>
      <c r="BU25" s="15">
        <v>17.757009345794401</v>
      </c>
      <c r="BV25" s="15">
        <v>27.272727272727298</v>
      </c>
      <c r="BW25" s="15">
        <v>33.3333333333333</v>
      </c>
      <c r="BX25" s="20" t="s">
        <v>76</v>
      </c>
      <c r="BY25" s="15">
        <v>25.396825396825399</v>
      </c>
      <c r="BZ25" s="15">
        <v>24.4897959183673</v>
      </c>
      <c r="CA25" s="32">
        <v>20.853118787446899</v>
      </c>
      <c r="CB25" s="15">
        <v>25.239616613418502</v>
      </c>
      <c r="CC25" s="15">
        <v>22.641509433962302</v>
      </c>
      <c r="CD25" s="15">
        <v>19.354838709677399</v>
      </c>
      <c r="CE25" s="20" t="s">
        <v>76</v>
      </c>
      <c r="CF25" s="15">
        <v>23.353293413173699</v>
      </c>
      <c r="CG25" s="15">
        <v>23.463687150837998</v>
      </c>
      <c r="CH25" s="15">
        <v>21.6911764705882</v>
      </c>
      <c r="CI25" s="15">
        <v>21.9712525667351</v>
      </c>
      <c r="CJ25" s="15">
        <v>27.0588235294118</v>
      </c>
      <c r="CK25" s="15">
        <v>17.937219730941699</v>
      </c>
      <c r="CL25" s="15">
        <v>18.636363636363601</v>
      </c>
      <c r="CM25" s="24">
        <v>16.916488222698099</v>
      </c>
      <c r="CN25" s="37"/>
    </row>
    <row r="26" spans="1:92">
      <c r="A26" s="9" t="s">
        <v>361</v>
      </c>
      <c r="B26" s="35">
        <v>6.1962712228488801</v>
      </c>
      <c r="C26" s="32">
        <v>5.7216081292782297</v>
      </c>
      <c r="D26" s="32">
        <v>5.1826400291284598</v>
      </c>
      <c r="E26" s="32">
        <v>5.0434293114880404</v>
      </c>
      <c r="F26" s="20" t="s">
        <v>76</v>
      </c>
      <c r="G26" s="20" t="s">
        <v>76</v>
      </c>
      <c r="H26" s="20" t="s">
        <v>76</v>
      </c>
      <c r="I26" s="20" t="s">
        <v>76</v>
      </c>
      <c r="J26" s="15">
        <v>6.9444444444444402</v>
      </c>
      <c r="K26" s="20" t="s">
        <v>76</v>
      </c>
      <c r="L26" s="20" t="s">
        <v>76</v>
      </c>
      <c r="M26" s="15">
        <v>7.8947368421052602</v>
      </c>
      <c r="N26" s="20" t="s">
        <v>76</v>
      </c>
      <c r="O26" s="20" t="s">
        <v>76</v>
      </c>
      <c r="P26" s="20" t="s">
        <v>76</v>
      </c>
      <c r="Q26" s="15">
        <v>8.4507042253521103</v>
      </c>
      <c r="R26" s="20" t="s">
        <v>76</v>
      </c>
      <c r="S26" s="15">
        <v>12.1951219512195</v>
      </c>
      <c r="T26" s="20" t="s">
        <v>76</v>
      </c>
      <c r="U26" s="20" t="s">
        <v>76</v>
      </c>
      <c r="V26" s="20" t="s">
        <v>76</v>
      </c>
      <c r="W26" s="20" t="s">
        <v>76</v>
      </c>
      <c r="X26" s="20" t="s">
        <v>76</v>
      </c>
      <c r="Y26" s="20" t="s">
        <v>76</v>
      </c>
      <c r="Z26" s="15">
        <v>11.538461538461499</v>
      </c>
      <c r="AA26" s="20" t="s">
        <v>76</v>
      </c>
      <c r="AB26" s="15">
        <v>7.3529411764705896</v>
      </c>
      <c r="AC26" s="15">
        <v>3.7878787878787898</v>
      </c>
      <c r="AD26" s="20" t="s">
        <v>76</v>
      </c>
      <c r="AE26" s="20" t="s">
        <v>76</v>
      </c>
      <c r="AF26" s="20" t="s">
        <v>76</v>
      </c>
      <c r="AG26" s="15">
        <v>6.6666666666666696</v>
      </c>
      <c r="AH26" s="20" t="s">
        <v>76</v>
      </c>
      <c r="AI26" s="20" t="s">
        <v>76</v>
      </c>
      <c r="AJ26" s="20" t="s">
        <v>76</v>
      </c>
      <c r="AK26" s="20" t="s">
        <v>76</v>
      </c>
      <c r="AL26" s="15">
        <v>8.8888888888888893</v>
      </c>
      <c r="AM26" s="20" t="s">
        <v>76</v>
      </c>
      <c r="AN26" s="20" t="s">
        <v>76</v>
      </c>
      <c r="AO26" s="20" t="s">
        <v>76</v>
      </c>
      <c r="AP26" s="20" t="s">
        <v>76</v>
      </c>
      <c r="AQ26" s="20" t="s">
        <v>76</v>
      </c>
      <c r="AR26" s="20" t="s">
        <v>76</v>
      </c>
      <c r="AS26" s="20" t="s">
        <v>76</v>
      </c>
      <c r="AT26" s="20" t="s">
        <v>76</v>
      </c>
      <c r="AU26" s="20" t="s">
        <v>76</v>
      </c>
      <c r="AV26" s="20" t="s">
        <v>76</v>
      </c>
      <c r="AW26" s="15">
        <v>5.1724137931034502</v>
      </c>
      <c r="AX26" s="20" t="s">
        <v>76</v>
      </c>
      <c r="AY26" s="20" t="s">
        <v>76</v>
      </c>
      <c r="AZ26" s="20" t="s">
        <v>76</v>
      </c>
      <c r="BA26" s="20" t="s">
        <v>76</v>
      </c>
      <c r="BB26" s="20" t="s">
        <v>76</v>
      </c>
      <c r="BC26" s="20" t="s">
        <v>76</v>
      </c>
      <c r="BD26" s="15">
        <v>6.4102564102564097</v>
      </c>
      <c r="BE26" s="20" t="s">
        <v>76</v>
      </c>
      <c r="BF26" s="20" t="s">
        <v>76</v>
      </c>
      <c r="BG26" s="20" t="s">
        <v>76</v>
      </c>
      <c r="BH26" s="20" t="s">
        <v>76</v>
      </c>
      <c r="BI26" s="20" t="s">
        <v>76</v>
      </c>
      <c r="BJ26" s="15">
        <v>8.0357142857142794</v>
      </c>
      <c r="BK26" s="20" t="s">
        <v>76</v>
      </c>
      <c r="BL26" s="20" t="s">
        <v>76</v>
      </c>
      <c r="BM26" s="20" t="s">
        <v>76</v>
      </c>
      <c r="BN26" s="15">
        <v>4.2016806722689104</v>
      </c>
      <c r="BO26" s="20" t="s">
        <v>76</v>
      </c>
      <c r="BP26" s="20" t="s">
        <v>76</v>
      </c>
      <c r="BQ26" s="20" t="s">
        <v>76</v>
      </c>
      <c r="BR26" s="20" t="s">
        <v>76</v>
      </c>
      <c r="BS26" s="20" t="s">
        <v>76</v>
      </c>
      <c r="BT26" s="15">
        <v>10.975609756097599</v>
      </c>
      <c r="BU26" s="20" t="s">
        <v>76</v>
      </c>
      <c r="BV26" s="20" t="s">
        <v>76</v>
      </c>
      <c r="BW26" s="15">
        <v>10.144927536231901</v>
      </c>
      <c r="BX26" s="20" t="s">
        <v>76</v>
      </c>
      <c r="BY26" s="20" t="s">
        <v>76</v>
      </c>
      <c r="BZ26" s="15">
        <v>3.40136054421769</v>
      </c>
      <c r="CA26" s="32">
        <v>5.2950625211071003</v>
      </c>
      <c r="CB26" s="15">
        <v>4.1533546325878596</v>
      </c>
      <c r="CC26" s="15">
        <v>7.2327044025157203</v>
      </c>
      <c r="CD26" s="15">
        <v>4.5161290322580596</v>
      </c>
      <c r="CE26" s="20" t="s">
        <v>76</v>
      </c>
      <c r="CF26" s="15">
        <v>7.1856287425149699</v>
      </c>
      <c r="CG26" s="15">
        <v>5.5865921787709496</v>
      </c>
      <c r="CH26" s="15">
        <v>5.3308823529411802</v>
      </c>
      <c r="CI26" s="15">
        <v>4.1067761806981498</v>
      </c>
      <c r="CJ26" s="15">
        <v>6.6666666666666696</v>
      </c>
      <c r="CK26" s="15">
        <v>3.1390134529148002</v>
      </c>
      <c r="CL26" s="15">
        <v>5.60606060606061</v>
      </c>
      <c r="CM26" s="24">
        <v>4.0685224839400398</v>
      </c>
      <c r="CN26" s="37"/>
    </row>
    <row r="27" spans="1:92">
      <c r="A27" s="9" t="s">
        <v>377</v>
      </c>
      <c r="B27" s="35">
        <v>23.926342997513899</v>
      </c>
      <c r="C27" s="32">
        <v>22.375247773994399</v>
      </c>
      <c r="D27" s="32">
        <v>23.552458218431799</v>
      </c>
      <c r="E27" s="32">
        <v>19.219499280487099</v>
      </c>
      <c r="F27" s="15">
        <v>29.411764705882401</v>
      </c>
      <c r="G27" s="20" t="s">
        <v>76</v>
      </c>
      <c r="H27" s="20" t="s">
        <v>76</v>
      </c>
      <c r="I27" s="20" t="s">
        <v>76</v>
      </c>
      <c r="J27" s="15">
        <v>29.1666666666667</v>
      </c>
      <c r="K27" s="20" t="s">
        <v>76</v>
      </c>
      <c r="L27" s="15">
        <v>26.229508196721302</v>
      </c>
      <c r="M27" s="15">
        <v>18.421052631578899</v>
      </c>
      <c r="N27" s="15">
        <v>10.588235294117601</v>
      </c>
      <c r="O27" s="20" t="s">
        <v>76</v>
      </c>
      <c r="P27" s="15">
        <v>22.5352112676056</v>
      </c>
      <c r="Q27" s="15">
        <v>21.126760563380302</v>
      </c>
      <c r="R27" s="15">
        <v>65.384615384615401</v>
      </c>
      <c r="S27" s="15">
        <v>14.634146341463399</v>
      </c>
      <c r="T27" s="15">
        <v>18.75</v>
      </c>
      <c r="U27" s="20" t="s">
        <v>76</v>
      </c>
      <c r="V27" s="20" t="s">
        <v>76</v>
      </c>
      <c r="W27" s="15">
        <v>28.8135593220339</v>
      </c>
      <c r="X27" s="20" t="s">
        <v>76</v>
      </c>
      <c r="Y27" s="20" t="s">
        <v>76</v>
      </c>
      <c r="Z27" s="15">
        <v>7.6923076923076898</v>
      </c>
      <c r="AA27" s="15">
        <v>6.4220183486238502</v>
      </c>
      <c r="AB27" s="15">
        <v>16.176470588235301</v>
      </c>
      <c r="AC27" s="15">
        <v>21.2121212121212</v>
      </c>
      <c r="AD27" s="20" t="s">
        <v>76</v>
      </c>
      <c r="AE27" s="20" t="s">
        <v>76</v>
      </c>
      <c r="AF27" s="20" t="s">
        <v>76</v>
      </c>
      <c r="AG27" s="15">
        <v>21.904761904761902</v>
      </c>
      <c r="AH27" s="15">
        <v>30.3571428571429</v>
      </c>
      <c r="AI27" s="20" t="s">
        <v>76</v>
      </c>
      <c r="AJ27" s="15">
        <v>18.918918918918902</v>
      </c>
      <c r="AK27" s="15">
        <v>20</v>
      </c>
      <c r="AL27" s="15">
        <v>21.1111111111111</v>
      </c>
      <c r="AM27" s="20" t="s">
        <v>76</v>
      </c>
      <c r="AN27" s="20" t="s">
        <v>76</v>
      </c>
      <c r="AO27" s="15">
        <v>15</v>
      </c>
      <c r="AP27" s="15">
        <v>11.6883116883117</v>
      </c>
      <c r="AQ27" s="15">
        <v>30.769230769230798</v>
      </c>
      <c r="AR27" s="15">
        <v>20</v>
      </c>
      <c r="AS27" s="20" t="s">
        <v>76</v>
      </c>
      <c r="AT27" s="15">
        <v>15.384615384615399</v>
      </c>
      <c r="AU27" s="15">
        <v>18.367346938775501</v>
      </c>
      <c r="AV27" s="15">
        <v>26.027397260274</v>
      </c>
      <c r="AW27" s="15">
        <v>28.448275862069</v>
      </c>
      <c r="AX27" s="20" t="s">
        <v>76</v>
      </c>
      <c r="AY27" s="15">
        <v>22.8571428571429</v>
      </c>
      <c r="AZ27" s="20" t="s">
        <v>76</v>
      </c>
      <c r="BA27" s="15">
        <v>30.188679245283002</v>
      </c>
      <c r="BB27" s="15">
        <v>8.9552238805970106</v>
      </c>
      <c r="BC27" s="15">
        <v>16.2162162162162</v>
      </c>
      <c r="BD27" s="15">
        <v>20.5128205128205</v>
      </c>
      <c r="BE27" s="15">
        <v>15.517241379310301</v>
      </c>
      <c r="BF27" s="15">
        <v>28.9156626506024</v>
      </c>
      <c r="BG27" s="15">
        <v>8.9552238805970106</v>
      </c>
      <c r="BH27" s="15">
        <v>20.8333333333333</v>
      </c>
      <c r="BI27" s="20" t="s">
        <v>76</v>
      </c>
      <c r="BJ27" s="15">
        <v>14.285714285714301</v>
      </c>
      <c r="BK27" s="15">
        <v>20</v>
      </c>
      <c r="BL27" s="15">
        <v>8.59375</v>
      </c>
      <c r="BM27" s="15">
        <v>11.881188118811901</v>
      </c>
      <c r="BN27" s="15">
        <v>14.285714285714301</v>
      </c>
      <c r="BO27" s="15">
        <v>23.3333333333333</v>
      </c>
      <c r="BP27" s="20" t="s">
        <v>76</v>
      </c>
      <c r="BQ27" s="15">
        <v>16.438356164383599</v>
      </c>
      <c r="BR27" s="15">
        <v>26.6666666666667</v>
      </c>
      <c r="BS27" s="15">
        <v>20.481927710843401</v>
      </c>
      <c r="BT27" s="15">
        <v>26.829268292682901</v>
      </c>
      <c r="BU27" s="15">
        <v>27.1028037383178</v>
      </c>
      <c r="BV27" s="15">
        <v>6.0606060606060597</v>
      </c>
      <c r="BW27" s="15">
        <v>27.536231884058001</v>
      </c>
      <c r="BX27" s="20" t="s">
        <v>76</v>
      </c>
      <c r="BY27" s="15">
        <v>12.698412698412699</v>
      </c>
      <c r="BZ27" s="15">
        <v>17.006802721088398</v>
      </c>
      <c r="CA27" s="32">
        <v>27.051628754303199</v>
      </c>
      <c r="CB27" s="15">
        <v>28.753993610223599</v>
      </c>
      <c r="CC27" s="15">
        <v>37.735849056603797</v>
      </c>
      <c r="CD27" s="15">
        <v>20</v>
      </c>
      <c r="CE27" s="15">
        <v>50</v>
      </c>
      <c r="CF27" s="15">
        <v>32.035928143712603</v>
      </c>
      <c r="CG27" s="15">
        <v>34.078212290502798</v>
      </c>
      <c r="CH27" s="15">
        <v>23.529411764705898</v>
      </c>
      <c r="CI27" s="15">
        <v>31.416837782340899</v>
      </c>
      <c r="CJ27" s="15">
        <v>34.117647058823501</v>
      </c>
      <c r="CK27" s="15">
        <v>24.215246636771301</v>
      </c>
      <c r="CL27" s="15">
        <v>16.060606060606101</v>
      </c>
      <c r="CM27" s="24">
        <v>18.843683083511799</v>
      </c>
      <c r="CN27" s="37"/>
    </row>
    <row r="28" spans="1:92" ht="30">
      <c r="A28" s="39" t="s">
        <v>378</v>
      </c>
      <c r="B28" s="35"/>
      <c r="C28" s="32"/>
      <c r="D28" s="32"/>
      <c r="E28" s="32"/>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32"/>
      <c r="CB28" s="15"/>
      <c r="CC28" s="15"/>
      <c r="CD28" s="15"/>
      <c r="CE28" s="15"/>
      <c r="CF28" s="15"/>
      <c r="CG28" s="15"/>
      <c r="CH28" s="15"/>
      <c r="CI28" s="15"/>
      <c r="CJ28" s="15"/>
      <c r="CK28" s="15"/>
      <c r="CL28" s="15"/>
      <c r="CM28" s="24"/>
      <c r="CN28" s="37"/>
    </row>
    <row r="29" spans="1:92">
      <c r="A29" s="9" t="s">
        <v>359</v>
      </c>
      <c r="B29" s="35">
        <v>56.676468406290503</v>
      </c>
      <c r="C29" s="32">
        <v>58.534105912960896</v>
      </c>
      <c r="D29" s="32">
        <v>58.693580263504501</v>
      </c>
      <c r="E29" s="32">
        <v>62.322790394101098</v>
      </c>
      <c r="F29" s="15">
        <v>41.176470588235297</v>
      </c>
      <c r="G29" s="15">
        <v>35.294117647058798</v>
      </c>
      <c r="H29" s="15">
        <v>43.478260869565197</v>
      </c>
      <c r="I29" s="15">
        <v>60</v>
      </c>
      <c r="J29" s="15">
        <v>54.8611111111111</v>
      </c>
      <c r="K29" s="15">
        <v>66.6666666666667</v>
      </c>
      <c r="L29" s="15">
        <v>55.737704918032797</v>
      </c>
      <c r="M29" s="15">
        <v>47.368421052631597</v>
      </c>
      <c r="N29" s="15">
        <v>71.764705882352899</v>
      </c>
      <c r="O29" s="15">
        <v>74.418604651162795</v>
      </c>
      <c r="P29" s="15">
        <v>56.338028169014102</v>
      </c>
      <c r="Q29" s="15">
        <v>53.521126760563398</v>
      </c>
      <c r="R29" s="15">
        <v>34.615384615384599</v>
      </c>
      <c r="S29" s="15">
        <v>65.853658536585399</v>
      </c>
      <c r="T29" s="15">
        <v>52.0833333333333</v>
      </c>
      <c r="U29" s="15">
        <v>76.190476190476204</v>
      </c>
      <c r="V29" s="15">
        <v>67.647058823529406</v>
      </c>
      <c r="W29" s="15">
        <v>62.711864406779704</v>
      </c>
      <c r="X29" s="15">
        <v>61.538461538461497</v>
      </c>
      <c r="Y29" s="15">
        <v>75</v>
      </c>
      <c r="Z29" s="15">
        <v>52.564102564102598</v>
      </c>
      <c r="AA29" s="15">
        <v>70.642201834862405</v>
      </c>
      <c r="AB29" s="15">
        <v>69.117647058823493</v>
      </c>
      <c r="AC29" s="15">
        <v>62.121212121212103</v>
      </c>
      <c r="AD29" s="15">
        <v>75</v>
      </c>
      <c r="AE29" s="15">
        <v>77.7777777777778</v>
      </c>
      <c r="AF29" s="15">
        <v>71.428571428571402</v>
      </c>
      <c r="AG29" s="15">
        <v>65.714285714285694</v>
      </c>
      <c r="AH29" s="15">
        <v>55.357142857142897</v>
      </c>
      <c r="AI29" s="20" t="s">
        <v>76</v>
      </c>
      <c r="AJ29" s="15">
        <v>72.972972972972997</v>
      </c>
      <c r="AK29" s="15">
        <v>63.3333333333333</v>
      </c>
      <c r="AL29" s="15">
        <v>44.4444444444444</v>
      </c>
      <c r="AM29" s="15">
        <v>70.3125</v>
      </c>
      <c r="AN29" s="15">
        <v>62.5</v>
      </c>
      <c r="AO29" s="15">
        <v>55</v>
      </c>
      <c r="AP29" s="15">
        <v>67.532467532467507</v>
      </c>
      <c r="AQ29" s="15">
        <v>61.538461538461497</v>
      </c>
      <c r="AR29" s="15">
        <v>70.909090909090907</v>
      </c>
      <c r="AS29" s="15">
        <v>45.454545454545503</v>
      </c>
      <c r="AT29" s="15">
        <v>75.384615384615401</v>
      </c>
      <c r="AU29" s="15">
        <v>79.591836734693899</v>
      </c>
      <c r="AV29" s="15">
        <v>61.643835616438402</v>
      </c>
      <c r="AW29" s="15">
        <v>55.172413793103502</v>
      </c>
      <c r="AX29" s="20" t="s">
        <v>76</v>
      </c>
      <c r="AY29" s="15">
        <v>54.285714285714299</v>
      </c>
      <c r="AZ29" s="15">
        <v>72</v>
      </c>
      <c r="BA29" s="15">
        <v>64.150943396226396</v>
      </c>
      <c r="BB29" s="15">
        <v>68.656716417910403</v>
      </c>
      <c r="BC29" s="15">
        <v>68.918918918918905</v>
      </c>
      <c r="BD29" s="15">
        <v>57.692307692307701</v>
      </c>
      <c r="BE29" s="15">
        <v>68.965517241379303</v>
      </c>
      <c r="BF29" s="15">
        <v>63.855421686747</v>
      </c>
      <c r="BG29" s="15">
        <v>76.119402985074601</v>
      </c>
      <c r="BH29" s="15">
        <v>58.3333333333333</v>
      </c>
      <c r="BI29" s="15">
        <v>36.842105263157897</v>
      </c>
      <c r="BJ29" s="15">
        <v>58.035714285714299</v>
      </c>
      <c r="BK29" s="15">
        <v>57.5</v>
      </c>
      <c r="BL29" s="15">
        <v>69.53125</v>
      </c>
      <c r="BM29" s="15">
        <v>66.3366336633663</v>
      </c>
      <c r="BN29" s="15">
        <v>75.630252100840295</v>
      </c>
      <c r="BO29" s="15">
        <v>65.5555555555556</v>
      </c>
      <c r="BP29" s="15">
        <v>66.6666666666667</v>
      </c>
      <c r="BQ29" s="15">
        <v>65.753424657534296</v>
      </c>
      <c r="BR29" s="15">
        <v>68.3333333333333</v>
      </c>
      <c r="BS29" s="15">
        <v>61.445783132530103</v>
      </c>
      <c r="BT29" s="15">
        <v>53.658536585365901</v>
      </c>
      <c r="BU29" s="15">
        <v>66.355140186915904</v>
      </c>
      <c r="BV29" s="15">
        <v>72.727272727272705</v>
      </c>
      <c r="BW29" s="15">
        <v>44.927536231884098</v>
      </c>
      <c r="BX29" s="15">
        <v>55.5555555555556</v>
      </c>
      <c r="BY29" s="15">
        <v>77.7777777777778</v>
      </c>
      <c r="BZ29" s="15">
        <v>65.986394557823104</v>
      </c>
      <c r="CA29" s="32">
        <v>55.762736620778199</v>
      </c>
      <c r="CB29" s="15">
        <v>49.520766773162897</v>
      </c>
      <c r="CC29" s="15">
        <v>47.169811320754697</v>
      </c>
      <c r="CD29" s="15">
        <v>67.096774193548399</v>
      </c>
      <c r="CE29" s="15">
        <v>50</v>
      </c>
      <c r="CF29" s="15">
        <v>53.293413173652702</v>
      </c>
      <c r="CG29" s="15">
        <v>48.044692737430204</v>
      </c>
      <c r="CH29" s="15">
        <v>56.25</v>
      </c>
      <c r="CI29" s="15">
        <v>55.441478439424998</v>
      </c>
      <c r="CJ29" s="15">
        <v>47.4509803921569</v>
      </c>
      <c r="CK29" s="15">
        <v>60.089686098654703</v>
      </c>
      <c r="CL29" s="15">
        <v>61.363636363636402</v>
      </c>
      <c r="CM29" s="24">
        <v>67.665952890792298</v>
      </c>
      <c r="CN29" s="37"/>
    </row>
    <row r="30" spans="1:92">
      <c r="A30" s="9" t="s">
        <v>360</v>
      </c>
      <c r="B30" s="35">
        <v>27.056844546746401</v>
      </c>
      <c r="C30" s="32">
        <v>26.590874364747499</v>
      </c>
      <c r="D30" s="32">
        <v>26.689653734288999</v>
      </c>
      <c r="E30" s="32">
        <v>25.929972848396702</v>
      </c>
      <c r="F30" s="15">
        <v>41.176470588235297</v>
      </c>
      <c r="G30" s="15">
        <v>47.058823529411796</v>
      </c>
      <c r="H30" s="15">
        <v>43.478260869565197</v>
      </c>
      <c r="I30" s="20" t="s">
        <v>76</v>
      </c>
      <c r="J30" s="15">
        <v>29.8611111111111</v>
      </c>
      <c r="K30" s="15">
        <v>25.6410256410256</v>
      </c>
      <c r="L30" s="15">
        <v>27.868852459016399</v>
      </c>
      <c r="M30" s="15">
        <v>31.578947368421101</v>
      </c>
      <c r="N30" s="15">
        <v>21.176470588235301</v>
      </c>
      <c r="O30" s="15">
        <v>20.930232558139501</v>
      </c>
      <c r="P30" s="15">
        <v>26.760563380281699</v>
      </c>
      <c r="Q30" s="15">
        <v>36.619718309859202</v>
      </c>
      <c r="R30" s="20" t="s">
        <v>76</v>
      </c>
      <c r="S30" s="15">
        <v>21.951219512195099</v>
      </c>
      <c r="T30" s="15">
        <v>41.6666666666667</v>
      </c>
      <c r="U30" s="15">
        <v>23.8095238095238</v>
      </c>
      <c r="V30" s="15">
        <v>26.470588235294102</v>
      </c>
      <c r="W30" s="15">
        <v>16.9491525423729</v>
      </c>
      <c r="X30" s="20" t="s">
        <v>76</v>
      </c>
      <c r="Y30" s="20" t="s">
        <v>76</v>
      </c>
      <c r="Z30" s="15">
        <v>39.743589743589702</v>
      </c>
      <c r="AA30" s="15">
        <v>22.0183486238532</v>
      </c>
      <c r="AB30" s="15">
        <v>23.529411764705898</v>
      </c>
      <c r="AC30" s="15">
        <v>23.484848484848499</v>
      </c>
      <c r="AD30" s="15">
        <v>18.75</v>
      </c>
      <c r="AE30" s="15">
        <v>18.518518518518501</v>
      </c>
      <c r="AF30" s="20" t="s">
        <v>76</v>
      </c>
      <c r="AG30" s="15">
        <v>23.8095238095238</v>
      </c>
      <c r="AH30" s="15">
        <v>26.785714285714299</v>
      </c>
      <c r="AI30" s="20" t="s">
        <v>76</v>
      </c>
      <c r="AJ30" s="15">
        <v>18.918918918918902</v>
      </c>
      <c r="AK30" s="15">
        <v>30</v>
      </c>
      <c r="AL30" s="15">
        <v>41.1111111111111</v>
      </c>
      <c r="AM30" s="15">
        <v>23.4375</v>
      </c>
      <c r="AN30" s="20" t="s">
        <v>76</v>
      </c>
      <c r="AO30" s="15">
        <v>32.5</v>
      </c>
      <c r="AP30" s="15">
        <v>24.675324675324699</v>
      </c>
      <c r="AQ30" s="15">
        <v>25.6410256410256</v>
      </c>
      <c r="AR30" s="15">
        <v>20</v>
      </c>
      <c r="AS30" s="20" t="s">
        <v>76</v>
      </c>
      <c r="AT30" s="15">
        <v>18.461538461538499</v>
      </c>
      <c r="AU30" s="15">
        <v>12.244897959183699</v>
      </c>
      <c r="AV30" s="15">
        <v>20.5479452054795</v>
      </c>
      <c r="AW30" s="15">
        <v>26.724137931034502</v>
      </c>
      <c r="AX30" s="15">
        <v>56.25</v>
      </c>
      <c r="AY30" s="15">
        <v>34.285714285714299</v>
      </c>
      <c r="AZ30" s="15">
        <v>22</v>
      </c>
      <c r="BA30" s="15">
        <v>26.415094339622598</v>
      </c>
      <c r="BB30" s="15">
        <v>26.865671641791</v>
      </c>
      <c r="BC30" s="15">
        <v>22.972972972973</v>
      </c>
      <c r="BD30" s="15">
        <v>25.6410256410256</v>
      </c>
      <c r="BE30" s="15">
        <v>29.310344827586199</v>
      </c>
      <c r="BF30" s="15">
        <v>19.277108433734899</v>
      </c>
      <c r="BG30" s="15">
        <v>16.417910447761201</v>
      </c>
      <c r="BH30" s="15">
        <v>33.3333333333333</v>
      </c>
      <c r="BI30" s="15">
        <v>52.631578947368403</v>
      </c>
      <c r="BJ30" s="15">
        <v>31.25</v>
      </c>
      <c r="BK30" s="15">
        <v>30</v>
      </c>
      <c r="BL30" s="15">
        <v>24.21875</v>
      </c>
      <c r="BM30" s="15">
        <v>28.712871287128699</v>
      </c>
      <c r="BN30" s="15">
        <v>17.647058823529399</v>
      </c>
      <c r="BO30" s="15">
        <v>22.2222222222222</v>
      </c>
      <c r="BP30" s="20" t="s">
        <v>76</v>
      </c>
      <c r="BQ30" s="15">
        <v>23.287671232876701</v>
      </c>
      <c r="BR30" s="15">
        <v>18.3333333333333</v>
      </c>
      <c r="BS30" s="15">
        <v>26.506024096385499</v>
      </c>
      <c r="BT30" s="15">
        <v>31.707317073170699</v>
      </c>
      <c r="BU30" s="15">
        <v>22.429906542056099</v>
      </c>
      <c r="BV30" s="15">
        <v>21.2121212121212</v>
      </c>
      <c r="BW30" s="15">
        <v>34.7826086956522</v>
      </c>
      <c r="BX30" s="20" t="s">
        <v>76</v>
      </c>
      <c r="BY30" s="15">
        <v>15.8730158730159</v>
      </c>
      <c r="BZ30" s="15">
        <v>23.8095238095238</v>
      </c>
      <c r="CA30" s="32">
        <v>27.303149733362499</v>
      </c>
      <c r="CB30" s="15">
        <v>31.629392971245998</v>
      </c>
      <c r="CC30" s="15">
        <v>26.7295597484277</v>
      </c>
      <c r="CD30" s="15">
        <v>19.354838709677399</v>
      </c>
      <c r="CE30" s="20" t="s">
        <v>76</v>
      </c>
      <c r="CF30" s="15">
        <v>26.646706586826301</v>
      </c>
      <c r="CG30" s="15">
        <v>30.726256983240201</v>
      </c>
      <c r="CH30" s="15">
        <v>30.698529411764699</v>
      </c>
      <c r="CI30" s="15">
        <v>25.256673511293599</v>
      </c>
      <c r="CJ30" s="15">
        <v>33.725490196078397</v>
      </c>
      <c r="CK30" s="15">
        <v>22.421524663677101</v>
      </c>
      <c r="CL30" s="15">
        <v>28.484848484848499</v>
      </c>
      <c r="CM30" s="24">
        <v>22.269807280513898</v>
      </c>
      <c r="CN30" s="37"/>
    </row>
    <row r="31" spans="1:92">
      <c r="A31" s="9" t="s">
        <v>361</v>
      </c>
      <c r="B31" s="35">
        <v>3.95508630568728</v>
      </c>
      <c r="C31" s="32">
        <v>3.60540147496449</v>
      </c>
      <c r="D31" s="32">
        <v>3.147137435236</v>
      </c>
      <c r="E31" s="32">
        <v>2.7829074418108202</v>
      </c>
      <c r="F31" s="20" t="s">
        <v>76</v>
      </c>
      <c r="G31" s="20" t="s">
        <v>76</v>
      </c>
      <c r="H31" s="20" t="s">
        <v>76</v>
      </c>
      <c r="I31" s="20" t="s">
        <v>76</v>
      </c>
      <c r="J31" s="15">
        <v>4.1666666666666696</v>
      </c>
      <c r="K31" s="20" t="s">
        <v>76</v>
      </c>
      <c r="L31" s="20" t="s">
        <v>76</v>
      </c>
      <c r="M31" s="15">
        <v>7.8947368421052602</v>
      </c>
      <c r="N31" s="20" t="s">
        <v>76</v>
      </c>
      <c r="O31" s="20" t="s">
        <v>76</v>
      </c>
      <c r="P31" s="20" t="s">
        <v>76</v>
      </c>
      <c r="Q31" s="20" t="s">
        <v>76</v>
      </c>
      <c r="R31" s="20" t="s">
        <v>76</v>
      </c>
      <c r="S31" s="20" t="s">
        <v>76</v>
      </c>
      <c r="T31" s="20" t="s">
        <v>76</v>
      </c>
      <c r="U31" s="20" t="s">
        <v>76</v>
      </c>
      <c r="V31" s="20" t="s">
        <v>76</v>
      </c>
      <c r="W31" s="20" t="s">
        <v>76</v>
      </c>
      <c r="X31" s="20" t="s">
        <v>76</v>
      </c>
      <c r="Y31" s="20" t="s">
        <v>76</v>
      </c>
      <c r="Z31" s="20" t="s">
        <v>76</v>
      </c>
      <c r="AA31" s="20" t="s">
        <v>76</v>
      </c>
      <c r="AB31" s="20" t="s">
        <v>76</v>
      </c>
      <c r="AC31" s="15">
        <v>4.5454545454545396</v>
      </c>
      <c r="AD31" s="20" t="s">
        <v>76</v>
      </c>
      <c r="AE31" s="20" t="s">
        <v>76</v>
      </c>
      <c r="AF31" s="20" t="s">
        <v>76</v>
      </c>
      <c r="AG31" s="20" t="s">
        <v>76</v>
      </c>
      <c r="AH31" s="20" t="s">
        <v>76</v>
      </c>
      <c r="AI31" s="20" t="s">
        <v>76</v>
      </c>
      <c r="AJ31" s="20" t="s">
        <v>76</v>
      </c>
      <c r="AK31" s="20" t="s">
        <v>76</v>
      </c>
      <c r="AL31" s="20" t="s">
        <v>76</v>
      </c>
      <c r="AM31" s="20" t="s">
        <v>76</v>
      </c>
      <c r="AN31" s="20" t="s">
        <v>76</v>
      </c>
      <c r="AO31" s="20" t="s">
        <v>76</v>
      </c>
      <c r="AP31" s="20" t="s">
        <v>76</v>
      </c>
      <c r="AQ31" s="20" t="s">
        <v>76</v>
      </c>
      <c r="AR31" s="20" t="s">
        <v>76</v>
      </c>
      <c r="AS31" s="20" t="s">
        <v>76</v>
      </c>
      <c r="AT31" s="20" t="s">
        <v>76</v>
      </c>
      <c r="AU31" s="20" t="s">
        <v>76</v>
      </c>
      <c r="AV31" s="20" t="s">
        <v>76</v>
      </c>
      <c r="AW31" s="15">
        <v>5.1724137931034502</v>
      </c>
      <c r="AX31" s="20" t="s">
        <v>76</v>
      </c>
      <c r="AY31" s="20" t="s">
        <v>76</v>
      </c>
      <c r="AZ31" s="20" t="s">
        <v>76</v>
      </c>
      <c r="BA31" s="20" t="s">
        <v>76</v>
      </c>
      <c r="BB31" s="20" t="s">
        <v>76</v>
      </c>
      <c r="BC31" s="20" t="s">
        <v>76</v>
      </c>
      <c r="BD31" s="15">
        <v>8.9743589743589691</v>
      </c>
      <c r="BE31" s="20" t="s">
        <v>76</v>
      </c>
      <c r="BF31" s="20" t="s">
        <v>76</v>
      </c>
      <c r="BG31" s="20" t="s">
        <v>76</v>
      </c>
      <c r="BH31" s="20" t="s">
        <v>76</v>
      </c>
      <c r="BI31" s="20" t="s">
        <v>76</v>
      </c>
      <c r="BJ31" s="20" t="s">
        <v>76</v>
      </c>
      <c r="BK31" s="20" t="s">
        <v>76</v>
      </c>
      <c r="BL31" s="20" t="s">
        <v>76</v>
      </c>
      <c r="BM31" s="20" t="s">
        <v>76</v>
      </c>
      <c r="BN31" s="20" t="s">
        <v>76</v>
      </c>
      <c r="BO31" s="20" t="s">
        <v>76</v>
      </c>
      <c r="BP31" s="20" t="s">
        <v>76</v>
      </c>
      <c r="BQ31" s="20" t="s">
        <v>76</v>
      </c>
      <c r="BR31" s="20" t="s">
        <v>76</v>
      </c>
      <c r="BS31" s="20" t="s">
        <v>76</v>
      </c>
      <c r="BT31" s="20" t="s">
        <v>76</v>
      </c>
      <c r="BU31" s="20" t="s">
        <v>76</v>
      </c>
      <c r="BV31" s="20" t="s">
        <v>76</v>
      </c>
      <c r="BW31" s="20" t="s">
        <v>76</v>
      </c>
      <c r="BX31" s="20" t="s">
        <v>76</v>
      </c>
      <c r="BY31" s="20" t="s">
        <v>76</v>
      </c>
      <c r="BZ31" s="20" t="s">
        <v>76</v>
      </c>
      <c r="CA31" s="32">
        <v>3.4412788936543701</v>
      </c>
      <c r="CB31" s="15">
        <v>3.19488817891374</v>
      </c>
      <c r="CC31" s="15">
        <v>5.9748427672956002</v>
      </c>
      <c r="CD31" s="15">
        <v>3.2258064516128999</v>
      </c>
      <c r="CE31" s="20" t="s">
        <v>76</v>
      </c>
      <c r="CF31" s="15">
        <v>2.6946107784431099</v>
      </c>
      <c r="CG31" s="15">
        <v>4.4692737430167604</v>
      </c>
      <c r="CH31" s="15">
        <v>2.9411764705882399</v>
      </c>
      <c r="CI31" s="15">
        <v>4.5174537987679697</v>
      </c>
      <c r="CJ31" s="15">
        <v>4.7058823529411802</v>
      </c>
      <c r="CK31" s="15">
        <v>2.2421524663677102</v>
      </c>
      <c r="CL31" s="15">
        <v>2.7272727272727302</v>
      </c>
      <c r="CM31" s="24">
        <v>1.2847965738758</v>
      </c>
      <c r="CN31" s="37"/>
    </row>
    <row r="32" spans="1:92">
      <c r="A32" s="9" t="s">
        <v>379</v>
      </c>
      <c r="B32" s="35">
        <v>12.3116007412759</v>
      </c>
      <c r="C32" s="32">
        <v>11.2696182473271</v>
      </c>
      <c r="D32" s="32">
        <v>11.469628566970499</v>
      </c>
      <c r="E32" s="32">
        <v>8.9643293156913693</v>
      </c>
      <c r="F32" s="20" t="s">
        <v>76</v>
      </c>
      <c r="G32" s="20" t="s">
        <v>76</v>
      </c>
      <c r="H32" s="20" t="s">
        <v>76</v>
      </c>
      <c r="I32" s="20" t="s">
        <v>76</v>
      </c>
      <c r="J32" s="15">
        <v>11.1111111111111</v>
      </c>
      <c r="K32" s="20" t="s">
        <v>76</v>
      </c>
      <c r="L32" s="15">
        <v>14.7540983606557</v>
      </c>
      <c r="M32" s="15">
        <v>13.157894736842101</v>
      </c>
      <c r="N32" s="20" t="s">
        <v>76</v>
      </c>
      <c r="O32" s="20" t="s">
        <v>76</v>
      </c>
      <c r="P32" s="15">
        <v>16.901408450704199</v>
      </c>
      <c r="Q32" s="20" t="s">
        <v>76</v>
      </c>
      <c r="R32" s="15">
        <v>50</v>
      </c>
      <c r="S32" s="20" t="s">
        <v>76</v>
      </c>
      <c r="T32" s="20" t="s">
        <v>76</v>
      </c>
      <c r="U32" s="20" t="s">
        <v>76</v>
      </c>
      <c r="V32" s="20" t="s">
        <v>76</v>
      </c>
      <c r="W32" s="15">
        <v>16.9491525423729</v>
      </c>
      <c r="X32" s="20" t="s">
        <v>76</v>
      </c>
      <c r="Y32" s="20" t="s">
        <v>76</v>
      </c>
      <c r="Z32" s="20" t="s">
        <v>76</v>
      </c>
      <c r="AA32" s="15">
        <v>5.5045871559632999</v>
      </c>
      <c r="AB32" s="20" t="s">
        <v>76</v>
      </c>
      <c r="AC32" s="15">
        <v>9.8484848484848495</v>
      </c>
      <c r="AD32" s="20" t="s">
        <v>76</v>
      </c>
      <c r="AE32" s="20" t="s">
        <v>76</v>
      </c>
      <c r="AF32" s="20" t="s">
        <v>76</v>
      </c>
      <c r="AG32" s="15">
        <v>8.5714285714285694</v>
      </c>
      <c r="AH32" s="15">
        <v>16.071428571428601</v>
      </c>
      <c r="AI32" s="20" t="s">
        <v>76</v>
      </c>
      <c r="AJ32" s="15">
        <v>7.20720720720721</v>
      </c>
      <c r="AK32" s="20" t="s">
        <v>76</v>
      </c>
      <c r="AL32" s="15">
        <v>10</v>
      </c>
      <c r="AM32" s="20" t="s">
        <v>76</v>
      </c>
      <c r="AN32" s="20" t="s">
        <v>76</v>
      </c>
      <c r="AO32" s="20" t="s">
        <v>76</v>
      </c>
      <c r="AP32" s="20" t="s">
        <v>76</v>
      </c>
      <c r="AQ32" s="20" t="s">
        <v>76</v>
      </c>
      <c r="AR32" s="20" t="s">
        <v>76</v>
      </c>
      <c r="AS32" s="20" t="s">
        <v>76</v>
      </c>
      <c r="AT32" s="20" t="s">
        <v>76</v>
      </c>
      <c r="AU32" s="20" t="s">
        <v>76</v>
      </c>
      <c r="AV32" s="15">
        <v>12.328767123287699</v>
      </c>
      <c r="AW32" s="15">
        <v>12.9310344827586</v>
      </c>
      <c r="AX32" s="20" t="s">
        <v>76</v>
      </c>
      <c r="AY32" s="20" t="s">
        <v>76</v>
      </c>
      <c r="AZ32" s="20" t="s">
        <v>76</v>
      </c>
      <c r="BA32" s="15">
        <v>9.4339622641509404</v>
      </c>
      <c r="BB32" s="20" t="s">
        <v>76</v>
      </c>
      <c r="BC32" s="20" t="s">
        <v>76</v>
      </c>
      <c r="BD32" s="15">
        <v>7.6923076923076898</v>
      </c>
      <c r="BE32" s="20" t="s">
        <v>76</v>
      </c>
      <c r="BF32" s="15">
        <v>16.867469879518101</v>
      </c>
      <c r="BG32" s="15">
        <v>7.4626865671641802</v>
      </c>
      <c r="BH32" s="20" t="s">
        <v>76</v>
      </c>
      <c r="BI32" s="20" t="s">
        <v>76</v>
      </c>
      <c r="BJ32" s="15">
        <v>8.9285714285714306</v>
      </c>
      <c r="BK32" s="20" t="s">
        <v>76</v>
      </c>
      <c r="BL32" s="15">
        <v>4.6875</v>
      </c>
      <c r="BM32" s="15">
        <v>4.9504950495049496</v>
      </c>
      <c r="BN32" s="15">
        <v>4.2016806722689104</v>
      </c>
      <c r="BO32" s="15">
        <v>10</v>
      </c>
      <c r="BP32" s="20" t="s">
        <v>76</v>
      </c>
      <c r="BQ32" s="15">
        <v>6.8493150684931496</v>
      </c>
      <c r="BR32" s="15">
        <v>10</v>
      </c>
      <c r="BS32" s="15">
        <v>9.6385542168674707</v>
      </c>
      <c r="BT32" s="15">
        <v>10.975609756097599</v>
      </c>
      <c r="BU32" s="15">
        <v>11.214953271028</v>
      </c>
      <c r="BV32" s="20" t="s">
        <v>76</v>
      </c>
      <c r="BW32" s="15">
        <v>15.9420289855072</v>
      </c>
      <c r="BX32" s="20" t="s">
        <v>76</v>
      </c>
      <c r="BY32" s="20" t="s">
        <v>76</v>
      </c>
      <c r="BZ32" s="15">
        <v>7.4829931972789101</v>
      </c>
      <c r="CA32" s="32">
        <v>13.492834752204899</v>
      </c>
      <c r="CB32" s="15">
        <v>15.654952076677301</v>
      </c>
      <c r="CC32" s="15">
        <v>20.125786163522001</v>
      </c>
      <c r="CD32" s="15">
        <v>10.322580645161301</v>
      </c>
      <c r="CE32" s="20" t="s">
        <v>76</v>
      </c>
      <c r="CF32" s="15">
        <v>17.365269461077801</v>
      </c>
      <c r="CG32" s="15">
        <v>16.759776536312799</v>
      </c>
      <c r="CH32" s="15">
        <v>10.110294117647101</v>
      </c>
      <c r="CI32" s="15">
        <v>14.7843942505133</v>
      </c>
      <c r="CJ32" s="15">
        <v>14.117647058823501</v>
      </c>
      <c r="CK32" s="15">
        <v>15.2466367713004</v>
      </c>
      <c r="CL32" s="15">
        <v>7.4242424242424203</v>
      </c>
      <c r="CM32" s="24">
        <v>8.7794432548179895</v>
      </c>
      <c r="CN32" s="37"/>
    </row>
    <row r="33" spans="1:92">
      <c r="A33" s="39" t="s">
        <v>380</v>
      </c>
      <c r="B33" s="35"/>
      <c r="C33" s="32"/>
      <c r="D33" s="32"/>
      <c r="E33" s="32"/>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32"/>
      <c r="CB33" s="15"/>
      <c r="CC33" s="15"/>
      <c r="CD33" s="15"/>
      <c r="CE33" s="15"/>
      <c r="CF33" s="15"/>
      <c r="CG33" s="15"/>
      <c r="CH33" s="15"/>
      <c r="CI33" s="15"/>
      <c r="CJ33" s="15"/>
      <c r="CK33" s="15"/>
      <c r="CL33" s="15"/>
      <c r="CM33" s="24"/>
      <c r="CN33" s="37"/>
    </row>
    <row r="34" spans="1:92">
      <c r="A34" s="9" t="s">
        <v>381</v>
      </c>
      <c r="B34" s="35">
        <v>27.539574223517899</v>
      </c>
      <c r="C34" s="32">
        <v>27.552996314699602</v>
      </c>
      <c r="D34" s="32">
        <v>27.893006079551299</v>
      </c>
      <c r="E34" s="32">
        <v>34.865988469768602</v>
      </c>
      <c r="F34" s="20" t="s">
        <v>76</v>
      </c>
      <c r="G34" s="15">
        <v>35.294117647058798</v>
      </c>
      <c r="H34" s="15">
        <v>39.130434782608702</v>
      </c>
      <c r="I34" s="20" t="s">
        <v>76</v>
      </c>
      <c r="J34" s="15">
        <v>34.7222222222222</v>
      </c>
      <c r="K34" s="15">
        <v>46.153846153846203</v>
      </c>
      <c r="L34" s="15">
        <v>26.229508196721302</v>
      </c>
      <c r="M34" s="15">
        <v>28.947368421052602</v>
      </c>
      <c r="N34" s="15">
        <v>43.529411764705898</v>
      </c>
      <c r="O34" s="15">
        <v>37.209302325581397</v>
      </c>
      <c r="P34" s="15">
        <v>46.478873239436602</v>
      </c>
      <c r="Q34" s="15">
        <v>32.394366197183103</v>
      </c>
      <c r="R34" s="15">
        <v>19.230769230769202</v>
      </c>
      <c r="S34" s="15">
        <v>36.585365853658502</v>
      </c>
      <c r="T34" s="15">
        <v>29.1666666666667</v>
      </c>
      <c r="U34" s="15">
        <v>42.857142857142897</v>
      </c>
      <c r="V34" s="15">
        <v>26.470588235294102</v>
      </c>
      <c r="W34" s="15">
        <v>40.677966101694899</v>
      </c>
      <c r="X34" s="15">
        <v>38.461538461538503</v>
      </c>
      <c r="Y34" s="20" t="s">
        <v>76</v>
      </c>
      <c r="Z34" s="15">
        <v>20.5128205128205</v>
      </c>
      <c r="AA34" s="15">
        <v>44.0366972477064</v>
      </c>
      <c r="AB34" s="15">
        <v>36.764705882352899</v>
      </c>
      <c r="AC34" s="15">
        <v>40.909090909090899</v>
      </c>
      <c r="AD34" s="15">
        <v>46.875</v>
      </c>
      <c r="AE34" s="15">
        <v>37.037037037037003</v>
      </c>
      <c r="AF34" s="15">
        <v>50</v>
      </c>
      <c r="AG34" s="15">
        <v>32.380952380952401</v>
      </c>
      <c r="AH34" s="15">
        <v>23.214285714285701</v>
      </c>
      <c r="AI34" s="20" t="s">
        <v>76</v>
      </c>
      <c r="AJ34" s="15">
        <v>30.630630630630598</v>
      </c>
      <c r="AK34" s="15">
        <v>36.6666666666667</v>
      </c>
      <c r="AL34" s="15">
        <v>20</v>
      </c>
      <c r="AM34" s="15">
        <v>35.9375</v>
      </c>
      <c r="AN34" s="20" t="s">
        <v>76</v>
      </c>
      <c r="AO34" s="15">
        <v>37.5</v>
      </c>
      <c r="AP34" s="15">
        <v>38.961038961039002</v>
      </c>
      <c r="AQ34" s="15">
        <v>30.769230769230798</v>
      </c>
      <c r="AR34" s="15">
        <v>41.818181818181799</v>
      </c>
      <c r="AS34" s="15">
        <v>45.454545454545503</v>
      </c>
      <c r="AT34" s="15">
        <v>36.923076923076898</v>
      </c>
      <c r="AU34" s="15">
        <v>32.653061224489797</v>
      </c>
      <c r="AV34" s="15">
        <v>38.356164383561598</v>
      </c>
      <c r="AW34" s="15">
        <v>26.724137931034502</v>
      </c>
      <c r="AX34" s="15">
        <v>31.25</v>
      </c>
      <c r="AY34" s="15">
        <v>22.8571428571429</v>
      </c>
      <c r="AZ34" s="15">
        <v>30</v>
      </c>
      <c r="BA34" s="15">
        <v>33.962264150943398</v>
      </c>
      <c r="BB34" s="15">
        <v>37.313432835820898</v>
      </c>
      <c r="BC34" s="15">
        <v>39.1891891891892</v>
      </c>
      <c r="BD34" s="15">
        <v>39.743589743589702</v>
      </c>
      <c r="BE34" s="15">
        <v>31.034482758620701</v>
      </c>
      <c r="BF34" s="15">
        <v>37.349397590361399</v>
      </c>
      <c r="BG34" s="15">
        <v>32.835820895522403</v>
      </c>
      <c r="BH34" s="20" t="s">
        <v>76</v>
      </c>
      <c r="BI34" s="15">
        <v>26.315789473684202</v>
      </c>
      <c r="BJ34" s="15">
        <v>27.678571428571399</v>
      </c>
      <c r="BK34" s="15">
        <v>37.5</v>
      </c>
      <c r="BL34" s="15">
        <v>39.0625</v>
      </c>
      <c r="BM34" s="15">
        <v>37.6237623762376</v>
      </c>
      <c r="BN34" s="15">
        <v>47.058823529411796</v>
      </c>
      <c r="BO34" s="15">
        <v>30</v>
      </c>
      <c r="BP34" s="20" t="s">
        <v>76</v>
      </c>
      <c r="BQ34" s="15">
        <v>41.095890410958901</v>
      </c>
      <c r="BR34" s="15">
        <v>41.6666666666667</v>
      </c>
      <c r="BS34" s="15">
        <v>24.096385542168701</v>
      </c>
      <c r="BT34" s="15">
        <v>32.9268292682927</v>
      </c>
      <c r="BU34" s="15">
        <v>30.841121495327101</v>
      </c>
      <c r="BV34" s="15">
        <v>48.484848484848499</v>
      </c>
      <c r="BW34" s="15">
        <v>26.086956521739101</v>
      </c>
      <c r="BX34" s="15">
        <v>55.5555555555556</v>
      </c>
      <c r="BY34" s="15">
        <v>41.269841269841301</v>
      </c>
      <c r="BZ34" s="15">
        <v>41.496598639455797</v>
      </c>
      <c r="CA34" s="32">
        <v>22.261830045704102</v>
      </c>
      <c r="CB34" s="15">
        <v>23.0031948881789</v>
      </c>
      <c r="CC34" s="15">
        <v>16.981132075471699</v>
      </c>
      <c r="CD34" s="15">
        <v>30.9677419354839</v>
      </c>
      <c r="CE34" s="20" t="s">
        <v>76</v>
      </c>
      <c r="CF34" s="15">
        <v>21.856287425149699</v>
      </c>
      <c r="CG34" s="15">
        <v>22.905027932960898</v>
      </c>
      <c r="CH34" s="15">
        <v>19.852941176470601</v>
      </c>
      <c r="CI34" s="15">
        <v>21.9712525667351</v>
      </c>
      <c r="CJ34" s="15">
        <v>18.431372549019599</v>
      </c>
      <c r="CK34" s="15">
        <v>23.318385650224201</v>
      </c>
      <c r="CL34" s="15">
        <v>26.060606060606101</v>
      </c>
      <c r="CM34" s="24">
        <v>24.625267665952901</v>
      </c>
      <c r="CN34" s="37"/>
    </row>
    <row r="35" spans="1:92">
      <c r="A35" s="9" t="s">
        <v>382</v>
      </c>
      <c r="B35" s="35">
        <v>41.764469866735702</v>
      </c>
      <c r="C35" s="32">
        <v>41.925304211962697</v>
      </c>
      <c r="D35" s="32">
        <v>41.758470975678399</v>
      </c>
      <c r="E35" s="32">
        <v>40.309792744426097</v>
      </c>
      <c r="F35" s="15">
        <v>70.588235294117595</v>
      </c>
      <c r="G35" s="15">
        <v>47.058823529411796</v>
      </c>
      <c r="H35" s="15">
        <v>52.173913043478301</v>
      </c>
      <c r="I35" s="15">
        <v>60</v>
      </c>
      <c r="J35" s="15">
        <v>36.8055555555556</v>
      </c>
      <c r="K35" s="15">
        <v>28.205128205128201</v>
      </c>
      <c r="L35" s="15">
        <v>52.459016393442603</v>
      </c>
      <c r="M35" s="15">
        <v>43.421052631578902</v>
      </c>
      <c r="N35" s="15">
        <v>40</v>
      </c>
      <c r="O35" s="15">
        <v>44.1860465116279</v>
      </c>
      <c r="P35" s="15">
        <v>38.028169014084497</v>
      </c>
      <c r="Q35" s="15">
        <v>35.2112676056338</v>
      </c>
      <c r="R35" s="15">
        <v>38.461538461538503</v>
      </c>
      <c r="S35" s="15">
        <v>41.463414634146297</v>
      </c>
      <c r="T35" s="15">
        <v>45.8333333333333</v>
      </c>
      <c r="U35" s="15">
        <v>42.857142857142897</v>
      </c>
      <c r="V35" s="15">
        <v>38.235294117647101</v>
      </c>
      <c r="W35" s="15">
        <v>35.593220338983102</v>
      </c>
      <c r="X35" s="20" t="s">
        <v>76</v>
      </c>
      <c r="Y35" s="20" t="s">
        <v>76</v>
      </c>
      <c r="Z35" s="15">
        <v>48.717948717948701</v>
      </c>
      <c r="AA35" s="15">
        <v>42.201834862385297</v>
      </c>
      <c r="AB35" s="15">
        <v>39.705882352941202</v>
      </c>
      <c r="AC35" s="15">
        <v>32.575757575757599</v>
      </c>
      <c r="AD35" s="15">
        <v>34.375</v>
      </c>
      <c r="AE35" s="15">
        <v>44.4444444444444</v>
      </c>
      <c r="AF35" s="20" t="s">
        <v>76</v>
      </c>
      <c r="AG35" s="15">
        <v>32.380952380952401</v>
      </c>
      <c r="AH35" s="15">
        <v>58.928571428571402</v>
      </c>
      <c r="AI35" s="20" t="s">
        <v>76</v>
      </c>
      <c r="AJ35" s="15">
        <v>49.549549549549504</v>
      </c>
      <c r="AK35" s="15">
        <v>36.6666666666667</v>
      </c>
      <c r="AL35" s="15">
        <v>50</v>
      </c>
      <c r="AM35" s="15">
        <v>45.3125</v>
      </c>
      <c r="AN35" s="15">
        <v>75</v>
      </c>
      <c r="AO35" s="15">
        <v>25</v>
      </c>
      <c r="AP35" s="15">
        <v>33.766233766233803</v>
      </c>
      <c r="AQ35" s="15">
        <v>38.461538461538503</v>
      </c>
      <c r="AR35" s="15">
        <v>32.727272727272698</v>
      </c>
      <c r="AS35" s="20" t="s">
        <v>76</v>
      </c>
      <c r="AT35" s="15">
        <v>35.384615384615401</v>
      </c>
      <c r="AU35" s="15">
        <v>46.938775510204103</v>
      </c>
      <c r="AV35" s="15">
        <v>32.876712328767098</v>
      </c>
      <c r="AW35" s="15">
        <v>46.551724137930997</v>
      </c>
      <c r="AX35" s="15">
        <v>37.5</v>
      </c>
      <c r="AY35" s="15">
        <v>57.142857142857103</v>
      </c>
      <c r="AZ35" s="15">
        <v>46</v>
      </c>
      <c r="BA35" s="15">
        <v>45.283018867924497</v>
      </c>
      <c r="BB35" s="15">
        <v>47.761194029850699</v>
      </c>
      <c r="BC35" s="15">
        <v>39.1891891891892</v>
      </c>
      <c r="BD35" s="15">
        <v>35.897435897435898</v>
      </c>
      <c r="BE35" s="15">
        <v>44.827586206896598</v>
      </c>
      <c r="BF35" s="15">
        <v>27.710843373494001</v>
      </c>
      <c r="BG35" s="15">
        <v>47.761194029850699</v>
      </c>
      <c r="BH35" s="15">
        <v>66.6666666666667</v>
      </c>
      <c r="BI35" s="15">
        <v>31.578947368421101</v>
      </c>
      <c r="BJ35" s="15">
        <v>41.071428571428598</v>
      </c>
      <c r="BK35" s="15">
        <v>37.5</v>
      </c>
      <c r="BL35" s="15">
        <v>37.5</v>
      </c>
      <c r="BM35" s="15">
        <v>39.603960396039597</v>
      </c>
      <c r="BN35" s="15">
        <v>35.294117647058798</v>
      </c>
      <c r="BO35" s="15">
        <v>42.2222222222222</v>
      </c>
      <c r="BP35" s="15">
        <v>73.3333333333333</v>
      </c>
      <c r="BQ35" s="15">
        <v>50.684931506849303</v>
      </c>
      <c r="BR35" s="15">
        <v>25</v>
      </c>
      <c r="BS35" s="15">
        <v>48.192771084337402</v>
      </c>
      <c r="BT35" s="15">
        <v>32.9268292682927</v>
      </c>
      <c r="BU35" s="15">
        <v>42.990654205607498</v>
      </c>
      <c r="BV35" s="15">
        <v>37.373737373737399</v>
      </c>
      <c r="BW35" s="15">
        <v>39.130434782608702</v>
      </c>
      <c r="BX35" s="20" t="s">
        <v>76</v>
      </c>
      <c r="BY35" s="15">
        <v>38.095238095238102</v>
      </c>
      <c r="BZ35" s="15">
        <v>36.734693877551003</v>
      </c>
      <c r="CA35" s="32">
        <v>42.928381019912599</v>
      </c>
      <c r="CB35" s="15">
        <v>42.492012779552702</v>
      </c>
      <c r="CC35" s="15">
        <v>39.622641509433997</v>
      </c>
      <c r="CD35" s="15">
        <v>52.903225806451601</v>
      </c>
      <c r="CE35" s="20" t="s">
        <v>76</v>
      </c>
      <c r="CF35" s="15">
        <v>41.017964071856298</v>
      </c>
      <c r="CG35" s="15">
        <v>39.106145251396597</v>
      </c>
      <c r="CH35" s="15">
        <v>47.058823529411796</v>
      </c>
      <c r="CI35" s="15">
        <v>42.710472279260799</v>
      </c>
      <c r="CJ35" s="15">
        <v>52.5490196078431</v>
      </c>
      <c r="CK35" s="15">
        <v>43.497757847533599</v>
      </c>
      <c r="CL35" s="15">
        <v>40.7575757575758</v>
      </c>
      <c r="CM35" s="24">
        <v>43.254817987152002</v>
      </c>
      <c r="CN35" s="37"/>
    </row>
    <row r="36" spans="1:92">
      <c r="A36" s="9" t="s">
        <v>383</v>
      </c>
      <c r="B36" s="35">
        <v>22.5084723469366</v>
      </c>
      <c r="C36" s="32">
        <v>22.640826603314899</v>
      </c>
      <c r="D36" s="32">
        <v>22.2908863387945</v>
      </c>
      <c r="E36" s="32">
        <v>18.052456624840101</v>
      </c>
      <c r="F36" s="20" t="s">
        <v>76</v>
      </c>
      <c r="G36" s="20" t="s">
        <v>76</v>
      </c>
      <c r="H36" s="20" t="s">
        <v>76</v>
      </c>
      <c r="I36" s="20" t="s">
        <v>76</v>
      </c>
      <c r="J36" s="15">
        <v>18.75</v>
      </c>
      <c r="K36" s="15">
        <v>23.076923076923102</v>
      </c>
      <c r="L36" s="15">
        <v>14.7540983606557</v>
      </c>
      <c r="M36" s="15">
        <v>25</v>
      </c>
      <c r="N36" s="15">
        <v>14.117647058823501</v>
      </c>
      <c r="O36" s="15">
        <v>16.2790697674419</v>
      </c>
      <c r="P36" s="15">
        <v>12.6760563380282</v>
      </c>
      <c r="Q36" s="15">
        <v>22.5352112676056</v>
      </c>
      <c r="R36" s="15">
        <v>26.923076923076898</v>
      </c>
      <c r="S36" s="20" t="s">
        <v>76</v>
      </c>
      <c r="T36" s="15">
        <v>18.75</v>
      </c>
      <c r="U36" s="20" t="s">
        <v>76</v>
      </c>
      <c r="V36" s="15">
        <v>29.411764705882401</v>
      </c>
      <c r="W36" s="15">
        <v>13.559322033898299</v>
      </c>
      <c r="X36" s="15">
        <v>38.461538461538503</v>
      </c>
      <c r="Y36" s="20" t="s">
        <v>76</v>
      </c>
      <c r="Z36" s="15">
        <v>24.3589743589744</v>
      </c>
      <c r="AA36" s="15">
        <v>11.926605504587201</v>
      </c>
      <c r="AB36" s="15">
        <v>11.764705882352899</v>
      </c>
      <c r="AC36" s="15">
        <v>16.6666666666667</v>
      </c>
      <c r="AD36" s="15">
        <v>15.625</v>
      </c>
      <c r="AE36" s="20" t="s">
        <v>76</v>
      </c>
      <c r="AF36" s="20" t="s">
        <v>76</v>
      </c>
      <c r="AG36" s="15">
        <v>29.523809523809501</v>
      </c>
      <c r="AH36" s="15">
        <v>12.5</v>
      </c>
      <c r="AI36" s="20" t="s">
        <v>76</v>
      </c>
      <c r="AJ36" s="15">
        <v>15.315315315315299</v>
      </c>
      <c r="AK36" s="15">
        <v>23.3333333333333</v>
      </c>
      <c r="AL36" s="15">
        <v>18.8888888888889</v>
      </c>
      <c r="AM36" s="15">
        <v>15.625</v>
      </c>
      <c r="AN36" s="20" t="s">
        <v>76</v>
      </c>
      <c r="AO36" s="15">
        <v>27.5</v>
      </c>
      <c r="AP36" s="15">
        <v>19.480519480519501</v>
      </c>
      <c r="AQ36" s="15">
        <v>23.076923076923102</v>
      </c>
      <c r="AR36" s="15">
        <v>14.545454545454501</v>
      </c>
      <c r="AS36" s="20" t="s">
        <v>76</v>
      </c>
      <c r="AT36" s="15">
        <v>21.538461538461501</v>
      </c>
      <c r="AU36" s="15">
        <v>16.326530612244898</v>
      </c>
      <c r="AV36" s="15">
        <v>21.917808219178099</v>
      </c>
      <c r="AW36" s="15">
        <v>25</v>
      </c>
      <c r="AX36" s="20" t="s">
        <v>76</v>
      </c>
      <c r="AY36" s="20" t="s">
        <v>76</v>
      </c>
      <c r="AZ36" s="15">
        <v>20</v>
      </c>
      <c r="BA36" s="15">
        <v>18.867924528301899</v>
      </c>
      <c r="BB36" s="15">
        <v>11.9402985074627</v>
      </c>
      <c r="BC36" s="15">
        <v>16.2162162162162</v>
      </c>
      <c r="BD36" s="15">
        <v>17.948717948717899</v>
      </c>
      <c r="BE36" s="15">
        <v>18.965517241379299</v>
      </c>
      <c r="BF36" s="15">
        <v>14.4578313253012</v>
      </c>
      <c r="BG36" s="15">
        <v>13.4328358208955</v>
      </c>
      <c r="BH36" s="20" t="s">
        <v>76</v>
      </c>
      <c r="BI36" s="15">
        <v>36.842105263157897</v>
      </c>
      <c r="BJ36" s="15">
        <v>23.214285714285701</v>
      </c>
      <c r="BK36" s="15">
        <v>20</v>
      </c>
      <c r="BL36" s="15">
        <v>16.40625</v>
      </c>
      <c r="BM36" s="15">
        <v>20.7920792079208</v>
      </c>
      <c r="BN36" s="15">
        <v>13.445378151260501</v>
      </c>
      <c r="BO36" s="15">
        <v>24.4444444444444</v>
      </c>
      <c r="BP36" s="20" t="s">
        <v>76</v>
      </c>
      <c r="BQ36" s="15">
        <v>8.2191780821917799</v>
      </c>
      <c r="BR36" s="15">
        <v>25</v>
      </c>
      <c r="BS36" s="15">
        <v>19.277108433734899</v>
      </c>
      <c r="BT36" s="15">
        <v>25.609756097561</v>
      </c>
      <c r="BU36" s="15">
        <v>19.6261682242991</v>
      </c>
      <c r="BV36" s="15">
        <v>8.0808080808080796</v>
      </c>
      <c r="BW36" s="15">
        <v>23.188405797101499</v>
      </c>
      <c r="BX36" s="20" t="s">
        <v>76</v>
      </c>
      <c r="BY36" s="15">
        <v>12.698412698412699</v>
      </c>
      <c r="BZ36" s="15">
        <v>14.285714285714301</v>
      </c>
      <c r="CA36" s="32">
        <v>25.713717846278399</v>
      </c>
      <c r="CB36" s="15">
        <v>21.725239616613401</v>
      </c>
      <c r="CC36" s="15">
        <v>32.075471698113198</v>
      </c>
      <c r="CD36" s="15">
        <v>12.9032258064516</v>
      </c>
      <c r="CE36" s="20" t="s">
        <v>76</v>
      </c>
      <c r="CF36" s="15">
        <v>26.347305389221599</v>
      </c>
      <c r="CG36" s="15">
        <v>30.167597765363102</v>
      </c>
      <c r="CH36" s="15">
        <v>27.205882352941199</v>
      </c>
      <c r="CI36" s="15">
        <v>25.6673511293634</v>
      </c>
      <c r="CJ36" s="15">
        <v>22.352941176470601</v>
      </c>
      <c r="CK36" s="15">
        <v>24.215246636771301</v>
      </c>
      <c r="CL36" s="15">
        <v>25</v>
      </c>
      <c r="CM36" s="24">
        <v>26.766595289079198</v>
      </c>
      <c r="CN36" s="37"/>
    </row>
    <row r="37" spans="1:92">
      <c r="A37" s="11" t="s">
        <v>384</v>
      </c>
      <c r="B37" s="36">
        <v>8.1874835628098204</v>
      </c>
      <c r="C37" s="33">
        <v>7.8808728700227402</v>
      </c>
      <c r="D37" s="33">
        <v>8.0576366059758193</v>
      </c>
      <c r="E37" s="33">
        <v>6.77176216096513</v>
      </c>
      <c r="F37" s="28" t="s">
        <v>76</v>
      </c>
      <c r="G37" s="28" t="s">
        <v>76</v>
      </c>
      <c r="H37" s="28" t="s">
        <v>76</v>
      </c>
      <c r="I37" s="28" t="s">
        <v>76</v>
      </c>
      <c r="J37" s="16">
        <v>9.7222222222222197</v>
      </c>
      <c r="K37" s="28" t="s">
        <v>76</v>
      </c>
      <c r="L37" s="28" t="s">
        <v>76</v>
      </c>
      <c r="M37" s="28" t="s">
        <v>76</v>
      </c>
      <c r="N37" s="28" t="s">
        <v>76</v>
      </c>
      <c r="O37" s="28" t="s">
        <v>76</v>
      </c>
      <c r="P37" s="28" t="s">
        <v>76</v>
      </c>
      <c r="Q37" s="16">
        <v>9.8591549295774694</v>
      </c>
      <c r="R37" s="28" t="s">
        <v>76</v>
      </c>
      <c r="S37" s="16">
        <v>12.1951219512195</v>
      </c>
      <c r="T37" s="28" t="s">
        <v>76</v>
      </c>
      <c r="U37" s="28" t="s">
        <v>76</v>
      </c>
      <c r="V37" s="28" t="s">
        <v>76</v>
      </c>
      <c r="W37" s="16">
        <v>10.1694915254237</v>
      </c>
      <c r="X37" s="28" t="s">
        <v>76</v>
      </c>
      <c r="Y37" s="28" t="s">
        <v>76</v>
      </c>
      <c r="Z37" s="16">
        <v>6.4102564102564097</v>
      </c>
      <c r="AA37" s="28" t="s">
        <v>76</v>
      </c>
      <c r="AB37" s="16">
        <v>11.764705882352899</v>
      </c>
      <c r="AC37" s="16">
        <v>9.8484848484848495</v>
      </c>
      <c r="AD37" s="28" t="s">
        <v>76</v>
      </c>
      <c r="AE37" s="28" t="s">
        <v>76</v>
      </c>
      <c r="AF37" s="28" t="s">
        <v>76</v>
      </c>
      <c r="AG37" s="16">
        <v>5.71428571428571</v>
      </c>
      <c r="AH37" s="28" t="s">
        <v>76</v>
      </c>
      <c r="AI37" s="28" t="s">
        <v>76</v>
      </c>
      <c r="AJ37" s="16">
        <v>4.5045045045045002</v>
      </c>
      <c r="AK37" s="28" t="s">
        <v>76</v>
      </c>
      <c r="AL37" s="16">
        <v>11.1111111111111</v>
      </c>
      <c r="AM37" s="28" t="s">
        <v>76</v>
      </c>
      <c r="AN37" s="28" t="s">
        <v>76</v>
      </c>
      <c r="AO37" s="28" t="s">
        <v>76</v>
      </c>
      <c r="AP37" s="16">
        <v>7.7922077922077904</v>
      </c>
      <c r="AQ37" s="28" t="s">
        <v>76</v>
      </c>
      <c r="AR37" s="16">
        <v>10.909090909090899</v>
      </c>
      <c r="AS37" s="28" t="s">
        <v>76</v>
      </c>
      <c r="AT37" s="28" t="s">
        <v>76</v>
      </c>
      <c r="AU37" s="28" t="s">
        <v>76</v>
      </c>
      <c r="AV37" s="16">
        <v>6.8493150684931496</v>
      </c>
      <c r="AW37" s="28" t="s">
        <v>76</v>
      </c>
      <c r="AX37" s="28" t="s">
        <v>76</v>
      </c>
      <c r="AY37" s="28" t="s">
        <v>76</v>
      </c>
      <c r="AZ37" s="28" t="s">
        <v>76</v>
      </c>
      <c r="BA37" s="28" t="s">
        <v>76</v>
      </c>
      <c r="BB37" s="28" t="s">
        <v>76</v>
      </c>
      <c r="BC37" s="28" t="s">
        <v>76</v>
      </c>
      <c r="BD37" s="16">
        <v>6.4102564102564097</v>
      </c>
      <c r="BE37" s="28" t="s">
        <v>76</v>
      </c>
      <c r="BF37" s="16">
        <v>20.481927710843401</v>
      </c>
      <c r="BG37" s="28" t="s">
        <v>76</v>
      </c>
      <c r="BH37" s="28" t="s">
        <v>76</v>
      </c>
      <c r="BI37" s="28" t="s">
        <v>76</v>
      </c>
      <c r="BJ37" s="16">
        <v>8.0357142857142794</v>
      </c>
      <c r="BK37" s="28" t="s">
        <v>76</v>
      </c>
      <c r="BL37" s="16">
        <v>7.03125</v>
      </c>
      <c r="BM37" s="28" t="s">
        <v>76</v>
      </c>
      <c r="BN37" s="16">
        <v>4.2016806722689104</v>
      </c>
      <c r="BO37" s="28" t="s">
        <v>76</v>
      </c>
      <c r="BP37" s="28" t="s">
        <v>76</v>
      </c>
      <c r="BQ37" s="28" t="s">
        <v>76</v>
      </c>
      <c r="BR37" s="16">
        <v>8.3333333333333304</v>
      </c>
      <c r="BS37" s="16">
        <v>8.4337349397590398</v>
      </c>
      <c r="BT37" s="16">
        <v>8.5365853658536608</v>
      </c>
      <c r="BU37" s="16">
        <v>6.5420560747663501</v>
      </c>
      <c r="BV37" s="16">
        <v>6.0606060606060597</v>
      </c>
      <c r="BW37" s="16">
        <v>11.5942028985507</v>
      </c>
      <c r="BX37" s="28" t="s">
        <v>76</v>
      </c>
      <c r="BY37" s="16">
        <v>7.9365079365079403</v>
      </c>
      <c r="BZ37" s="16">
        <v>7.4829931972789101</v>
      </c>
      <c r="CA37" s="33">
        <v>9.0960710881049405</v>
      </c>
      <c r="CB37" s="16">
        <v>12.779552715655001</v>
      </c>
      <c r="CC37" s="16">
        <v>11.320754716981099</v>
      </c>
      <c r="CD37" s="16">
        <v>3.2258064516128999</v>
      </c>
      <c r="CE37" s="28" t="s">
        <v>76</v>
      </c>
      <c r="CF37" s="16">
        <v>10.7784431137725</v>
      </c>
      <c r="CG37" s="16">
        <v>7.8212290502793298</v>
      </c>
      <c r="CH37" s="16">
        <v>5.8823529411764701</v>
      </c>
      <c r="CI37" s="16">
        <v>9.6509240246406591</v>
      </c>
      <c r="CJ37" s="16">
        <v>6.6666666666666696</v>
      </c>
      <c r="CK37" s="16">
        <v>8.9686098654708495</v>
      </c>
      <c r="CL37" s="16">
        <v>8.1818181818181799</v>
      </c>
      <c r="CM37" s="25">
        <v>5.3533190578158498</v>
      </c>
      <c r="CN37" s="37"/>
    </row>
    <row r="38" spans="1:92" ht="30" customHeight="1">
      <c r="A38" t="s">
        <v>252</v>
      </c>
    </row>
    <row r="39" spans="1:92">
      <c r="A39" t="s">
        <v>143</v>
      </c>
    </row>
    <row r="40" spans="1:92">
      <c r="A40" t="s">
        <v>144</v>
      </c>
    </row>
    <row r="41" spans="1:92">
      <c r="A41" t="s">
        <v>145</v>
      </c>
    </row>
    <row r="42" spans="1:92">
      <c r="A42" t="s">
        <v>146</v>
      </c>
    </row>
    <row r="43" spans="1:92">
      <c r="A43" t="s">
        <v>147</v>
      </c>
    </row>
    <row r="44" spans="1:92">
      <c r="A44"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28"/>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386</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39" t="s">
        <v>387</v>
      </c>
      <c r="B3" s="15"/>
      <c r="C3" s="15"/>
      <c r="D3" s="24"/>
      <c r="E3" s="15"/>
      <c r="F3" s="15"/>
      <c r="G3" s="24"/>
      <c r="H3" s="15"/>
      <c r="I3" s="15"/>
      <c r="J3" s="24"/>
      <c r="K3" s="15"/>
      <c r="L3" s="15"/>
      <c r="M3" s="24"/>
      <c r="N3" s="15"/>
      <c r="O3" s="15"/>
      <c r="P3" s="24"/>
    </row>
    <row r="4" spans="1:16">
      <c r="A4" s="9" t="s">
        <v>388</v>
      </c>
      <c r="B4" s="15">
        <v>37.355625665881</v>
      </c>
      <c r="C4" s="15">
        <v>31.381143514980401</v>
      </c>
      <c r="D4" s="24">
        <v>42.180442196322602</v>
      </c>
      <c r="E4" s="15">
        <v>37.205090685040197</v>
      </c>
      <c r="F4" s="15">
        <v>32.073036171882002</v>
      </c>
      <c r="G4" s="24">
        <v>41.379393141806702</v>
      </c>
      <c r="H4" s="15">
        <v>37.682596479440598</v>
      </c>
      <c r="I4" s="15">
        <v>30.6051423458382</v>
      </c>
      <c r="J4" s="24">
        <v>43.523076160611097</v>
      </c>
      <c r="K4" s="15">
        <v>41.831992401005202</v>
      </c>
      <c r="L4" s="20" t="s">
        <v>76</v>
      </c>
      <c r="M4" s="26" t="s">
        <v>76</v>
      </c>
      <c r="N4" s="15">
        <v>30.2803631442385</v>
      </c>
      <c r="O4" s="20" t="s">
        <v>76</v>
      </c>
      <c r="P4" s="26" t="s">
        <v>76</v>
      </c>
    </row>
    <row r="5" spans="1:16">
      <c r="A5" s="9" t="s">
        <v>389</v>
      </c>
      <c r="B5" s="15">
        <v>6.4469169434167997</v>
      </c>
      <c r="C5" s="15">
        <v>3.8386065244050398</v>
      </c>
      <c r="D5" s="24">
        <v>8.5533119259968498</v>
      </c>
      <c r="E5" s="15">
        <v>5.8879723714922596</v>
      </c>
      <c r="F5" s="15">
        <v>4.0586874650011904</v>
      </c>
      <c r="G5" s="24">
        <v>7.3758732618108303</v>
      </c>
      <c r="H5" s="15">
        <v>6.6386210802046399</v>
      </c>
      <c r="I5" s="15">
        <v>3.5868113347175199</v>
      </c>
      <c r="J5" s="24">
        <v>9.1570454278370104</v>
      </c>
      <c r="K5" s="20" t="s">
        <v>76</v>
      </c>
      <c r="L5" s="20" t="s">
        <v>76</v>
      </c>
      <c r="M5" s="26" t="s">
        <v>76</v>
      </c>
      <c r="N5" s="20" t="s">
        <v>76</v>
      </c>
      <c r="O5" s="20" t="s">
        <v>76</v>
      </c>
      <c r="P5" s="26" t="s">
        <v>76</v>
      </c>
    </row>
    <row r="6" spans="1:16">
      <c r="A6" s="9" t="s">
        <v>390</v>
      </c>
      <c r="B6" s="15">
        <v>37.375926299835299</v>
      </c>
      <c r="C6" s="15">
        <v>38.315956554268702</v>
      </c>
      <c r="D6" s="24">
        <v>36.616785441071201</v>
      </c>
      <c r="E6" s="15">
        <v>34.983901157943102</v>
      </c>
      <c r="F6" s="15">
        <v>36.004636571038397</v>
      </c>
      <c r="G6" s="24">
        <v>34.153656987373999</v>
      </c>
      <c r="H6" s="15">
        <v>40.220483044817399</v>
      </c>
      <c r="I6" s="15">
        <v>41.129976074307002</v>
      </c>
      <c r="J6" s="24">
        <v>39.4699482538281</v>
      </c>
      <c r="K6" s="20" t="s">
        <v>76</v>
      </c>
      <c r="L6" s="20" t="s">
        <v>76</v>
      </c>
      <c r="M6" s="26" t="s">
        <v>76</v>
      </c>
      <c r="N6" s="15">
        <v>30.857981754466699</v>
      </c>
      <c r="O6" s="20" t="s">
        <v>76</v>
      </c>
      <c r="P6" s="26" t="s">
        <v>76</v>
      </c>
    </row>
    <row r="7" spans="1:16">
      <c r="A7" s="9" t="s">
        <v>391</v>
      </c>
      <c r="B7" s="15">
        <v>18.083704001813899</v>
      </c>
      <c r="C7" s="15">
        <v>20.606651533551801</v>
      </c>
      <c r="D7" s="24">
        <v>16.0462455829731</v>
      </c>
      <c r="E7" s="15">
        <v>15.5213598189007</v>
      </c>
      <c r="F7" s="15">
        <v>19.3800974505866</v>
      </c>
      <c r="G7" s="24">
        <v>12.3827458515968</v>
      </c>
      <c r="H7" s="15">
        <v>20.4461474875473</v>
      </c>
      <c r="I7" s="15">
        <v>21.812997389935099</v>
      </c>
      <c r="J7" s="24">
        <v>19.318191172831899</v>
      </c>
      <c r="K7" s="20" t="s">
        <v>76</v>
      </c>
      <c r="L7" s="20" t="s">
        <v>76</v>
      </c>
      <c r="M7" s="26" t="s">
        <v>76</v>
      </c>
      <c r="N7" s="15">
        <v>24.0610042263121</v>
      </c>
      <c r="O7" s="20" t="s">
        <v>76</v>
      </c>
      <c r="P7" s="26" t="s">
        <v>76</v>
      </c>
    </row>
    <row r="8" spans="1:16">
      <c r="A8" s="9" t="s">
        <v>392</v>
      </c>
      <c r="B8" s="15">
        <v>18.439705972708399</v>
      </c>
      <c r="C8" s="15">
        <v>18.244930409779101</v>
      </c>
      <c r="D8" s="24">
        <v>18.597001003810899</v>
      </c>
      <c r="E8" s="15">
        <v>16.884435195149798</v>
      </c>
      <c r="F8" s="15">
        <v>17.909557926850798</v>
      </c>
      <c r="G8" s="24">
        <v>16.050622474249199</v>
      </c>
      <c r="H8" s="15">
        <v>19.738331993281001</v>
      </c>
      <c r="I8" s="15">
        <v>18.287927332100502</v>
      </c>
      <c r="J8" s="24">
        <v>20.935239637356101</v>
      </c>
      <c r="K8" s="20" t="s">
        <v>76</v>
      </c>
      <c r="L8" s="20" t="s">
        <v>76</v>
      </c>
      <c r="M8" s="26" t="s">
        <v>76</v>
      </c>
      <c r="N8" s="15">
        <v>22.072826971146299</v>
      </c>
      <c r="O8" s="20" t="s">
        <v>76</v>
      </c>
      <c r="P8" s="26" t="s">
        <v>76</v>
      </c>
    </row>
    <row r="9" spans="1:16">
      <c r="A9" s="9" t="s">
        <v>393</v>
      </c>
      <c r="B9" s="15">
        <v>16.557334934649798</v>
      </c>
      <c r="C9" s="15">
        <v>18.382904325045502</v>
      </c>
      <c r="D9" s="24">
        <v>15.0830586459639</v>
      </c>
      <c r="E9" s="15">
        <v>17.0794641294356</v>
      </c>
      <c r="F9" s="15">
        <v>20.7862798315563</v>
      </c>
      <c r="G9" s="24">
        <v>14.064420183103699</v>
      </c>
      <c r="H9" s="15">
        <v>15.8033294985135</v>
      </c>
      <c r="I9" s="15">
        <v>15.880252448671399</v>
      </c>
      <c r="J9" s="24">
        <v>15.7398508918095</v>
      </c>
      <c r="K9" s="20" t="s">
        <v>76</v>
      </c>
      <c r="L9" s="20" t="s">
        <v>76</v>
      </c>
      <c r="M9" s="26" t="s">
        <v>76</v>
      </c>
      <c r="N9" s="15">
        <v>20.178179992297</v>
      </c>
      <c r="O9" s="20" t="s">
        <v>76</v>
      </c>
      <c r="P9" s="26" t="s">
        <v>76</v>
      </c>
    </row>
    <row r="10" spans="1:16">
      <c r="A10" s="9" t="s">
        <v>394</v>
      </c>
      <c r="B10" s="15">
        <v>9.6581605233689807</v>
      </c>
      <c r="C10" s="15">
        <v>11.286053233436499</v>
      </c>
      <c r="D10" s="24">
        <v>8.3435221230959904</v>
      </c>
      <c r="E10" s="15">
        <v>10.8630548301904</v>
      </c>
      <c r="F10" s="15">
        <v>13.935101074337201</v>
      </c>
      <c r="G10" s="24">
        <v>8.3643186707509791</v>
      </c>
      <c r="H10" s="15">
        <v>8.3545137304247898</v>
      </c>
      <c r="I10" s="15">
        <v>8.5496808329585097</v>
      </c>
      <c r="J10" s="24">
        <v>8.1934573003492908</v>
      </c>
      <c r="K10" s="20" t="s">
        <v>76</v>
      </c>
      <c r="L10" s="20" t="s">
        <v>76</v>
      </c>
      <c r="M10" s="26" t="s">
        <v>76</v>
      </c>
      <c r="N10" s="20" t="s">
        <v>76</v>
      </c>
      <c r="O10" s="20" t="s">
        <v>76</v>
      </c>
      <c r="P10" s="26" t="s">
        <v>76</v>
      </c>
    </row>
    <row r="11" spans="1:16">
      <c r="A11" s="9" t="s">
        <v>395</v>
      </c>
      <c r="B11" s="15">
        <v>10.4472367766495</v>
      </c>
      <c r="C11" s="15">
        <v>8.5591287629890207</v>
      </c>
      <c r="D11" s="24">
        <v>11.972017422984701</v>
      </c>
      <c r="E11" s="15">
        <v>6.6983269926536</v>
      </c>
      <c r="F11" s="15">
        <v>8.2710067326157404</v>
      </c>
      <c r="G11" s="24">
        <v>5.4191432105252</v>
      </c>
      <c r="H11" s="15">
        <v>14.344450275747</v>
      </c>
      <c r="I11" s="15">
        <v>8.7186080486987301</v>
      </c>
      <c r="J11" s="24">
        <v>18.987026065895101</v>
      </c>
      <c r="K11" s="20" t="s">
        <v>76</v>
      </c>
      <c r="L11" s="20" t="s">
        <v>76</v>
      </c>
      <c r="M11" s="26" t="s">
        <v>76</v>
      </c>
      <c r="N11" s="20" t="s">
        <v>76</v>
      </c>
      <c r="O11" s="20" t="s">
        <v>76</v>
      </c>
      <c r="P11" s="26" t="s">
        <v>76</v>
      </c>
    </row>
    <row r="12" spans="1:16">
      <c r="A12" s="9" t="s">
        <v>396</v>
      </c>
      <c r="B12" s="15">
        <v>9.4895532377371392</v>
      </c>
      <c r="C12" s="15">
        <v>12.280445581113501</v>
      </c>
      <c r="D12" s="24">
        <v>7.2357104488729398</v>
      </c>
      <c r="E12" s="15">
        <v>8.3307661912164495</v>
      </c>
      <c r="F12" s="15">
        <v>11.3014439722139</v>
      </c>
      <c r="G12" s="24">
        <v>5.9144809534650902</v>
      </c>
      <c r="H12" s="15">
        <v>10.4995634748177</v>
      </c>
      <c r="I12" s="15">
        <v>13.320924414115501</v>
      </c>
      <c r="J12" s="24">
        <v>8.1713108393139002</v>
      </c>
      <c r="K12" s="20" t="s">
        <v>76</v>
      </c>
      <c r="L12" s="20" t="s">
        <v>76</v>
      </c>
      <c r="M12" s="26" t="s">
        <v>76</v>
      </c>
      <c r="N12" s="20" t="s">
        <v>76</v>
      </c>
      <c r="O12" s="20" t="s">
        <v>76</v>
      </c>
      <c r="P12" s="26" t="s">
        <v>76</v>
      </c>
    </row>
    <row r="13" spans="1:16">
      <c r="A13" s="9" t="s">
        <v>397</v>
      </c>
      <c r="B13" s="15">
        <v>14.1473475739254</v>
      </c>
      <c r="C13" s="15">
        <v>13.867239938671</v>
      </c>
      <c r="D13" s="24">
        <v>14.373554283518599</v>
      </c>
      <c r="E13" s="15">
        <v>10.9572052750681</v>
      </c>
      <c r="F13" s="15">
        <v>13.4011295086476</v>
      </c>
      <c r="G13" s="24">
        <v>8.9693700121680102</v>
      </c>
      <c r="H13" s="15">
        <v>16.855677624817499</v>
      </c>
      <c r="I13" s="15">
        <v>14.1379632485454</v>
      </c>
      <c r="J13" s="24">
        <v>19.098398707032899</v>
      </c>
      <c r="K13" s="20" t="s">
        <v>76</v>
      </c>
      <c r="L13" s="20" t="s">
        <v>76</v>
      </c>
      <c r="M13" s="26" t="s">
        <v>76</v>
      </c>
      <c r="N13" s="15">
        <v>27.135595049209801</v>
      </c>
      <c r="O13" s="20" t="s">
        <v>76</v>
      </c>
      <c r="P13" s="26" t="s">
        <v>76</v>
      </c>
    </row>
    <row r="14" spans="1:16">
      <c r="A14" s="9" t="s">
        <v>398</v>
      </c>
      <c r="B14" s="15">
        <v>13.992732916581399</v>
      </c>
      <c r="C14" s="15">
        <v>15.183679997360199</v>
      </c>
      <c r="D14" s="24">
        <v>13.030958989219901</v>
      </c>
      <c r="E14" s="15">
        <v>12.076468160178299</v>
      </c>
      <c r="F14" s="15">
        <v>15.484451178073099</v>
      </c>
      <c r="G14" s="24">
        <v>9.3044882742004305</v>
      </c>
      <c r="H14" s="15">
        <v>15.137790961818199</v>
      </c>
      <c r="I14" s="15">
        <v>14.733639621591299</v>
      </c>
      <c r="J14" s="24">
        <v>15.4713060431109</v>
      </c>
      <c r="K14" s="20" t="s">
        <v>76</v>
      </c>
      <c r="L14" s="20" t="s">
        <v>76</v>
      </c>
      <c r="M14" s="26" t="s">
        <v>76</v>
      </c>
      <c r="N14" s="15">
        <v>28.091110944712899</v>
      </c>
      <c r="O14" s="20" t="s">
        <v>76</v>
      </c>
      <c r="P14" s="26" t="s">
        <v>76</v>
      </c>
    </row>
    <row r="15" spans="1:16">
      <c r="A15" s="9" t="s">
        <v>399</v>
      </c>
      <c r="B15" s="15">
        <v>4.5208462925685904</v>
      </c>
      <c r="C15" s="15">
        <v>4.7376285435115202</v>
      </c>
      <c r="D15" s="24">
        <v>4.3457793057673904</v>
      </c>
      <c r="E15" s="15">
        <v>3.7348572362912602</v>
      </c>
      <c r="F15" s="15">
        <v>4.8862102702703503</v>
      </c>
      <c r="G15" s="24">
        <v>2.7983715099565201</v>
      </c>
      <c r="H15" s="15">
        <v>5.1675992140595604</v>
      </c>
      <c r="I15" s="15">
        <v>4.5917784334158904</v>
      </c>
      <c r="J15" s="24">
        <v>5.6427799083968004</v>
      </c>
      <c r="K15" s="20" t="s">
        <v>76</v>
      </c>
      <c r="L15" s="20" t="s">
        <v>76</v>
      </c>
      <c r="M15" s="26" t="s">
        <v>76</v>
      </c>
      <c r="N15" s="20" t="s">
        <v>76</v>
      </c>
      <c r="O15" s="20" t="s">
        <v>76</v>
      </c>
      <c r="P15" s="26" t="s">
        <v>76</v>
      </c>
    </row>
    <row r="16" spans="1:16">
      <c r="A16" s="9" t="s">
        <v>400</v>
      </c>
      <c r="B16" s="15">
        <v>25.092981480438201</v>
      </c>
      <c r="C16" s="15">
        <v>21.356532526452401</v>
      </c>
      <c r="D16" s="24">
        <v>28.110428051205002</v>
      </c>
      <c r="E16" s="15">
        <v>17.544763776818801</v>
      </c>
      <c r="F16" s="15">
        <v>16.974367082822599</v>
      </c>
      <c r="G16" s="24">
        <v>18.008712145834501</v>
      </c>
      <c r="H16" s="15">
        <v>32.288220529760302</v>
      </c>
      <c r="I16" s="15">
        <v>25.4866746009548</v>
      </c>
      <c r="J16" s="24">
        <v>37.901014346273101</v>
      </c>
      <c r="K16" s="15">
        <v>44.667580104563498</v>
      </c>
      <c r="L16" s="20" t="s">
        <v>76</v>
      </c>
      <c r="M16" s="26" t="s">
        <v>76</v>
      </c>
      <c r="N16" s="15">
        <v>33.5418564516321</v>
      </c>
      <c r="O16" s="20" t="s">
        <v>76</v>
      </c>
      <c r="P16" s="26" t="s">
        <v>76</v>
      </c>
    </row>
    <row r="17" spans="1:16">
      <c r="A17" s="9" t="s">
        <v>401</v>
      </c>
      <c r="B17" s="15">
        <v>19.6802429304614</v>
      </c>
      <c r="C17" s="15">
        <v>19.882257390275502</v>
      </c>
      <c r="D17" s="24">
        <v>19.5171019785796</v>
      </c>
      <c r="E17" s="15">
        <v>16.8149282287159</v>
      </c>
      <c r="F17" s="15">
        <v>18.7072192360021</v>
      </c>
      <c r="G17" s="24">
        <v>15.275779534878099</v>
      </c>
      <c r="H17" s="15">
        <v>22.151663360140699</v>
      </c>
      <c r="I17" s="15">
        <v>21.097275240761299</v>
      </c>
      <c r="J17" s="24">
        <v>23.0217689476945</v>
      </c>
      <c r="K17" s="20" t="s">
        <v>76</v>
      </c>
      <c r="L17" s="20" t="s">
        <v>76</v>
      </c>
      <c r="M17" s="26" t="s">
        <v>76</v>
      </c>
      <c r="N17" s="15">
        <v>26.168989395786799</v>
      </c>
      <c r="O17" s="20" t="s">
        <v>76</v>
      </c>
      <c r="P17" s="26" t="s">
        <v>76</v>
      </c>
    </row>
    <row r="18" spans="1:16" ht="18">
      <c r="A18" s="9" t="s">
        <v>402</v>
      </c>
      <c r="B18" s="15">
        <v>4.6715550573995896</v>
      </c>
      <c r="C18" s="15">
        <v>1.77150438130082</v>
      </c>
      <c r="D18" s="24">
        <v>7.0135509137351297</v>
      </c>
      <c r="E18" s="15">
        <v>1.4524810673594699</v>
      </c>
      <c r="F18" s="15">
        <v>1.36080521333326</v>
      </c>
      <c r="G18" s="26" t="s">
        <v>76</v>
      </c>
      <c r="H18" s="15">
        <v>7.4454647454558804</v>
      </c>
      <c r="I18" s="15">
        <v>2.03635219823206</v>
      </c>
      <c r="J18" s="24">
        <v>11.9091901654813</v>
      </c>
      <c r="K18" s="20" t="s">
        <v>76</v>
      </c>
      <c r="L18" s="20" t="s">
        <v>76</v>
      </c>
      <c r="M18" s="26" t="s">
        <v>76</v>
      </c>
      <c r="N18" s="20" t="s">
        <v>76</v>
      </c>
      <c r="O18" s="20" t="s">
        <v>76</v>
      </c>
      <c r="P18" s="26" t="s">
        <v>76</v>
      </c>
    </row>
    <row r="19" spans="1:16">
      <c r="A19" s="9" t="s">
        <v>403</v>
      </c>
      <c r="B19" s="15">
        <v>23.0774964764632</v>
      </c>
      <c r="C19" s="15">
        <v>20.706827029827501</v>
      </c>
      <c r="D19" s="24">
        <v>24.991979580679399</v>
      </c>
      <c r="E19" s="15">
        <v>15.280700813514899</v>
      </c>
      <c r="F19" s="15">
        <v>15.6109404752002</v>
      </c>
      <c r="G19" s="24">
        <v>15.0120909950572</v>
      </c>
      <c r="H19" s="15">
        <v>30.792232199782099</v>
      </c>
      <c r="I19" s="15">
        <v>25.715293528647901</v>
      </c>
      <c r="J19" s="24">
        <v>34.981840015186698</v>
      </c>
      <c r="K19" s="15">
        <v>35.2029910028429</v>
      </c>
      <c r="L19" s="20" t="s">
        <v>76</v>
      </c>
      <c r="M19" s="26" t="s">
        <v>76</v>
      </c>
      <c r="N19" s="15">
        <v>28.8828403507395</v>
      </c>
      <c r="O19" s="20" t="s">
        <v>76</v>
      </c>
      <c r="P19" s="26" t="s">
        <v>76</v>
      </c>
    </row>
    <row r="20" spans="1:16">
      <c r="A20" s="9" t="s">
        <v>404</v>
      </c>
      <c r="B20" s="15">
        <v>8.6864628545953195</v>
      </c>
      <c r="C20" s="15">
        <v>8.9058449033406397</v>
      </c>
      <c r="D20" s="24">
        <v>8.5092963473510093</v>
      </c>
      <c r="E20" s="15">
        <v>9.2722612844127603</v>
      </c>
      <c r="F20" s="15">
        <v>9.1415738157145405</v>
      </c>
      <c r="G20" s="24">
        <v>9.3785596528842703</v>
      </c>
      <c r="H20" s="15">
        <v>7.9071061615915603</v>
      </c>
      <c r="I20" s="15">
        <v>8.6846269426235203</v>
      </c>
      <c r="J20" s="24">
        <v>7.2654779379984502</v>
      </c>
      <c r="K20" s="20" t="s">
        <v>76</v>
      </c>
      <c r="L20" s="20" t="s">
        <v>76</v>
      </c>
      <c r="M20" s="26" t="s">
        <v>76</v>
      </c>
      <c r="N20" s="20" t="s">
        <v>76</v>
      </c>
      <c r="O20" s="20" t="s">
        <v>76</v>
      </c>
      <c r="P20" s="26" t="s">
        <v>76</v>
      </c>
    </row>
    <row r="21" spans="1:16">
      <c r="A21" s="11" t="s">
        <v>405</v>
      </c>
      <c r="B21" s="16">
        <v>5.4529343853553502</v>
      </c>
      <c r="C21" s="16">
        <v>5.8580120481765299</v>
      </c>
      <c r="D21" s="25">
        <v>5.1258055473526003</v>
      </c>
      <c r="E21" s="16">
        <v>6.2877121708277404</v>
      </c>
      <c r="F21" s="16">
        <v>6.4280261640435103</v>
      </c>
      <c r="G21" s="25">
        <v>6.17358379493119</v>
      </c>
      <c r="H21" s="16">
        <v>4.2599758010285598</v>
      </c>
      <c r="I21" s="16">
        <v>4.9823843883661798</v>
      </c>
      <c r="J21" s="25">
        <v>3.6638274408694498</v>
      </c>
      <c r="K21" s="28" t="s">
        <v>76</v>
      </c>
      <c r="L21" s="28" t="s">
        <v>76</v>
      </c>
      <c r="M21" s="29" t="s">
        <v>76</v>
      </c>
      <c r="N21" s="28" t="s">
        <v>76</v>
      </c>
      <c r="O21" s="28" t="s">
        <v>76</v>
      </c>
      <c r="P21" s="29" t="s">
        <v>76</v>
      </c>
    </row>
    <row r="22" spans="1:16" ht="30" customHeight="1">
      <c r="A22" t="s">
        <v>406</v>
      </c>
    </row>
    <row r="23" spans="1:16">
      <c r="A23" t="s">
        <v>143</v>
      </c>
    </row>
    <row r="24" spans="1:16">
      <c r="A24" t="s">
        <v>144</v>
      </c>
    </row>
    <row r="25" spans="1:16">
      <c r="A25" t="s">
        <v>145</v>
      </c>
    </row>
    <row r="26" spans="1:16">
      <c r="A26" t="s">
        <v>146</v>
      </c>
    </row>
    <row r="27" spans="1:16">
      <c r="A27" t="s">
        <v>147</v>
      </c>
    </row>
    <row r="28" spans="1:16">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N29"/>
  <sheetViews>
    <sheetView zoomScale="55" workbookViewId="0"/>
  </sheetViews>
  <sheetFormatPr defaultColWidth="10.88671875" defaultRowHeight="15"/>
  <cols>
    <col min="1" max="1" width="51.6640625" customWidth="1"/>
    <col min="2" max="91" width="13.6640625" customWidth="1"/>
  </cols>
  <sheetData>
    <row r="1" spans="1:92" ht="39.950000000000003" customHeight="1">
      <c r="A1" s="10" t="s">
        <v>407</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0">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c r="A3" s="39" t="s">
        <v>387</v>
      </c>
      <c r="B3" s="35"/>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32"/>
      <c r="CB3" s="15"/>
      <c r="CC3" s="15"/>
      <c r="CD3" s="15"/>
      <c r="CE3" s="15"/>
      <c r="CF3" s="15"/>
      <c r="CG3" s="15"/>
      <c r="CH3" s="15"/>
      <c r="CI3" s="15"/>
      <c r="CJ3" s="15"/>
      <c r="CK3" s="15"/>
      <c r="CL3" s="15"/>
      <c r="CM3" s="24"/>
      <c r="CN3" s="37"/>
    </row>
    <row r="4" spans="1:92">
      <c r="A4" s="9" t="s">
        <v>388</v>
      </c>
      <c r="B4" s="35">
        <v>36.644800417231899</v>
      </c>
      <c r="C4" s="32">
        <v>36.5153509876695</v>
      </c>
      <c r="D4" s="32">
        <v>37.355625665881</v>
      </c>
      <c r="E4" s="32">
        <v>31.381143514980401</v>
      </c>
      <c r="F4" s="20" t="s">
        <v>76</v>
      </c>
      <c r="G4" s="20" t="s">
        <v>76</v>
      </c>
      <c r="H4" s="15">
        <v>30.434782608695699</v>
      </c>
      <c r="I4" s="20" t="s">
        <v>76</v>
      </c>
      <c r="J4" s="15">
        <v>34.7222222222222</v>
      </c>
      <c r="K4" s="15">
        <v>20.5128205128205</v>
      </c>
      <c r="L4" s="15">
        <v>37.7049180327869</v>
      </c>
      <c r="M4" s="15">
        <v>42.105263157894697</v>
      </c>
      <c r="N4" s="15">
        <v>22.352941176470601</v>
      </c>
      <c r="O4" s="15">
        <v>23.255813953488399</v>
      </c>
      <c r="P4" s="15">
        <v>29.577464788732399</v>
      </c>
      <c r="Q4" s="15">
        <v>32.394366197183103</v>
      </c>
      <c r="R4" s="20" t="s">
        <v>76</v>
      </c>
      <c r="S4" s="15">
        <v>21.951219512195099</v>
      </c>
      <c r="T4" s="15">
        <v>20.8333333333333</v>
      </c>
      <c r="U4" s="20" t="s">
        <v>76</v>
      </c>
      <c r="V4" s="15">
        <v>38.235294117647101</v>
      </c>
      <c r="W4" s="15">
        <v>25.4237288135593</v>
      </c>
      <c r="X4" s="20" t="s">
        <v>76</v>
      </c>
      <c r="Y4" s="20" t="s">
        <v>76</v>
      </c>
      <c r="Z4" s="15">
        <v>14.1025641025641</v>
      </c>
      <c r="AA4" s="15">
        <v>36.697247706421997</v>
      </c>
      <c r="AB4" s="15">
        <v>36.764705882352899</v>
      </c>
      <c r="AC4" s="15">
        <v>25.7575757575758</v>
      </c>
      <c r="AD4" s="15">
        <v>21.875</v>
      </c>
      <c r="AE4" s="15">
        <v>48.148148148148103</v>
      </c>
      <c r="AF4" s="20" t="s">
        <v>76</v>
      </c>
      <c r="AG4" s="15">
        <v>30.476190476190499</v>
      </c>
      <c r="AH4" s="15">
        <v>19.6428571428571</v>
      </c>
      <c r="AI4" s="20" t="s">
        <v>76</v>
      </c>
      <c r="AJ4" s="15">
        <v>34.234234234234201</v>
      </c>
      <c r="AK4" s="15">
        <v>40</v>
      </c>
      <c r="AL4" s="15">
        <v>36.6666666666667</v>
      </c>
      <c r="AM4" s="15">
        <v>26.5625</v>
      </c>
      <c r="AN4" s="20" t="s">
        <v>76</v>
      </c>
      <c r="AO4" s="15">
        <v>25</v>
      </c>
      <c r="AP4" s="15">
        <v>16.883116883116902</v>
      </c>
      <c r="AQ4" s="15">
        <v>30.769230769230798</v>
      </c>
      <c r="AR4" s="15">
        <v>16.363636363636399</v>
      </c>
      <c r="AS4" s="20" t="s">
        <v>76</v>
      </c>
      <c r="AT4" s="15">
        <v>30.769230769230798</v>
      </c>
      <c r="AU4" s="15">
        <v>34.6938775510204</v>
      </c>
      <c r="AV4" s="15">
        <v>32.876712328767098</v>
      </c>
      <c r="AW4" s="15">
        <v>27.586206896551701</v>
      </c>
      <c r="AX4" s="15">
        <v>50</v>
      </c>
      <c r="AY4" s="15">
        <v>22.8571428571429</v>
      </c>
      <c r="AZ4" s="15">
        <v>38</v>
      </c>
      <c r="BA4" s="15">
        <v>52.830188679245303</v>
      </c>
      <c r="BB4" s="15">
        <v>32.835820895522403</v>
      </c>
      <c r="BC4" s="15">
        <v>40.540540540540498</v>
      </c>
      <c r="BD4" s="15">
        <v>28.205128205128201</v>
      </c>
      <c r="BE4" s="15">
        <v>39.655172413793103</v>
      </c>
      <c r="BF4" s="15">
        <v>22.891566265060199</v>
      </c>
      <c r="BG4" s="15">
        <v>13.4328358208955</v>
      </c>
      <c r="BH4" s="15">
        <v>33.3333333333333</v>
      </c>
      <c r="BI4" s="15">
        <v>36.842105263157897</v>
      </c>
      <c r="BJ4" s="15">
        <v>33.035714285714299</v>
      </c>
      <c r="BK4" s="15">
        <v>45</v>
      </c>
      <c r="BL4" s="15">
        <v>26.5625</v>
      </c>
      <c r="BM4" s="15">
        <v>39.603960396039597</v>
      </c>
      <c r="BN4" s="15">
        <v>38.655462184873997</v>
      </c>
      <c r="BO4" s="15">
        <v>31.1111111111111</v>
      </c>
      <c r="BP4" s="20" t="s">
        <v>76</v>
      </c>
      <c r="BQ4" s="15">
        <v>38.356164383561598</v>
      </c>
      <c r="BR4" s="15">
        <v>26.6666666666667</v>
      </c>
      <c r="BS4" s="15">
        <v>39.759036144578303</v>
      </c>
      <c r="BT4" s="15">
        <v>39.024390243902403</v>
      </c>
      <c r="BU4" s="15">
        <v>42.990654205607498</v>
      </c>
      <c r="BV4" s="15">
        <v>44.4444444444444</v>
      </c>
      <c r="BW4" s="15">
        <v>17.3913043478261</v>
      </c>
      <c r="BX4" s="15">
        <v>55.5555555555556</v>
      </c>
      <c r="BY4" s="15">
        <v>33.3333333333333</v>
      </c>
      <c r="BZ4" s="15">
        <v>28.571428571428601</v>
      </c>
      <c r="CA4" s="32">
        <v>42.180442196322602</v>
      </c>
      <c r="CB4" s="15">
        <v>44.728434504792297</v>
      </c>
      <c r="CC4" s="15">
        <v>41.509433962264097</v>
      </c>
      <c r="CD4" s="15">
        <v>44.5161290322581</v>
      </c>
      <c r="CE4" s="15">
        <v>100</v>
      </c>
      <c r="CF4" s="15">
        <v>43.712574850299397</v>
      </c>
      <c r="CG4" s="15">
        <v>43.016759776536297</v>
      </c>
      <c r="CH4" s="15">
        <v>39.705882352941202</v>
      </c>
      <c r="CI4" s="15">
        <v>40.041067761807</v>
      </c>
      <c r="CJ4" s="15">
        <v>48.235294117647101</v>
      </c>
      <c r="CK4" s="15">
        <v>36.771300448430502</v>
      </c>
      <c r="CL4" s="15">
        <v>41.6666666666667</v>
      </c>
      <c r="CM4" s="24">
        <v>46.466809421841504</v>
      </c>
      <c r="CN4" s="37"/>
    </row>
    <row r="5" spans="1:92">
      <c r="A5" s="9" t="s">
        <v>389</v>
      </c>
      <c r="B5" s="35">
        <v>6.2575238989833899</v>
      </c>
      <c r="C5" s="32">
        <v>5.6397486512890902</v>
      </c>
      <c r="D5" s="32">
        <v>6.4469169434167997</v>
      </c>
      <c r="E5" s="32">
        <v>3.8386065244050398</v>
      </c>
      <c r="F5" s="20" t="s">
        <v>76</v>
      </c>
      <c r="G5" s="20" t="s">
        <v>76</v>
      </c>
      <c r="H5" s="20" t="s">
        <v>76</v>
      </c>
      <c r="I5" s="20" t="s">
        <v>76</v>
      </c>
      <c r="J5" s="15">
        <v>3.4722222222222201</v>
      </c>
      <c r="K5" s="20" t="s">
        <v>76</v>
      </c>
      <c r="L5" s="20" t="s">
        <v>76</v>
      </c>
      <c r="M5" s="20" t="s">
        <v>76</v>
      </c>
      <c r="N5" s="20" t="s">
        <v>76</v>
      </c>
      <c r="O5" s="20" t="s">
        <v>76</v>
      </c>
      <c r="P5" s="20" t="s">
        <v>76</v>
      </c>
      <c r="Q5" s="20" t="s">
        <v>76</v>
      </c>
      <c r="R5" s="20" t="s">
        <v>76</v>
      </c>
      <c r="S5" s="20" t="s">
        <v>76</v>
      </c>
      <c r="T5" s="15">
        <v>14.5833333333333</v>
      </c>
      <c r="U5" s="20" t="s">
        <v>76</v>
      </c>
      <c r="V5" s="20" t="s">
        <v>76</v>
      </c>
      <c r="W5" s="20" t="s">
        <v>76</v>
      </c>
      <c r="X5" s="20" t="s">
        <v>76</v>
      </c>
      <c r="Y5" s="20" t="s">
        <v>76</v>
      </c>
      <c r="Z5" s="20" t="s">
        <v>76</v>
      </c>
      <c r="AA5" s="15">
        <v>5.5045871559632999</v>
      </c>
      <c r="AB5" s="20" t="s">
        <v>76</v>
      </c>
      <c r="AC5" s="20" t="s">
        <v>76</v>
      </c>
      <c r="AD5" s="20" t="s">
        <v>76</v>
      </c>
      <c r="AE5" s="20" t="s">
        <v>76</v>
      </c>
      <c r="AF5" s="20" t="s">
        <v>76</v>
      </c>
      <c r="AG5" s="15">
        <v>5.71428571428571</v>
      </c>
      <c r="AH5" s="20" t="s">
        <v>76</v>
      </c>
      <c r="AI5" s="20" t="s">
        <v>76</v>
      </c>
      <c r="AJ5" s="20" t="s">
        <v>76</v>
      </c>
      <c r="AK5" s="20" t="s">
        <v>76</v>
      </c>
      <c r="AL5" s="20" t="s">
        <v>76</v>
      </c>
      <c r="AM5" s="15">
        <v>7.8125</v>
      </c>
      <c r="AN5" s="20" t="s">
        <v>76</v>
      </c>
      <c r="AO5" s="20" t="s">
        <v>76</v>
      </c>
      <c r="AP5" s="20" t="s">
        <v>76</v>
      </c>
      <c r="AQ5" s="20" t="s">
        <v>76</v>
      </c>
      <c r="AR5" s="20" t="s">
        <v>76</v>
      </c>
      <c r="AS5" s="20" t="s">
        <v>76</v>
      </c>
      <c r="AT5" s="20" t="s">
        <v>76</v>
      </c>
      <c r="AU5" s="20" t="s">
        <v>76</v>
      </c>
      <c r="AV5" s="20" t="s">
        <v>76</v>
      </c>
      <c r="AW5" s="20" t="s">
        <v>76</v>
      </c>
      <c r="AX5" s="20" t="s">
        <v>76</v>
      </c>
      <c r="AY5" s="20" t="s">
        <v>76</v>
      </c>
      <c r="AZ5" s="20" t="s">
        <v>76</v>
      </c>
      <c r="BA5" s="20" t="s">
        <v>76</v>
      </c>
      <c r="BB5" s="20" t="s">
        <v>76</v>
      </c>
      <c r="BC5" s="20" t="s">
        <v>76</v>
      </c>
      <c r="BD5" s="20" t="s">
        <v>76</v>
      </c>
      <c r="BE5" s="15">
        <v>10.3448275862069</v>
      </c>
      <c r="BF5" s="20" t="s">
        <v>76</v>
      </c>
      <c r="BG5" s="20" t="s">
        <v>76</v>
      </c>
      <c r="BH5" s="20" t="s">
        <v>76</v>
      </c>
      <c r="BI5" s="20" t="s">
        <v>76</v>
      </c>
      <c r="BJ5" s="20" t="s">
        <v>76</v>
      </c>
      <c r="BK5" s="20" t="s">
        <v>76</v>
      </c>
      <c r="BL5" s="20" t="s">
        <v>76</v>
      </c>
      <c r="BM5" s="15">
        <v>8.9108910891089099</v>
      </c>
      <c r="BN5" s="20" t="s">
        <v>76</v>
      </c>
      <c r="BO5" s="15">
        <v>6.6666666666666696</v>
      </c>
      <c r="BP5" s="20" t="s">
        <v>76</v>
      </c>
      <c r="BQ5" s="20" t="s">
        <v>76</v>
      </c>
      <c r="BR5" s="20" t="s">
        <v>76</v>
      </c>
      <c r="BS5" s="20" t="s">
        <v>76</v>
      </c>
      <c r="BT5" s="15">
        <v>6.0975609756097597</v>
      </c>
      <c r="BU5" s="20" t="s">
        <v>76</v>
      </c>
      <c r="BV5" s="15">
        <v>6.0606060606060597</v>
      </c>
      <c r="BW5" s="20" t="s">
        <v>76</v>
      </c>
      <c r="BX5" s="20" t="s">
        <v>76</v>
      </c>
      <c r="BY5" s="20" t="s">
        <v>76</v>
      </c>
      <c r="BZ5" s="20" t="s">
        <v>76</v>
      </c>
      <c r="CA5" s="32">
        <v>8.5533119259968498</v>
      </c>
      <c r="CB5" s="15">
        <v>6.0702875399360998</v>
      </c>
      <c r="CC5" s="20" t="s">
        <v>76</v>
      </c>
      <c r="CD5" s="15">
        <v>7.0967741935483897</v>
      </c>
      <c r="CE5" s="20" t="s">
        <v>76</v>
      </c>
      <c r="CF5" s="15">
        <v>11.976047904191599</v>
      </c>
      <c r="CG5" s="15">
        <v>8.9385474860335208</v>
      </c>
      <c r="CH5" s="15">
        <v>9.5588235294117592</v>
      </c>
      <c r="CI5" s="15">
        <v>12.114989733059501</v>
      </c>
      <c r="CJ5" s="15">
        <v>14.901960784313699</v>
      </c>
      <c r="CK5" s="15">
        <v>9.8654708520179408</v>
      </c>
      <c r="CL5" s="15">
        <v>6.9696969696969697</v>
      </c>
      <c r="CM5" s="24">
        <v>8.9935760171306196</v>
      </c>
      <c r="CN5" s="37"/>
    </row>
    <row r="6" spans="1:92">
      <c r="A6" s="9" t="s">
        <v>390</v>
      </c>
      <c r="B6" s="35">
        <v>36.300152035967798</v>
      </c>
      <c r="C6" s="32">
        <v>37.020120557064402</v>
      </c>
      <c r="D6" s="32">
        <v>37.375926299835299</v>
      </c>
      <c r="E6" s="32">
        <v>38.315956554268702</v>
      </c>
      <c r="F6" s="15">
        <v>52.941176470588204</v>
      </c>
      <c r="G6" s="20" t="s">
        <v>76</v>
      </c>
      <c r="H6" s="15">
        <v>47.826086956521699</v>
      </c>
      <c r="I6" s="20" t="s">
        <v>76</v>
      </c>
      <c r="J6" s="15">
        <v>39.5833333333333</v>
      </c>
      <c r="K6" s="15">
        <v>61.538461538461497</v>
      </c>
      <c r="L6" s="15">
        <v>49.180327868852501</v>
      </c>
      <c r="M6" s="15">
        <v>34.210526315789501</v>
      </c>
      <c r="N6" s="15">
        <v>50.588235294117602</v>
      </c>
      <c r="O6" s="15">
        <v>46.511627906976699</v>
      </c>
      <c r="P6" s="15">
        <v>33.802816901408498</v>
      </c>
      <c r="Q6" s="15">
        <v>33.802816901408498</v>
      </c>
      <c r="R6" s="20" t="s">
        <v>76</v>
      </c>
      <c r="S6" s="15">
        <v>46.341463414634099</v>
      </c>
      <c r="T6" s="15">
        <v>25</v>
      </c>
      <c r="U6" s="15">
        <v>71.428571428571402</v>
      </c>
      <c r="V6" s="15">
        <v>55.882352941176499</v>
      </c>
      <c r="W6" s="15">
        <v>30.508474576271201</v>
      </c>
      <c r="X6" s="20" t="s">
        <v>76</v>
      </c>
      <c r="Y6" s="20" t="s">
        <v>76</v>
      </c>
      <c r="Z6" s="15">
        <v>44.871794871794897</v>
      </c>
      <c r="AA6" s="15">
        <v>40.366972477064202</v>
      </c>
      <c r="AB6" s="15">
        <v>32.352941176470601</v>
      </c>
      <c r="AC6" s="15">
        <v>34.848484848484802</v>
      </c>
      <c r="AD6" s="15">
        <v>40.625</v>
      </c>
      <c r="AE6" s="15">
        <v>40.740740740740698</v>
      </c>
      <c r="AF6" s="15">
        <v>50</v>
      </c>
      <c r="AG6" s="15">
        <v>34.285714285714299</v>
      </c>
      <c r="AH6" s="15">
        <v>42.857142857142897</v>
      </c>
      <c r="AI6" s="20" t="s">
        <v>76</v>
      </c>
      <c r="AJ6" s="15">
        <v>45.045045045045001</v>
      </c>
      <c r="AK6" s="15">
        <v>46.6666666666667</v>
      </c>
      <c r="AL6" s="15">
        <v>32.2222222222222</v>
      </c>
      <c r="AM6" s="15">
        <v>35.9375</v>
      </c>
      <c r="AN6" s="20" t="s">
        <v>76</v>
      </c>
      <c r="AO6" s="15">
        <v>37.5</v>
      </c>
      <c r="AP6" s="15">
        <v>38.961038961039002</v>
      </c>
      <c r="AQ6" s="15">
        <v>43.589743589743598</v>
      </c>
      <c r="AR6" s="15">
        <v>23.636363636363601</v>
      </c>
      <c r="AS6" s="20" t="s">
        <v>76</v>
      </c>
      <c r="AT6" s="15">
        <v>49.230769230769198</v>
      </c>
      <c r="AU6" s="15">
        <v>24.4897959183673</v>
      </c>
      <c r="AV6" s="15">
        <v>23.287671232876701</v>
      </c>
      <c r="AW6" s="15">
        <v>37.931034482758598</v>
      </c>
      <c r="AX6" s="15">
        <v>50</v>
      </c>
      <c r="AY6" s="15">
        <v>20</v>
      </c>
      <c r="AZ6" s="15">
        <v>52</v>
      </c>
      <c r="BA6" s="15">
        <v>45.283018867924497</v>
      </c>
      <c r="BB6" s="15">
        <v>50.746268656716403</v>
      </c>
      <c r="BC6" s="15">
        <v>41.891891891891902</v>
      </c>
      <c r="BD6" s="15">
        <v>35.897435897435898</v>
      </c>
      <c r="BE6" s="15">
        <v>58.620689655172399</v>
      </c>
      <c r="BF6" s="15">
        <v>34.939759036144601</v>
      </c>
      <c r="BG6" s="15">
        <v>47.761194029850699</v>
      </c>
      <c r="BH6" s="15">
        <v>50</v>
      </c>
      <c r="BI6" s="15">
        <v>42.105263157894697</v>
      </c>
      <c r="BJ6" s="15">
        <v>33.035714285714299</v>
      </c>
      <c r="BK6" s="15">
        <v>45</v>
      </c>
      <c r="BL6" s="15">
        <v>37.5</v>
      </c>
      <c r="BM6" s="15">
        <v>37.6237623762376</v>
      </c>
      <c r="BN6" s="15">
        <v>57.983193277310903</v>
      </c>
      <c r="BO6" s="15">
        <v>28.8888888888889</v>
      </c>
      <c r="BP6" s="15">
        <v>33.3333333333333</v>
      </c>
      <c r="BQ6" s="15">
        <v>36.986301369863</v>
      </c>
      <c r="BR6" s="15">
        <v>36.6666666666667</v>
      </c>
      <c r="BS6" s="15">
        <v>31.325301204819301</v>
      </c>
      <c r="BT6" s="15">
        <v>32.9268292682927</v>
      </c>
      <c r="BU6" s="15">
        <v>52.336448598130801</v>
      </c>
      <c r="BV6" s="15">
        <v>40.404040404040401</v>
      </c>
      <c r="BW6" s="15">
        <v>30.434782608695699</v>
      </c>
      <c r="BX6" s="20" t="s">
        <v>76</v>
      </c>
      <c r="BY6" s="15">
        <v>26.984126984126998</v>
      </c>
      <c r="BZ6" s="15">
        <v>36.054421768707499</v>
      </c>
      <c r="CA6" s="32">
        <v>36.616785441071201</v>
      </c>
      <c r="CB6" s="15">
        <v>25.878594249201299</v>
      </c>
      <c r="CC6" s="15">
        <v>36.477987421383602</v>
      </c>
      <c r="CD6" s="15">
        <v>35.4838709677419</v>
      </c>
      <c r="CE6" s="20" t="s">
        <v>76</v>
      </c>
      <c r="CF6" s="15">
        <v>33.832335329341298</v>
      </c>
      <c r="CG6" s="15">
        <v>39.106145251396597</v>
      </c>
      <c r="CH6" s="15">
        <v>37.867647058823501</v>
      </c>
      <c r="CI6" s="15">
        <v>29.568788501026699</v>
      </c>
      <c r="CJ6" s="15">
        <v>41.568627450980401</v>
      </c>
      <c r="CK6" s="15">
        <v>39.013452914798201</v>
      </c>
      <c r="CL6" s="15">
        <v>37.424242424242401</v>
      </c>
      <c r="CM6" s="24">
        <v>41.9700214132762</v>
      </c>
      <c r="CN6" s="37"/>
    </row>
    <row r="7" spans="1:92">
      <c r="A7" s="9" t="s">
        <v>391</v>
      </c>
      <c r="B7" s="35">
        <v>17.445370072745799</v>
      </c>
      <c r="C7" s="32">
        <v>17.288676833815298</v>
      </c>
      <c r="D7" s="32">
        <v>18.083704001813899</v>
      </c>
      <c r="E7" s="32">
        <v>20.606651533551801</v>
      </c>
      <c r="F7" s="20" t="s">
        <v>76</v>
      </c>
      <c r="G7" s="20" t="s">
        <v>76</v>
      </c>
      <c r="H7" s="15">
        <v>43.478260869565197</v>
      </c>
      <c r="I7" s="20" t="s">
        <v>76</v>
      </c>
      <c r="J7" s="15">
        <v>20.1388888888889</v>
      </c>
      <c r="K7" s="20" t="s">
        <v>76</v>
      </c>
      <c r="L7" s="15">
        <v>21.311475409836099</v>
      </c>
      <c r="M7" s="15">
        <v>13.157894736842101</v>
      </c>
      <c r="N7" s="15">
        <v>21.176470588235301</v>
      </c>
      <c r="O7" s="15">
        <v>39.534883720930203</v>
      </c>
      <c r="P7" s="15">
        <v>15.492957746478901</v>
      </c>
      <c r="Q7" s="15">
        <v>14.084507042253501</v>
      </c>
      <c r="R7" s="20" t="s">
        <v>76</v>
      </c>
      <c r="S7" s="20" t="s">
        <v>76</v>
      </c>
      <c r="T7" s="20" t="s">
        <v>76</v>
      </c>
      <c r="U7" s="15">
        <v>28.571428571428601</v>
      </c>
      <c r="V7" s="15">
        <v>35.294117647058798</v>
      </c>
      <c r="W7" s="15">
        <v>18.644067796610202</v>
      </c>
      <c r="X7" s="20" t="s">
        <v>76</v>
      </c>
      <c r="Y7" s="15">
        <v>62.5</v>
      </c>
      <c r="Z7" s="15">
        <v>21.794871794871799</v>
      </c>
      <c r="AA7" s="15">
        <v>25.688073394495401</v>
      </c>
      <c r="AB7" s="15">
        <v>25</v>
      </c>
      <c r="AC7" s="15">
        <v>15.1515151515152</v>
      </c>
      <c r="AD7" s="15">
        <v>28.125</v>
      </c>
      <c r="AE7" s="15">
        <v>22.2222222222222</v>
      </c>
      <c r="AF7" s="20" t="s">
        <v>76</v>
      </c>
      <c r="AG7" s="15">
        <v>11.4285714285714</v>
      </c>
      <c r="AH7" s="15">
        <v>30.3571428571429</v>
      </c>
      <c r="AI7" s="20" t="s">
        <v>76</v>
      </c>
      <c r="AJ7" s="15">
        <v>37.837837837837803</v>
      </c>
      <c r="AK7" s="15">
        <v>16.6666666666667</v>
      </c>
      <c r="AL7" s="15">
        <v>23.3333333333333</v>
      </c>
      <c r="AM7" s="15">
        <v>18.75</v>
      </c>
      <c r="AN7" s="20" t="s">
        <v>76</v>
      </c>
      <c r="AO7" s="15">
        <v>20</v>
      </c>
      <c r="AP7" s="15">
        <v>22.0779220779221</v>
      </c>
      <c r="AQ7" s="15">
        <v>15.384615384615399</v>
      </c>
      <c r="AR7" s="15">
        <v>9.0909090909090899</v>
      </c>
      <c r="AS7" s="20" t="s">
        <v>76</v>
      </c>
      <c r="AT7" s="15">
        <v>33.846153846153797</v>
      </c>
      <c r="AU7" s="15">
        <v>12.244897959183699</v>
      </c>
      <c r="AV7" s="15">
        <v>17.808219178082201</v>
      </c>
      <c r="AW7" s="15">
        <v>22.413793103448299</v>
      </c>
      <c r="AX7" s="20" t="s">
        <v>76</v>
      </c>
      <c r="AY7" s="15">
        <v>28.571428571428601</v>
      </c>
      <c r="AZ7" s="15">
        <v>34</v>
      </c>
      <c r="BA7" s="15">
        <v>15.094339622641501</v>
      </c>
      <c r="BB7" s="15">
        <v>16.417910447761201</v>
      </c>
      <c r="BC7" s="15">
        <v>39.1891891891892</v>
      </c>
      <c r="BD7" s="15">
        <v>14.1025641025641</v>
      </c>
      <c r="BE7" s="15">
        <v>36.2068965517241</v>
      </c>
      <c r="BF7" s="15">
        <v>20.481927710843401</v>
      </c>
      <c r="BG7" s="15">
        <v>17.910447761194</v>
      </c>
      <c r="BH7" s="15">
        <v>20.8333333333333</v>
      </c>
      <c r="BI7" s="15">
        <v>31.578947368421101</v>
      </c>
      <c r="BJ7" s="15">
        <v>12.5</v>
      </c>
      <c r="BK7" s="15">
        <v>17.5</v>
      </c>
      <c r="BL7" s="15">
        <v>14.0625</v>
      </c>
      <c r="BM7" s="15">
        <v>15.841584158415801</v>
      </c>
      <c r="BN7" s="15">
        <v>23.529411764705898</v>
      </c>
      <c r="BO7" s="15">
        <v>17.7777777777778</v>
      </c>
      <c r="BP7" s="20" t="s">
        <v>76</v>
      </c>
      <c r="BQ7" s="15">
        <v>13.698630136986299</v>
      </c>
      <c r="BR7" s="15">
        <v>21.6666666666667</v>
      </c>
      <c r="BS7" s="15">
        <v>22.891566265060199</v>
      </c>
      <c r="BT7" s="15">
        <v>25.609756097561</v>
      </c>
      <c r="BU7" s="15">
        <v>41.121495327102799</v>
      </c>
      <c r="BV7" s="15">
        <v>13.1313131313131</v>
      </c>
      <c r="BW7" s="15">
        <v>17.3913043478261</v>
      </c>
      <c r="BX7" s="20" t="s">
        <v>76</v>
      </c>
      <c r="BY7" s="15">
        <v>22.2222222222222</v>
      </c>
      <c r="BZ7" s="15">
        <v>9.5238095238095202</v>
      </c>
      <c r="CA7" s="32">
        <v>16.0462455829731</v>
      </c>
      <c r="CB7" s="15">
        <v>11.182108626198101</v>
      </c>
      <c r="CC7" s="15">
        <v>16.981132075471699</v>
      </c>
      <c r="CD7" s="15">
        <v>16.129032258064498</v>
      </c>
      <c r="CE7" s="20" t="s">
        <v>76</v>
      </c>
      <c r="CF7" s="15">
        <v>16.4670658682635</v>
      </c>
      <c r="CG7" s="15">
        <v>24.581005586592202</v>
      </c>
      <c r="CH7" s="15">
        <v>21.6911764705882</v>
      </c>
      <c r="CI7" s="15">
        <v>12.5256673511294</v>
      </c>
      <c r="CJ7" s="15">
        <v>20</v>
      </c>
      <c r="CK7" s="15">
        <v>17.040358744394599</v>
      </c>
      <c r="CL7" s="15">
        <v>11.6666666666667</v>
      </c>
      <c r="CM7" s="24">
        <v>16.916488222698099</v>
      </c>
      <c r="CN7" s="37"/>
    </row>
    <row r="8" spans="1:92">
      <c r="A8" s="9" t="s">
        <v>392</v>
      </c>
      <c r="B8" s="35">
        <v>18.5697047619086</v>
      </c>
      <c r="C8" s="32">
        <v>18.346044997920799</v>
      </c>
      <c r="D8" s="32">
        <v>18.439705972708399</v>
      </c>
      <c r="E8" s="32">
        <v>18.244930409779101</v>
      </c>
      <c r="F8" s="15">
        <v>35.294117647058798</v>
      </c>
      <c r="G8" s="20" t="s">
        <v>76</v>
      </c>
      <c r="H8" s="15">
        <v>39.130434782608702</v>
      </c>
      <c r="I8" s="20" t="s">
        <v>76</v>
      </c>
      <c r="J8" s="15">
        <v>20.1388888888889</v>
      </c>
      <c r="K8" s="15">
        <v>23.076923076923102</v>
      </c>
      <c r="L8" s="15">
        <v>24.590163934426201</v>
      </c>
      <c r="M8" s="15">
        <v>22.3684210526316</v>
      </c>
      <c r="N8" s="15">
        <v>16.470588235294102</v>
      </c>
      <c r="O8" s="15">
        <v>16.2790697674419</v>
      </c>
      <c r="P8" s="15">
        <v>12.6760563380282</v>
      </c>
      <c r="Q8" s="15">
        <v>11.2676056338028</v>
      </c>
      <c r="R8" s="20" t="s">
        <v>76</v>
      </c>
      <c r="S8" s="20" t="s">
        <v>76</v>
      </c>
      <c r="T8" s="15">
        <v>10.4166666666667</v>
      </c>
      <c r="U8" s="20" t="s">
        <v>76</v>
      </c>
      <c r="V8" s="15">
        <v>23.529411764705898</v>
      </c>
      <c r="W8" s="15">
        <v>20.338983050847499</v>
      </c>
      <c r="X8" s="20" t="s">
        <v>76</v>
      </c>
      <c r="Y8" s="15">
        <v>62.5</v>
      </c>
      <c r="Z8" s="15">
        <v>16.6666666666667</v>
      </c>
      <c r="AA8" s="15">
        <v>22.0183486238532</v>
      </c>
      <c r="AB8" s="15">
        <v>13.235294117647101</v>
      </c>
      <c r="AC8" s="15">
        <v>11.363636363636401</v>
      </c>
      <c r="AD8" s="15">
        <v>18.75</v>
      </c>
      <c r="AE8" s="15">
        <v>25.925925925925899</v>
      </c>
      <c r="AF8" s="20" t="s">
        <v>76</v>
      </c>
      <c r="AG8" s="15">
        <v>16.1904761904762</v>
      </c>
      <c r="AH8" s="15">
        <v>14.285714285714301</v>
      </c>
      <c r="AI8" s="20" t="s">
        <v>76</v>
      </c>
      <c r="AJ8" s="15">
        <v>28.828828828828801</v>
      </c>
      <c r="AK8" s="15">
        <v>23.3333333333333</v>
      </c>
      <c r="AL8" s="15">
        <v>25.5555555555556</v>
      </c>
      <c r="AM8" s="15">
        <v>10.9375</v>
      </c>
      <c r="AN8" s="20" t="s">
        <v>76</v>
      </c>
      <c r="AO8" s="15">
        <v>12.5</v>
      </c>
      <c r="AP8" s="15">
        <v>14.285714285714301</v>
      </c>
      <c r="AQ8" s="15">
        <v>15.384615384615399</v>
      </c>
      <c r="AR8" s="15">
        <v>10.909090909090899</v>
      </c>
      <c r="AS8" s="20" t="s">
        <v>76</v>
      </c>
      <c r="AT8" s="15">
        <v>30.769230769230798</v>
      </c>
      <c r="AU8" s="15">
        <v>16.326530612244898</v>
      </c>
      <c r="AV8" s="15">
        <v>13.698630136986299</v>
      </c>
      <c r="AW8" s="15">
        <v>19.827586206896601</v>
      </c>
      <c r="AX8" s="20" t="s">
        <v>76</v>
      </c>
      <c r="AY8" s="15">
        <v>14.285714285714301</v>
      </c>
      <c r="AZ8" s="15">
        <v>28</v>
      </c>
      <c r="BA8" s="15">
        <v>32.075471698113198</v>
      </c>
      <c r="BB8" s="15">
        <v>16.417910447761201</v>
      </c>
      <c r="BC8" s="15">
        <v>22.972972972973</v>
      </c>
      <c r="BD8" s="15">
        <v>14.1025641025641</v>
      </c>
      <c r="BE8" s="15">
        <v>31.034482758620701</v>
      </c>
      <c r="BF8" s="15">
        <v>15.662650602409601</v>
      </c>
      <c r="BG8" s="15">
        <v>17.910447761194</v>
      </c>
      <c r="BH8" s="15">
        <v>20.8333333333333</v>
      </c>
      <c r="BI8" s="15">
        <v>31.578947368421101</v>
      </c>
      <c r="BJ8" s="15">
        <v>14.285714285714301</v>
      </c>
      <c r="BK8" s="15">
        <v>22.5</v>
      </c>
      <c r="BL8" s="15">
        <v>8.59375</v>
      </c>
      <c r="BM8" s="15">
        <v>17.821782178217799</v>
      </c>
      <c r="BN8" s="15">
        <v>16.806722689075599</v>
      </c>
      <c r="BO8" s="15">
        <v>16.6666666666667</v>
      </c>
      <c r="BP8" s="20" t="s">
        <v>76</v>
      </c>
      <c r="BQ8" s="15">
        <v>16.438356164383599</v>
      </c>
      <c r="BR8" s="15">
        <v>16.6666666666667</v>
      </c>
      <c r="BS8" s="15">
        <v>20.481927710843401</v>
      </c>
      <c r="BT8" s="15">
        <v>20.731707317073202</v>
      </c>
      <c r="BU8" s="15">
        <v>29.906542056074802</v>
      </c>
      <c r="BV8" s="15">
        <v>19.191919191919201</v>
      </c>
      <c r="BW8" s="15">
        <v>18.840579710144901</v>
      </c>
      <c r="BX8" s="20" t="s">
        <v>76</v>
      </c>
      <c r="BY8" s="15">
        <v>12.698412698412699</v>
      </c>
      <c r="BZ8" s="15">
        <v>8.84353741496599</v>
      </c>
      <c r="CA8" s="32">
        <v>18.597001003810899</v>
      </c>
      <c r="CB8" s="15">
        <v>11.821086261980801</v>
      </c>
      <c r="CC8" s="15">
        <v>18.238993710691801</v>
      </c>
      <c r="CD8" s="15">
        <v>25.806451612903199</v>
      </c>
      <c r="CE8" s="15">
        <v>50</v>
      </c>
      <c r="CF8" s="15">
        <v>22.754491017964099</v>
      </c>
      <c r="CG8" s="15">
        <v>20.111731843575399</v>
      </c>
      <c r="CH8" s="15">
        <v>22.794117647058801</v>
      </c>
      <c r="CI8" s="15">
        <v>14.3737166324435</v>
      </c>
      <c r="CJ8" s="15">
        <v>24.313725490196099</v>
      </c>
      <c r="CK8" s="15">
        <v>17.4887892376682</v>
      </c>
      <c r="CL8" s="15">
        <v>13.9393939393939</v>
      </c>
      <c r="CM8" s="24">
        <v>18.201284796573901</v>
      </c>
      <c r="CN8" s="37"/>
    </row>
    <row r="9" spans="1:92">
      <c r="A9" s="9" t="s">
        <v>393</v>
      </c>
      <c r="B9" s="35">
        <v>16.1110316763009</v>
      </c>
      <c r="C9" s="32">
        <v>15.7283956794003</v>
      </c>
      <c r="D9" s="32">
        <v>16.557334934649798</v>
      </c>
      <c r="E9" s="32">
        <v>18.382904325045502</v>
      </c>
      <c r="F9" s="15">
        <v>29.411764705882401</v>
      </c>
      <c r="G9" s="20" t="s">
        <v>76</v>
      </c>
      <c r="H9" s="15">
        <v>43.478260869565197</v>
      </c>
      <c r="I9" s="20" t="s">
        <v>76</v>
      </c>
      <c r="J9" s="15">
        <v>22.9166666666667</v>
      </c>
      <c r="K9" s="15">
        <v>12.8205128205128</v>
      </c>
      <c r="L9" s="15">
        <v>27.868852459016399</v>
      </c>
      <c r="M9" s="15">
        <v>18.421052631578899</v>
      </c>
      <c r="N9" s="15">
        <v>8.2352941176470598</v>
      </c>
      <c r="O9" s="15">
        <v>20.930232558139501</v>
      </c>
      <c r="P9" s="15">
        <v>18.309859154929601</v>
      </c>
      <c r="Q9" s="15">
        <v>22.5352112676056</v>
      </c>
      <c r="R9" s="20" t="s">
        <v>76</v>
      </c>
      <c r="S9" s="20" t="s">
        <v>76</v>
      </c>
      <c r="T9" s="15">
        <v>14.5833333333333</v>
      </c>
      <c r="U9" s="15">
        <v>28.571428571428601</v>
      </c>
      <c r="V9" s="15">
        <v>38.235294117647101</v>
      </c>
      <c r="W9" s="15">
        <v>16.9491525423729</v>
      </c>
      <c r="X9" s="20" t="s">
        <v>76</v>
      </c>
      <c r="Y9" s="20" t="s">
        <v>76</v>
      </c>
      <c r="Z9" s="15">
        <v>11.538461538461499</v>
      </c>
      <c r="AA9" s="15">
        <v>19.2660550458716</v>
      </c>
      <c r="AB9" s="15">
        <v>16.176470588235301</v>
      </c>
      <c r="AC9" s="15">
        <v>15.1515151515152</v>
      </c>
      <c r="AD9" s="15">
        <v>21.875</v>
      </c>
      <c r="AE9" s="15">
        <v>40.740740740740698</v>
      </c>
      <c r="AF9" s="20" t="s">
        <v>76</v>
      </c>
      <c r="AG9" s="15">
        <v>18.095238095238098</v>
      </c>
      <c r="AH9" s="20" t="s">
        <v>76</v>
      </c>
      <c r="AI9" s="20" t="s">
        <v>76</v>
      </c>
      <c r="AJ9" s="15">
        <v>22.5225225225225</v>
      </c>
      <c r="AK9" s="20" t="s">
        <v>76</v>
      </c>
      <c r="AL9" s="15">
        <v>16.6666666666667</v>
      </c>
      <c r="AM9" s="15">
        <v>15.625</v>
      </c>
      <c r="AN9" s="20" t="s">
        <v>76</v>
      </c>
      <c r="AO9" s="15">
        <v>15</v>
      </c>
      <c r="AP9" s="15">
        <v>18.181818181818201</v>
      </c>
      <c r="AQ9" s="15">
        <v>15.384615384615399</v>
      </c>
      <c r="AR9" s="15">
        <v>16.363636363636399</v>
      </c>
      <c r="AS9" s="20" t="s">
        <v>76</v>
      </c>
      <c r="AT9" s="15">
        <v>20</v>
      </c>
      <c r="AU9" s="15">
        <v>18.367346938775501</v>
      </c>
      <c r="AV9" s="20" t="s">
        <v>76</v>
      </c>
      <c r="AW9" s="15">
        <v>19.827586206896601</v>
      </c>
      <c r="AX9" s="15">
        <v>43.75</v>
      </c>
      <c r="AY9" s="15">
        <v>14.285714285714301</v>
      </c>
      <c r="AZ9" s="15">
        <v>12</v>
      </c>
      <c r="BA9" s="15">
        <v>28.301886792452802</v>
      </c>
      <c r="BB9" s="15">
        <v>20.8955223880597</v>
      </c>
      <c r="BC9" s="15">
        <v>31.081081081081098</v>
      </c>
      <c r="BD9" s="15">
        <v>16.6666666666667</v>
      </c>
      <c r="BE9" s="15">
        <v>24.137931034482801</v>
      </c>
      <c r="BF9" s="15">
        <v>20.481927710843401</v>
      </c>
      <c r="BG9" s="15">
        <v>22.388059701492502</v>
      </c>
      <c r="BH9" s="15">
        <v>20.8333333333333</v>
      </c>
      <c r="BI9" s="20" t="s">
        <v>76</v>
      </c>
      <c r="BJ9" s="15">
        <v>15.1785714285714</v>
      </c>
      <c r="BK9" s="15">
        <v>17.5</v>
      </c>
      <c r="BL9" s="15">
        <v>8.59375</v>
      </c>
      <c r="BM9" s="15">
        <v>10.891089108910901</v>
      </c>
      <c r="BN9" s="15">
        <v>21.848739495798299</v>
      </c>
      <c r="BO9" s="15">
        <v>16.6666666666667</v>
      </c>
      <c r="BP9" s="20" t="s">
        <v>76</v>
      </c>
      <c r="BQ9" s="15">
        <v>9.5890410958904102</v>
      </c>
      <c r="BR9" s="15">
        <v>15</v>
      </c>
      <c r="BS9" s="15">
        <v>14.4578313253012</v>
      </c>
      <c r="BT9" s="15">
        <v>19.512195121951201</v>
      </c>
      <c r="BU9" s="15">
        <v>34.5794392523364</v>
      </c>
      <c r="BV9" s="15">
        <v>24.2424242424242</v>
      </c>
      <c r="BW9" s="15">
        <v>11.5942028985507</v>
      </c>
      <c r="BX9" s="20" t="s">
        <v>76</v>
      </c>
      <c r="BY9" s="15">
        <v>20.634920634920601</v>
      </c>
      <c r="BZ9" s="15">
        <v>9.5238095238095202</v>
      </c>
      <c r="CA9" s="32">
        <v>15.0830586459639</v>
      </c>
      <c r="CB9" s="15">
        <v>10.223642172524</v>
      </c>
      <c r="CC9" s="15">
        <v>15.4088050314465</v>
      </c>
      <c r="CD9" s="15">
        <v>20</v>
      </c>
      <c r="CE9" s="20" t="s">
        <v>76</v>
      </c>
      <c r="CF9" s="15">
        <v>15.2694610778443</v>
      </c>
      <c r="CG9" s="15">
        <v>15.6424581005587</v>
      </c>
      <c r="CH9" s="15">
        <v>13.9705882352941</v>
      </c>
      <c r="CI9" s="15">
        <v>12.936344969199199</v>
      </c>
      <c r="CJ9" s="15">
        <v>21.568627450980401</v>
      </c>
      <c r="CK9" s="15">
        <v>12.1076233183857</v>
      </c>
      <c r="CL9" s="15">
        <v>14.2424242424242</v>
      </c>
      <c r="CM9" s="24">
        <v>16.4882226980728</v>
      </c>
      <c r="CN9" s="37"/>
    </row>
    <row r="10" spans="1:92">
      <c r="A10" s="9" t="s">
        <v>394</v>
      </c>
      <c r="B10" s="35">
        <v>10.1159711954861</v>
      </c>
      <c r="C10" s="32">
        <v>9.6148143351476296</v>
      </c>
      <c r="D10" s="32">
        <v>9.6581605233689807</v>
      </c>
      <c r="E10" s="32">
        <v>11.286053233436499</v>
      </c>
      <c r="F10" s="20" t="s">
        <v>76</v>
      </c>
      <c r="G10" s="20" t="s">
        <v>76</v>
      </c>
      <c r="H10" s="20" t="s">
        <v>76</v>
      </c>
      <c r="I10" s="20" t="s">
        <v>76</v>
      </c>
      <c r="J10" s="15">
        <v>13.1944444444444</v>
      </c>
      <c r="K10" s="15">
        <v>15.384615384615399</v>
      </c>
      <c r="L10" s="15">
        <v>13.1147540983607</v>
      </c>
      <c r="M10" s="15">
        <v>11.842105263157899</v>
      </c>
      <c r="N10" s="15">
        <v>7.0588235294117601</v>
      </c>
      <c r="O10" s="20" t="s">
        <v>76</v>
      </c>
      <c r="P10" s="15">
        <v>14.084507042253501</v>
      </c>
      <c r="Q10" s="15">
        <v>15.492957746478901</v>
      </c>
      <c r="R10" s="20" t="s">
        <v>76</v>
      </c>
      <c r="S10" s="20" t="s">
        <v>76</v>
      </c>
      <c r="T10" s="20" t="s">
        <v>76</v>
      </c>
      <c r="U10" s="20" t="s">
        <v>76</v>
      </c>
      <c r="V10" s="15">
        <v>14.705882352941201</v>
      </c>
      <c r="W10" s="15">
        <v>10.1694915254237</v>
      </c>
      <c r="X10" s="20" t="s">
        <v>76</v>
      </c>
      <c r="Y10" s="20" t="s">
        <v>76</v>
      </c>
      <c r="Z10" s="20" t="s">
        <v>76</v>
      </c>
      <c r="AA10" s="15">
        <v>14.678899082568799</v>
      </c>
      <c r="AB10" s="15">
        <v>19.117647058823501</v>
      </c>
      <c r="AC10" s="15">
        <v>3.7878787878787898</v>
      </c>
      <c r="AD10" s="20" t="s">
        <v>76</v>
      </c>
      <c r="AE10" s="20" t="s">
        <v>76</v>
      </c>
      <c r="AF10" s="20" t="s">
        <v>76</v>
      </c>
      <c r="AG10" s="15">
        <v>12.380952380952399</v>
      </c>
      <c r="AH10" s="20" t="s">
        <v>76</v>
      </c>
      <c r="AI10" s="20" t="s">
        <v>76</v>
      </c>
      <c r="AJ10" s="15">
        <v>20.720720720720699</v>
      </c>
      <c r="AK10" s="15">
        <v>16.6666666666667</v>
      </c>
      <c r="AL10" s="15">
        <v>7.7777777777777803</v>
      </c>
      <c r="AM10" s="15">
        <v>7.8125</v>
      </c>
      <c r="AN10" s="20" t="s">
        <v>76</v>
      </c>
      <c r="AO10" s="20" t="s">
        <v>76</v>
      </c>
      <c r="AP10" s="15">
        <v>10.3896103896104</v>
      </c>
      <c r="AQ10" s="20" t="s">
        <v>76</v>
      </c>
      <c r="AR10" s="15">
        <v>9.0909090909090899</v>
      </c>
      <c r="AS10" s="20" t="s">
        <v>76</v>
      </c>
      <c r="AT10" s="15">
        <v>9.2307692307692299</v>
      </c>
      <c r="AU10" s="15">
        <v>12.244897959183699</v>
      </c>
      <c r="AV10" s="15">
        <v>9.5890410958904102</v>
      </c>
      <c r="AW10" s="15">
        <v>9.4827586206896601</v>
      </c>
      <c r="AX10" s="15">
        <v>37.5</v>
      </c>
      <c r="AY10" s="15">
        <v>17.1428571428571</v>
      </c>
      <c r="AZ10" s="15">
        <v>14</v>
      </c>
      <c r="BA10" s="15">
        <v>20.754716981132098</v>
      </c>
      <c r="BB10" s="15">
        <v>8.9552238805970106</v>
      </c>
      <c r="BC10" s="15">
        <v>13.5135135135135</v>
      </c>
      <c r="BD10" s="15">
        <v>8.9743589743589691</v>
      </c>
      <c r="BE10" s="15">
        <v>15.517241379310301</v>
      </c>
      <c r="BF10" s="15">
        <v>14.4578313253012</v>
      </c>
      <c r="BG10" s="15">
        <v>14.9253731343284</v>
      </c>
      <c r="BH10" s="20" t="s">
        <v>76</v>
      </c>
      <c r="BI10" s="20" t="s">
        <v>76</v>
      </c>
      <c r="BJ10" s="15">
        <v>9.8214285714285694</v>
      </c>
      <c r="BK10" s="20" t="s">
        <v>76</v>
      </c>
      <c r="BL10" s="15">
        <v>10.9375</v>
      </c>
      <c r="BM10" s="15">
        <v>6.9306930693069297</v>
      </c>
      <c r="BN10" s="15">
        <v>5.8823529411764701</v>
      </c>
      <c r="BO10" s="15">
        <v>7.7777777777777803</v>
      </c>
      <c r="BP10" s="20" t="s">
        <v>76</v>
      </c>
      <c r="BQ10" s="15">
        <v>8.2191780821917799</v>
      </c>
      <c r="BR10" s="20" t="s">
        <v>76</v>
      </c>
      <c r="BS10" s="15">
        <v>12.048192771084301</v>
      </c>
      <c r="BT10" s="15">
        <v>17.0731707317073</v>
      </c>
      <c r="BU10" s="15">
        <v>9.3457943925233593</v>
      </c>
      <c r="BV10" s="15">
        <v>16.161616161616202</v>
      </c>
      <c r="BW10" s="15">
        <v>10.144927536231901</v>
      </c>
      <c r="BX10" s="20" t="s">
        <v>76</v>
      </c>
      <c r="BY10" s="15">
        <v>7.9365079365079403</v>
      </c>
      <c r="BZ10" s="15">
        <v>11.5646258503401</v>
      </c>
      <c r="CA10" s="32">
        <v>8.3435221230959904</v>
      </c>
      <c r="CB10" s="15">
        <v>5.7507987220447303</v>
      </c>
      <c r="CC10" s="15">
        <v>9.1194968553459095</v>
      </c>
      <c r="CD10" s="15">
        <v>11.6129032258065</v>
      </c>
      <c r="CE10" s="20" t="s">
        <v>76</v>
      </c>
      <c r="CF10" s="15">
        <v>8.6826347305389202</v>
      </c>
      <c r="CG10" s="15">
        <v>11.173184357541899</v>
      </c>
      <c r="CH10" s="15">
        <v>7.3529411764705896</v>
      </c>
      <c r="CI10" s="15">
        <v>5.1334702258726903</v>
      </c>
      <c r="CJ10" s="15">
        <v>7.8431372549019596</v>
      </c>
      <c r="CK10" s="15">
        <v>8.9686098654708495</v>
      </c>
      <c r="CL10" s="15">
        <v>9.8484848484848495</v>
      </c>
      <c r="CM10" s="24">
        <v>7.7087794432548202</v>
      </c>
      <c r="CN10" s="37"/>
    </row>
    <row r="11" spans="1:92">
      <c r="A11" s="9" t="s">
        <v>395</v>
      </c>
      <c r="B11" s="35">
        <v>9.3917516017224703</v>
      </c>
      <c r="C11" s="32">
        <v>9.7286433525695006</v>
      </c>
      <c r="D11" s="32">
        <v>10.4472367766495</v>
      </c>
      <c r="E11" s="32">
        <v>8.5591287629890207</v>
      </c>
      <c r="F11" s="20" t="s">
        <v>76</v>
      </c>
      <c r="G11" s="20" t="s">
        <v>76</v>
      </c>
      <c r="H11" s="20" t="s">
        <v>76</v>
      </c>
      <c r="I11" s="20" t="s">
        <v>76</v>
      </c>
      <c r="J11" s="15">
        <v>4.1666666666666696</v>
      </c>
      <c r="K11" s="20" t="s">
        <v>76</v>
      </c>
      <c r="L11" s="15">
        <v>13.1147540983607</v>
      </c>
      <c r="M11" s="15">
        <v>11.842105263157899</v>
      </c>
      <c r="N11" s="20" t="s">
        <v>76</v>
      </c>
      <c r="O11" s="15">
        <v>13.953488372093</v>
      </c>
      <c r="P11" s="15">
        <v>11.2676056338028</v>
      </c>
      <c r="Q11" s="20" t="s">
        <v>76</v>
      </c>
      <c r="R11" s="20" t="s">
        <v>76</v>
      </c>
      <c r="S11" s="15">
        <v>14.634146341463399</v>
      </c>
      <c r="T11" s="20" t="s">
        <v>76</v>
      </c>
      <c r="U11" s="20" t="s">
        <v>76</v>
      </c>
      <c r="V11" s="20" t="s">
        <v>76</v>
      </c>
      <c r="W11" s="20" t="s">
        <v>76</v>
      </c>
      <c r="X11" s="20" t="s">
        <v>76</v>
      </c>
      <c r="Y11" s="20" t="s">
        <v>76</v>
      </c>
      <c r="Z11" s="20" t="s">
        <v>76</v>
      </c>
      <c r="AA11" s="15">
        <v>14.678899082568799</v>
      </c>
      <c r="AB11" s="20" t="s">
        <v>76</v>
      </c>
      <c r="AC11" s="15">
        <v>7.5757575757575797</v>
      </c>
      <c r="AD11" s="20" t="s">
        <v>76</v>
      </c>
      <c r="AE11" s="15">
        <v>22.2222222222222</v>
      </c>
      <c r="AF11" s="20" t="s">
        <v>76</v>
      </c>
      <c r="AG11" s="15">
        <v>10.476190476190499</v>
      </c>
      <c r="AH11" s="20" t="s">
        <v>76</v>
      </c>
      <c r="AI11" s="20" t="s">
        <v>76</v>
      </c>
      <c r="AJ11" s="15">
        <v>19.819819819819799</v>
      </c>
      <c r="AK11" s="20" t="s">
        <v>76</v>
      </c>
      <c r="AL11" s="15">
        <v>12.2222222222222</v>
      </c>
      <c r="AM11" s="20" t="s">
        <v>76</v>
      </c>
      <c r="AN11" s="20" t="s">
        <v>76</v>
      </c>
      <c r="AO11" s="20" t="s">
        <v>76</v>
      </c>
      <c r="AP11" s="20" t="s">
        <v>76</v>
      </c>
      <c r="AQ11" s="20" t="s">
        <v>76</v>
      </c>
      <c r="AR11" s="20" t="s">
        <v>76</v>
      </c>
      <c r="AS11" s="20" t="s">
        <v>76</v>
      </c>
      <c r="AT11" s="20" t="s">
        <v>76</v>
      </c>
      <c r="AU11" s="15">
        <v>20.408163265306101</v>
      </c>
      <c r="AV11" s="15">
        <v>8.2191780821917799</v>
      </c>
      <c r="AW11" s="15">
        <v>6.0344827586206904</v>
      </c>
      <c r="AX11" s="15">
        <v>37.5</v>
      </c>
      <c r="AY11" s="20" t="s">
        <v>76</v>
      </c>
      <c r="AZ11" s="15">
        <v>28</v>
      </c>
      <c r="BA11" s="20" t="s">
        <v>76</v>
      </c>
      <c r="BB11" s="20" t="s">
        <v>76</v>
      </c>
      <c r="BC11" s="15">
        <v>14.8648648648649</v>
      </c>
      <c r="BD11" s="20" t="s">
        <v>76</v>
      </c>
      <c r="BE11" s="15">
        <v>15.517241379310301</v>
      </c>
      <c r="BF11" s="15">
        <v>8.4337349397590398</v>
      </c>
      <c r="BG11" s="20" t="s">
        <v>76</v>
      </c>
      <c r="BH11" s="20" t="s">
        <v>76</v>
      </c>
      <c r="BI11" s="20" t="s">
        <v>76</v>
      </c>
      <c r="BJ11" s="15">
        <v>11.6071428571429</v>
      </c>
      <c r="BK11" s="20" t="s">
        <v>76</v>
      </c>
      <c r="BL11" s="15">
        <v>6.25</v>
      </c>
      <c r="BM11" s="15">
        <v>14.8514851485149</v>
      </c>
      <c r="BN11" s="15">
        <v>8.4033613445378208</v>
      </c>
      <c r="BO11" s="15">
        <v>5.5555555555555598</v>
      </c>
      <c r="BP11" s="20" t="s">
        <v>76</v>
      </c>
      <c r="BQ11" s="20" t="s">
        <v>76</v>
      </c>
      <c r="BR11" s="20" t="s">
        <v>76</v>
      </c>
      <c r="BS11" s="15">
        <v>7.2289156626505999</v>
      </c>
      <c r="BT11" s="15">
        <v>10.975609756097599</v>
      </c>
      <c r="BU11" s="15">
        <v>10.2803738317757</v>
      </c>
      <c r="BV11" s="15">
        <v>10.1010101010101</v>
      </c>
      <c r="BW11" s="20" t="s">
        <v>76</v>
      </c>
      <c r="BX11" s="20" t="s">
        <v>76</v>
      </c>
      <c r="BY11" s="20" t="s">
        <v>76</v>
      </c>
      <c r="BZ11" s="15">
        <v>7.4829931972789101</v>
      </c>
      <c r="CA11" s="32">
        <v>11.972017422984701</v>
      </c>
      <c r="CB11" s="15">
        <v>10.8626198083067</v>
      </c>
      <c r="CC11" s="15">
        <v>18.5534591194969</v>
      </c>
      <c r="CD11" s="15">
        <v>10.9677419354839</v>
      </c>
      <c r="CE11" s="20" t="s">
        <v>76</v>
      </c>
      <c r="CF11" s="15">
        <v>8.3832335329341294</v>
      </c>
      <c r="CG11" s="15">
        <v>20.670391061452499</v>
      </c>
      <c r="CH11" s="15">
        <v>12.867647058823501</v>
      </c>
      <c r="CI11" s="15">
        <v>12.7310061601643</v>
      </c>
      <c r="CJ11" s="15">
        <v>8.2352941176470598</v>
      </c>
      <c r="CK11" s="15">
        <v>8.9686098654708495</v>
      </c>
      <c r="CL11" s="15">
        <v>14.545454545454501</v>
      </c>
      <c r="CM11" s="24">
        <v>10.7066381156317</v>
      </c>
      <c r="CN11" s="37"/>
    </row>
    <row r="12" spans="1:92">
      <c r="A12" s="9" t="s">
        <v>396</v>
      </c>
      <c r="B12" s="35">
        <v>9.5388921369160098</v>
      </c>
      <c r="C12" s="32">
        <v>9.4457951952227308</v>
      </c>
      <c r="D12" s="32">
        <v>9.4895532377371392</v>
      </c>
      <c r="E12" s="32">
        <v>12.280445581113501</v>
      </c>
      <c r="F12" s="15">
        <v>35.294117647058798</v>
      </c>
      <c r="G12" s="20" t="s">
        <v>76</v>
      </c>
      <c r="H12" s="20" t="s">
        <v>76</v>
      </c>
      <c r="I12" s="20" t="s">
        <v>76</v>
      </c>
      <c r="J12" s="15">
        <v>14.5833333333333</v>
      </c>
      <c r="K12" s="20" t="s">
        <v>76</v>
      </c>
      <c r="L12" s="15">
        <v>14.7540983606557</v>
      </c>
      <c r="M12" s="15">
        <v>11.842105263157899</v>
      </c>
      <c r="N12" s="20" t="s">
        <v>76</v>
      </c>
      <c r="O12" s="15">
        <v>13.953488372093</v>
      </c>
      <c r="P12" s="15">
        <v>16.901408450704199</v>
      </c>
      <c r="Q12" s="15">
        <v>14.084507042253501</v>
      </c>
      <c r="R12" s="20" t="s">
        <v>76</v>
      </c>
      <c r="S12" s="20" t="s">
        <v>76</v>
      </c>
      <c r="T12" s="20" t="s">
        <v>76</v>
      </c>
      <c r="U12" s="20" t="s">
        <v>76</v>
      </c>
      <c r="V12" s="15">
        <v>14.705882352941201</v>
      </c>
      <c r="W12" s="15">
        <v>13.559322033898299</v>
      </c>
      <c r="X12" s="20" t="s">
        <v>76</v>
      </c>
      <c r="Y12" s="20" t="s">
        <v>76</v>
      </c>
      <c r="Z12" s="15">
        <v>11.538461538461499</v>
      </c>
      <c r="AA12" s="15">
        <v>15.5963302752294</v>
      </c>
      <c r="AB12" s="20" t="s">
        <v>76</v>
      </c>
      <c r="AC12" s="15">
        <v>12.1212121212121</v>
      </c>
      <c r="AD12" s="20" t="s">
        <v>76</v>
      </c>
      <c r="AE12" s="15">
        <v>22.2222222222222</v>
      </c>
      <c r="AF12" s="20" t="s">
        <v>76</v>
      </c>
      <c r="AG12" s="15">
        <v>14.285714285714301</v>
      </c>
      <c r="AH12" s="15">
        <v>10.714285714285699</v>
      </c>
      <c r="AI12" s="20" t="s">
        <v>76</v>
      </c>
      <c r="AJ12" s="15">
        <v>24.324324324324301</v>
      </c>
      <c r="AK12" s="20" t="s">
        <v>76</v>
      </c>
      <c r="AL12" s="15">
        <v>10</v>
      </c>
      <c r="AM12" s="15">
        <v>15.625</v>
      </c>
      <c r="AN12" s="20" t="s">
        <v>76</v>
      </c>
      <c r="AO12" s="15">
        <v>15</v>
      </c>
      <c r="AP12" s="15">
        <v>6.4935064935064899</v>
      </c>
      <c r="AQ12" s="20" t="s">
        <v>76</v>
      </c>
      <c r="AR12" s="15">
        <v>9.0909090909090899</v>
      </c>
      <c r="AS12" s="20" t="s">
        <v>76</v>
      </c>
      <c r="AT12" s="20" t="s">
        <v>76</v>
      </c>
      <c r="AU12" s="15">
        <v>14.285714285714301</v>
      </c>
      <c r="AV12" s="20" t="s">
        <v>76</v>
      </c>
      <c r="AW12" s="15">
        <v>8.6206896551724093</v>
      </c>
      <c r="AX12" s="15">
        <v>31.25</v>
      </c>
      <c r="AY12" s="15">
        <v>17.1428571428571</v>
      </c>
      <c r="AZ12" s="15">
        <v>18</v>
      </c>
      <c r="BA12" s="15">
        <v>32.075471698113198</v>
      </c>
      <c r="BB12" s="15">
        <v>8.9552238805970106</v>
      </c>
      <c r="BC12" s="15">
        <v>9.4594594594594597</v>
      </c>
      <c r="BD12" s="15">
        <v>10.2564102564103</v>
      </c>
      <c r="BE12" s="15">
        <v>12.0689655172414</v>
      </c>
      <c r="BF12" s="15">
        <v>7.2289156626505999</v>
      </c>
      <c r="BG12" s="15">
        <v>14.9253731343284</v>
      </c>
      <c r="BH12" s="20" t="s">
        <v>76</v>
      </c>
      <c r="BI12" s="20" t="s">
        <v>76</v>
      </c>
      <c r="BJ12" s="15">
        <v>11.6071428571429</v>
      </c>
      <c r="BK12" s="20" t="s">
        <v>76</v>
      </c>
      <c r="BL12" s="15">
        <v>9.375</v>
      </c>
      <c r="BM12" s="15">
        <v>17.821782178217799</v>
      </c>
      <c r="BN12" s="15">
        <v>7.5630252100840298</v>
      </c>
      <c r="BO12" s="15">
        <v>11.1111111111111</v>
      </c>
      <c r="BP12" s="20" t="s">
        <v>76</v>
      </c>
      <c r="BQ12" s="15">
        <v>16.438356164383599</v>
      </c>
      <c r="BR12" s="20" t="s">
        <v>76</v>
      </c>
      <c r="BS12" s="15">
        <v>13.253012048192801</v>
      </c>
      <c r="BT12" s="15">
        <v>14.634146341463399</v>
      </c>
      <c r="BU12" s="15">
        <v>29.906542056074802</v>
      </c>
      <c r="BV12" s="15">
        <v>14.141414141414099</v>
      </c>
      <c r="BW12" s="15">
        <v>7.2463768115942004</v>
      </c>
      <c r="BX12" s="20" t="s">
        <v>76</v>
      </c>
      <c r="BY12" s="20" t="s">
        <v>76</v>
      </c>
      <c r="BZ12" s="15">
        <v>4.7619047619047601</v>
      </c>
      <c r="CA12" s="32">
        <v>7.2357104488729398</v>
      </c>
      <c r="CB12" s="15">
        <v>7.0287539936102199</v>
      </c>
      <c r="CC12" s="15">
        <v>8.4905660377358494</v>
      </c>
      <c r="CD12" s="15">
        <v>9.67741935483871</v>
      </c>
      <c r="CE12" s="20" t="s">
        <v>76</v>
      </c>
      <c r="CF12" s="15">
        <v>7.4850299401197598</v>
      </c>
      <c r="CG12" s="15">
        <v>8.3798882681564208</v>
      </c>
      <c r="CH12" s="15">
        <v>7.1691176470588198</v>
      </c>
      <c r="CI12" s="15">
        <v>5.5441478439424996</v>
      </c>
      <c r="CJ12" s="15">
        <v>14.509803921568601</v>
      </c>
      <c r="CK12" s="15">
        <v>4.4843049327354301</v>
      </c>
      <c r="CL12" s="15">
        <v>6.2121212121212102</v>
      </c>
      <c r="CM12" s="24">
        <v>8.3511777301927204</v>
      </c>
      <c r="CN12" s="37"/>
    </row>
    <row r="13" spans="1:92">
      <c r="A13" s="9" t="s">
        <v>397</v>
      </c>
      <c r="B13" s="35">
        <v>15.5673455375206</v>
      </c>
      <c r="C13" s="32">
        <v>14.7910001675044</v>
      </c>
      <c r="D13" s="32">
        <v>14.1473475739254</v>
      </c>
      <c r="E13" s="32">
        <v>13.867239938671</v>
      </c>
      <c r="F13" s="20" t="s">
        <v>76</v>
      </c>
      <c r="G13" s="20" t="s">
        <v>76</v>
      </c>
      <c r="H13" s="20" t="s">
        <v>76</v>
      </c>
      <c r="I13" s="20" t="s">
        <v>76</v>
      </c>
      <c r="J13" s="15">
        <v>12.5</v>
      </c>
      <c r="K13" s="20" t="s">
        <v>76</v>
      </c>
      <c r="L13" s="15">
        <v>21.311475409836099</v>
      </c>
      <c r="M13" s="15">
        <v>18.421052631578899</v>
      </c>
      <c r="N13" s="15">
        <v>9.4117647058823497</v>
      </c>
      <c r="O13" s="15">
        <v>13.953488372093</v>
      </c>
      <c r="P13" s="15">
        <v>21.126760563380302</v>
      </c>
      <c r="Q13" s="15">
        <v>12.6760563380282</v>
      </c>
      <c r="R13" s="20" t="s">
        <v>76</v>
      </c>
      <c r="S13" s="20" t="s">
        <v>76</v>
      </c>
      <c r="T13" s="15">
        <v>10.4166666666667</v>
      </c>
      <c r="U13" s="20" t="s">
        <v>76</v>
      </c>
      <c r="V13" s="15">
        <v>20.588235294117599</v>
      </c>
      <c r="W13" s="15">
        <v>15.254237288135601</v>
      </c>
      <c r="X13" s="20" t="s">
        <v>76</v>
      </c>
      <c r="Y13" s="20" t="s">
        <v>76</v>
      </c>
      <c r="Z13" s="15">
        <v>10.2564102564103</v>
      </c>
      <c r="AA13" s="15">
        <v>22.935779816513801</v>
      </c>
      <c r="AB13" s="15">
        <v>11.764705882352899</v>
      </c>
      <c r="AC13" s="15">
        <v>9.8484848484848495</v>
      </c>
      <c r="AD13" s="20" t="s">
        <v>76</v>
      </c>
      <c r="AE13" s="20" t="s">
        <v>76</v>
      </c>
      <c r="AF13" s="20" t="s">
        <v>76</v>
      </c>
      <c r="AG13" s="15">
        <v>18.095238095238098</v>
      </c>
      <c r="AH13" s="20" t="s">
        <v>76</v>
      </c>
      <c r="AI13" s="20" t="s">
        <v>76</v>
      </c>
      <c r="AJ13" s="15">
        <v>26.126126126126099</v>
      </c>
      <c r="AK13" s="15">
        <v>16.6666666666667</v>
      </c>
      <c r="AL13" s="15">
        <v>17.7777777777778</v>
      </c>
      <c r="AM13" s="20" t="s">
        <v>76</v>
      </c>
      <c r="AN13" s="20" t="s">
        <v>76</v>
      </c>
      <c r="AO13" s="20" t="s">
        <v>76</v>
      </c>
      <c r="AP13" s="15">
        <v>6.4935064935064899</v>
      </c>
      <c r="AQ13" s="15">
        <v>12.8205128205128</v>
      </c>
      <c r="AR13" s="15">
        <v>14.545454545454501</v>
      </c>
      <c r="AS13" s="20" t="s">
        <v>76</v>
      </c>
      <c r="AT13" s="20" t="s">
        <v>76</v>
      </c>
      <c r="AU13" s="15">
        <v>20.408163265306101</v>
      </c>
      <c r="AV13" s="15">
        <v>15.068493150684899</v>
      </c>
      <c r="AW13" s="15">
        <v>12.9310344827586</v>
      </c>
      <c r="AX13" s="15">
        <v>43.75</v>
      </c>
      <c r="AY13" s="15">
        <v>17.1428571428571</v>
      </c>
      <c r="AZ13" s="15">
        <v>20</v>
      </c>
      <c r="BA13" s="15">
        <v>24.528301886792502</v>
      </c>
      <c r="BB13" s="15">
        <v>7.4626865671641802</v>
      </c>
      <c r="BC13" s="15">
        <v>20.270270270270299</v>
      </c>
      <c r="BD13" s="15">
        <v>11.538461538461499</v>
      </c>
      <c r="BE13" s="15">
        <v>20.689655172413801</v>
      </c>
      <c r="BF13" s="15">
        <v>14.4578313253012</v>
      </c>
      <c r="BG13" s="15">
        <v>7.4626865671641802</v>
      </c>
      <c r="BH13" s="20" t="s">
        <v>76</v>
      </c>
      <c r="BI13" s="15">
        <v>26.315789473684202</v>
      </c>
      <c r="BJ13" s="15">
        <v>16.964285714285701</v>
      </c>
      <c r="BK13" s="15">
        <v>12.5</v>
      </c>
      <c r="BL13" s="15">
        <v>7.8125</v>
      </c>
      <c r="BM13" s="15">
        <v>20.7920792079208</v>
      </c>
      <c r="BN13" s="15">
        <v>7.5630252100840298</v>
      </c>
      <c r="BO13" s="15">
        <v>16.6666666666667</v>
      </c>
      <c r="BP13" s="20" t="s">
        <v>76</v>
      </c>
      <c r="BQ13" s="15">
        <v>9.5890410958904102</v>
      </c>
      <c r="BR13" s="20" t="s">
        <v>76</v>
      </c>
      <c r="BS13" s="15">
        <v>15.662650602409601</v>
      </c>
      <c r="BT13" s="15">
        <v>13.4146341463415</v>
      </c>
      <c r="BU13" s="15">
        <v>17.757009345794401</v>
      </c>
      <c r="BV13" s="15">
        <v>14.141414141414099</v>
      </c>
      <c r="BW13" s="15">
        <v>10.144927536231901</v>
      </c>
      <c r="BX13" s="20" t="s">
        <v>76</v>
      </c>
      <c r="BY13" s="15">
        <v>7.9365079365079403</v>
      </c>
      <c r="BZ13" s="15">
        <v>6.8027210884353702</v>
      </c>
      <c r="CA13" s="32">
        <v>14.373554283518599</v>
      </c>
      <c r="CB13" s="15">
        <v>11.182108626198101</v>
      </c>
      <c r="CC13" s="15">
        <v>20.440251572327</v>
      </c>
      <c r="CD13" s="15">
        <v>10.322580645161301</v>
      </c>
      <c r="CE13" s="20" t="s">
        <v>76</v>
      </c>
      <c r="CF13" s="15">
        <v>10.7784431137725</v>
      </c>
      <c r="CG13" s="15">
        <v>20.111731843575399</v>
      </c>
      <c r="CH13" s="15">
        <v>15.625</v>
      </c>
      <c r="CI13" s="15">
        <v>14.579055441478401</v>
      </c>
      <c r="CJ13" s="15">
        <v>21.960784313725501</v>
      </c>
      <c r="CK13" s="15">
        <v>9.4170403587443907</v>
      </c>
      <c r="CL13" s="15">
        <v>12.7272727272727</v>
      </c>
      <c r="CM13" s="24">
        <v>11.134903640257001</v>
      </c>
      <c r="CN13" s="37"/>
    </row>
    <row r="14" spans="1:92">
      <c r="A14" s="9" t="s">
        <v>398</v>
      </c>
      <c r="B14" s="35">
        <v>15.106881231318701</v>
      </c>
      <c r="C14" s="32">
        <v>14.4784612938615</v>
      </c>
      <c r="D14" s="32">
        <v>13.992732916581399</v>
      </c>
      <c r="E14" s="32">
        <v>15.183679997360199</v>
      </c>
      <c r="F14" s="20" t="s">
        <v>76</v>
      </c>
      <c r="G14" s="20" t="s">
        <v>76</v>
      </c>
      <c r="H14" s="15">
        <v>21.739130434782599</v>
      </c>
      <c r="I14" s="20" t="s">
        <v>76</v>
      </c>
      <c r="J14" s="15">
        <v>14.5833333333333</v>
      </c>
      <c r="K14" s="15">
        <v>12.8205128205128</v>
      </c>
      <c r="L14" s="15">
        <v>21.311475409836099</v>
      </c>
      <c r="M14" s="15">
        <v>22.3684210526316</v>
      </c>
      <c r="N14" s="15">
        <v>7.0588235294117601</v>
      </c>
      <c r="O14" s="15">
        <v>16.2790697674419</v>
      </c>
      <c r="P14" s="15">
        <v>16.901408450704199</v>
      </c>
      <c r="Q14" s="15">
        <v>18.309859154929601</v>
      </c>
      <c r="R14" s="20" t="s">
        <v>76</v>
      </c>
      <c r="S14" s="20" t="s">
        <v>76</v>
      </c>
      <c r="T14" s="15">
        <v>14.5833333333333</v>
      </c>
      <c r="U14" s="20" t="s">
        <v>76</v>
      </c>
      <c r="V14" s="15">
        <v>32.352941176470601</v>
      </c>
      <c r="W14" s="15">
        <v>16.9491525423729</v>
      </c>
      <c r="X14" s="20" t="s">
        <v>76</v>
      </c>
      <c r="Y14" s="20" t="s">
        <v>76</v>
      </c>
      <c r="Z14" s="15">
        <v>10.2564102564103</v>
      </c>
      <c r="AA14" s="15">
        <v>15.5963302752294</v>
      </c>
      <c r="AB14" s="15">
        <v>10.294117647058799</v>
      </c>
      <c r="AC14" s="15">
        <v>12.1212121212121</v>
      </c>
      <c r="AD14" s="20" t="s">
        <v>76</v>
      </c>
      <c r="AE14" s="20" t="s">
        <v>76</v>
      </c>
      <c r="AF14" s="20" t="s">
        <v>76</v>
      </c>
      <c r="AG14" s="15">
        <v>18.095238095238098</v>
      </c>
      <c r="AH14" s="15">
        <v>14.285714285714301</v>
      </c>
      <c r="AI14" s="20" t="s">
        <v>76</v>
      </c>
      <c r="AJ14" s="15">
        <v>27.027027027027</v>
      </c>
      <c r="AK14" s="15">
        <v>20</v>
      </c>
      <c r="AL14" s="15">
        <v>20</v>
      </c>
      <c r="AM14" s="15">
        <v>14.0625</v>
      </c>
      <c r="AN14" s="20" t="s">
        <v>76</v>
      </c>
      <c r="AO14" s="20" t="s">
        <v>76</v>
      </c>
      <c r="AP14" s="15">
        <v>12.987012987012999</v>
      </c>
      <c r="AQ14" s="15">
        <v>20.5128205128205</v>
      </c>
      <c r="AR14" s="15">
        <v>12.7272727272727</v>
      </c>
      <c r="AS14" s="20" t="s">
        <v>76</v>
      </c>
      <c r="AT14" s="15">
        <v>15.384615384615399</v>
      </c>
      <c r="AU14" s="15">
        <v>22.4489795918367</v>
      </c>
      <c r="AV14" s="15">
        <v>9.5890410958904102</v>
      </c>
      <c r="AW14" s="15">
        <v>12.9310344827586</v>
      </c>
      <c r="AX14" s="15">
        <v>50</v>
      </c>
      <c r="AY14" s="20" t="s">
        <v>76</v>
      </c>
      <c r="AZ14" s="15">
        <v>22</v>
      </c>
      <c r="BA14" s="15">
        <v>28.301886792452802</v>
      </c>
      <c r="BB14" s="15">
        <v>10.4477611940298</v>
      </c>
      <c r="BC14" s="15">
        <v>21.6216216216216</v>
      </c>
      <c r="BD14" s="15">
        <v>14.1025641025641</v>
      </c>
      <c r="BE14" s="15">
        <v>24.137931034482801</v>
      </c>
      <c r="BF14" s="15">
        <v>10.8433734939759</v>
      </c>
      <c r="BG14" s="15">
        <v>11.9402985074627</v>
      </c>
      <c r="BH14" s="20" t="s">
        <v>76</v>
      </c>
      <c r="BI14" s="20" t="s">
        <v>76</v>
      </c>
      <c r="BJ14" s="15">
        <v>21.428571428571399</v>
      </c>
      <c r="BK14" s="15">
        <v>20</v>
      </c>
      <c r="BL14" s="15">
        <v>11.71875</v>
      </c>
      <c r="BM14" s="15">
        <v>17.821782178217799</v>
      </c>
      <c r="BN14" s="15">
        <v>15.966386554621799</v>
      </c>
      <c r="BO14" s="15">
        <v>11.1111111111111</v>
      </c>
      <c r="BP14" s="20" t="s">
        <v>76</v>
      </c>
      <c r="BQ14" s="15">
        <v>10.958904109589</v>
      </c>
      <c r="BR14" s="15">
        <v>11.6666666666667</v>
      </c>
      <c r="BS14" s="15">
        <v>21.6867469879518</v>
      </c>
      <c r="BT14" s="15">
        <v>23.170731707317099</v>
      </c>
      <c r="BU14" s="15">
        <v>12.1495327102804</v>
      </c>
      <c r="BV14" s="15">
        <v>12.1212121212121</v>
      </c>
      <c r="BW14" s="15">
        <v>13.0434782608696</v>
      </c>
      <c r="BX14" s="20" t="s">
        <v>76</v>
      </c>
      <c r="BY14" s="15">
        <v>14.285714285714301</v>
      </c>
      <c r="BZ14" s="15">
        <v>8.1632653061224492</v>
      </c>
      <c r="CA14" s="32">
        <v>13.030958989219901</v>
      </c>
      <c r="CB14" s="15">
        <v>10.8626198083067</v>
      </c>
      <c r="CC14" s="15">
        <v>16.352201257861601</v>
      </c>
      <c r="CD14" s="15">
        <v>11.6129032258065</v>
      </c>
      <c r="CE14" s="20" t="s">
        <v>76</v>
      </c>
      <c r="CF14" s="15">
        <v>11.377245508982</v>
      </c>
      <c r="CG14" s="15">
        <v>17.877094972066999</v>
      </c>
      <c r="CH14" s="15">
        <v>12.867647058823501</v>
      </c>
      <c r="CI14" s="15">
        <v>13.347022587269</v>
      </c>
      <c r="CJ14" s="15">
        <v>17.254901960784299</v>
      </c>
      <c r="CK14" s="15">
        <v>13.004484304932699</v>
      </c>
      <c r="CL14" s="15">
        <v>12.424242424242401</v>
      </c>
      <c r="CM14" s="24">
        <v>9.6359743040685206</v>
      </c>
      <c r="CN14" s="37"/>
    </row>
    <row r="15" spans="1:92">
      <c r="A15" s="9" t="s">
        <v>399</v>
      </c>
      <c r="B15" s="35">
        <v>4.6981412668902003</v>
      </c>
      <c r="C15" s="32">
        <v>4.4459378675803602</v>
      </c>
      <c r="D15" s="32">
        <v>4.5208462925685904</v>
      </c>
      <c r="E15" s="32">
        <v>4.7376285435115202</v>
      </c>
      <c r="F15" s="20" t="s">
        <v>76</v>
      </c>
      <c r="G15" s="20" t="s">
        <v>76</v>
      </c>
      <c r="H15" s="20" t="s">
        <v>76</v>
      </c>
      <c r="I15" s="20" t="s">
        <v>76</v>
      </c>
      <c r="J15" s="15">
        <v>4.1666666666666696</v>
      </c>
      <c r="K15" s="20" t="s">
        <v>76</v>
      </c>
      <c r="L15" s="15">
        <v>11.4754098360656</v>
      </c>
      <c r="M15" s="20" t="s">
        <v>76</v>
      </c>
      <c r="N15" s="20" t="s">
        <v>76</v>
      </c>
      <c r="O15" s="20" t="s">
        <v>76</v>
      </c>
      <c r="P15" s="20" t="s">
        <v>76</v>
      </c>
      <c r="Q15" s="15">
        <v>7.0422535211267601</v>
      </c>
      <c r="R15" s="20" t="s">
        <v>76</v>
      </c>
      <c r="S15" s="20" t="s">
        <v>76</v>
      </c>
      <c r="T15" s="20" t="s">
        <v>76</v>
      </c>
      <c r="U15" s="20" t="s">
        <v>76</v>
      </c>
      <c r="V15" s="20" t="s">
        <v>76</v>
      </c>
      <c r="W15" s="20" t="s">
        <v>76</v>
      </c>
      <c r="X15" s="20" t="s">
        <v>76</v>
      </c>
      <c r="Y15" s="20" t="s">
        <v>76</v>
      </c>
      <c r="Z15" s="20" t="s">
        <v>76</v>
      </c>
      <c r="AA15" s="15">
        <v>8.2568807339449499</v>
      </c>
      <c r="AB15" s="20" t="s">
        <v>76</v>
      </c>
      <c r="AC15" s="15">
        <v>3.7878787878787898</v>
      </c>
      <c r="AD15" s="20" t="s">
        <v>76</v>
      </c>
      <c r="AE15" s="20" t="s">
        <v>76</v>
      </c>
      <c r="AF15" s="20" t="s">
        <v>76</v>
      </c>
      <c r="AG15" s="15">
        <v>5.71428571428571</v>
      </c>
      <c r="AH15" s="20" t="s">
        <v>76</v>
      </c>
      <c r="AI15" s="20" t="s">
        <v>76</v>
      </c>
      <c r="AJ15" s="15">
        <v>17.1171171171171</v>
      </c>
      <c r="AK15" s="20" t="s">
        <v>76</v>
      </c>
      <c r="AL15" s="15">
        <v>5.5555555555555598</v>
      </c>
      <c r="AM15" s="20" t="s">
        <v>76</v>
      </c>
      <c r="AN15" s="20" t="s">
        <v>76</v>
      </c>
      <c r="AO15" s="20" t="s">
        <v>76</v>
      </c>
      <c r="AP15" s="20" t="s">
        <v>76</v>
      </c>
      <c r="AQ15" s="15">
        <v>12.8205128205128</v>
      </c>
      <c r="AR15" s="20" t="s">
        <v>76</v>
      </c>
      <c r="AS15" s="20" t="s">
        <v>76</v>
      </c>
      <c r="AT15" s="20" t="s">
        <v>76</v>
      </c>
      <c r="AU15" s="20" t="s">
        <v>76</v>
      </c>
      <c r="AV15" s="20" t="s">
        <v>76</v>
      </c>
      <c r="AW15" s="20" t="s">
        <v>76</v>
      </c>
      <c r="AX15" s="20" t="s">
        <v>76</v>
      </c>
      <c r="AY15" s="20" t="s">
        <v>76</v>
      </c>
      <c r="AZ15" s="20" t="s">
        <v>76</v>
      </c>
      <c r="BA15" s="20" t="s">
        <v>76</v>
      </c>
      <c r="BB15" s="20" t="s">
        <v>76</v>
      </c>
      <c r="BC15" s="15">
        <v>8.1081081081081106</v>
      </c>
      <c r="BD15" s="20" t="s">
        <v>76</v>
      </c>
      <c r="BE15" s="20" t="s">
        <v>76</v>
      </c>
      <c r="BF15" s="15">
        <v>6.0240963855421699</v>
      </c>
      <c r="BG15" s="20" t="s">
        <v>76</v>
      </c>
      <c r="BH15" s="20" t="s">
        <v>76</v>
      </c>
      <c r="BI15" s="20" t="s">
        <v>76</v>
      </c>
      <c r="BJ15" s="15">
        <v>5.3571428571428603</v>
      </c>
      <c r="BK15" s="20" t="s">
        <v>76</v>
      </c>
      <c r="BL15" s="15">
        <v>3.90625</v>
      </c>
      <c r="BM15" s="15">
        <v>5.9405940594059397</v>
      </c>
      <c r="BN15" s="20" t="s">
        <v>76</v>
      </c>
      <c r="BO15" s="20" t="s">
        <v>76</v>
      </c>
      <c r="BP15" s="20" t="s">
        <v>76</v>
      </c>
      <c r="BQ15" s="20" t="s">
        <v>76</v>
      </c>
      <c r="BR15" s="20" t="s">
        <v>76</v>
      </c>
      <c r="BS15" s="20" t="s">
        <v>76</v>
      </c>
      <c r="BT15" s="20" t="s">
        <v>76</v>
      </c>
      <c r="BU15" s="15">
        <v>4.6728971962616797</v>
      </c>
      <c r="BV15" s="15">
        <v>6.0606060606060597</v>
      </c>
      <c r="BW15" s="20" t="s">
        <v>76</v>
      </c>
      <c r="BX15" s="20" t="s">
        <v>76</v>
      </c>
      <c r="BY15" s="20" t="s">
        <v>76</v>
      </c>
      <c r="BZ15" s="15">
        <v>3.40136054421769</v>
      </c>
      <c r="CA15" s="32">
        <v>4.3457793057673904</v>
      </c>
      <c r="CB15" s="15">
        <v>4.1533546325878596</v>
      </c>
      <c r="CC15" s="15">
        <v>5.9748427672956002</v>
      </c>
      <c r="CD15" s="15">
        <v>3.87096774193548</v>
      </c>
      <c r="CE15" s="20" t="s">
        <v>76</v>
      </c>
      <c r="CF15" s="15">
        <v>5.9880239520958103</v>
      </c>
      <c r="CG15" s="15">
        <v>6.1452513966480398</v>
      </c>
      <c r="CH15" s="15">
        <v>2.7573529411764701</v>
      </c>
      <c r="CI15" s="15">
        <v>2.8747433264887099</v>
      </c>
      <c r="CJ15" s="15">
        <v>3.9215686274509798</v>
      </c>
      <c r="CK15" s="15">
        <v>3.5874439461883401</v>
      </c>
      <c r="CL15" s="15">
        <v>4.39393939393939</v>
      </c>
      <c r="CM15" s="24">
        <v>4.4967880085653098</v>
      </c>
      <c r="CN15" s="37"/>
    </row>
    <row r="16" spans="1:92">
      <c r="A16" s="9" t="s">
        <v>400</v>
      </c>
      <c r="B16" s="35">
        <v>24.711762473202398</v>
      </c>
      <c r="C16" s="32">
        <v>24.657571218057601</v>
      </c>
      <c r="D16" s="32">
        <v>25.092981480438201</v>
      </c>
      <c r="E16" s="32">
        <v>21.356532526452401</v>
      </c>
      <c r="F16" s="15">
        <v>41.176470588235297</v>
      </c>
      <c r="G16" s="15">
        <v>29.411764705882401</v>
      </c>
      <c r="H16" s="15">
        <v>26.086956521739101</v>
      </c>
      <c r="I16" s="20" t="s">
        <v>76</v>
      </c>
      <c r="J16" s="15">
        <v>25.6944444444444</v>
      </c>
      <c r="K16" s="20" t="s">
        <v>76</v>
      </c>
      <c r="L16" s="15">
        <v>40.983606557377101</v>
      </c>
      <c r="M16" s="15">
        <v>32.894736842105303</v>
      </c>
      <c r="N16" s="15">
        <v>9.4117647058823497</v>
      </c>
      <c r="O16" s="15">
        <v>25.581395348837201</v>
      </c>
      <c r="P16" s="15">
        <v>22.5352112676056</v>
      </c>
      <c r="Q16" s="15">
        <v>25.352112676056301</v>
      </c>
      <c r="R16" s="20" t="s">
        <v>76</v>
      </c>
      <c r="S16" s="20" t="s">
        <v>76</v>
      </c>
      <c r="T16" s="15">
        <v>14.5833333333333</v>
      </c>
      <c r="U16" s="20" t="s">
        <v>76</v>
      </c>
      <c r="V16" s="15">
        <v>23.529411764705898</v>
      </c>
      <c r="W16" s="15">
        <v>16.9491525423729</v>
      </c>
      <c r="X16" s="20" t="s">
        <v>76</v>
      </c>
      <c r="Y16" s="20" t="s">
        <v>76</v>
      </c>
      <c r="Z16" s="15">
        <v>21.794871794871799</v>
      </c>
      <c r="AA16" s="15">
        <v>23.853211009174299</v>
      </c>
      <c r="AB16" s="15">
        <v>19.117647058823501</v>
      </c>
      <c r="AC16" s="15">
        <v>15.909090909090899</v>
      </c>
      <c r="AD16" s="15">
        <v>25</v>
      </c>
      <c r="AE16" s="15">
        <v>25.925925925925899</v>
      </c>
      <c r="AF16" s="20" t="s">
        <v>76</v>
      </c>
      <c r="AG16" s="15">
        <v>23.8095238095238</v>
      </c>
      <c r="AH16" s="15">
        <v>17.8571428571429</v>
      </c>
      <c r="AI16" s="20" t="s">
        <v>76</v>
      </c>
      <c r="AJ16" s="15">
        <v>30.630630630630598</v>
      </c>
      <c r="AK16" s="15">
        <v>26.6666666666667</v>
      </c>
      <c r="AL16" s="15">
        <v>23.3333333333333</v>
      </c>
      <c r="AM16" s="15">
        <v>18.75</v>
      </c>
      <c r="AN16" s="20" t="s">
        <v>76</v>
      </c>
      <c r="AO16" s="15">
        <v>25</v>
      </c>
      <c r="AP16" s="15">
        <v>12.987012987012999</v>
      </c>
      <c r="AQ16" s="15">
        <v>23.076923076923102</v>
      </c>
      <c r="AR16" s="15">
        <v>10.909090909090899</v>
      </c>
      <c r="AS16" s="20" t="s">
        <v>76</v>
      </c>
      <c r="AT16" s="15">
        <v>32.307692307692299</v>
      </c>
      <c r="AU16" s="15">
        <v>24.4897959183673</v>
      </c>
      <c r="AV16" s="15">
        <v>12.328767123287699</v>
      </c>
      <c r="AW16" s="15">
        <v>22.413793103448299</v>
      </c>
      <c r="AX16" s="15">
        <v>56.25</v>
      </c>
      <c r="AY16" s="15">
        <v>20</v>
      </c>
      <c r="AZ16" s="15">
        <v>24</v>
      </c>
      <c r="BA16" s="15">
        <v>33.962264150943398</v>
      </c>
      <c r="BB16" s="15">
        <v>20.8955223880597</v>
      </c>
      <c r="BC16" s="15">
        <v>35.135135135135101</v>
      </c>
      <c r="BD16" s="15">
        <v>17.948717948717899</v>
      </c>
      <c r="BE16" s="15">
        <v>25.862068965517199</v>
      </c>
      <c r="BF16" s="15">
        <v>20.481927710843401</v>
      </c>
      <c r="BG16" s="15">
        <v>23.880597014925399</v>
      </c>
      <c r="BH16" s="15">
        <v>25</v>
      </c>
      <c r="BI16" s="15">
        <v>26.315789473684202</v>
      </c>
      <c r="BJ16" s="15">
        <v>19.6428571428571</v>
      </c>
      <c r="BK16" s="15">
        <v>15</v>
      </c>
      <c r="BL16" s="15">
        <v>17.96875</v>
      </c>
      <c r="BM16" s="15">
        <v>16.8316831683168</v>
      </c>
      <c r="BN16" s="15">
        <v>21.008403361344499</v>
      </c>
      <c r="BO16" s="15">
        <v>17.7777777777778</v>
      </c>
      <c r="BP16" s="20" t="s">
        <v>76</v>
      </c>
      <c r="BQ16" s="15">
        <v>9.5890410958904102</v>
      </c>
      <c r="BR16" s="15">
        <v>28.3333333333333</v>
      </c>
      <c r="BS16" s="15">
        <v>18.0722891566265</v>
      </c>
      <c r="BT16" s="15">
        <v>29.268292682926798</v>
      </c>
      <c r="BU16" s="15">
        <v>30.841121495327101</v>
      </c>
      <c r="BV16" s="15">
        <v>18.181818181818201</v>
      </c>
      <c r="BW16" s="15">
        <v>14.492753623188401</v>
      </c>
      <c r="BX16" s="20" t="s">
        <v>76</v>
      </c>
      <c r="BY16" s="15">
        <v>14.285714285714301</v>
      </c>
      <c r="BZ16" s="15">
        <v>17.006802721088398</v>
      </c>
      <c r="CA16" s="32">
        <v>28.110428051205002</v>
      </c>
      <c r="CB16" s="15">
        <v>24.281150159744399</v>
      </c>
      <c r="CC16" s="15">
        <v>33.647798742138399</v>
      </c>
      <c r="CD16" s="15">
        <v>24.5161290322581</v>
      </c>
      <c r="CE16" s="20" t="s">
        <v>76</v>
      </c>
      <c r="CF16" s="15">
        <v>32.634730538922199</v>
      </c>
      <c r="CG16" s="15">
        <v>34.078212290502798</v>
      </c>
      <c r="CH16" s="15">
        <v>25.367647058823501</v>
      </c>
      <c r="CI16" s="15">
        <v>27.720739219712499</v>
      </c>
      <c r="CJ16" s="15">
        <v>30.588235294117599</v>
      </c>
      <c r="CK16" s="15">
        <v>24.6636771300448</v>
      </c>
      <c r="CL16" s="15">
        <v>26.969696969697001</v>
      </c>
      <c r="CM16" s="24">
        <v>27.837259100642399</v>
      </c>
      <c r="CN16" s="37"/>
    </row>
    <row r="17" spans="1:92">
      <c r="A17" s="9" t="s">
        <v>401</v>
      </c>
      <c r="B17" s="35">
        <v>19.946471642172899</v>
      </c>
      <c r="C17" s="32">
        <v>19.164227471981199</v>
      </c>
      <c r="D17" s="32">
        <v>19.6802429304614</v>
      </c>
      <c r="E17" s="32">
        <v>19.882257390275502</v>
      </c>
      <c r="F17" s="15">
        <v>35.294117647058798</v>
      </c>
      <c r="G17" s="20" t="s">
        <v>76</v>
      </c>
      <c r="H17" s="15">
        <v>39.130434782608702</v>
      </c>
      <c r="I17" s="20" t="s">
        <v>76</v>
      </c>
      <c r="J17" s="15">
        <v>23.6111111111111</v>
      </c>
      <c r="K17" s="20" t="s">
        <v>76</v>
      </c>
      <c r="L17" s="15">
        <v>26.229508196721302</v>
      </c>
      <c r="M17" s="15">
        <v>31.578947368421101</v>
      </c>
      <c r="N17" s="15">
        <v>8.2352941176470598</v>
      </c>
      <c r="O17" s="15">
        <v>25.581395348837201</v>
      </c>
      <c r="P17" s="15">
        <v>18.309859154929601</v>
      </c>
      <c r="Q17" s="15">
        <v>25.352112676056301</v>
      </c>
      <c r="R17" s="20" t="s">
        <v>76</v>
      </c>
      <c r="S17" s="20" t="s">
        <v>76</v>
      </c>
      <c r="T17" s="15">
        <v>16.6666666666667</v>
      </c>
      <c r="U17" s="20" t="s">
        <v>76</v>
      </c>
      <c r="V17" s="15">
        <v>32.352941176470601</v>
      </c>
      <c r="W17" s="15">
        <v>13.559322033898299</v>
      </c>
      <c r="X17" s="20" t="s">
        <v>76</v>
      </c>
      <c r="Y17" s="20" t="s">
        <v>76</v>
      </c>
      <c r="Z17" s="15">
        <v>17.948717948717899</v>
      </c>
      <c r="AA17" s="15">
        <v>18.348623853210999</v>
      </c>
      <c r="AB17" s="15">
        <v>13.235294117647101</v>
      </c>
      <c r="AC17" s="15">
        <v>15.909090909090899</v>
      </c>
      <c r="AD17" s="15">
        <v>28.125</v>
      </c>
      <c r="AE17" s="15">
        <v>33.3333333333333</v>
      </c>
      <c r="AF17" s="20" t="s">
        <v>76</v>
      </c>
      <c r="AG17" s="15">
        <v>20.952380952380999</v>
      </c>
      <c r="AH17" s="15">
        <v>14.285714285714301</v>
      </c>
      <c r="AI17" s="20" t="s">
        <v>76</v>
      </c>
      <c r="AJ17" s="15">
        <v>31.531531531531499</v>
      </c>
      <c r="AK17" s="15">
        <v>40</v>
      </c>
      <c r="AL17" s="15">
        <v>18.8888888888889</v>
      </c>
      <c r="AM17" s="15">
        <v>15.625</v>
      </c>
      <c r="AN17" s="20" t="s">
        <v>76</v>
      </c>
      <c r="AO17" s="15">
        <v>15</v>
      </c>
      <c r="AP17" s="15">
        <v>11.6883116883117</v>
      </c>
      <c r="AQ17" s="15">
        <v>28.205128205128201</v>
      </c>
      <c r="AR17" s="15">
        <v>12.7272727272727</v>
      </c>
      <c r="AS17" s="20" t="s">
        <v>76</v>
      </c>
      <c r="AT17" s="15">
        <v>24.615384615384599</v>
      </c>
      <c r="AU17" s="15">
        <v>22.4489795918367</v>
      </c>
      <c r="AV17" s="15">
        <v>19.178082191780799</v>
      </c>
      <c r="AW17" s="15">
        <v>16.379310344827601</v>
      </c>
      <c r="AX17" s="15">
        <v>50</v>
      </c>
      <c r="AY17" s="15">
        <v>31.428571428571399</v>
      </c>
      <c r="AZ17" s="15">
        <v>20</v>
      </c>
      <c r="BA17" s="15">
        <v>33.962264150943398</v>
      </c>
      <c r="BB17" s="15">
        <v>17.910447761194</v>
      </c>
      <c r="BC17" s="15">
        <v>32.4324324324324</v>
      </c>
      <c r="BD17" s="15">
        <v>12.8205128205128</v>
      </c>
      <c r="BE17" s="15">
        <v>32.758620689655203</v>
      </c>
      <c r="BF17" s="15">
        <v>21.6867469879518</v>
      </c>
      <c r="BG17" s="15">
        <v>8.9552238805970106</v>
      </c>
      <c r="BH17" s="20" t="s">
        <v>76</v>
      </c>
      <c r="BI17" s="15">
        <v>26.315789473684202</v>
      </c>
      <c r="BJ17" s="15">
        <v>23.214285714285701</v>
      </c>
      <c r="BK17" s="15">
        <v>12.5</v>
      </c>
      <c r="BL17" s="15">
        <v>10.15625</v>
      </c>
      <c r="BM17" s="15">
        <v>21.782178217821802</v>
      </c>
      <c r="BN17" s="15">
        <v>31.092436974789901</v>
      </c>
      <c r="BO17" s="15">
        <v>18.8888888888889</v>
      </c>
      <c r="BP17" s="20" t="s">
        <v>76</v>
      </c>
      <c r="BQ17" s="15">
        <v>12.328767123287699</v>
      </c>
      <c r="BR17" s="15">
        <v>13.3333333333333</v>
      </c>
      <c r="BS17" s="15">
        <v>22.891566265060199</v>
      </c>
      <c r="BT17" s="15">
        <v>24.390243902439</v>
      </c>
      <c r="BU17" s="15">
        <v>26.1682242990654</v>
      </c>
      <c r="BV17" s="15">
        <v>16.161616161616202</v>
      </c>
      <c r="BW17" s="15">
        <v>21.739130434782599</v>
      </c>
      <c r="BX17" s="20" t="s">
        <v>76</v>
      </c>
      <c r="BY17" s="15">
        <v>11.1111111111111</v>
      </c>
      <c r="BZ17" s="15">
        <v>11.5646258503401</v>
      </c>
      <c r="CA17" s="32">
        <v>19.5171019785796</v>
      </c>
      <c r="CB17" s="15">
        <v>15.654952076677301</v>
      </c>
      <c r="CC17" s="15">
        <v>22.012578616352201</v>
      </c>
      <c r="CD17" s="15">
        <v>16.7741935483871</v>
      </c>
      <c r="CE17" s="20" t="s">
        <v>76</v>
      </c>
      <c r="CF17" s="15">
        <v>23.353293413173699</v>
      </c>
      <c r="CG17" s="15">
        <v>23.463687150837998</v>
      </c>
      <c r="CH17" s="15">
        <v>21.139705882352899</v>
      </c>
      <c r="CI17" s="15">
        <v>18.0698151950719</v>
      </c>
      <c r="CJ17" s="15">
        <v>23.137254901960802</v>
      </c>
      <c r="CK17" s="15">
        <v>17.040358744394599</v>
      </c>
      <c r="CL17" s="15">
        <v>17.8787878787879</v>
      </c>
      <c r="CM17" s="24">
        <v>21.627408993576001</v>
      </c>
      <c r="CN17" s="37"/>
    </row>
    <row r="18" spans="1:92" ht="18">
      <c r="A18" s="9" t="s">
        <v>402</v>
      </c>
      <c r="B18" s="35">
        <v>4.9522296255065399</v>
      </c>
      <c r="C18" s="32">
        <v>5.0285018622375501</v>
      </c>
      <c r="D18" s="32">
        <v>4.6715550573995896</v>
      </c>
      <c r="E18" s="32">
        <v>1.77150438130082</v>
      </c>
      <c r="F18" s="20" t="s">
        <v>76</v>
      </c>
      <c r="G18" s="20" t="s">
        <v>76</v>
      </c>
      <c r="H18" s="20" t="s">
        <v>76</v>
      </c>
      <c r="I18" s="20" t="s">
        <v>76</v>
      </c>
      <c r="J18" s="20" t="s">
        <v>76</v>
      </c>
      <c r="K18" s="20" t="s">
        <v>76</v>
      </c>
      <c r="L18" s="20" t="s">
        <v>76</v>
      </c>
      <c r="M18" s="20" t="s">
        <v>76</v>
      </c>
      <c r="N18" s="20" t="s">
        <v>76</v>
      </c>
      <c r="O18" s="20" t="s">
        <v>76</v>
      </c>
      <c r="P18" s="20" t="s">
        <v>76</v>
      </c>
      <c r="Q18" s="20" t="s">
        <v>76</v>
      </c>
      <c r="R18" s="20" t="s">
        <v>76</v>
      </c>
      <c r="S18" s="20" t="s">
        <v>76</v>
      </c>
      <c r="T18" s="20" t="s">
        <v>76</v>
      </c>
      <c r="U18" s="20" t="s">
        <v>76</v>
      </c>
      <c r="V18" s="20" t="s">
        <v>76</v>
      </c>
      <c r="W18" s="20" t="s">
        <v>76</v>
      </c>
      <c r="X18" s="20" t="s">
        <v>76</v>
      </c>
      <c r="Y18" s="20" t="s">
        <v>76</v>
      </c>
      <c r="Z18" s="20" t="s">
        <v>76</v>
      </c>
      <c r="AA18" s="20" t="s">
        <v>76</v>
      </c>
      <c r="AB18" s="20" t="s">
        <v>76</v>
      </c>
      <c r="AC18" s="20" t="s">
        <v>76</v>
      </c>
      <c r="AD18" s="20" t="s">
        <v>76</v>
      </c>
      <c r="AE18" s="20" t="s">
        <v>76</v>
      </c>
      <c r="AF18" s="20" t="s">
        <v>76</v>
      </c>
      <c r="AG18" s="20" t="s">
        <v>76</v>
      </c>
      <c r="AH18" s="20" t="s">
        <v>76</v>
      </c>
      <c r="AI18" s="20" t="s">
        <v>76</v>
      </c>
      <c r="AJ18" s="20" t="s">
        <v>76</v>
      </c>
      <c r="AK18" s="20" t="s">
        <v>76</v>
      </c>
      <c r="AL18" s="20" t="s">
        <v>76</v>
      </c>
      <c r="AM18" s="20" t="s">
        <v>76</v>
      </c>
      <c r="AN18" s="20" t="s">
        <v>76</v>
      </c>
      <c r="AO18" s="20" t="s">
        <v>76</v>
      </c>
      <c r="AP18" s="20" t="s">
        <v>76</v>
      </c>
      <c r="AQ18" s="20" t="s">
        <v>76</v>
      </c>
      <c r="AR18" s="20" t="s">
        <v>76</v>
      </c>
      <c r="AS18" s="20" t="s">
        <v>76</v>
      </c>
      <c r="AT18" s="15">
        <v>10.7692307692308</v>
      </c>
      <c r="AU18" s="20" t="s">
        <v>76</v>
      </c>
      <c r="AV18" s="20" t="s">
        <v>76</v>
      </c>
      <c r="AW18" s="20" t="s">
        <v>76</v>
      </c>
      <c r="AX18" s="20" t="s">
        <v>76</v>
      </c>
      <c r="AY18" s="20" t="s">
        <v>76</v>
      </c>
      <c r="AZ18" s="20" t="s">
        <v>76</v>
      </c>
      <c r="BA18" s="20" t="s">
        <v>76</v>
      </c>
      <c r="BB18" s="20" t="s">
        <v>76</v>
      </c>
      <c r="BC18" s="20" t="s">
        <v>76</v>
      </c>
      <c r="BD18" s="20" t="s">
        <v>76</v>
      </c>
      <c r="BE18" s="20" t="s">
        <v>76</v>
      </c>
      <c r="BF18" s="20" t="s">
        <v>76</v>
      </c>
      <c r="BG18" s="20" t="s">
        <v>76</v>
      </c>
      <c r="BH18" s="20" t="s">
        <v>76</v>
      </c>
      <c r="BI18" s="20" t="s">
        <v>76</v>
      </c>
      <c r="BJ18" s="20" t="s">
        <v>76</v>
      </c>
      <c r="BK18" s="20" t="s">
        <v>76</v>
      </c>
      <c r="BL18" s="20" t="s">
        <v>76</v>
      </c>
      <c r="BM18" s="20" t="s">
        <v>76</v>
      </c>
      <c r="BN18" s="20" t="s">
        <v>76</v>
      </c>
      <c r="BO18" s="20" t="s">
        <v>76</v>
      </c>
      <c r="BP18" s="20" t="s">
        <v>76</v>
      </c>
      <c r="BQ18" s="20" t="s">
        <v>76</v>
      </c>
      <c r="BR18" s="20" t="s">
        <v>76</v>
      </c>
      <c r="BS18" s="20" t="s">
        <v>76</v>
      </c>
      <c r="BT18" s="20" t="s">
        <v>76</v>
      </c>
      <c r="BU18" s="20" t="s">
        <v>76</v>
      </c>
      <c r="BV18" s="20" t="s">
        <v>76</v>
      </c>
      <c r="BW18" s="20" t="s">
        <v>76</v>
      </c>
      <c r="BX18" s="20" t="s">
        <v>76</v>
      </c>
      <c r="BY18" s="20" t="s">
        <v>76</v>
      </c>
      <c r="BZ18" s="20" t="s">
        <v>76</v>
      </c>
      <c r="CA18" s="32">
        <v>7.0135509137351297</v>
      </c>
      <c r="CB18" s="15">
        <v>7.3482428115016001</v>
      </c>
      <c r="CC18" s="15">
        <v>8.8050314465408803</v>
      </c>
      <c r="CD18" s="15">
        <v>6.4516129032258096</v>
      </c>
      <c r="CE18" s="20" t="s">
        <v>76</v>
      </c>
      <c r="CF18" s="15">
        <v>7.7844311377245496</v>
      </c>
      <c r="CG18" s="15">
        <v>6.1452513966480398</v>
      </c>
      <c r="CH18" s="15">
        <v>4.7794117647058796</v>
      </c>
      <c r="CI18" s="15">
        <v>5.3388090349075998</v>
      </c>
      <c r="CJ18" s="15">
        <v>5.4901960784313699</v>
      </c>
      <c r="CK18" s="15">
        <v>7.6233183856502196</v>
      </c>
      <c r="CL18" s="15">
        <v>6.8181818181818201</v>
      </c>
      <c r="CM18" s="24">
        <v>6.2098501070663801</v>
      </c>
      <c r="CN18" s="37"/>
    </row>
    <row r="19" spans="1:92">
      <c r="A19" s="9" t="s">
        <v>403</v>
      </c>
      <c r="B19" s="35">
        <v>22.975134184654799</v>
      </c>
      <c r="C19" s="32">
        <v>22.942712280339698</v>
      </c>
      <c r="D19" s="32">
        <v>23.0774964764632</v>
      </c>
      <c r="E19" s="32">
        <v>20.706827029827501</v>
      </c>
      <c r="F19" s="15">
        <v>47.058823529411796</v>
      </c>
      <c r="G19" s="20" t="s">
        <v>76</v>
      </c>
      <c r="H19" s="20" t="s">
        <v>76</v>
      </c>
      <c r="I19" s="20" t="s">
        <v>76</v>
      </c>
      <c r="J19" s="15">
        <v>20.8333333333333</v>
      </c>
      <c r="K19" s="20" t="s">
        <v>76</v>
      </c>
      <c r="L19" s="15">
        <v>24.590163934426201</v>
      </c>
      <c r="M19" s="15">
        <v>21.052631578947398</v>
      </c>
      <c r="N19" s="15">
        <v>10.588235294117601</v>
      </c>
      <c r="O19" s="20" t="s">
        <v>76</v>
      </c>
      <c r="P19" s="15">
        <v>18.309859154929601</v>
      </c>
      <c r="Q19" s="15">
        <v>19.7183098591549</v>
      </c>
      <c r="R19" s="20" t="s">
        <v>76</v>
      </c>
      <c r="S19" s="15">
        <v>14.634146341463399</v>
      </c>
      <c r="T19" s="20" t="s">
        <v>76</v>
      </c>
      <c r="U19" s="20" t="s">
        <v>76</v>
      </c>
      <c r="V19" s="15">
        <v>32.352941176470601</v>
      </c>
      <c r="W19" s="15">
        <v>10.1694915254237</v>
      </c>
      <c r="X19" s="20" t="s">
        <v>76</v>
      </c>
      <c r="Y19" s="20" t="s">
        <v>76</v>
      </c>
      <c r="Z19" s="15">
        <v>25.6410256410256</v>
      </c>
      <c r="AA19" s="15">
        <v>24.7706422018349</v>
      </c>
      <c r="AB19" s="15">
        <v>16.176470588235301</v>
      </c>
      <c r="AC19" s="15">
        <v>17.424242424242401</v>
      </c>
      <c r="AD19" s="15">
        <v>28.125</v>
      </c>
      <c r="AE19" s="15">
        <v>29.629629629629601</v>
      </c>
      <c r="AF19" s="20" t="s">
        <v>76</v>
      </c>
      <c r="AG19" s="15">
        <v>24.761904761904798</v>
      </c>
      <c r="AH19" s="15">
        <v>12.5</v>
      </c>
      <c r="AI19" s="20" t="s">
        <v>76</v>
      </c>
      <c r="AJ19" s="15">
        <v>31.531531531531499</v>
      </c>
      <c r="AK19" s="15">
        <v>16.6666666666667</v>
      </c>
      <c r="AL19" s="15">
        <v>24.4444444444444</v>
      </c>
      <c r="AM19" s="15">
        <v>15.625</v>
      </c>
      <c r="AN19" s="20" t="s">
        <v>76</v>
      </c>
      <c r="AO19" s="20" t="s">
        <v>76</v>
      </c>
      <c r="AP19" s="15">
        <v>16.883116883116902</v>
      </c>
      <c r="AQ19" s="15">
        <v>23.076923076923102</v>
      </c>
      <c r="AR19" s="15">
        <v>9.0909090909090899</v>
      </c>
      <c r="AS19" s="20" t="s">
        <v>76</v>
      </c>
      <c r="AT19" s="15">
        <v>26.153846153846199</v>
      </c>
      <c r="AU19" s="15">
        <v>16.326530612244898</v>
      </c>
      <c r="AV19" s="15">
        <v>17.808219178082201</v>
      </c>
      <c r="AW19" s="15">
        <v>19.827586206896601</v>
      </c>
      <c r="AX19" s="15">
        <v>62.5</v>
      </c>
      <c r="AY19" s="15">
        <v>20</v>
      </c>
      <c r="AZ19" s="15">
        <v>38</v>
      </c>
      <c r="BA19" s="15">
        <v>49.056603773584897</v>
      </c>
      <c r="BB19" s="15">
        <v>11.9402985074627</v>
      </c>
      <c r="BC19" s="15">
        <v>28.3783783783784</v>
      </c>
      <c r="BD19" s="15">
        <v>15.384615384615399</v>
      </c>
      <c r="BE19" s="15">
        <v>34.482758620689701</v>
      </c>
      <c r="BF19" s="15">
        <v>20.481927710843401</v>
      </c>
      <c r="BG19" s="15">
        <v>17.910447761194</v>
      </c>
      <c r="BH19" s="15">
        <v>29.1666666666667</v>
      </c>
      <c r="BI19" s="15">
        <v>26.315789473684202</v>
      </c>
      <c r="BJ19" s="15">
        <v>21.428571428571399</v>
      </c>
      <c r="BK19" s="15">
        <v>17.5</v>
      </c>
      <c r="BL19" s="15">
        <v>12.5</v>
      </c>
      <c r="BM19" s="15">
        <v>17.821782178217799</v>
      </c>
      <c r="BN19" s="15">
        <v>25.210084033613398</v>
      </c>
      <c r="BO19" s="15">
        <v>21.1111111111111</v>
      </c>
      <c r="BP19" s="20" t="s">
        <v>76</v>
      </c>
      <c r="BQ19" s="15">
        <v>19.178082191780799</v>
      </c>
      <c r="BR19" s="15">
        <v>15</v>
      </c>
      <c r="BS19" s="15">
        <v>24.096385542168701</v>
      </c>
      <c r="BT19" s="15">
        <v>26.829268292682901</v>
      </c>
      <c r="BU19" s="15">
        <v>41.121495327102799</v>
      </c>
      <c r="BV19" s="15">
        <v>27.272727272727298</v>
      </c>
      <c r="BW19" s="15">
        <v>8.6956521739130395</v>
      </c>
      <c r="BX19" s="20" t="s">
        <v>76</v>
      </c>
      <c r="BY19" s="15">
        <v>22.2222222222222</v>
      </c>
      <c r="BZ19" s="15">
        <v>14.285714285714301</v>
      </c>
      <c r="CA19" s="32">
        <v>24.991979580679399</v>
      </c>
      <c r="CB19" s="15">
        <v>21.086261980830699</v>
      </c>
      <c r="CC19" s="15">
        <v>29.559748427673</v>
      </c>
      <c r="CD19" s="15">
        <v>21.935483870967701</v>
      </c>
      <c r="CE19" s="20" t="s">
        <v>76</v>
      </c>
      <c r="CF19" s="15">
        <v>30.538922155688599</v>
      </c>
      <c r="CG19" s="15">
        <v>26.256983240223501</v>
      </c>
      <c r="CH19" s="15">
        <v>23.345588235294102</v>
      </c>
      <c r="CI19" s="15">
        <v>23.408624229979502</v>
      </c>
      <c r="CJ19" s="15">
        <v>30.196078431372602</v>
      </c>
      <c r="CK19" s="15">
        <v>24.6636771300448</v>
      </c>
      <c r="CL19" s="15">
        <v>24.848484848484901</v>
      </c>
      <c r="CM19" s="24">
        <v>25.0535331905782</v>
      </c>
      <c r="CN19" s="37"/>
    </row>
    <row r="20" spans="1:92">
      <c r="A20" s="9" t="s">
        <v>404</v>
      </c>
      <c r="B20" s="35">
        <v>9.3381259836545301</v>
      </c>
      <c r="C20" s="32">
        <v>9.2696611030447897</v>
      </c>
      <c r="D20" s="32">
        <v>8.6864628545953195</v>
      </c>
      <c r="E20" s="32">
        <v>8.9058449033406397</v>
      </c>
      <c r="F20" s="20" t="s">
        <v>76</v>
      </c>
      <c r="G20" s="20" t="s">
        <v>76</v>
      </c>
      <c r="H20" s="20" t="s">
        <v>76</v>
      </c>
      <c r="I20" s="20" t="s">
        <v>76</v>
      </c>
      <c r="J20" s="15">
        <v>9.0277777777777803</v>
      </c>
      <c r="K20" s="20" t="s">
        <v>76</v>
      </c>
      <c r="L20" s="15">
        <v>8.1967213114754092</v>
      </c>
      <c r="M20" s="15">
        <v>7.8947368421052602</v>
      </c>
      <c r="N20" s="15">
        <v>9.4117647058823497</v>
      </c>
      <c r="O20" s="20" t="s">
        <v>76</v>
      </c>
      <c r="P20" s="20" t="s">
        <v>76</v>
      </c>
      <c r="Q20" s="15">
        <v>7.0422535211267601</v>
      </c>
      <c r="R20" s="15">
        <v>34.615384615384599</v>
      </c>
      <c r="S20" s="20" t="s">
        <v>76</v>
      </c>
      <c r="T20" s="15">
        <v>12.5</v>
      </c>
      <c r="U20" s="20" t="s">
        <v>76</v>
      </c>
      <c r="V20" s="20" t="s">
        <v>76</v>
      </c>
      <c r="W20" s="15">
        <v>8.4745762711864394</v>
      </c>
      <c r="X20" s="20" t="s">
        <v>76</v>
      </c>
      <c r="Y20" s="20" t="s">
        <v>76</v>
      </c>
      <c r="Z20" s="15">
        <v>7.6923076923076898</v>
      </c>
      <c r="AA20" s="15">
        <v>9.1743119266054993</v>
      </c>
      <c r="AB20" s="20" t="s">
        <v>76</v>
      </c>
      <c r="AC20" s="15">
        <v>11.363636363636401</v>
      </c>
      <c r="AD20" s="20" t="s">
        <v>76</v>
      </c>
      <c r="AE20" s="20" t="s">
        <v>76</v>
      </c>
      <c r="AF20" s="20" t="s">
        <v>76</v>
      </c>
      <c r="AG20" s="15">
        <v>6.6666666666666696</v>
      </c>
      <c r="AH20" s="15">
        <v>8.9285714285714306</v>
      </c>
      <c r="AI20" s="20" t="s">
        <v>76</v>
      </c>
      <c r="AJ20" s="15">
        <v>11.7117117117117</v>
      </c>
      <c r="AK20" s="20" t="s">
        <v>76</v>
      </c>
      <c r="AL20" s="15">
        <v>12.2222222222222</v>
      </c>
      <c r="AM20" s="20" t="s">
        <v>76</v>
      </c>
      <c r="AN20" s="20" t="s">
        <v>76</v>
      </c>
      <c r="AO20" s="15">
        <v>15</v>
      </c>
      <c r="AP20" s="15">
        <v>14.285714285714301</v>
      </c>
      <c r="AQ20" s="20" t="s">
        <v>76</v>
      </c>
      <c r="AR20" s="15">
        <v>18.181818181818201</v>
      </c>
      <c r="AS20" s="20" t="s">
        <v>76</v>
      </c>
      <c r="AT20" s="15">
        <v>7.6923076923076898</v>
      </c>
      <c r="AU20" s="20" t="s">
        <v>76</v>
      </c>
      <c r="AV20" s="20" t="s">
        <v>76</v>
      </c>
      <c r="AW20" s="15">
        <v>6.8965517241379297</v>
      </c>
      <c r="AX20" s="20" t="s">
        <v>76</v>
      </c>
      <c r="AY20" s="20" t="s">
        <v>76</v>
      </c>
      <c r="AZ20" s="20" t="s">
        <v>76</v>
      </c>
      <c r="BA20" s="20" t="s">
        <v>76</v>
      </c>
      <c r="BB20" s="20" t="s">
        <v>76</v>
      </c>
      <c r="BC20" s="20" t="s">
        <v>76</v>
      </c>
      <c r="BD20" s="15">
        <v>10.2564102564103</v>
      </c>
      <c r="BE20" s="20" t="s">
        <v>76</v>
      </c>
      <c r="BF20" s="15">
        <v>9.6385542168674707</v>
      </c>
      <c r="BG20" s="15">
        <v>11.9402985074627</v>
      </c>
      <c r="BH20" s="20" t="s">
        <v>76</v>
      </c>
      <c r="BI20" s="20" t="s">
        <v>76</v>
      </c>
      <c r="BJ20" s="15">
        <v>11.6071428571429</v>
      </c>
      <c r="BK20" s="20" t="s">
        <v>76</v>
      </c>
      <c r="BL20" s="15">
        <v>15.625</v>
      </c>
      <c r="BM20" s="20" t="s">
        <v>76</v>
      </c>
      <c r="BN20" s="15">
        <v>10.084033613445399</v>
      </c>
      <c r="BO20" s="15">
        <v>11.1111111111111</v>
      </c>
      <c r="BP20" s="20" t="s">
        <v>76</v>
      </c>
      <c r="BQ20" s="15">
        <v>9.5890410958904102</v>
      </c>
      <c r="BR20" s="15">
        <v>10</v>
      </c>
      <c r="BS20" s="15">
        <v>9.6385542168674707</v>
      </c>
      <c r="BT20" s="15">
        <v>7.3170731707317103</v>
      </c>
      <c r="BU20" s="20" t="s">
        <v>76</v>
      </c>
      <c r="BV20" s="15">
        <v>12.1212121212121</v>
      </c>
      <c r="BW20" s="15">
        <v>7.2463768115942004</v>
      </c>
      <c r="BX20" s="20" t="s">
        <v>76</v>
      </c>
      <c r="BY20" s="15">
        <v>17.460317460317501</v>
      </c>
      <c r="BZ20" s="15">
        <v>6.12244897959184</v>
      </c>
      <c r="CA20" s="32">
        <v>8.5092963473510093</v>
      </c>
      <c r="CB20" s="15">
        <v>9.2651757188498394</v>
      </c>
      <c r="CC20" s="15">
        <v>9.7484276729559696</v>
      </c>
      <c r="CD20" s="15">
        <v>7.0967741935483897</v>
      </c>
      <c r="CE20" s="20" t="s">
        <v>76</v>
      </c>
      <c r="CF20" s="15">
        <v>9.8802395209580904</v>
      </c>
      <c r="CG20" s="15">
        <v>6.7039106145251397</v>
      </c>
      <c r="CH20" s="15">
        <v>9.375</v>
      </c>
      <c r="CI20" s="15">
        <v>11.4989733059548</v>
      </c>
      <c r="CJ20" s="15">
        <v>6.6666666666666696</v>
      </c>
      <c r="CK20" s="15">
        <v>8.52017937219731</v>
      </c>
      <c r="CL20" s="15">
        <v>7.1212121212121202</v>
      </c>
      <c r="CM20" s="24">
        <v>3.8543897216274101</v>
      </c>
      <c r="CN20" s="37"/>
    </row>
    <row r="21" spans="1:92">
      <c r="A21" s="11" t="s">
        <v>405</v>
      </c>
      <c r="B21" s="36">
        <v>6.0758846238811897</v>
      </c>
      <c r="C21" s="33">
        <v>5.82097749260409</v>
      </c>
      <c r="D21" s="33">
        <v>5.4529343853553502</v>
      </c>
      <c r="E21" s="33">
        <v>5.8580120481765299</v>
      </c>
      <c r="F21" s="28" t="s">
        <v>76</v>
      </c>
      <c r="G21" s="28" t="s">
        <v>76</v>
      </c>
      <c r="H21" s="28" t="s">
        <v>76</v>
      </c>
      <c r="I21" s="28" t="s">
        <v>76</v>
      </c>
      <c r="J21" s="16">
        <v>6.25</v>
      </c>
      <c r="K21" s="28" t="s">
        <v>76</v>
      </c>
      <c r="L21" s="28" t="s">
        <v>76</v>
      </c>
      <c r="M21" s="16">
        <v>6.5789473684210504</v>
      </c>
      <c r="N21" s="28" t="s">
        <v>76</v>
      </c>
      <c r="O21" s="28" t="s">
        <v>76</v>
      </c>
      <c r="P21" s="16">
        <v>7.0422535211267601</v>
      </c>
      <c r="Q21" s="28" t="s">
        <v>76</v>
      </c>
      <c r="R21" s="28" t="s">
        <v>76</v>
      </c>
      <c r="S21" s="28" t="s">
        <v>76</v>
      </c>
      <c r="T21" s="16">
        <v>12.5</v>
      </c>
      <c r="U21" s="28" t="s">
        <v>76</v>
      </c>
      <c r="V21" s="28" t="s">
        <v>76</v>
      </c>
      <c r="W21" s="16">
        <v>18.644067796610202</v>
      </c>
      <c r="X21" s="28" t="s">
        <v>76</v>
      </c>
      <c r="Y21" s="28" t="s">
        <v>76</v>
      </c>
      <c r="Z21" s="16">
        <v>8.9743589743589691</v>
      </c>
      <c r="AA21" s="16">
        <v>5.5045871559632999</v>
      </c>
      <c r="AB21" s="28" t="s">
        <v>76</v>
      </c>
      <c r="AC21" s="16">
        <v>6.8181818181818201</v>
      </c>
      <c r="AD21" s="28" t="s">
        <v>76</v>
      </c>
      <c r="AE21" s="28" t="s">
        <v>76</v>
      </c>
      <c r="AF21" s="28" t="s">
        <v>76</v>
      </c>
      <c r="AG21" s="16">
        <v>5.71428571428571</v>
      </c>
      <c r="AH21" s="28" t="s">
        <v>76</v>
      </c>
      <c r="AI21" s="28" t="s">
        <v>76</v>
      </c>
      <c r="AJ21" s="28" t="s">
        <v>76</v>
      </c>
      <c r="AK21" s="28" t="s">
        <v>76</v>
      </c>
      <c r="AL21" s="16">
        <v>8.8888888888888893</v>
      </c>
      <c r="AM21" s="16">
        <v>7.8125</v>
      </c>
      <c r="AN21" s="28" t="s">
        <v>76</v>
      </c>
      <c r="AO21" s="28" t="s">
        <v>76</v>
      </c>
      <c r="AP21" s="28" t="s">
        <v>76</v>
      </c>
      <c r="AQ21" s="28" t="s">
        <v>76</v>
      </c>
      <c r="AR21" s="28" t="s">
        <v>76</v>
      </c>
      <c r="AS21" s="28" t="s">
        <v>76</v>
      </c>
      <c r="AT21" s="28" t="s">
        <v>76</v>
      </c>
      <c r="AU21" s="28" t="s">
        <v>76</v>
      </c>
      <c r="AV21" s="28" t="s">
        <v>76</v>
      </c>
      <c r="AW21" s="16">
        <v>7.7586206896551699</v>
      </c>
      <c r="AX21" s="28" t="s">
        <v>76</v>
      </c>
      <c r="AY21" s="28" t="s">
        <v>76</v>
      </c>
      <c r="AZ21" s="28" t="s">
        <v>76</v>
      </c>
      <c r="BA21" s="28" t="s">
        <v>76</v>
      </c>
      <c r="BB21" s="28" t="s">
        <v>76</v>
      </c>
      <c r="BC21" s="16">
        <v>6.7567567567567597</v>
      </c>
      <c r="BD21" s="28" t="s">
        <v>76</v>
      </c>
      <c r="BE21" s="28" t="s">
        <v>76</v>
      </c>
      <c r="BF21" s="16">
        <v>10.8433734939759</v>
      </c>
      <c r="BG21" s="28" t="s">
        <v>76</v>
      </c>
      <c r="BH21" s="28" t="s">
        <v>76</v>
      </c>
      <c r="BI21" s="28" t="s">
        <v>76</v>
      </c>
      <c r="BJ21" s="16">
        <v>11.6071428571429</v>
      </c>
      <c r="BK21" s="28" t="s">
        <v>76</v>
      </c>
      <c r="BL21" s="16">
        <v>4.6875</v>
      </c>
      <c r="BM21" s="28" t="s">
        <v>76</v>
      </c>
      <c r="BN21" s="28" t="s">
        <v>76</v>
      </c>
      <c r="BO21" s="28" t="s">
        <v>76</v>
      </c>
      <c r="BP21" s="28" t="s">
        <v>76</v>
      </c>
      <c r="BQ21" s="28" t="s">
        <v>76</v>
      </c>
      <c r="BR21" s="28" t="s">
        <v>76</v>
      </c>
      <c r="BS21" s="28" t="s">
        <v>76</v>
      </c>
      <c r="BT21" s="28" t="s">
        <v>76</v>
      </c>
      <c r="BU21" s="16">
        <v>6.5420560747663501</v>
      </c>
      <c r="BV21" s="16">
        <v>8.0808080808080796</v>
      </c>
      <c r="BW21" s="28" t="s">
        <v>76</v>
      </c>
      <c r="BX21" s="28" t="s">
        <v>76</v>
      </c>
      <c r="BY21" s="28" t="s">
        <v>76</v>
      </c>
      <c r="BZ21" s="16">
        <v>4.0816326530612201</v>
      </c>
      <c r="CA21" s="33">
        <v>5.1258055473526003</v>
      </c>
      <c r="CB21" s="16">
        <v>4.7923322683706102</v>
      </c>
      <c r="CC21" s="16">
        <v>5.3459119496855303</v>
      </c>
      <c r="CD21" s="16">
        <v>5.8064516129032304</v>
      </c>
      <c r="CE21" s="28" t="s">
        <v>76</v>
      </c>
      <c r="CF21" s="16">
        <v>5.3892215568862296</v>
      </c>
      <c r="CG21" s="16">
        <v>3.91061452513966</v>
      </c>
      <c r="CH21" s="16">
        <v>4.5955882352941204</v>
      </c>
      <c r="CI21" s="16">
        <v>5.5441478439424996</v>
      </c>
      <c r="CJ21" s="16">
        <v>3.1372549019607798</v>
      </c>
      <c r="CK21" s="16">
        <v>9.4170403587443907</v>
      </c>
      <c r="CL21" s="16">
        <v>5.7575757575757596</v>
      </c>
      <c r="CM21" s="25">
        <v>3.4261241970021401</v>
      </c>
      <c r="CN21" s="37"/>
    </row>
    <row r="22" spans="1:92" ht="30" customHeight="1">
      <c r="A22" t="s">
        <v>252</v>
      </c>
    </row>
    <row r="23" spans="1:92" ht="18">
      <c r="A23" t="s">
        <v>406</v>
      </c>
    </row>
    <row r="24" spans="1:92">
      <c r="A24" t="s">
        <v>143</v>
      </c>
    </row>
    <row r="25" spans="1:92">
      <c r="A25" t="s">
        <v>144</v>
      </c>
    </row>
    <row r="26" spans="1:92">
      <c r="A26" t="s">
        <v>145</v>
      </c>
    </row>
    <row r="27" spans="1:92">
      <c r="A27" t="s">
        <v>146</v>
      </c>
    </row>
    <row r="28" spans="1:92">
      <c r="A28" t="s">
        <v>147</v>
      </c>
    </row>
    <row r="29" spans="1:92">
      <c r="A2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13"/>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408</v>
      </c>
      <c r="B1" s="12"/>
      <c r="C1" s="12"/>
      <c r="D1" s="12"/>
      <c r="E1" s="12"/>
      <c r="F1" s="12"/>
      <c r="G1" s="12"/>
      <c r="H1" s="12"/>
      <c r="I1" s="12"/>
      <c r="J1" s="12"/>
      <c r="K1" s="12"/>
      <c r="L1" s="12"/>
      <c r="M1" s="12"/>
      <c r="N1" s="12"/>
      <c r="O1" s="12"/>
      <c r="P1" s="12"/>
    </row>
    <row r="2" spans="1:16" ht="60">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39" t="s">
        <v>409</v>
      </c>
      <c r="B3" s="15"/>
      <c r="C3" s="15"/>
      <c r="D3" s="24"/>
      <c r="E3" s="15"/>
      <c r="F3" s="15"/>
      <c r="G3" s="24"/>
      <c r="H3" s="15"/>
      <c r="I3" s="15"/>
      <c r="J3" s="24"/>
      <c r="K3" s="15"/>
      <c r="L3" s="15"/>
      <c r="M3" s="24"/>
      <c r="N3" s="15"/>
      <c r="O3" s="15"/>
      <c r="P3" s="24"/>
    </row>
    <row r="4" spans="1:16">
      <c r="A4" s="9" t="s">
        <v>410</v>
      </c>
      <c r="B4" s="15">
        <v>56.968542604245499</v>
      </c>
      <c r="C4" s="15">
        <v>61.0969589437018</v>
      </c>
      <c r="D4" s="24">
        <v>53.634554670889301</v>
      </c>
      <c r="E4" s="15">
        <v>62.991507171126898</v>
      </c>
      <c r="F4" s="15">
        <v>65.276722542548896</v>
      </c>
      <c r="G4" s="24">
        <v>61.132762273793901</v>
      </c>
      <c r="H4" s="15">
        <v>51.962058506418103</v>
      </c>
      <c r="I4" s="15">
        <v>57.6364162005395</v>
      </c>
      <c r="J4" s="24">
        <v>47.2794466249984</v>
      </c>
      <c r="K4" s="20" t="s">
        <v>76</v>
      </c>
      <c r="L4" s="20" t="s">
        <v>76</v>
      </c>
      <c r="M4" s="26" t="s">
        <v>76</v>
      </c>
      <c r="N4" s="15">
        <v>32.331337827827703</v>
      </c>
      <c r="O4" s="15">
        <v>43.137841046426097</v>
      </c>
      <c r="P4" s="26" t="s">
        <v>76</v>
      </c>
    </row>
    <row r="5" spans="1:16">
      <c r="A5" s="39" t="s">
        <v>411</v>
      </c>
      <c r="B5" s="15"/>
      <c r="C5" s="15"/>
      <c r="D5" s="24"/>
      <c r="E5" s="15"/>
      <c r="F5" s="15"/>
      <c r="G5" s="24"/>
      <c r="H5" s="15"/>
      <c r="I5" s="15"/>
      <c r="J5" s="24"/>
      <c r="K5" s="15"/>
      <c r="L5" s="15"/>
      <c r="M5" s="24"/>
      <c r="N5" s="15"/>
      <c r="O5" s="15"/>
      <c r="P5" s="24"/>
    </row>
    <row r="6" spans="1:16">
      <c r="A6" s="9" t="s">
        <v>412</v>
      </c>
      <c r="B6" s="15">
        <v>17.4808596779732</v>
      </c>
      <c r="C6" s="15">
        <v>22.870007703079999</v>
      </c>
      <c r="D6" s="24">
        <v>13.128741817413101</v>
      </c>
      <c r="E6" s="15">
        <v>19.285069536836399</v>
      </c>
      <c r="F6" s="15">
        <v>25.957850835913501</v>
      </c>
      <c r="G6" s="24">
        <v>13.8575731416233</v>
      </c>
      <c r="H6" s="15">
        <v>16.1248408440247</v>
      </c>
      <c r="I6" s="15">
        <v>20.044111716978001</v>
      </c>
      <c r="J6" s="24">
        <v>12.890567408071499</v>
      </c>
      <c r="K6" s="20" t="s">
        <v>76</v>
      </c>
      <c r="L6" s="20" t="s">
        <v>76</v>
      </c>
      <c r="M6" s="26" t="s">
        <v>76</v>
      </c>
      <c r="N6" s="20" t="s">
        <v>76</v>
      </c>
      <c r="O6" s="20" t="s">
        <v>76</v>
      </c>
      <c r="P6" s="26" t="s">
        <v>76</v>
      </c>
    </row>
    <row r="7" spans="1:16">
      <c r="A7" s="11" t="s">
        <v>413</v>
      </c>
      <c r="B7" s="16">
        <v>25.133051809013701</v>
      </c>
      <c r="C7" s="16">
        <v>26.415390292757301</v>
      </c>
      <c r="D7" s="25">
        <v>24.097472865480398</v>
      </c>
      <c r="E7" s="16">
        <v>27.659416364783802</v>
      </c>
      <c r="F7" s="16">
        <v>28.866222069524699</v>
      </c>
      <c r="G7" s="25">
        <v>26.677826632012401</v>
      </c>
      <c r="H7" s="16">
        <v>22.855732556683499</v>
      </c>
      <c r="I7" s="16">
        <v>23.863712243439899</v>
      </c>
      <c r="J7" s="25">
        <v>22.023924286590699</v>
      </c>
      <c r="K7" s="28" t="s">
        <v>76</v>
      </c>
      <c r="L7" s="28" t="s">
        <v>76</v>
      </c>
      <c r="M7" s="29" t="s">
        <v>76</v>
      </c>
      <c r="N7" s="16">
        <v>19.7997446102849</v>
      </c>
      <c r="O7" s="28" t="s">
        <v>76</v>
      </c>
      <c r="P7" s="29" t="s">
        <v>76</v>
      </c>
    </row>
    <row r="8" spans="1:16" ht="30" customHeight="1">
      <c r="A8" t="s">
        <v>143</v>
      </c>
    </row>
    <row r="9" spans="1:16">
      <c r="A9" t="s">
        <v>144</v>
      </c>
    </row>
    <row r="10" spans="1:16">
      <c r="A10" t="s">
        <v>145</v>
      </c>
    </row>
    <row r="11" spans="1:16">
      <c r="A11" t="s">
        <v>146</v>
      </c>
    </row>
    <row r="12" spans="1:16">
      <c r="A12" t="s">
        <v>147</v>
      </c>
    </row>
    <row r="13" spans="1:16">
      <c r="A1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N14"/>
  <sheetViews>
    <sheetView zoomScale="55" workbookViewId="0"/>
  </sheetViews>
  <sheetFormatPr defaultColWidth="10.88671875" defaultRowHeight="15"/>
  <cols>
    <col min="1" max="1" width="51.6640625" customWidth="1"/>
    <col min="2" max="91" width="13.6640625" customWidth="1"/>
  </cols>
  <sheetData>
    <row r="1" spans="1:92" ht="39.950000000000003" customHeight="1">
      <c r="A1" s="10" t="s">
        <v>414</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0">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c r="A3" s="39" t="s">
        <v>409</v>
      </c>
      <c r="B3" s="35"/>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32"/>
      <c r="CB3" s="15"/>
      <c r="CC3" s="15"/>
      <c r="CD3" s="15"/>
      <c r="CE3" s="15"/>
      <c r="CF3" s="15"/>
      <c r="CG3" s="15"/>
      <c r="CH3" s="15"/>
      <c r="CI3" s="15"/>
      <c r="CJ3" s="15"/>
      <c r="CK3" s="15"/>
      <c r="CL3" s="15"/>
      <c r="CM3" s="24"/>
      <c r="CN3" s="37"/>
    </row>
    <row r="4" spans="1:92">
      <c r="A4" s="9" t="s">
        <v>410</v>
      </c>
      <c r="B4" s="35">
        <v>54.410660196278002</v>
      </c>
      <c r="C4" s="32">
        <v>57.44489968053</v>
      </c>
      <c r="D4" s="32">
        <v>56.968542604245499</v>
      </c>
      <c r="E4" s="32">
        <v>61.0969589437018</v>
      </c>
      <c r="F4" s="15">
        <v>47.058823529411796</v>
      </c>
      <c r="G4" s="15">
        <v>35.294117647058798</v>
      </c>
      <c r="H4" s="15">
        <v>43.478260869565197</v>
      </c>
      <c r="I4" s="15">
        <v>60</v>
      </c>
      <c r="J4" s="15">
        <v>50.6944444444444</v>
      </c>
      <c r="K4" s="15">
        <v>53.846153846153797</v>
      </c>
      <c r="L4" s="15">
        <v>47.540983606557397</v>
      </c>
      <c r="M4" s="15">
        <v>47.368421052631597</v>
      </c>
      <c r="N4" s="15">
        <v>83.529411764705898</v>
      </c>
      <c r="O4" s="15">
        <v>67.441860465116307</v>
      </c>
      <c r="P4" s="15">
        <v>50.704225352112701</v>
      </c>
      <c r="Q4" s="15">
        <v>56.338028169014102</v>
      </c>
      <c r="R4" s="15">
        <v>19.230769230769202</v>
      </c>
      <c r="S4" s="15">
        <v>78.048780487804905</v>
      </c>
      <c r="T4" s="15">
        <v>41.6666666666667</v>
      </c>
      <c r="U4" s="15">
        <v>80.952380952380906</v>
      </c>
      <c r="V4" s="15">
        <v>64.705882352941202</v>
      </c>
      <c r="W4" s="15">
        <v>44.067796610169502</v>
      </c>
      <c r="X4" s="15">
        <v>53.846153846153797</v>
      </c>
      <c r="Y4" s="15">
        <v>62.5</v>
      </c>
      <c r="Z4" s="15">
        <v>78.205128205128204</v>
      </c>
      <c r="AA4" s="15">
        <v>73.394495412843995</v>
      </c>
      <c r="AB4" s="15">
        <v>55.882352941176499</v>
      </c>
      <c r="AC4" s="15">
        <v>57.575757575757599</v>
      </c>
      <c r="AD4" s="15">
        <v>87.5</v>
      </c>
      <c r="AE4" s="15">
        <v>81.481481481481495</v>
      </c>
      <c r="AF4" s="15">
        <v>50</v>
      </c>
      <c r="AG4" s="15">
        <v>62.857142857142897</v>
      </c>
      <c r="AH4" s="15">
        <v>66.071428571428598</v>
      </c>
      <c r="AI4" s="20" t="s">
        <v>76</v>
      </c>
      <c r="AJ4" s="15">
        <v>65.765765765765806</v>
      </c>
      <c r="AK4" s="15">
        <v>76.6666666666667</v>
      </c>
      <c r="AL4" s="15">
        <v>53.3333333333333</v>
      </c>
      <c r="AM4" s="15">
        <v>78.125</v>
      </c>
      <c r="AN4" s="20" t="s">
        <v>76</v>
      </c>
      <c r="AO4" s="15">
        <v>80</v>
      </c>
      <c r="AP4" s="15">
        <v>67.532467532467507</v>
      </c>
      <c r="AQ4" s="15">
        <v>61.538461538461497</v>
      </c>
      <c r="AR4" s="15">
        <v>60</v>
      </c>
      <c r="AS4" s="15">
        <v>72.727272727272705</v>
      </c>
      <c r="AT4" s="15">
        <v>67.692307692307693</v>
      </c>
      <c r="AU4" s="15">
        <v>67.346938775510196</v>
      </c>
      <c r="AV4" s="15">
        <v>56.164383561643803</v>
      </c>
      <c r="AW4" s="15">
        <v>48.275862068965502</v>
      </c>
      <c r="AX4" s="15">
        <v>62.5</v>
      </c>
      <c r="AY4" s="15">
        <v>40</v>
      </c>
      <c r="AZ4" s="15">
        <v>72</v>
      </c>
      <c r="BA4" s="15">
        <v>43.396226415094297</v>
      </c>
      <c r="BB4" s="15">
        <v>80.597014925373102</v>
      </c>
      <c r="BC4" s="15">
        <v>52.702702702702702</v>
      </c>
      <c r="BD4" s="15">
        <v>64.102564102564102</v>
      </c>
      <c r="BE4" s="15">
        <v>72.413793103448299</v>
      </c>
      <c r="BF4" s="15">
        <v>43.3734939759036</v>
      </c>
      <c r="BG4" s="15">
        <v>80.597014925373102</v>
      </c>
      <c r="BH4" s="15">
        <v>75</v>
      </c>
      <c r="BI4" s="15">
        <v>52.631578947368403</v>
      </c>
      <c r="BJ4" s="15">
        <v>61.607142857142897</v>
      </c>
      <c r="BK4" s="15">
        <v>62.5</v>
      </c>
      <c r="BL4" s="15">
        <v>78.90625</v>
      </c>
      <c r="BM4" s="15">
        <v>65.346534653465298</v>
      </c>
      <c r="BN4" s="15">
        <v>80.672268907562994</v>
      </c>
      <c r="BO4" s="15">
        <v>48.8888888888889</v>
      </c>
      <c r="BP4" s="15">
        <v>73.3333333333333</v>
      </c>
      <c r="BQ4" s="15">
        <v>76.712328767123296</v>
      </c>
      <c r="BR4" s="15">
        <v>60</v>
      </c>
      <c r="BS4" s="15">
        <v>54.216867469879503</v>
      </c>
      <c r="BT4" s="15">
        <v>47.560975609756099</v>
      </c>
      <c r="BU4" s="15">
        <v>57.009345794392502</v>
      </c>
      <c r="BV4" s="15">
        <v>85.858585858585897</v>
      </c>
      <c r="BW4" s="15">
        <v>39.130434782608702</v>
      </c>
      <c r="BX4" s="15">
        <v>100</v>
      </c>
      <c r="BY4" s="15">
        <v>63.492063492063501</v>
      </c>
      <c r="BZ4" s="15">
        <v>64.625850340136097</v>
      </c>
      <c r="CA4" s="32">
        <v>53.634554670889301</v>
      </c>
      <c r="CB4" s="15">
        <v>49.520766773162897</v>
      </c>
      <c r="CC4" s="15">
        <v>33.3333333333333</v>
      </c>
      <c r="CD4" s="15">
        <v>61.935483870967701</v>
      </c>
      <c r="CE4" s="20" t="s">
        <v>76</v>
      </c>
      <c r="CF4" s="15">
        <v>46.407185628742504</v>
      </c>
      <c r="CG4" s="15">
        <v>44.134078212290497</v>
      </c>
      <c r="CH4" s="15">
        <v>58.272058823529399</v>
      </c>
      <c r="CI4" s="15">
        <v>49.281314168377797</v>
      </c>
      <c r="CJ4" s="15">
        <v>43.529411764705898</v>
      </c>
      <c r="CK4" s="15">
        <v>59.641255605381197</v>
      </c>
      <c r="CL4" s="15">
        <v>68.030303030303003</v>
      </c>
      <c r="CM4" s="24">
        <v>63.811563169164899</v>
      </c>
      <c r="CN4" s="37"/>
    </row>
    <row r="5" spans="1:92">
      <c r="A5" s="39" t="s">
        <v>411</v>
      </c>
      <c r="B5" s="35"/>
      <c r="C5" s="32"/>
      <c r="D5" s="32"/>
      <c r="E5" s="32"/>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32"/>
      <c r="CB5" s="15"/>
      <c r="CC5" s="15"/>
      <c r="CD5" s="15"/>
      <c r="CE5" s="15"/>
      <c r="CF5" s="15"/>
      <c r="CG5" s="15"/>
      <c r="CH5" s="15"/>
      <c r="CI5" s="15"/>
      <c r="CJ5" s="15"/>
      <c r="CK5" s="15"/>
      <c r="CL5" s="15"/>
      <c r="CM5" s="24"/>
      <c r="CN5" s="37"/>
    </row>
    <row r="6" spans="1:92">
      <c r="A6" s="9" t="s">
        <v>412</v>
      </c>
      <c r="B6" s="35">
        <v>10.093660482023401</v>
      </c>
      <c r="C6" s="32">
        <v>10.642624597317999</v>
      </c>
      <c r="D6" s="32">
        <v>17.4808596779732</v>
      </c>
      <c r="E6" s="32">
        <v>22.870007703079999</v>
      </c>
      <c r="F6" s="20" t="s">
        <v>76</v>
      </c>
      <c r="G6" s="20" t="s">
        <v>76</v>
      </c>
      <c r="H6" s="15">
        <v>21.739130434782599</v>
      </c>
      <c r="I6" s="20" t="s">
        <v>76</v>
      </c>
      <c r="J6" s="15">
        <v>10.4166666666667</v>
      </c>
      <c r="K6" s="15">
        <v>38.461538461538503</v>
      </c>
      <c r="L6" s="20" t="s">
        <v>76</v>
      </c>
      <c r="M6" s="15">
        <v>11.842105263157899</v>
      </c>
      <c r="N6" s="15">
        <v>40</v>
      </c>
      <c r="O6" s="20" t="s">
        <v>76</v>
      </c>
      <c r="P6" s="15">
        <v>21.126760563380302</v>
      </c>
      <c r="Q6" s="15">
        <v>8.4507042253521103</v>
      </c>
      <c r="R6" s="15">
        <v>19.230769230769202</v>
      </c>
      <c r="S6" s="15">
        <v>39.024390243902403</v>
      </c>
      <c r="T6" s="15">
        <v>39.5833333333333</v>
      </c>
      <c r="U6" s="15">
        <v>47.619047619047599</v>
      </c>
      <c r="V6" s="15">
        <v>35.294117647058798</v>
      </c>
      <c r="W6" s="15">
        <v>10.1694915254237</v>
      </c>
      <c r="X6" s="15">
        <v>46.153846153846203</v>
      </c>
      <c r="Y6" s="20" t="s">
        <v>76</v>
      </c>
      <c r="Z6" s="15">
        <v>34.615384615384599</v>
      </c>
      <c r="AA6" s="15">
        <v>21.100917431192698</v>
      </c>
      <c r="AB6" s="15">
        <v>42.647058823529399</v>
      </c>
      <c r="AC6" s="15">
        <v>15.1515151515152</v>
      </c>
      <c r="AD6" s="15">
        <v>43.75</v>
      </c>
      <c r="AE6" s="15">
        <v>44.4444444444444</v>
      </c>
      <c r="AF6" s="15">
        <v>35.714285714285701</v>
      </c>
      <c r="AG6" s="15">
        <v>8.5714285714285694</v>
      </c>
      <c r="AH6" s="15">
        <v>28.571428571428601</v>
      </c>
      <c r="AI6" s="20" t="s">
        <v>76</v>
      </c>
      <c r="AJ6" s="15">
        <v>7.20720720720721</v>
      </c>
      <c r="AK6" s="15">
        <v>66.6666666666667</v>
      </c>
      <c r="AL6" s="15">
        <v>7.7777777777777803</v>
      </c>
      <c r="AM6" s="15">
        <v>35.9375</v>
      </c>
      <c r="AN6" s="20" t="s">
        <v>76</v>
      </c>
      <c r="AO6" s="15">
        <v>22.5</v>
      </c>
      <c r="AP6" s="15">
        <v>27.272727272727298</v>
      </c>
      <c r="AQ6" s="20" t="s">
        <v>76</v>
      </c>
      <c r="AR6" s="15">
        <v>43.636363636363598</v>
      </c>
      <c r="AS6" s="15">
        <v>45.454545454545503</v>
      </c>
      <c r="AT6" s="15">
        <v>40</v>
      </c>
      <c r="AU6" s="15">
        <v>26.530612244897998</v>
      </c>
      <c r="AV6" s="20" t="s">
        <v>76</v>
      </c>
      <c r="AW6" s="15">
        <v>7.7586206896551699</v>
      </c>
      <c r="AX6" s="20" t="s">
        <v>76</v>
      </c>
      <c r="AY6" s="20" t="s">
        <v>76</v>
      </c>
      <c r="AZ6" s="15">
        <v>52</v>
      </c>
      <c r="BA6" s="20" t="s">
        <v>76</v>
      </c>
      <c r="BB6" s="15">
        <v>29.8507462686567</v>
      </c>
      <c r="BC6" s="15">
        <v>12.1621621621622</v>
      </c>
      <c r="BD6" s="15">
        <v>17.948717948717899</v>
      </c>
      <c r="BE6" s="15">
        <v>41.379310344827601</v>
      </c>
      <c r="BF6" s="15">
        <v>14.4578313253012</v>
      </c>
      <c r="BG6" s="15">
        <v>20.8955223880597</v>
      </c>
      <c r="BH6" s="15">
        <v>29.1666666666667</v>
      </c>
      <c r="BI6" s="15">
        <v>36.842105263157897</v>
      </c>
      <c r="BJ6" s="15">
        <v>32.142857142857103</v>
      </c>
      <c r="BK6" s="15">
        <v>30</v>
      </c>
      <c r="BL6" s="15">
        <v>40.625</v>
      </c>
      <c r="BM6" s="15">
        <v>37.6237623762376</v>
      </c>
      <c r="BN6" s="15">
        <v>35.294117647058798</v>
      </c>
      <c r="BO6" s="15">
        <v>11.1111111111111</v>
      </c>
      <c r="BP6" s="20" t="s">
        <v>76</v>
      </c>
      <c r="BQ6" s="15">
        <v>58.904109589041099</v>
      </c>
      <c r="BR6" s="15">
        <v>28.3333333333333</v>
      </c>
      <c r="BS6" s="20" t="s">
        <v>76</v>
      </c>
      <c r="BT6" s="15">
        <v>20.731707317073202</v>
      </c>
      <c r="BU6" s="15">
        <v>10.2803738317757</v>
      </c>
      <c r="BV6" s="15">
        <v>39.393939393939398</v>
      </c>
      <c r="BW6" s="15">
        <v>7.2463768115942004</v>
      </c>
      <c r="BX6" s="15">
        <v>66.6666666666667</v>
      </c>
      <c r="BY6" s="15">
        <v>47.619047619047599</v>
      </c>
      <c r="BZ6" s="15">
        <v>18.367346938775501</v>
      </c>
      <c r="CA6" s="32">
        <v>13.128741817413101</v>
      </c>
      <c r="CB6" s="15">
        <v>5.1118210862619797</v>
      </c>
      <c r="CC6" s="15">
        <v>3.1446540880503102</v>
      </c>
      <c r="CD6" s="15">
        <v>5.8064516129032304</v>
      </c>
      <c r="CE6" s="20" t="s">
        <v>76</v>
      </c>
      <c r="CF6" s="15">
        <v>7.4850299401197598</v>
      </c>
      <c r="CG6" s="15">
        <v>4.4692737430167604</v>
      </c>
      <c r="CH6" s="15">
        <v>17.647058823529399</v>
      </c>
      <c r="CI6" s="15">
        <v>11.2936344969199</v>
      </c>
      <c r="CJ6" s="15">
        <v>10.980392156862701</v>
      </c>
      <c r="CK6" s="15">
        <v>28.699551569506699</v>
      </c>
      <c r="CL6" s="15">
        <v>14.3939393939394</v>
      </c>
      <c r="CM6" s="24">
        <v>27.837259100642399</v>
      </c>
      <c r="CN6" s="37"/>
    </row>
    <row r="7" spans="1:92">
      <c r="A7" s="11" t="s">
        <v>413</v>
      </c>
      <c r="B7" s="36">
        <v>23.804651039170899</v>
      </c>
      <c r="C7" s="33">
        <v>25.7159269568029</v>
      </c>
      <c r="D7" s="33">
        <v>25.133051809013701</v>
      </c>
      <c r="E7" s="33">
        <v>26.415390292757301</v>
      </c>
      <c r="F7" s="28" t="s">
        <v>76</v>
      </c>
      <c r="G7" s="28" t="s">
        <v>76</v>
      </c>
      <c r="H7" s="16">
        <v>30.434782608695699</v>
      </c>
      <c r="I7" s="28" t="s">
        <v>76</v>
      </c>
      <c r="J7" s="16">
        <v>19.4444444444444</v>
      </c>
      <c r="K7" s="16">
        <v>30.769230769230798</v>
      </c>
      <c r="L7" s="16">
        <v>29.508196721311499</v>
      </c>
      <c r="M7" s="16">
        <v>28.947368421052602</v>
      </c>
      <c r="N7" s="16">
        <v>36.470588235294102</v>
      </c>
      <c r="O7" s="16">
        <v>16.2790697674419</v>
      </c>
      <c r="P7" s="16">
        <v>40.845070422535201</v>
      </c>
      <c r="Q7" s="16">
        <v>23.943661971830998</v>
      </c>
      <c r="R7" s="28" t="s">
        <v>76</v>
      </c>
      <c r="S7" s="16">
        <v>17.0731707317073</v>
      </c>
      <c r="T7" s="16">
        <v>16.6666666666667</v>
      </c>
      <c r="U7" s="16">
        <v>38.095238095238102</v>
      </c>
      <c r="V7" s="16">
        <v>20.588235294117599</v>
      </c>
      <c r="W7" s="16">
        <v>23.728813559321999</v>
      </c>
      <c r="X7" s="28" t="s">
        <v>76</v>
      </c>
      <c r="Y7" s="28" t="s">
        <v>76</v>
      </c>
      <c r="Z7" s="16">
        <v>20.5128205128205</v>
      </c>
      <c r="AA7" s="16">
        <v>27.5229357798165</v>
      </c>
      <c r="AB7" s="16">
        <v>47.058823529411796</v>
      </c>
      <c r="AC7" s="16">
        <v>23.484848484848499</v>
      </c>
      <c r="AD7" s="16">
        <v>43.75</v>
      </c>
      <c r="AE7" s="28" t="s">
        <v>76</v>
      </c>
      <c r="AF7" s="16">
        <v>50</v>
      </c>
      <c r="AG7" s="16">
        <v>19.047619047619001</v>
      </c>
      <c r="AH7" s="16">
        <v>33.928571428571402</v>
      </c>
      <c r="AI7" s="28" t="s">
        <v>76</v>
      </c>
      <c r="AJ7" s="16">
        <v>17.1171171171171</v>
      </c>
      <c r="AK7" s="16">
        <v>16.6666666666667</v>
      </c>
      <c r="AL7" s="16">
        <v>27.7777777777778</v>
      </c>
      <c r="AM7" s="16">
        <v>42.1875</v>
      </c>
      <c r="AN7" s="28" t="s">
        <v>76</v>
      </c>
      <c r="AO7" s="16">
        <v>22.5</v>
      </c>
      <c r="AP7" s="16">
        <v>33.766233766233803</v>
      </c>
      <c r="AQ7" s="16">
        <v>33.3333333333333</v>
      </c>
      <c r="AR7" s="16">
        <v>30.909090909090899</v>
      </c>
      <c r="AS7" s="28" t="s">
        <v>76</v>
      </c>
      <c r="AT7" s="16">
        <v>15.384615384615399</v>
      </c>
      <c r="AU7" s="16">
        <v>22.4489795918367</v>
      </c>
      <c r="AV7" s="16">
        <v>19.178082191780799</v>
      </c>
      <c r="AW7" s="16">
        <v>20.689655172413801</v>
      </c>
      <c r="AX7" s="16">
        <v>43.75</v>
      </c>
      <c r="AY7" s="16">
        <v>31.428571428571399</v>
      </c>
      <c r="AZ7" s="16">
        <v>24</v>
      </c>
      <c r="BA7" s="16">
        <v>26.415094339622598</v>
      </c>
      <c r="BB7" s="16">
        <v>34.328358208955201</v>
      </c>
      <c r="BC7" s="16">
        <v>21.6216216216216</v>
      </c>
      <c r="BD7" s="16">
        <v>25.6410256410256</v>
      </c>
      <c r="BE7" s="16">
        <v>37.931034482758598</v>
      </c>
      <c r="BF7" s="16">
        <v>32.530120481927703</v>
      </c>
      <c r="BG7" s="16">
        <v>23.880597014925399</v>
      </c>
      <c r="BH7" s="16">
        <v>20.8333333333333</v>
      </c>
      <c r="BI7" s="16">
        <v>26.315789473684202</v>
      </c>
      <c r="BJ7" s="16">
        <v>21.428571428571399</v>
      </c>
      <c r="BK7" s="16">
        <v>32.5</v>
      </c>
      <c r="BL7" s="16">
        <v>23.4375</v>
      </c>
      <c r="BM7" s="16">
        <v>27.722772277227701</v>
      </c>
      <c r="BN7" s="16">
        <v>29.411764705882401</v>
      </c>
      <c r="BO7" s="16">
        <v>14.4444444444444</v>
      </c>
      <c r="BP7" s="16">
        <v>33.3333333333333</v>
      </c>
      <c r="BQ7" s="16">
        <v>30.136986301369902</v>
      </c>
      <c r="BR7" s="16">
        <v>25</v>
      </c>
      <c r="BS7" s="16">
        <v>15.662650602409601</v>
      </c>
      <c r="BT7" s="16">
        <v>29.268292682926798</v>
      </c>
      <c r="BU7" s="16">
        <v>29.906542056074802</v>
      </c>
      <c r="BV7" s="16">
        <v>37.373737373737399</v>
      </c>
      <c r="BW7" s="16">
        <v>20.289855072463801</v>
      </c>
      <c r="BX7" s="16">
        <v>88.8888888888889</v>
      </c>
      <c r="BY7" s="16">
        <v>25.396825396825399</v>
      </c>
      <c r="BZ7" s="16">
        <v>25.850340136054399</v>
      </c>
      <c r="CA7" s="33">
        <v>24.097472865480398</v>
      </c>
      <c r="CB7" s="16">
        <v>22.364217252396202</v>
      </c>
      <c r="CC7" s="16">
        <v>24.842767295597501</v>
      </c>
      <c r="CD7" s="16">
        <v>36.129032258064498</v>
      </c>
      <c r="CE7" s="28" t="s">
        <v>76</v>
      </c>
      <c r="CF7" s="16">
        <v>23.053892215568901</v>
      </c>
      <c r="CG7" s="16">
        <v>19.553072625698299</v>
      </c>
      <c r="CH7" s="16">
        <v>16.727941176470601</v>
      </c>
      <c r="CI7" s="16">
        <v>22.5872689938398</v>
      </c>
      <c r="CJ7" s="16">
        <v>18.039215686274499</v>
      </c>
      <c r="CK7" s="16">
        <v>28.251121076233201</v>
      </c>
      <c r="CL7" s="16">
        <v>26.818181818181799</v>
      </c>
      <c r="CM7" s="25">
        <v>27.623126338329801</v>
      </c>
      <c r="CN7" s="37"/>
    </row>
    <row r="8" spans="1:92" ht="30" customHeight="1">
      <c r="A8" t="s">
        <v>252</v>
      </c>
    </row>
    <row r="9" spans="1:92">
      <c r="A9" t="s">
        <v>143</v>
      </c>
    </row>
    <row r="10" spans="1:92">
      <c r="A10" t="s">
        <v>144</v>
      </c>
    </row>
    <row r="11" spans="1:92">
      <c r="A11" t="s">
        <v>145</v>
      </c>
    </row>
    <row r="12" spans="1:92">
      <c r="A12" t="s">
        <v>146</v>
      </c>
    </row>
    <row r="13" spans="1:92">
      <c r="A13" t="s">
        <v>147</v>
      </c>
    </row>
    <row r="14" spans="1:92">
      <c r="A14"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83"/>
  <sheetViews>
    <sheetView zoomScale="70" workbookViewId="0"/>
  </sheetViews>
  <sheetFormatPr defaultColWidth="10.88671875" defaultRowHeight="15"/>
  <cols>
    <col min="1" max="1" width="51.6640625" customWidth="1"/>
    <col min="2" max="2" width="24.6640625" customWidth="1"/>
    <col min="3" max="3" width="54.6640625" customWidth="1"/>
  </cols>
  <sheetData>
    <row r="1" spans="1:3" ht="39.950000000000003" customHeight="1">
      <c r="A1" s="10" t="s">
        <v>415</v>
      </c>
      <c r="B1" s="12"/>
      <c r="C1" s="12"/>
    </row>
    <row r="2" spans="1:3" ht="45">
      <c r="A2" s="7" t="s">
        <v>52</v>
      </c>
      <c r="B2" s="6" t="s">
        <v>416</v>
      </c>
      <c r="C2" s="8" t="s">
        <v>417</v>
      </c>
    </row>
    <row r="3" spans="1:3" ht="21.95" customHeight="1">
      <c r="A3" s="22" t="s">
        <v>68</v>
      </c>
      <c r="B3" s="15">
        <v>93.373709151005698</v>
      </c>
      <c r="C3" s="24">
        <v>39.475416999304997</v>
      </c>
    </row>
    <row r="4" spans="1:3" ht="21.95" customHeight="1">
      <c r="A4" s="22" t="s">
        <v>69</v>
      </c>
      <c r="B4" s="15">
        <v>91.072859517974607</v>
      </c>
      <c r="C4" s="24">
        <v>36.124154243099603</v>
      </c>
    </row>
    <row r="5" spans="1:3" ht="21.95" customHeight="1">
      <c r="A5" s="22" t="s">
        <v>70</v>
      </c>
      <c r="B5" s="15">
        <v>99.293288073908201</v>
      </c>
      <c r="C5" s="24">
        <v>22.998320268756999</v>
      </c>
    </row>
    <row r="6" spans="1:3">
      <c r="A6" s="9" t="s">
        <v>166</v>
      </c>
      <c r="B6" s="15">
        <v>60</v>
      </c>
      <c r="C6" s="24">
        <v>0</v>
      </c>
    </row>
    <row r="7" spans="1:3">
      <c r="A7" s="9" t="s">
        <v>167</v>
      </c>
      <c r="B7" s="15">
        <v>120</v>
      </c>
      <c r="C7" s="24">
        <v>0</v>
      </c>
    </row>
    <row r="8" spans="1:3">
      <c r="A8" s="9" t="s">
        <v>168</v>
      </c>
      <c r="B8" s="15">
        <v>120</v>
      </c>
      <c r="C8" s="24">
        <v>0</v>
      </c>
    </row>
    <row r="9" spans="1:3">
      <c r="A9" s="9" t="s">
        <v>169</v>
      </c>
      <c r="B9" s="15">
        <v>120</v>
      </c>
      <c r="C9" s="24">
        <v>0</v>
      </c>
    </row>
    <row r="10" spans="1:3">
      <c r="A10" s="9" t="s">
        <v>170</v>
      </c>
      <c r="B10" s="15">
        <v>60</v>
      </c>
      <c r="C10" s="24">
        <v>100</v>
      </c>
    </row>
    <row r="11" spans="1:3">
      <c r="A11" s="9" t="s">
        <v>171</v>
      </c>
      <c r="B11" s="15">
        <v>60</v>
      </c>
      <c r="C11" s="24">
        <v>100</v>
      </c>
    </row>
    <row r="12" spans="1:3">
      <c r="A12" s="9" t="s">
        <v>172</v>
      </c>
      <c r="B12" s="15">
        <v>150</v>
      </c>
      <c r="C12" s="24">
        <v>100</v>
      </c>
    </row>
    <row r="13" spans="1:3">
      <c r="A13" s="9" t="s">
        <v>173</v>
      </c>
      <c r="B13" s="15">
        <v>60</v>
      </c>
      <c r="C13" s="24">
        <v>0</v>
      </c>
    </row>
    <row r="14" spans="1:3">
      <c r="A14" s="9" t="s">
        <v>174</v>
      </c>
      <c r="B14" s="15">
        <v>120</v>
      </c>
      <c r="C14" s="24">
        <v>100</v>
      </c>
    </row>
    <row r="15" spans="1:3">
      <c r="A15" s="9" t="s">
        <v>175</v>
      </c>
      <c r="B15" s="15">
        <v>60</v>
      </c>
      <c r="C15" s="24">
        <v>0</v>
      </c>
    </row>
    <row r="16" spans="1:3">
      <c r="A16" s="9" t="s">
        <v>176</v>
      </c>
      <c r="B16" s="15">
        <v>120</v>
      </c>
      <c r="C16" s="24">
        <v>100</v>
      </c>
    </row>
    <row r="17" spans="1:3">
      <c r="A17" s="9" t="s">
        <v>177</v>
      </c>
      <c r="B17" s="15">
        <v>80</v>
      </c>
      <c r="C17" s="24">
        <v>0</v>
      </c>
    </row>
    <row r="18" spans="1:3">
      <c r="A18" s="9" t="s">
        <v>178</v>
      </c>
      <c r="B18" s="15">
        <v>120</v>
      </c>
      <c r="C18" s="24">
        <v>0</v>
      </c>
    </row>
    <row r="19" spans="1:3">
      <c r="A19" s="9" t="s">
        <v>179</v>
      </c>
      <c r="B19" s="15">
        <v>120</v>
      </c>
      <c r="C19" s="24">
        <v>100</v>
      </c>
    </row>
    <row r="20" spans="1:3">
      <c r="A20" s="9" t="s">
        <v>180</v>
      </c>
      <c r="B20" s="15">
        <v>150</v>
      </c>
      <c r="C20" s="24">
        <v>0</v>
      </c>
    </row>
    <row r="21" spans="1:3">
      <c r="A21" s="9" t="s">
        <v>181</v>
      </c>
      <c r="B21" s="15">
        <v>75</v>
      </c>
      <c r="C21" s="24">
        <v>0</v>
      </c>
    </row>
    <row r="22" spans="1:3">
      <c r="A22" s="9" t="s">
        <v>182</v>
      </c>
      <c r="B22" s="15">
        <v>120</v>
      </c>
      <c r="C22" s="24">
        <v>0</v>
      </c>
    </row>
    <row r="23" spans="1:3">
      <c r="A23" s="9" t="s">
        <v>183</v>
      </c>
      <c r="B23" s="15">
        <v>60</v>
      </c>
      <c r="C23" s="24">
        <v>100</v>
      </c>
    </row>
    <row r="24" spans="1:3">
      <c r="A24" s="9" t="s">
        <v>184</v>
      </c>
      <c r="B24" s="15">
        <v>150</v>
      </c>
      <c r="C24" s="24">
        <v>0</v>
      </c>
    </row>
    <row r="25" spans="1:3">
      <c r="A25" s="9" t="s">
        <v>185</v>
      </c>
      <c r="B25" s="15">
        <v>75</v>
      </c>
      <c r="C25" s="24">
        <v>0</v>
      </c>
    </row>
    <row r="26" spans="1:3">
      <c r="A26" s="9" t="s">
        <v>186</v>
      </c>
      <c r="B26" s="15">
        <v>60</v>
      </c>
      <c r="C26" s="24">
        <v>100</v>
      </c>
    </row>
    <row r="27" spans="1:3">
      <c r="A27" s="9" t="s">
        <v>187</v>
      </c>
      <c r="B27" s="15">
        <v>90</v>
      </c>
      <c r="C27" s="24">
        <v>100</v>
      </c>
    </row>
    <row r="28" spans="1:3">
      <c r="A28" s="9" t="s">
        <v>188</v>
      </c>
      <c r="B28" s="15">
        <v>75</v>
      </c>
      <c r="C28" s="24">
        <v>0</v>
      </c>
    </row>
    <row r="29" spans="1:3">
      <c r="A29" s="9" t="s">
        <v>189</v>
      </c>
      <c r="B29" s="15">
        <v>60</v>
      </c>
      <c r="C29" s="24">
        <v>0</v>
      </c>
    </row>
    <row r="30" spans="1:3">
      <c r="A30" s="9" t="s">
        <v>190</v>
      </c>
      <c r="B30" s="15">
        <v>120</v>
      </c>
      <c r="C30" s="24">
        <v>0</v>
      </c>
    </row>
    <row r="31" spans="1:3">
      <c r="A31" s="9" t="s">
        <v>191</v>
      </c>
      <c r="B31" s="15">
        <v>180</v>
      </c>
      <c r="C31" s="24">
        <v>0</v>
      </c>
    </row>
    <row r="32" spans="1:3">
      <c r="A32" s="9" t="s">
        <v>192</v>
      </c>
      <c r="B32" s="15">
        <v>60</v>
      </c>
      <c r="C32" s="24">
        <v>0</v>
      </c>
    </row>
    <row r="33" spans="1:3">
      <c r="A33" s="9" t="s">
        <v>193</v>
      </c>
      <c r="B33" s="15">
        <v>120</v>
      </c>
      <c r="C33" s="24">
        <v>100</v>
      </c>
    </row>
    <row r="34" spans="1:3">
      <c r="A34" s="9" t="s">
        <v>194</v>
      </c>
      <c r="B34" s="15">
        <v>260</v>
      </c>
      <c r="C34" s="24">
        <v>100</v>
      </c>
    </row>
    <row r="35" spans="1:3">
      <c r="A35" s="9" t="s">
        <v>195</v>
      </c>
      <c r="B35" s="15">
        <v>60</v>
      </c>
      <c r="C35" s="24">
        <v>100</v>
      </c>
    </row>
    <row r="36" spans="1:3">
      <c r="A36" s="9" t="s">
        <v>196</v>
      </c>
      <c r="B36" s="15">
        <v>120</v>
      </c>
      <c r="C36" s="24">
        <v>0</v>
      </c>
    </row>
    <row r="37" spans="1:3">
      <c r="A37" s="9" t="s">
        <v>197</v>
      </c>
      <c r="B37" s="15">
        <v>120</v>
      </c>
      <c r="C37" s="24">
        <v>100</v>
      </c>
    </row>
    <row r="38" spans="1:3">
      <c r="A38" s="9" t="s">
        <v>198</v>
      </c>
      <c r="B38" s="15">
        <v>110</v>
      </c>
      <c r="C38" s="24">
        <v>0</v>
      </c>
    </row>
    <row r="39" spans="1:3">
      <c r="A39" s="9" t="s">
        <v>199</v>
      </c>
      <c r="B39" s="15">
        <v>60</v>
      </c>
      <c r="C39" s="24">
        <v>0</v>
      </c>
    </row>
    <row r="40" spans="1:3">
      <c r="A40" s="9" t="s">
        <v>200</v>
      </c>
      <c r="B40" s="15">
        <v>60</v>
      </c>
      <c r="C40" s="24">
        <v>0</v>
      </c>
    </row>
    <row r="41" spans="1:3">
      <c r="A41" s="9" t="s">
        <v>201</v>
      </c>
      <c r="B41" s="15">
        <v>120</v>
      </c>
      <c r="C41" s="24">
        <v>0</v>
      </c>
    </row>
    <row r="42" spans="1:3">
      <c r="A42" s="9" t="s">
        <v>202</v>
      </c>
      <c r="B42" s="15">
        <v>90</v>
      </c>
      <c r="C42" s="24">
        <v>0</v>
      </c>
    </row>
    <row r="43" spans="1:3">
      <c r="A43" s="9" t="s">
        <v>203</v>
      </c>
      <c r="B43" s="15">
        <v>135</v>
      </c>
      <c r="C43" s="24">
        <v>0</v>
      </c>
    </row>
    <row r="44" spans="1:3">
      <c r="A44" s="9" t="s">
        <v>204</v>
      </c>
      <c r="B44" s="15">
        <v>170</v>
      </c>
      <c r="C44" s="24">
        <v>0</v>
      </c>
    </row>
    <row r="45" spans="1:3">
      <c r="A45" s="9" t="s">
        <v>205</v>
      </c>
      <c r="B45" s="15">
        <v>45</v>
      </c>
      <c r="C45" s="24">
        <v>0</v>
      </c>
    </row>
    <row r="46" spans="1:3">
      <c r="A46" s="9" t="s">
        <v>206</v>
      </c>
      <c r="B46" s="15">
        <v>120</v>
      </c>
      <c r="C46" s="24">
        <v>0</v>
      </c>
    </row>
    <row r="47" spans="1:3">
      <c r="A47" s="9" t="s">
        <v>207</v>
      </c>
      <c r="B47" s="15">
        <v>60</v>
      </c>
      <c r="C47" s="24">
        <v>0</v>
      </c>
    </row>
    <row r="48" spans="1:3">
      <c r="A48" s="9" t="s">
        <v>208</v>
      </c>
      <c r="B48" s="15">
        <v>120</v>
      </c>
      <c r="C48" s="24">
        <v>0</v>
      </c>
    </row>
    <row r="49" spans="1:3">
      <c r="A49" s="9" t="s">
        <v>209</v>
      </c>
      <c r="B49" s="15">
        <v>40</v>
      </c>
      <c r="C49" s="24">
        <v>0</v>
      </c>
    </row>
    <row r="50" spans="1:3">
      <c r="A50" s="9" t="s">
        <v>210</v>
      </c>
      <c r="B50" s="15">
        <v>30</v>
      </c>
      <c r="C50" s="24">
        <v>0</v>
      </c>
    </row>
    <row r="51" spans="1:3">
      <c r="A51" s="9" t="s">
        <v>211</v>
      </c>
      <c r="B51" s="15">
        <v>80</v>
      </c>
      <c r="C51" s="24">
        <v>100</v>
      </c>
    </row>
    <row r="52" spans="1:3">
      <c r="A52" s="9" t="s">
        <v>212</v>
      </c>
      <c r="B52" s="15">
        <v>120</v>
      </c>
      <c r="C52" s="24">
        <v>0</v>
      </c>
    </row>
    <row r="53" spans="1:3">
      <c r="A53" s="9" t="s">
        <v>213</v>
      </c>
      <c r="B53" s="15">
        <v>135</v>
      </c>
      <c r="C53" s="24">
        <v>0</v>
      </c>
    </row>
    <row r="54" spans="1:3">
      <c r="A54" s="9" t="s">
        <v>214</v>
      </c>
      <c r="B54" s="15">
        <v>120</v>
      </c>
      <c r="C54" s="24">
        <v>0</v>
      </c>
    </row>
    <row r="55" spans="1:3">
      <c r="A55" s="9" t="s">
        <v>215</v>
      </c>
      <c r="B55" s="15">
        <v>60</v>
      </c>
      <c r="C55" s="24">
        <v>0</v>
      </c>
    </row>
    <row r="56" spans="1:3">
      <c r="A56" s="9" t="s">
        <v>216</v>
      </c>
      <c r="B56" s="15">
        <v>120</v>
      </c>
      <c r="C56" s="24">
        <v>0</v>
      </c>
    </row>
    <row r="57" spans="1:3">
      <c r="A57" s="9" t="s">
        <v>217</v>
      </c>
      <c r="B57" s="15">
        <v>60</v>
      </c>
      <c r="C57" s="24">
        <v>0</v>
      </c>
    </row>
    <row r="58" spans="1:3">
      <c r="A58" s="9" t="s">
        <v>218</v>
      </c>
      <c r="B58" s="15">
        <v>90</v>
      </c>
      <c r="C58" s="24">
        <v>0</v>
      </c>
    </row>
    <row r="59" spans="1:3">
      <c r="A59" s="9" t="s">
        <v>219</v>
      </c>
      <c r="B59" s="15">
        <v>90</v>
      </c>
      <c r="C59" s="24">
        <v>100</v>
      </c>
    </row>
    <row r="60" spans="1:3">
      <c r="A60" s="9" t="s">
        <v>220</v>
      </c>
      <c r="B60" s="15">
        <v>120</v>
      </c>
      <c r="C60" s="24">
        <v>0</v>
      </c>
    </row>
    <row r="61" spans="1:3">
      <c r="A61" s="9" t="s">
        <v>221</v>
      </c>
      <c r="B61" s="15">
        <v>120</v>
      </c>
      <c r="C61" s="24">
        <v>0</v>
      </c>
    </row>
    <row r="62" spans="1:3">
      <c r="A62" s="9" t="s">
        <v>222</v>
      </c>
      <c r="B62" s="15">
        <v>100</v>
      </c>
      <c r="C62" s="24">
        <v>0</v>
      </c>
    </row>
    <row r="63" spans="1:3">
      <c r="A63" s="9" t="s">
        <v>223</v>
      </c>
      <c r="B63" s="15">
        <v>90</v>
      </c>
      <c r="C63" s="24">
        <v>0</v>
      </c>
    </row>
    <row r="64" spans="1:3">
      <c r="A64" s="9" t="s">
        <v>224</v>
      </c>
      <c r="B64" s="15">
        <v>120</v>
      </c>
      <c r="C64" s="24">
        <v>100</v>
      </c>
    </row>
    <row r="65" spans="1:3">
      <c r="A65" s="9" t="s">
        <v>225</v>
      </c>
      <c r="B65" s="15">
        <v>120</v>
      </c>
      <c r="C65" s="24">
        <v>100</v>
      </c>
    </row>
    <row r="66" spans="1:3">
      <c r="A66" s="9" t="s">
        <v>226</v>
      </c>
      <c r="B66" s="15">
        <v>62.5</v>
      </c>
      <c r="C66" s="24">
        <v>0</v>
      </c>
    </row>
    <row r="67" spans="1:3">
      <c r="A67" s="9" t="s">
        <v>227</v>
      </c>
      <c r="B67" s="15">
        <v>120</v>
      </c>
      <c r="C67" s="24">
        <v>0</v>
      </c>
    </row>
    <row r="68" spans="1:3">
      <c r="A68" s="9" t="s">
        <v>228</v>
      </c>
      <c r="B68" s="15">
        <v>60</v>
      </c>
      <c r="C68" s="24">
        <v>0</v>
      </c>
    </row>
    <row r="69" spans="1:3">
      <c r="A69" s="9" t="s">
        <v>229</v>
      </c>
      <c r="B69" s="15">
        <v>160</v>
      </c>
      <c r="C69" s="24">
        <v>100</v>
      </c>
    </row>
    <row r="70" spans="1:3">
      <c r="A70" s="9" t="s">
        <v>230</v>
      </c>
      <c r="B70" s="15">
        <v>60</v>
      </c>
      <c r="C70" s="24">
        <v>0</v>
      </c>
    </row>
    <row r="71" spans="1:3">
      <c r="A71" s="9" t="s">
        <v>231</v>
      </c>
      <c r="B71" s="15">
        <v>120</v>
      </c>
      <c r="C71" s="24">
        <v>0</v>
      </c>
    </row>
    <row r="72" spans="1:3">
      <c r="A72" s="9" t="s">
        <v>232</v>
      </c>
      <c r="B72" s="15">
        <v>60</v>
      </c>
      <c r="C72" s="24">
        <v>0</v>
      </c>
    </row>
    <row r="73" spans="1:3">
      <c r="A73" s="9" t="s">
        <v>233</v>
      </c>
      <c r="B73" s="15">
        <v>60</v>
      </c>
      <c r="C73" s="24">
        <v>0</v>
      </c>
    </row>
    <row r="74" spans="1:3">
      <c r="A74" s="9" t="s">
        <v>234</v>
      </c>
      <c r="B74" s="15">
        <v>120</v>
      </c>
      <c r="C74" s="24">
        <v>0</v>
      </c>
    </row>
    <row r="75" spans="1:3">
      <c r="A75" s="9" t="s">
        <v>235</v>
      </c>
      <c r="B75" s="15">
        <v>60</v>
      </c>
      <c r="C75" s="24">
        <v>0</v>
      </c>
    </row>
    <row r="76" spans="1:3">
      <c r="A76" s="9" t="s">
        <v>236</v>
      </c>
      <c r="B76" s="15">
        <v>90</v>
      </c>
      <c r="C76" s="24">
        <v>0</v>
      </c>
    </row>
    <row r="77" spans="1:3">
      <c r="A77" s="9" t="s">
        <v>237</v>
      </c>
      <c r="B77" s="15">
        <v>110</v>
      </c>
      <c r="C77" s="24">
        <v>0</v>
      </c>
    </row>
    <row r="78" spans="1:3">
      <c r="A78" s="11" t="s">
        <v>238</v>
      </c>
      <c r="B78" s="16">
        <v>120</v>
      </c>
      <c r="C78" s="25">
        <v>0</v>
      </c>
    </row>
    <row r="79" spans="1:3" ht="30" customHeight="1">
      <c r="A79" t="s">
        <v>144</v>
      </c>
    </row>
    <row r="80" spans="1:3">
      <c r="A80" t="s">
        <v>418</v>
      </c>
    </row>
    <row r="81" spans="1:1">
      <c r="A81" t="s">
        <v>419</v>
      </c>
    </row>
    <row r="82" spans="1:1">
      <c r="A82" t="s">
        <v>420</v>
      </c>
    </row>
    <row r="83" spans="1:1">
      <c r="A8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61"/>
  <sheetViews>
    <sheetView zoomScale="70" workbookViewId="0"/>
  </sheetViews>
  <sheetFormatPr defaultColWidth="10.88671875" defaultRowHeight="15"/>
  <cols>
    <col min="1" max="1" width="77.6640625" customWidth="1"/>
    <col min="2" max="7" width="15.88671875" customWidth="1"/>
  </cols>
  <sheetData>
    <row r="1" spans="1:7" ht="39.950000000000003" customHeight="1">
      <c r="A1" s="10" t="s">
        <v>421</v>
      </c>
      <c r="B1" s="12"/>
      <c r="C1" s="12"/>
      <c r="D1" s="12"/>
      <c r="E1" s="12"/>
      <c r="F1" s="12"/>
      <c r="G1" s="12"/>
    </row>
    <row r="2" spans="1:7" ht="60">
      <c r="A2" s="7" t="s">
        <v>52</v>
      </c>
      <c r="B2" s="6" t="s">
        <v>422</v>
      </c>
      <c r="C2" s="6" t="s">
        <v>423</v>
      </c>
      <c r="D2" s="6" t="s">
        <v>424</v>
      </c>
      <c r="E2" s="6" t="s">
        <v>425</v>
      </c>
      <c r="F2" s="6" t="s">
        <v>426</v>
      </c>
      <c r="G2" s="8" t="s">
        <v>427</v>
      </c>
    </row>
    <row r="3" spans="1:7">
      <c r="A3" s="39" t="s">
        <v>428</v>
      </c>
      <c r="B3" s="15"/>
      <c r="C3" s="15"/>
      <c r="D3" s="15"/>
      <c r="E3" s="15"/>
      <c r="F3" s="15"/>
      <c r="G3" s="24"/>
    </row>
    <row r="4" spans="1:7">
      <c r="A4" s="9" t="s">
        <v>429</v>
      </c>
      <c r="B4" s="15">
        <v>25.592507039249</v>
      </c>
      <c r="C4" s="15">
        <v>13.956889833458501</v>
      </c>
      <c r="D4" s="15">
        <v>22.232686984923099</v>
      </c>
      <c r="E4" s="15">
        <v>20.545721148355099</v>
      </c>
      <c r="F4" s="15">
        <v>21.1932422934138</v>
      </c>
      <c r="G4" s="24">
        <v>20.2262244207366</v>
      </c>
    </row>
    <row r="5" spans="1:7">
      <c r="A5" s="9" t="s">
        <v>430</v>
      </c>
      <c r="B5" s="15">
        <v>70.918648802923698</v>
      </c>
      <c r="C5" s="15">
        <v>47.165660750803902</v>
      </c>
      <c r="D5" s="15">
        <v>59.734659436897601</v>
      </c>
      <c r="E5" s="15">
        <v>59.178855303594901</v>
      </c>
      <c r="F5" s="15">
        <v>64.309156916743305</v>
      </c>
      <c r="G5" s="24">
        <v>64.5959647327619</v>
      </c>
    </row>
    <row r="6" spans="1:7">
      <c r="A6" s="9" t="s">
        <v>431</v>
      </c>
      <c r="B6" s="15">
        <v>50.912837424742399</v>
      </c>
      <c r="C6" s="15">
        <v>33.538081056680397</v>
      </c>
      <c r="D6" s="15">
        <v>40.077426375048901</v>
      </c>
      <c r="E6" s="15">
        <v>41.329629508028397</v>
      </c>
      <c r="F6" s="15">
        <v>47.656700842251396</v>
      </c>
      <c r="G6" s="24">
        <v>49.0090816749466</v>
      </c>
    </row>
    <row r="7" spans="1:7">
      <c r="A7" s="9" t="s">
        <v>272</v>
      </c>
      <c r="B7" s="15">
        <v>29.810224431807001</v>
      </c>
      <c r="C7" s="15">
        <v>2.93007812728119</v>
      </c>
      <c r="D7" s="15">
        <v>7.9108149730759996</v>
      </c>
      <c r="E7" s="15">
        <v>6.1176225631275498</v>
      </c>
      <c r="F7" s="15">
        <v>12.9657513343193</v>
      </c>
      <c r="G7" s="24">
        <v>26.5014977639281</v>
      </c>
    </row>
    <row r="8" spans="1:7">
      <c r="A8" s="9" t="s">
        <v>432</v>
      </c>
      <c r="B8" s="15">
        <v>62.227436770894897</v>
      </c>
      <c r="C8" s="15">
        <v>43.690773182929597</v>
      </c>
      <c r="D8" s="15">
        <v>55.736012768048603</v>
      </c>
      <c r="E8" s="15">
        <v>54.206269411015299</v>
      </c>
      <c r="F8" s="15">
        <v>53.851080351979597</v>
      </c>
      <c r="G8" s="24">
        <v>53.443874729260898</v>
      </c>
    </row>
    <row r="9" spans="1:7">
      <c r="A9" s="9" t="s">
        <v>433</v>
      </c>
      <c r="B9" s="15">
        <v>4.3993495805512604</v>
      </c>
      <c r="C9" s="15">
        <v>1.80393439372594</v>
      </c>
      <c r="D9" s="15">
        <v>3.6186211334300502</v>
      </c>
      <c r="E9" s="15">
        <v>3.5364518647365402</v>
      </c>
      <c r="F9" s="15">
        <v>3.7173446503951402</v>
      </c>
      <c r="G9" s="24">
        <v>3.1903411894654399</v>
      </c>
    </row>
    <row r="10" spans="1:7">
      <c r="A10" s="9" t="s">
        <v>434</v>
      </c>
      <c r="B10" s="15">
        <v>56.208284666711002</v>
      </c>
      <c r="C10" s="15">
        <v>38.479872902140897</v>
      </c>
      <c r="D10" s="15">
        <v>52.830117748225099</v>
      </c>
      <c r="E10" s="15">
        <v>50.942531932137399</v>
      </c>
      <c r="F10" s="15">
        <v>49.447658238078297</v>
      </c>
      <c r="G10" s="24">
        <v>49.478461680960599</v>
      </c>
    </row>
    <row r="11" spans="1:7">
      <c r="A11" s="9" t="s">
        <v>435</v>
      </c>
      <c r="B11" s="15">
        <v>2.20386170545612</v>
      </c>
      <c r="C11" s="15">
        <v>0.45692497472110799</v>
      </c>
      <c r="D11" s="15">
        <v>1.39430834878263</v>
      </c>
      <c r="E11" s="15">
        <v>1.0676653661992901</v>
      </c>
      <c r="F11" s="15">
        <v>1.7734259624178199</v>
      </c>
      <c r="G11" s="24">
        <v>1.3726564487711399</v>
      </c>
    </row>
    <row r="12" spans="1:7">
      <c r="A12" s="9" t="s">
        <v>436</v>
      </c>
      <c r="B12" s="15">
        <v>80.358759272204296</v>
      </c>
      <c r="C12" s="15">
        <v>38.933009720038001</v>
      </c>
      <c r="D12" s="15">
        <v>51.178554690565903</v>
      </c>
      <c r="E12" s="15">
        <v>59.736686119145901</v>
      </c>
      <c r="F12" s="15">
        <v>68.240781930932599</v>
      </c>
      <c r="G12" s="24">
        <v>66.954390281393401</v>
      </c>
    </row>
    <row r="13" spans="1:7">
      <c r="A13" s="9" t="s">
        <v>437</v>
      </c>
      <c r="B13" s="15">
        <v>1.6297483125774801</v>
      </c>
      <c r="C13" s="15">
        <v>0.66368206315445</v>
      </c>
      <c r="D13" s="15">
        <v>0.85149753445389798</v>
      </c>
      <c r="E13" s="15">
        <v>0.85149753445389798</v>
      </c>
      <c r="F13" s="15">
        <v>1.3181156371918801</v>
      </c>
      <c r="G13" s="24">
        <v>1.6297483125774801</v>
      </c>
    </row>
    <row r="14" spans="1:7">
      <c r="A14" s="9" t="s">
        <v>438</v>
      </c>
      <c r="B14" s="15">
        <v>49.726269542072401</v>
      </c>
      <c r="C14" s="15">
        <v>29.8347299153506</v>
      </c>
      <c r="D14" s="15">
        <v>45.764624256929501</v>
      </c>
      <c r="E14" s="15">
        <v>41.692302730650098</v>
      </c>
      <c r="F14" s="15">
        <v>39.478394356482397</v>
      </c>
      <c r="G14" s="24">
        <v>38.691924389291501</v>
      </c>
    </row>
    <row r="15" spans="1:7">
      <c r="A15" s="39" t="s">
        <v>439</v>
      </c>
      <c r="B15" s="15"/>
      <c r="C15" s="15"/>
      <c r="D15" s="15"/>
      <c r="E15" s="15"/>
      <c r="F15" s="15"/>
      <c r="G15" s="24"/>
    </row>
    <row r="16" spans="1:7">
      <c r="A16" s="9" t="s">
        <v>259</v>
      </c>
      <c r="B16" s="15">
        <v>90.136152902939102</v>
      </c>
      <c r="C16" s="15">
        <v>72.438042439320796</v>
      </c>
      <c r="D16" s="15">
        <v>82.646043057134307</v>
      </c>
      <c r="E16" s="15">
        <v>80.6419059370984</v>
      </c>
      <c r="F16" s="15">
        <v>83.915462728326702</v>
      </c>
      <c r="G16" s="24">
        <v>83.237148893326506</v>
      </c>
    </row>
    <row r="17" spans="1:7">
      <c r="A17" s="9" t="s">
        <v>260</v>
      </c>
      <c r="B17" s="15">
        <v>12.060609208693201</v>
      </c>
      <c r="C17" s="15">
        <v>4.7172137315768197</v>
      </c>
      <c r="D17" s="15">
        <v>9.4610597406451298</v>
      </c>
      <c r="E17" s="15">
        <v>7.13459842692005</v>
      </c>
      <c r="F17" s="15">
        <v>8.2852169696882498</v>
      </c>
      <c r="G17" s="24">
        <v>8.9789731874516292</v>
      </c>
    </row>
    <row r="18" spans="1:7">
      <c r="A18" s="9" t="s">
        <v>440</v>
      </c>
      <c r="B18" s="15">
        <v>80.508850981658199</v>
      </c>
      <c r="C18" s="15">
        <v>53.230740156884501</v>
      </c>
      <c r="D18" s="15">
        <v>68.734246682034197</v>
      </c>
      <c r="E18" s="15">
        <v>68.3312657613901</v>
      </c>
      <c r="F18" s="15">
        <v>71.785674659306295</v>
      </c>
      <c r="G18" s="24">
        <v>72.453094855731905</v>
      </c>
    </row>
    <row r="19" spans="1:7">
      <c r="A19" s="9" t="s">
        <v>261</v>
      </c>
      <c r="B19" s="15">
        <v>38.487253676681803</v>
      </c>
      <c r="C19" s="15">
        <v>18.767500495055302</v>
      </c>
      <c r="D19" s="15">
        <v>27.947777604333002</v>
      </c>
      <c r="E19" s="15">
        <v>26.863358347101901</v>
      </c>
      <c r="F19" s="15">
        <v>32.628938266697702</v>
      </c>
      <c r="G19" s="24">
        <v>32.716374704432198</v>
      </c>
    </row>
    <row r="20" spans="1:7">
      <c r="A20" s="9" t="s">
        <v>441</v>
      </c>
      <c r="B20" s="15">
        <v>5.3796785137651497</v>
      </c>
      <c r="C20" s="15">
        <v>1.92896083313315</v>
      </c>
      <c r="D20" s="15">
        <v>2.4335604587378299</v>
      </c>
      <c r="E20" s="15">
        <v>2.87204110983147</v>
      </c>
      <c r="F20" s="15">
        <v>4.2233494206955804</v>
      </c>
      <c r="G20" s="24">
        <v>3.8775739382787102</v>
      </c>
    </row>
    <row r="21" spans="1:7">
      <c r="A21" s="9" t="s">
        <v>270</v>
      </c>
      <c r="B21" s="15">
        <v>72.140847795772501</v>
      </c>
      <c r="C21" s="15">
        <v>41.691808361164199</v>
      </c>
      <c r="D21" s="15">
        <v>55.145328027520101</v>
      </c>
      <c r="E21" s="15">
        <v>55.181821003688597</v>
      </c>
      <c r="F21" s="15">
        <v>64.238874468808504</v>
      </c>
      <c r="G21" s="24">
        <v>65.314073342322502</v>
      </c>
    </row>
    <row r="22" spans="1:7">
      <c r="A22" s="9" t="s">
        <v>272</v>
      </c>
      <c r="B22" s="15">
        <v>29.810224431807001</v>
      </c>
      <c r="C22" s="15">
        <v>2.93007812728119</v>
      </c>
      <c r="D22" s="15">
        <v>7.9108149730759996</v>
      </c>
      <c r="E22" s="15">
        <v>6.1176225631275498</v>
      </c>
      <c r="F22" s="15">
        <v>12.9657513343193</v>
      </c>
      <c r="G22" s="24">
        <v>26.5014977639281</v>
      </c>
    </row>
    <row r="23" spans="1:7">
      <c r="A23" s="9" t="s">
        <v>274</v>
      </c>
      <c r="B23" s="15">
        <v>56.858003279900501</v>
      </c>
      <c r="C23" s="15">
        <v>37.327711891604203</v>
      </c>
      <c r="D23" s="15">
        <v>47.160944306061502</v>
      </c>
      <c r="E23" s="15">
        <v>48.1813025517664</v>
      </c>
      <c r="F23" s="15">
        <v>52.743092377865203</v>
      </c>
      <c r="G23" s="24">
        <v>52.697543429187</v>
      </c>
    </row>
    <row r="24" spans="1:7">
      <c r="A24" s="9" t="s">
        <v>279</v>
      </c>
      <c r="B24" s="15">
        <v>91.445049197328601</v>
      </c>
      <c r="C24" s="15">
        <v>63.0468209725748</v>
      </c>
      <c r="D24" s="15">
        <v>80.609331759065498</v>
      </c>
      <c r="E24" s="15">
        <v>80.200048952621501</v>
      </c>
      <c r="F24" s="15">
        <v>83.878537325385494</v>
      </c>
      <c r="G24" s="24">
        <v>83.274779389012494</v>
      </c>
    </row>
    <row r="25" spans="1:7">
      <c r="A25" s="9" t="s">
        <v>281</v>
      </c>
      <c r="B25" s="15">
        <v>10.760786508590501</v>
      </c>
      <c r="C25" s="15">
        <v>3.58850082737173</v>
      </c>
      <c r="D25" s="15">
        <v>7.1503425358448798</v>
      </c>
      <c r="E25" s="15">
        <v>5.98726468235055</v>
      </c>
      <c r="F25" s="15">
        <v>7.46980560051834</v>
      </c>
      <c r="G25" s="24">
        <v>7.8310796750865297</v>
      </c>
    </row>
    <row r="26" spans="1:7">
      <c r="A26" s="9" t="s">
        <v>442</v>
      </c>
      <c r="B26" s="15">
        <v>63.329027506632102</v>
      </c>
      <c r="C26" s="15">
        <v>33.6967813800945</v>
      </c>
      <c r="D26" s="15">
        <v>48.9847752623484</v>
      </c>
      <c r="E26" s="15">
        <v>49.093839796717802</v>
      </c>
      <c r="F26" s="15">
        <v>53.372221268675297</v>
      </c>
      <c r="G26" s="24">
        <v>53.8711114950205</v>
      </c>
    </row>
    <row r="27" spans="1:7">
      <c r="A27" s="9" t="s">
        <v>287</v>
      </c>
      <c r="B27" s="15">
        <v>2.9601793311977498</v>
      </c>
      <c r="C27" s="15">
        <v>0.90725690440514795</v>
      </c>
      <c r="D27" s="15">
        <v>1.32735857758817</v>
      </c>
      <c r="E27" s="15">
        <v>1.5269125158438299</v>
      </c>
      <c r="F27" s="15">
        <v>2.1820167925586298</v>
      </c>
      <c r="G27" s="24">
        <v>2.69019459120479</v>
      </c>
    </row>
    <row r="28" spans="1:7">
      <c r="A28" s="9" t="s">
        <v>443</v>
      </c>
      <c r="B28" s="15">
        <v>56.124744334891602</v>
      </c>
      <c r="C28" s="15">
        <v>40.355480735023903</v>
      </c>
      <c r="D28" s="15">
        <v>52.686254938774098</v>
      </c>
      <c r="E28" s="15">
        <v>52.615633291046201</v>
      </c>
      <c r="F28" s="15">
        <v>51.032109365297501</v>
      </c>
      <c r="G28" s="24">
        <v>50.683170614372898</v>
      </c>
    </row>
    <row r="29" spans="1:7">
      <c r="A29" s="9" t="s">
        <v>291</v>
      </c>
      <c r="B29" s="15">
        <v>76.307717557619</v>
      </c>
      <c r="C29" s="15">
        <v>41.988805324476999</v>
      </c>
      <c r="D29" s="15">
        <v>56.930338086330003</v>
      </c>
      <c r="E29" s="15">
        <v>59.701519873518897</v>
      </c>
      <c r="F29" s="15">
        <v>68.982273396763304</v>
      </c>
      <c r="G29" s="24">
        <v>70.989476875063801</v>
      </c>
    </row>
    <row r="30" spans="1:7">
      <c r="A30" s="9" t="s">
        <v>444</v>
      </c>
      <c r="B30" s="15">
        <v>12.439012110036099</v>
      </c>
      <c r="C30" s="15">
        <v>5.1169552063429098</v>
      </c>
      <c r="D30" s="15">
        <v>8.0470586918426008</v>
      </c>
      <c r="E30" s="15">
        <v>8.4493869240912591</v>
      </c>
      <c r="F30" s="15">
        <v>11.197628041812999</v>
      </c>
      <c r="G30" s="24">
        <v>11.6500481224171</v>
      </c>
    </row>
    <row r="31" spans="1:7">
      <c r="A31" s="9" t="s">
        <v>445</v>
      </c>
      <c r="B31" s="15">
        <v>55.720587217110896</v>
      </c>
      <c r="C31" s="15">
        <v>27.931235186272801</v>
      </c>
      <c r="D31" s="15">
        <v>38.669330192959599</v>
      </c>
      <c r="E31" s="15">
        <v>43.584929060773099</v>
      </c>
      <c r="F31" s="15">
        <v>51.602124478338297</v>
      </c>
      <c r="G31" s="24">
        <v>52.180995125882603</v>
      </c>
    </row>
    <row r="32" spans="1:7">
      <c r="A32" s="9" t="s">
        <v>303</v>
      </c>
      <c r="B32" s="15">
        <v>4.1253475875738896</v>
      </c>
      <c r="C32" s="15">
        <v>2.9839221363703001</v>
      </c>
      <c r="D32" s="15">
        <v>3.23042994245082</v>
      </c>
      <c r="E32" s="15">
        <v>3.23042994245082</v>
      </c>
      <c r="F32" s="15">
        <v>3.7310655252556701</v>
      </c>
      <c r="G32" s="24">
        <v>4.1253475875738896</v>
      </c>
    </row>
    <row r="33" spans="1:7">
      <c r="A33" s="9" t="s">
        <v>446</v>
      </c>
      <c r="B33" s="15">
        <v>5.3935465557361004</v>
      </c>
      <c r="C33" s="15">
        <v>2.7474603234128399</v>
      </c>
      <c r="D33" s="15">
        <v>4.0484726960663799</v>
      </c>
      <c r="E33" s="15">
        <v>4.0101682249461001</v>
      </c>
      <c r="F33" s="15">
        <v>4.4736986615552903</v>
      </c>
      <c r="G33" s="24">
        <v>4.8654699962189802</v>
      </c>
    </row>
    <row r="34" spans="1:7">
      <c r="A34" s="9" t="s">
        <v>447</v>
      </c>
      <c r="B34" s="15">
        <v>59.057733921474103</v>
      </c>
      <c r="C34" s="15">
        <v>36.7662155900789</v>
      </c>
      <c r="D34" s="15">
        <v>49.986437032836598</v>
      </c>
      <c r="E34" s="15">
        <v>48.682607056151603</v>
      </c>
      <c r="F34" s="15">
        <v>52.199830218873501</v>
      </c>
      <c r="G34" s="24">
        <v>51.029743718688501</v>
      </c>
    </row>
    <row r="35" spans="1:7">
      <c r="A35" s="9" t="s">
        <v>310</v>
      </c>
      <c r="B35" s="15">
        <v>2.68543749502357</v>
      </c>
      <c r="C35" s="15">
        <v>1.2737453871631499</v>
      </c>
      <c r="D35" s="15">
        <v>1.6463083213530301</v>
      </c>
      <c r="E35" s="15">
        <v>1.8538938422629501</v>
      </c>
      <c r="F35" s="15">
        <v>2.38394423846393</v>
      </c>
      <c r="G35" s="24">
        <v>2.29390813752959</v>
      </c>
    </row>
    <row r="36" spans="1:7">
      <c r="A36" s="9" t="s">
        <v>311</v>
      </c>
      <c r="B36" s="15">
        <v>4.2973120516551901</v>
      </c>
      <c r="C36" s="15">
        <v>0.75437669770152604</v>
      </c>
      <c r="D36" s="15">
        <v>2.2175730627781198</v>
      </c>
      <c r="E36" s="15">
        <v>2.3335767362277799</v>
      </c>
      <c r="F36" s="15">
        <v>3.46690182675998</v>
      </c>
      <c r="G36" s="24">
        <v>3.7468316568130602</v>
      </c>
    </row>
    <row r="37" spans="1:7">
      <c r="A37" s="9" t="s">
        <v>448</v>
      </c>
      <c r="B37" s="15">
        <v>1.3261106646480501</v>
      </c>
      <c r="C37" s="15">
        <v>0.223030872168095</v>
      </c>
      <c r="D37" s="15">
        <v>0.79775925708546902</v>
      </c>
      <c r="E37" s="15">
        <v>0.79775925708546902</v>
      </c>
      <c r="F37" s="15">
        <v>1.2322029289983301</v>
      </c>
      <c r="G37" s="24">
        <v>1.24394139595454</v>
      </c>
    </row>
    <row r="38" spans="1:7">
      <c r="A38" s="39" t="s">
        <v>449</v>
      </c>
      <c r="B38" s="15"/>
      <c r="C38" s="15"/>
      <c r="D38" s="15"/>
      <c r="E38" s="15"/>
      <c r="F38" s="15"/>
      <c r="G38" s="24"/>
    </row>
    <row r="39" spans="1:7">
      <c r="A39" s="9" t="s">
        <v>273</v>
      </c>
      <c r="B39" s="15">
        <v>83.309226168519601</v>
      </c>
      <c r="C39" s="15">
        <v>64.830571333413502</v>
      </c>
      <c r="D39" s="15">
        <v>78.188809388159498</v>
      </c>
      <c r="E39" s="15">
        <v>75.408597961941197</v>
      </c>
      <c r="F39" s="15">
        <v>74.733136916286</v>
      </c>
      <c r="G39" s="24">
        <v>74.744750346773799</v>
      </c>
    </row>
    <row r="40" spans="1:7">
      <c r="A40" s="9" t="s">
        <v>282</v>
      </c>
      <c r="B40" s="15">
        <v>80.856545933178893</v>
      </c>
      <c r="C40" s="15">
        <v>64.114773741682697</v>
      </c>
      <c r="D40" s="15">
        <v>76.104858901892499</v>
      </c>
      <c r="E40" s="15">
        <v>73.831893985080498</v>
      </c>
      <c r="F40" s="15">
        <v>73.754027654365004</v>
      </c>
      <c r="G40" s="24">
        <v>73.185630265558999</v>
      </c>
    </row>
    <row r="41" spans="1:7">
      <c r="A41" s="9" t="s">
        <v>450</v>
      </c>
      <c r="B41" s="15">
        <v>3.2043180813122101</v>
      </c>
      <c r="C41" s="15">
        <v>1.4175128366244401</v>
      </c>
      <c r="D41" s="15">
        <v>2.6399449463383799</v>
      </c>
      <c r="E41" s="15">
        <v>2.4563769466349301</v>
      </c>
      <c r="F41" s="15">
        <v>2.7968954573735698</v>
      </c>
      <c r="G41" s="24">
        <v>2.8848309905367899</v>
      </c>
    </row>
    <row r="42" spans="1:7">
      <c r="A42" s="39" t="s">
        <v>451</v>
      </c>
      <c r="B42" s="15"/>
      <c r="C42" s="15"/>
      <c r="D42" s="15"/>
      <c r="E42" s="15"/>
      <c r="F42" s="15"/>
      <c r="G42" s="24"/>
    </row>
    <row r="43" spans="1:7">
      <c r="A43" s="9" t="s">
        <v>452</v>
      </c>
      <c r="B43" s="15">
        <v>23.312177424714299</v>
      </c>
      <c r="C43" s="15">
        <v>2.8240148179487901</v>
      </c>
      <c r="D43" s="15">
        <v>3.8134409910474498</v>
      </c>
      <c r="E43" s="15">
        <v>5.0519482424117701</v>
      </c>
      <c r="F43" s="15">
        <v>13.6310472241911</v>
      </c>
      <c r="G43" s="24">
        <v>21.6873137759491</v>
      </c>
    </row>
    <row r="44" spans="1:7">
      <c r="A44" s="9" t="s">
        <v>453</v>
      </c>
      <c r="B44" s="15">
        <v>17.481965176904101</v>
      </c>
      <c r="C44" s="15">
        <v>1.6480522179202599</v>
      </c>
      <c r="D44" s="15">
        <v>2.6308856100049498</v>
      </c>
      <c r="E44" s="15">
        <v>4.2282688981417804</v>
      </c>
      <c r="F44" s="15">
        <v>10.345905722752301</v>
      </c>
      <c r="G44" s="24">
        <v>16.458652811695099</v>
      </c>
    </row>
    <row r="45" spans="1:7">
      <c r="A45" s="9" t="s">
        <v>269</v>
      </c>
      <c r="B45" s="15">
        <v>29.460946340959499</v>
      </c>
      <c r="C45" s="15">
        <v>4.9357008135191798</v>
      </c>
      <c r="D45" s="15">
        <v>6.2892979148566299</v>
      </c>
      <c r="E45" s="15">
        <v>8.2513509548725299</v>
      </c>
      <c r="F45" s="15">
        <v>18.976661151297598</v>
      </c>
      <c r="G45" s="24">
        <v>27.8967501915401</v>
      </c>
    </row>
    <row r="46" spans="1:7">
      <c r="A46" s="9" t="s">
        <v>290</v>
      </c>
      <c r="B46" s="15">
        <v>3.85867962998958</v>
      </c>
      <c r="C46" s="15">
        <v>0.529535287135945</v>
      </c>
      <c r="D46" s="15">
        <v>0.529535287135945</v>
      </c>
      <c r="E46" s="15">
        <v>0.70884393420396496</v>
      </c>
      <c r="F46" s="15">
        <v>2.0776769024725601</v>
      </c>
      <c r="G46" s="24">
        <v>3.4739478111877902</v>
      </c>
    </row>
    <row r="47" spans="1:7">
      <c r="A47" s="9" t="s">
        <v>454</v>
      </c>
      <c r="B47" s="15">
        <v>39.414318173864302</v>
      </c>
      <c r="C47" s="15">
        <v>17.730520739782602</v>
      </c>
      <c r="D47" s="15">
        <v>21.718477330806898</v>
      </c>
      <c r="E47" s="15">
        <v>23.881955896817001</v>
      </c>
      <c r="F47" s="15">
        <v>32.0718264859348</v>
      </c>
      <c r="G47" s="24">
        <v>37.206839434202202</v>
      </c>
    </row>
    <row r="48" spans="1:7">
      <c r="A48" s="9" t="s">
        <v>455</v>
      </c>
      <c r="B48" s="15">
        <v>1.9387367931025801</v>
      </c>
      <c r="C48" s="15">
        <v>0.150643659271433</v>
      </c>
      <c r="D48" s="15">
        <v>0.150643659271433</v>
      </c>
      <c r="E48" s="15">
        <v>0.150643659271433</v>
      </c>
      <c r="F48" s="15">
        <v>0.56060189504163005</v>
      </c>
      <c r="G48" s="24">
        <v>1.9387367931025801</v>
      </c>
    </row>
    <row r="49" spans="1:7">
      <c r="A49" s="9" t="s">
        <v>288</v>
      </c>
      <c r="B49" s="15">
        <v>13.088477522956399</v>
      </c>
      <c r="C49" s="15">
        <v>3.1606436503934798</v>
      </c>
      <c r="D49" s="15">
        <v>4.2035747044415501</v>
      </c>
      <c r="E49" s="15">
        <v>6.1184005174232601</v>
      </c>
      <c r="F49" s="15">
        <v>10.152197334608701</v>
      </c>
      <c r="G49" s="24">
        <v>12.385791267465599</v>
      </c>
    </row>
    <row r="50" spans="1:7">
      <c r="A50" s="9" t="s">
        <v>292</v>
      </c>
      <c r="B50" s="15">
        <v>9.8544781957624004</v>
      </c>
      <c r="C50" s="15">
        <v>0.63348228508458604</v>
      </c>
      <c r="D50" s="15">
        <v>0.94403378588211095</v>
      </c>
      <c r="E50" s="15">
        <v>1.4905557544157799</v>
      </c>
      <c r="F50" s="15">
        <v>5.4350869458376403</v>
      </c>
      <c r="G50" s="24">
        <v>8.8655698962059297</v>
      </c>
    </row>
    <row r="51" spans="1:7">
      <c r="A51" s="9" t="s">
        <v>293</v>
      </c>
      <c r="B51" s="15">
        <v>1.70384138294877</v>
      </c>
      <c r="C51" s="15">
        <v>0.57528784986294801</v>
      </c>
      <c r="D51" s="15">
        <v>1.3496279940945399</v>
      </c>
      <c r="E51" s="15">
        <v>1.22180913168242</v>
      </c>
      <c r="F51" s="15">
        <v>1.21920058346993</v>
      </c>
      <c r="G51" s="24">
        <v>1.1977830297252501</v>
      </c>
    </row>
    <row r="52" spans="1:7">
      <c r="A52" s="9" t="s">
        <v>295</v>
      </c>
      <c r="B52" s="15">
        <v>0.38150017607700398</v>
      </c>
      <c r="C52" s="15">
        <v>0</v>
      </c>
      <c r="D52" s="15">
        <v>0.24455139492115699</v>
      </c>
      <c r="E52" s="15">
        <v>0.24455139492115699</v>
      </c>
      <c r="F52" s="15">
        <v>0.38150017607700398</v>
      </c>
      <c r="G52" s="24">
        <v>0.38150017607700398</v>
      </c>
    </row>
    <row r="53" spans="1:7">
      <c r="A53" s="9" t="s">
        <v>300</v>
      </c>
      <c r="B53" s="15">
        <v>2.2076033267970998</v>
      </c>
      <c r="C53" s="15">
        <v>0.32174070793627102</v>
      </c>
      <c r="D53" s="15">
        <v>0.708478046193741</v>
      </c>
      <c r="E53" s="15">
        <v>0.83414869243087097</v>
      </c>
      <c r="F53" s="15">
        <v>1.60517033033829</v>
      </c>
      <c r="G53" s="24">
        <v>2.2076033267970998</v>
      </c>
    </row>
    <row r="54" spans="1:7">
      <c r="A54" s="9" t="s">
        <v>301</v>
      </c>
      <c r="B54" s="15">
        <v>1.5323676213266699</v>
      </c>
      <c r="C54" s="15">
        <v>0.44084464791120498</v>
      </c>
      <c r="D54" s="15">
        <v>0.93712952608857103</v>
      </c>
      <c r="E54" s="15">
        <v>1.01929879478208</v>
      </c>
      <c r="F54" s="15">
        <v>1.2589591618048099</v>
      </c>
      <c r="G54" s="24">
        <v>1.5323676213266699</v>
      </c>
    </row>
    <row r="55" spans="1:7">
      <c r="A55" s="9" t="s">
        <v>456</v>
      </c>
      <c r="B55" s="15">
        <v>0.65288212630685505</v>
      </c>
      <c r="C55" s="15">
        <v>0.18596202914846699</v>
      </c>
      <c r="D55" s="15">
        <v>0.18596202914846699</v>
      </c>
      <c r="E55" s="15">
        <v>0.36294199248833198</v>
      </c>
      <c r="F55" s="15">
        <v>0.53549745674469995</v>
      </c>
      <c r="G55" s="24">
        <v>0.56249593074399495</v>
      </c>
    </row>
    <row r="56" spans="1:7">
      <c r="A56" s="11" t="s">
        <v>304</v>
      </c>
      <c r="B56" s="16">
        <v>3.2543429825166101</v>
      </c>
      <c r="C56" s="16">
        <v>0.47247329498767499</v>
      </c>
      <c r="D56" s="16">
        <v>0.76006573541495503</v>
      </c>
      <c r="E56" s="16">
        <v>1.27599393211554</v>
      </c>
      <c r="F56" s="16">
        <v>2.24225504682193</v>
      </c>
      <c r="G56" s="25">
        <v>2.79774407632206</v>
      </c>
    </row>
    <row r="57" spans="1:7" ht="30" customHeight="1">
      <c r="A57" t="s">
        <v>144</v>
      </c>
    </row>
    <row r="58" spans="1:7">
      <c r="A58" t="s">
        <v>418</v>
      </c>
    </row>
    <row r="59" spans="1:7">
      <c r="A59" t="s">
        <v>419</v>
      </c>
    </row>
    <row r="60" spans="1:7">
      <c r="A60" t="s">
        <v>420</v>
      </c>
    </row>
    <row r="61" spans="1:7">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61"/>
  <sheetViews>
    <sheetView zoomScale="70" workbookViewId="0"/>
  </sheetViews>
  <sheetFormatPr defaultColWidth="10.88671875" defaultRowHeight="15"/>
  <cols>
    <col min="1" max="1" width="77.6640625" customWidth="1"/>
    <col min="2" max="5" width="15.88671875" customWidth="1"/>
  </cols>
  <sheetData>
    <row r="1" spans="1:5" ht="39.950000000000003" customHeight="1">
      <c r="A1" s="10" t="s">
        <v>457</v>
      </c>
      <c r="B1" s="12"/>
      <c r="C1" s="12"/>
      <c r="D1" s="12"/>
      <c r="E1" s="12"/>
    </row>
    <row r="2" spans="1:5" ht="60">
      <c r="A2" s="7" t="s">
        <v>52</v>
      </c>
      <c r="B2" s="6" t="s">
        <v>422</v>
      </c>
      <c r="C2" s="6" t="s">
        <v>458</v>
      </c>
      <c r="D2" s="6" t="s">
        <v>459</v>
      </c>
      <c r="E2" s="8" t="s">
        <v>460</v>
      </c>
    </row>
    <row r="3" spans="1:5">
      <c r="A3" s="39" t="s">
        <v>428</v>
      </c>
      <c r="B3" s="15"/>
      <c r="C3" s="15"/>
      <c r="D3" s="15"/>
      <c r="E3" s="24"/>
    </row>
    <row r="4" spans="1:5">
      <c r="A4" s="9" t="s">
        <v>429</v>
      </c>
      <c r="B4" s="15">
        <v>4.8645805744066699</v>
      </c>
      <c r="C4" s="15">
        <v>4.8645805744066699</v>
      </c>
      <c r="D4" s="15">
        <v>0</v>
      </c>
      <c r="E4" s="24">
        <v>0</v>
      </c>
    </row>
    <row r="5" spans="1:5">
      <c r="A5" s="9" t="s">
        <v>430</v>
      </c>
      <c r="B5" s="15">
        <v>18.156443870616901</v>
      </c>
      <c r="C5" s="15">
        <v>17.8191173991383</v>
      </c>
      <c r="D5" s="15">
        <v>0.55302080179907498</v>
      </c>
      <c r="E5" s="24">
        <v>0.55302080179907498</v>
      </c>
    </row>
    <row r="6" spans="1:5">
      <c r="A6" s="9" t="s">
        <v>431</v>
      </c>
      <c r="B6" s="15">
        <v>17.196924165339201</v>
      </c>
      <c r="C6" s="15">
        <v>16.716388396994802</v>
      </c>
      <c r="D6" s="15">
        <v>0.480535768344444</v>
      </c>
      <c r="E6" s="24">
        <v>0.480535768344444</v>
      </c>
    </row>
    <row r="7" spans="1:5">
      <c r="A7" s="9" t="s">
        <v>272</v>
      </c>
      <c r="B7" s="15">
        <v>4.2724191096260196</v>
      </c>
      <c r="C7" s="15">
        <v>4.2724191096260196</v>
      </c>
      <c r="D7" s="15">
        <v>0</v>
      </c>
      <c r="E7" s="24">
        <v>0</v>
      </c>
    </row>
    <row r="8" spans="1:5">
      <c r="A8" s="9" t="s">
        <v>432</v>
      </c>
      <c r="B8" s="15">
        <v>16.893552416554702</v>
      </c>
      <c r="C8" s="15">
        <v>16.337107895226801</v>
      </c>
      <c r="D8" s="15">
        <v>0.98481225297280595</v>
      </c>
      <c r="E8" s="24">
        <v>0.98481225297280595</v>
      </c>
    </row>
    <row r="9" spans="1:5">
      <c r="A9" s="9" t="s">
        <v>433</v>
      </c>
      <c r="B9" s="15">
        <v>2.2731378226448098</v>
      </c>
      <c r="C9" s="15">
        <v>2.0677146509110398</v>
      </c>
      <c r="D9" s="15">
        <v>0.29101615995617602</v>
      </c>
      <c r="E9" s="24">
        <v>0.29101615995617602</v>
      </c>
    </row>
    <row r="10" spans="1:5">
      <c r="A10" s="9" t="s">
        <v>434</v>
      </c>
      <c r="B10" s="15">
        <v>5.9567802340818004</v>
      </c>
      <c r="C10" s="15">
        <v>5.9567802340818004</v>
      </c>
      <c r="D10" s="15">
        <v>0</v>
      </c>
      <c r="E10" s="24">
        <v>0</v>
      </c>
    </row>
    <row r="11" spans="1:5">
      <c r="A11" s="9" t="s">
        <v>435</v>
      </c>
      <c r="B11" s="15">
        <v>9.39077356497241E-2</v>
      </c>
      <c r="C11" s="15">
        <v>9.39077356497241E-2</v>
      </c>
      <c r="D11" s="15">
        <v>0</v>
      </c>
      <c r="E11" s="24">
        <v>0</v>
      </c>
    </row>
    <row r="12" spans="1:5">
      <c r="A12" s="9" t="s">
        <v>436</v>
      </c>
      <c r="B12" s="15">
        <v>9.3338720349800504</v>
      </c>
      <c r="C12" s="15">
        <v>8.9973693155685392</v>
      </c>
      <c r="D12" s="15">
        <v>0.57616308643424496</v>
      </c>
      <c r="E12" s="24">
        <v>0.57616308643424496</v>
      </c>
    </row>
    <row r="13" spans="1:5">
      <c r="A13" s="9" t="s">
        <v>437</v>
      </c>
      <c r="B13" s="15">
        <v>0.68583912159572802</v>
      </c>
      <c r="C13" s="15">
        <v>0.68583912159572802</v>
      </c>
      <c r="D13" s="15">
        <v>0</v>
      </c>
      <c r="E13" s="24">
        <v>0</v>
      </c>
    </row>
    <row r="14" spans="1:5">
      <c r="A14" s="9" t="s">
        <v>438</v>
      </c>
      <c r="B14" s="15">
        <v>9.3539651630907894</v>
      </c>
      <c r="C14" s="15">
        <v>9.2631464976927003</v>
      </c>
      <c r="D14" s="15">
        <v>0.17641165362049299</v>
      </c>
      <c r="E14" s="24">
        <v>0.17641165362049299</v>
      </c>
    </row>
    <row r="15" spans="1:5">
      <c r="A15" s="39" t="s">
        <v>439</v>
      </c>
      <c r="B15" s="15"/>
      <c r="C15" s="15"/>
      <c r="D15" s="15"/>
      <c r="E15" s="24"/>
    </row>
    <row r="16" spans="1:5">
      <c r="A16" s="9" t="s">
        <v>259</v>
      </c>
      <c r="B16" s="15">
        <v>21.8658415552901</v>
      </c>
      <c r="C16" s="15">
        <v>20.858289808214899</v>
      </c>
      <c r="D16" s="15">
        <v>1.31715381304535</v>
      </c>
      <c r="E16" s="24">
        <v>1.31715381304535</v>
      </c>
    </row>
    <row r="17" spans="1:5">
      <c r="A17" s="9" t="s">
        <v>260</v>
      </c>
      <c r="B17" s="15">
        <v>2.72342454966835</v>
      </c>
      <c r="C17" s="15">
        <v>2.72342454966835</v>
      </c>
      <c r="D17" s="15">
        <v>0</v>
      </c>
      <c r="E17" s="24">
        <v>0</v>
      </c>
    </row>
    <row r="18" spans="1:5">
      <c r="A18" s="9" t="s">
        <v>440</v>
      </c>
      <c r="B18" s="15">
        <v>16.2966708710665</v>
      </c>
      <c r="C18" s="15">
        <v>15.625621843402801</v>
      </c>
      <c r="D18" s="15">
        <v>0.79886789007577796</v>
      </c>
      <c r="E18" s="24">
        <v>0.79886789007577796</v>
      </c>
    </row>
    <row r="19" spans="1:5">
      <c r="A19" s="9" t="s">
        <v>261</v>
      </c>
      <c r="B19" s="15">
        <v>10.992047124749201</v>
      </c>
      <c r="C19" s="15">
        <v>10.772929074899899</v>
      </c>
      <c r="D19" s="15">
        <v>0.56263124258194097</v>
      </c>
      <c r="E19" s="24">
        <v>0.56263124258194097</v>
      </c>
    </row>
    <row r="20" spans="1:5">
      <c r="A20" s="9" t="s">
        <v>441</v>
      </c>
      <c r="B20" s="15">
        <v>1.0975436319059</v>
      </c>
      <c r="C20" s="15">
        <v>1.0975436319059</v>
      </c>
      <c r="D20" s="15">
        <v>0</v>
      </c>
      <c r="E20" s="24">
        <v>0</v>
      </c>
    </row>
    <row r="21" spans="1:5">
      <c r="A21" s="9" t="s">
        <v>270</v>
      </c>
      <c r="B21" s="15">
        <v>23.994677827394</v>
      </c>
      <c r="C21" s="15">
        <v>23.004733780753199</v>
      </c>
      <c r="D21" s="15">
        <v>0.98994404664084201</v>
      </c>
      <c r="E21" s="24">
        <v>0.86473373244120999</v>
      </c>
    </row>
    <row r="22" spans="1:5">
      <c r="A22" s="9" t="s">
        <v>272</v>
      </c>
      <c r="B22" s="15">
        <v>4.2724191096260196</v>
      </c>
      <c r="C22" s="15">
        <v>4.2724191096260196</v>
      </c>
      <c r="D22" s="15">
        <v>0</v>
      </c>
      <c r="E22" s="24">
        <v>0</v>
      </c>
    </row>
    <row r="23" spans="1:5">
      <c r="A23" s="9" t="s">
        <v>274</v>
      </c>
      <c r="B23" s="15">
        <v>13.2455903834891</v>
      </c>
      <c r="C23" s="15">
        <v>13.0264723336398</v>
      </c>
      <c r="D23" s="15">
        <v>0.21911804984935601</v>
      </c>
      <c r="E23" s="24">
        <v>0.21911804984935601</v>
      </c>
    </row>
    <row r="24" spans="1:5">
      <c r="A24" s="9" t="s">
        <v>279</v>
      </c>
      <c r="B24" s="15">
        <v>52.694585030955601</v>
      </c>
      <c r="C24" s="15">
        <v>47.861148717954102</v>
      </c>
      <c r="D24" s="15">
        <v>6.7309544800348498</v>
      </c>
      <c r="E24" s="24">
        <v>7.94395219413218</v>
      </c>
    </row>
    <row r="25" spans="1:5">
      <c r="A25" s="9" t="s">
        <v>281</v>
      </c>
      <c r="B25" s="15">
        <v>1.7609043069432599</v>
      </c>
      <c r="C25" s="15">
        <v>1.7609043069432599</v>
      </c>
      <c r="D25" s="15">
        <v>8.5592988222404798E-2</v>
      </c>
      <c r="E25" s="24">
        <v>8.5592988222404798E-2</v>
      </c>
    </row>
    <row r="26" spans="1:5">
      <c r="A26" s="9" t="s">
        <v>442</v>
      </c>
      <c r="B26" s="15">
        <v>12.6397679273222</v>
      </c>
      <c r="C26" s="15">
        <v>12.0833234059942</v>
      </c>
      <c r="D26" s="15">
        <v>0.52563104556790496</v>
      </c>
      <c r="E26" s="24">
        <v>0.77213885164843099</v>
      </c>
    </row>
    <row r="27" spans="1:5">
      <c r="A27" s="9" t="s">
        <v>287</v>
      </c>
      <c r="B27" s="15">
        <v>0.65344132722933101</v>
      </c>
      <c r="C27" s="15">
        <v>0.65344132722933101</v>
      </c>
      <c r="D27" s="15">
        <v>0</v>
      </c>
      <c r="E27" s="24">
        <v>0</v>
      </c>
    </row>
    <row r="28" spans="1:5">
      <c r="A28" s="9" t="s">
        <v>443</v>
      </c>
      <c r="B28" s="15">
        <v>23.296778989796</v>
      </c>
      <c r="C28" s="15">
        <v>22.599836285022999</v>
      </c>
      <c r="D28" s="15">
        <v>1.21559204777213</v>
      </c>
      <c r="E28" s="24">
        <v>1.34126269400926</v>
      </c>
    </row>
    <row r="29" spans="1:5">
      <c r="A29" s="9" t="s">
        <v>291</v>
      </c>
      <c r="B29" s="15">
        <v>36.785445086633601</v>
      </c>
      <c r="C29" s="15">
        <v>32.817385259364301</v>
      </c>
      <c r="D29" s="15">
        <v>1.4529573940117599</v>
      </c>
      <c r="E29" s="24">
        <v>4.5091791278488502</v>
      </c>
    </row>
    <row r="30" spans="1:5">
      <c r="A30" s="9" t="s">
        <v>444</v>
      </c>
      <c r="B30" s="15">
        <v>4.8690237541833001</v>
      </c>
      <c r="C30" s="15">
        <v>4.1797801027375101</v>
      </c>
      <c r="D30" s="15">
        <v>0.68924365144578803</v>
      </c>
      <c r="E30" s="24">
        <v>0.58066283210079395</v>
      </c>
    </row>
    <row r="31" spans="1:5">
      <c r="A31" s="9" t="s">
        <v>445</v>
      </c>
      <c r="B31" s="15">
        <v>29.044524074968699</v>
      </c>
      <c r="C31" s="15">
        <v>25.474391976963901</v>
      </c>
      <c r="D31" s="15">
        <v>4.35326238654857</v>
      </c>
      <c r="E31" s="24">
        <v>3.8261378223181</v>
      </c>
    </row>
    <row r="32" spans="1:5">
      <c r="A32" s="9" t="s">
        <v>303</v>
      </c>
      <c r="B32" s="15">
        <v>0.36976170912078898</v>
      </c>
      <c r="C32" s="15">
        <v>0.36976170912078898</v>
      </c>
      <c r="D32" s="15">
        <v>0</v>
      </c>
      <c r="E32" s="24">
        <v>0</v>
      </c>
    </row>
    <row r="33" spans="1:5">
      <c r="A33" s="9" t="s">
        <v>446</v>
      </c>
      <c r="B33" s="15">
        <v>1.85798009598987</v>
      </c>
      <c r="C33" s="15">
        <v>1.85798009598987</v>
      </c>
      <c r="D33" s="15">
        <v>0</v>
      </c>
      <c r="E33" s="24">
        <v>0</v>
      </c>
    </row>
    <row r="34" spans="1:5">
      <c r="A34" s="9" t="s">
        <v>447</v>
      </c>
      <c r="B34" s="15">
        <v>11.5358429580773</v>
      </c>
      <c r="C34" s="15">
        <v>10.9136630217945</v>
      </c>
      <c r="D34" s="15">
        <v>0.52905476509680105</v>
      </c>
      <c r="E34" s="24">
        <v>0.62217993628277801</v>
      </c>
    </row>
    <row r="35" spans="1:5">
      <c r="A35" s="9" t="s">
        <v>310</v>
      </c>
      <c r="B35" s="15">
        <v>1.03759295527232</v>
      </c>
      <c r="C35" s="15">
        <v>1.03759295527232</v>
      </c>
      <c r="D35" s="15">
        <v>0</v>
      </c>
      <c r="E35" s="24">
        <v>0</v>
      </c>
    </row>
    <row r="36" spans="1:5">
      <c r="A36" s="9" t="s">
        <v>311</v>
      </c>
      <c r="B36" s="15">
        <v>0.63485542121532301</v>
      </c>
      <c r="C36" s="15">
        <v>0.63485542121532301</v>
      </c>
      <c r="D36" s="15">
        <v>0</v>
      </c>
      <c r="E36" s="24">
        <v>0</v>
      </c>
    </row>
    <row r="37" spans="1:5">
      <c r="A37" s="9" t="s">
        <v>448</v>
      </c>
      <c r="B37" s="15">
        <v>0.20175490080995401</v>
      </c>
      <c r="C37" s="15">
        <v>0.20175490080995401</v>
      </c>
      <c r="D37" s="15">
        <v>0</v>
      </c>
      <c r="E37" s="24">
        <v>0</v>
      </c>
    </row>
    <row r="38" spans="1:5">
      <c r="A38" s="39" t="s">
        <v>449</v>
      </c>
      <c r="B38" s="15"/>
      <c r="C38" s="15"/>
      <c r="D38" s="15"/>
      <c r="E38" s="24"/>
    </row>
    <row r="39" spans="1:5">
      <c r="A39" s="9" t="s">
        <v>273</v>
      </c>
      <c r="B39" s="15">
        <v>18.555006619201698</v>
      </c>
      <c r="C39" s="15">
        <v>17.926509534254301</v>
      </c>
      <c r="D39" s="15">
        <v>0.32036232734671499</v>
      </c>
      <c r="E39" s="24">
        <v>0.71409007316977702</v>
      </c>
    </row>
    <row r="40" spans="1:5">
      <c r="A40" s="9" t="s">
        <v>282</v>
      </c>
      <c r="B40" s="15">
        <v>10.9911062124322</v>
      </c>
      <c r="C40" s="15">
        <v>10.771988162582799</v>
      </c>
      <c r="D40" s="15">
        <v>0.65653897823166496</v>
      </c>
      <c r="E40" s="24">
        <v>0.65653897823166496</v>
      </c>
    </row>
    <row r="41" spans="1:5">
      <c r="A41" s="9" t="s">
        <v>450</v>
      </c>
      <c r="B41" s="15">
        <v>0.31840591618734598</v>
      </c>
      <c r="C41" s="15">
        <v>0.31840591618734598</v>
      </c>
      <c r="D41" s="15">
        <v>0</v>
      </c>
      <c r="E41" s="24">
        <v>0</v>
      </c>
    </row>
    <row r="42" spans="1:5">
      <c r="A42" s="39" t="s">
        <v>451</v>
      </c>
      <c r="B42" s="15"/>
      <c r="C42" s="15"/>
      <c r="D42" s="15"/>
      <c r="E42" s="24"/>
    </row>
    <row r="43" spans="1:5">
      <c r="A43" s="9" t="s">
        <v>452</v>
      </c>
      <c r="B43" s="15">
        <v>1.9097943127938699</v>
      </c>
      <c r="C43" s="15">
        <v>1.9097943127938699</v>
      </c>
      <c r="D43" s="15">
        <v>0</v>
      </c>
      <c r="E43" s="24">
        <v>0</v>
      </c>
    </row>
    <row r="44" spans="1:5">
      <c r="A44" s="9" t="s">
        <v>453</v>
      </c>
      <c r="B44" s="15">
        <v>1.87794019775673</v>
      </c>
      <c r="C44" s="15">
        <v>1.87794019775673</v>
      </c>
      <c r="D44" s="15">
        <v>0</v>
      </c>
      <c r="E44" s="24">
        <v>0</v>
      </c>
    </row>
    <row r="45" spans="1:5">
      <c r="A45" s="9" t="s">
        <v>269</v>
      </c>
      <c r="B45" s="15">
        <v>3.2060706864060302</v>
      </c>
      <c r="C45" s="15">
        <v>3.2060706864060302</v>
      </c>
      <c r="D45" s="15">
        <v>0</v>
      </c>
      <c r="E45" s="24">
        <v>0</v>
      </c>
    </row>
    <row r="46" spans="1:5">
      <c r="A46" s="9" t="s">
        <v>290</v>
      </c>
      <c r="B46" s="15">
        <v>0.102711585866886</v>
      </c>
      <c r="C46" s="15">
        <v>0.102711585866886</v>
      </c>
      <c r="D46" s="15">
        <v>0</v>
      </c>
      <c r="E46" s="24">
        <v>0</v>
      </c>
    </row>
    <row r="47" spans="1:5">
      <c r="A47" s="9" t="s">
        <v>454</v>
      </c>
      <c r="B47" s="15">
        <v>2.7767164966948199</v>
      </c>
      <c r="C47" s="15">
        <v>2.7767164966948199</v>
      </c>
      <c r="D47" s="15">
        <v>0</v>
      </c>
      <c r="E47" s="24">
        <v>0</v>
      </c>
    </row>
    <row r="48" spans="1:5">
      <c r="A48" s="9" t="s">
        <v>455</v>
      </c>
      <c r="B48" s="15">
        <v>0</v>
      </c>
      <c r="C48" s="15">
        <v>0</v>
      </c>
      <c r="D48" s="15">
        <v>0</v>
      </c>
      <c r="E48" s="24">
        <v>0</v>
      </c>
    </row>
    <row r="49" spans="1:5">
      <c r="A49" s="9" t="s">
        <v>288</v>
      </c>
      <c r="B49" s="15">
        <v>0.33294560821265801</v>
      </c>
      <c r="C49" s="15">
        <v>0.33294560821265801</v>
      </c>
      <c r="D49" s="15">
        <v>0</v>
      </c>
      <c r="E49" s="24">
        <v>0</v>
      </c>
    </row>
    <row r="50" spans="1:5">
      <c r="A50" s="9" t="s">
        <v>292</v>
      </c>
      <c r="B50" s="15">
        <v>0.3329613013503</v>
      </c>
      <c r="C50" s="15">
        <v>0.3329613013503</v>
      </c>
      <c r="D50" s="15">
        <v>0</v>
      </c>
      <c r="E50" s="24">
        <v>0</v>
      </c>
    </row>
    <row r="51" spans="1:5">
      <c r="A51" s="9" t="s">
        <v>293</v>
      </c>
      <c r="B51" s="15">
        <v>1.0376843150297601</v>
      </c>
      <c r="C51" s="15">
        <v>1.0376843150297601</v>
      </c>
      <c r="D51" s="15">
        <v>0</v>
      </c>
      <c r="E51" s="24">
        <v>0</v>
      </c>
    </row>
    <row r="52" spans="1:5">
      <c r="A52" s="9" t="s">
        <v>295</v>
      </c>
      <c r="B52" s="15">
        <v>0.13694878115584799</v>
      </c>
      <c r="C52" s="15">
        <v>0.13694878115584799</v>
      </c>
      <c r="D52" s="15">
        <v>0</v>
      </c>
      <c r="E52" s="24">
        <v>0</v>
      </c>
    </row>
    <row r="53" spans="1:5">
      <c r="A53" s="9" t="s">
        <v>300</v>
      </c>
      <c r="B53" s="15">
        <v>0.32174070793627102</v>
      </c>
      <c r="C53" s="15">
        <v>0.32174070793627102</v>
      </c>
      <c r="D53" s="15">
        <v>0</v>
      </c>
      <c r="E53" s="24">
        <v>0</v>
      </c>
    </row>
    <row r="54" spans="1:5">
      <c r="A54" s="9" t="s">
        <v>301</v>
      </c>
      <c r="B54" s="15">
        <v>0.28367961810854198</v>
      </c>
      <c r="C54" s="15">
        <v>0.28367961810854198</v>
      </c>
      <c r="D54" s="15">
        <v>0</v>
      </c>
      <c r="E54" s="24">
        <v>0</v>
      </c>
    </row>
    <row r="55" spans="1:5">
      <c r="A55" s="9" t="s">
        <v>456</v>
      </c>
      <c r="B55" s="15">
        <v>0.103792760454958</v>
      </c>
      <c r="C55" s="15">
        <v>0.103792760454958</v>
      </c>
      <c r="D55" s="15">
        <v>0</v>
      </c>
      <c r="E55" s="24">
        <v>0</v>
      </c>
    </row>
    <row r="56" spans="1:5">
      <c r="A56" s="11" t="s">
        <v>304</v>
      </c>
      <c r="B56" s="16">
        <v>0.16433853738701701</v>
      </c>
      <c r="C56" s="16">
        <v>0.16433853738701701</v>
      </c>
      <c r="D56" s="16">
        <v>0</v>
      </c>
      <c r="E56" s="25">
        <v>0</v>
      </c>
    </row>
    <row r="57" spans="1:5" ht="30" customHeight="1">
      <c r="A57" t="s">
        <v>144</v>
      </c>
    </row>
    <row r="58" spans="1:5">
      <c r="A58" t="s">
        <v>418</v>
      </c>
    </row>
    <row r="59" spans="1:5">
      <c r="A59" t="s">
        <v>419</v>
      </c>
    </row>
    <row r="60" spans="1:5">
      <c r="A60" t="s">
        <v>420</v>
      </c>
    </row>
    <row r="61" spans="1:5">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9"/>
  <sheetViews>
    <sheetView zoomScale="70" workbookViewId="0"/>
  </sheetViews>
  <sheetFormatPr defaultColWidth="10.88671875" defaultRowHeight="15"/>
  <cols>
    <col min="1" max="1" width="77.6640625" customWidth="1"/>
    <col min="2" max="4" width="15.88671875" customWidth="1"/>
  </cols>
  <sheetData>
    <row r="1" spans="1:4" ht="39.950000000000003" customHeight="1">
      <c r="A1" s="10" t="s">
        <v>461</v>
      </c>
      <c r="B1" s="12"/>
      <c r="C1" s="12"/>
      <c r="D1" s="12"/>
    </row>
    <row r="2" spans="1:4" ht="45">
      <c r="A2" s="7" t="s">
        <v>52</v>
      </c>
      <c r="B2" s="6" t="s">
        <v>68</v>
      </c>
      <c r="C2" s="6" t="s">
        <v>69</v>
      </c>
      <c r="D2" s="8" t="s">
        <v>70</v>
      </c>
    </row>
    <row r="3" spans="1:4" ht="30">
      <c r="A3" s="39" t="s">
        <v>462</v>
      </c>
      <c r="B3" s="15"/>
      <c r="C3" s="15"/>
      <c r="D3" s="24"/>
    </row>
    <row r="4" spans="1:4">
      <c r="A4" s="9" t="s">
        <v>463</v>
      </c>
      <c r="B4" s="15">
        <v>88.335344666604698</v>
      </c>
      <c r="C4" s="15">
        <v>91.367254153756704</v>
      </c>
      <c r="D4" s="24">
        <v>93.256578947368396</v>
      </c>
    </row>
    <row r="5" spans="1:4">
      <c r="A5" s="9" t="s">
        <v>464</v>
      </c>
      <c r="B5" s="15">
        <v>80.719861870541905</v>
      </c>
      <c r="C5" s="15">
        <v>80.044753725843293</v>
      </c>
      <c r="D5" s="24">
        <v>75.591405375139999</v>
      </c>
    </row>
    <row r="6" spans="1:4">
      <c r="A6" s="9" t="s">
        <v>465</v>
      </c>
      <c r="B6" s="15">
        <v>81.295196094189706</v>
      </c>
      <c r="C6" s="15">
        <v>82.367846850893898</v>
      </c>
      <c r="D6" s="24">
        <v>78.530935050391903</v>
      </c>
    </row>
    <row r="7" spans="1:4">
      <c r="A7" s="9" t="s">
        <v>466</v>
      </c>
      <c r="B7" s="15">
        <v>39.696574060618403</v>
      </c>
      <c r="C7" s="15">
        <v>41.649285785658499</v>
      </c>
      <c r="D7" s="24">
        <v>37.884938409854399</v>
      </c>
    </row>
    <row r="8" spans="1:4">
      <c r="A8" s="9" t="s">
        <v>467</v>
      </c>
      <c r="B8" s="15">
        <v>44.2844552035682</v>
      </c>
      <c r="C8" s="15">
        <v>45.394316259067097</v>
      </c>
      <c r="D8" s="24">
        <v>37.909434490481502</v>
      </c>
    </row>
    <row r="9" spans="1:4">
      <c r="A9" s="9" t="s">
        <v>468</v>
      </c>
      <c r="B9" s="15">
        <v>48.423746917308101</v>
      </c>
      <c r="C9" s="15">
        <v>55.100711293285897</v>
      </c>
      <c r="D9" s="24">
        <v>45.7831746920493</v>
      </c>
    </row>
    <row r="10" spans="1:4">
      <c r="A10" s="9" t="s">
        <v>469</v>
      </c>
      <c r="B10" s="15">
        <v>21.173253857017102</v>
      </c>
      <c r="C10" s="15">
        <v>24.385954237771902</v>
      </c>
      <c r="D10" s="24">
        <v>12.104563269876801</v>
      </c>
    </row>
    <row r="11" spans="1:4">
      <c r="A11" s="9" t="s">
        <v>470</v>
      </c>
      <c r="B11" s="15">
        <v>48.605864411448998</v>
      </c>
      <c r="C11" s="15">
        <v>50.596771972733201</v>
      </c>
      <c r="D11" s="24">
        <v>51.210806270996599</v>
      </c>
    </row>
    <row r="12" spans="1:4">
      <c r="A12" s="9" t="s">
        <v>471</v>
      </c>
      <c r="B12" s="15">
        <v>44.593076910937803</v>
      </c>
      <c r="C12" s="15">
        <v>37.437561051862502</v>
      </c>
      <c r="D12" s="24">
        <v>36.4081746920493</v>
      </c>
    </row>
    <row r="13" spans="1:4">
      <c r="A13" s="9" t="s">
        <v>472</v>
      </c>
      <c r="B13" s="15">
        <v>28.649250258479899</v>
      </c>
      <c r="C13" s="15">
        <v>33.316138667307101</v>
      </c>
      <c r="D13" s="24">
        <v>29.727743561030199</v>
      </c>
    </row>
    <row r="14" spans="1:4">
      <c r="A14" s="11" t="s">
        <v>344</v>
      </c>
      <c r="B14" s="16">
        <v>2.7598461419949101</v>
      </c>
      <c r="C14" s="16">
        <v>2.8843212005101599</v>
      </c>
      <c r="D14" s="25">
        <v>1.3437849944008999</v>
      </c>
    </row>
    <row r="15" spans="1:4" ht="30" customHeight="1">
      <c r="A15" t="s">
        <v>144</v>
      </c>
    </row>
    <row r="16" spans="1:4">
      <c r="A16" t="s">
        <v>418</v>
      </c>
    </row>
    <row r="17" spans="1:1">
      <c r="A17" t="s">
        <v>419</v>
      </c>
    </row>
    <row r="18" spans="1:1">
      <c r="A18" t="s">
        <v>420</v>
      </c>
    </row>
    <row r="19" spans="1:1">
      <c r="A1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25"/>
  <sheetViews>
    <sheetView zoomScale="70" workbookViewId="0"/>
  </sheetViews>
  <sheetFormatPr defaultColWidth="10.88671875" defaultRowHeight="15"/>
  <cols>
    <col min="1" max="1" width="77.6640625" customWidth="1"/>
    <col min="2" max="4" width="15.88671875" customWidth="1"/>
  </cols>
  <sheetData>
    <row r="1" spans="1:4" ht="39.950000000000003" customHeight="1">
      <c r="A1" s="10" t="s">
        <v>473</v>
      </c>
      <c r="B1" s="12"/>
      <c r="C1" s="12"/>
      <c r="D1" s="12"/>
    </row>
    <row r="2" spans="1:4" ht="45">
      <c r="A2" s="7" t="s">
        <v>52</v>
      </c>
      <c r="B2" s="6" t="s">
        <v>68</v>
      </c>
      <c r="C2" s="6" t="s">
        <v>69</v>
      </c>
      <c r="D2" s="8" t="s">
        <v>70</v>
      </c>
    </row>
    <row r="3" spans="1:4" ht="30">
      <c r="A3" s="39" t="s">
        <v>474</v>
      </c>
      <c r="B3" s="15"/>
      <c r="C3" s="15"/>
      <c r="D3" s="24"/>
    </row>
    <row r="4" spans="1:4">
      <c r="A4" s="9" t="s">
        <v>475</v>
      </c>
      <c r="B4" s="15">
        <v>92.796035634838901</v>
      </c>
      <c r="C4" s="15">
        <v>93.421787075661996</v>
      </c>
      <c r="D4" s="24">
        <v>90.555011198208305</v>
      </c>
    </row>
    <row r="5" spans="1:4">
      <c r="A5" s="9" t="s">
        <v>476</v>
      </c>
      <c r="B5" s="15">
        <v>5.1898693165648604</v>
      </c>
      <c r="C5" s="15">
        <v>3.2931316781062101</v>
      </c>
      <c r="D5" s="24">
        <v>2.7400615901455798</v>
      </c>
    </row>
    <row r="6" spans="1:4">
      <c r="A6" s="9" t="s">
        <v>477</v>
      </c>
      <c r="B6" s="15">
        <v>0</v>
      </c>
      <c r="C6" s="15">
        <v>0</v>
      </c>
      <c r="D6" s="24">
        <v>0</v>
      </c>
    </row>
    <row r="7" spans="1:4">
      <c r="A7" s="9" t="s">
        <v>478</v>
      </c>
      <c r="B7" s="15">
        <v>0.100971854095671</v>
      </c>
      <c r="C7" s="15">
        <v>0.45274476513865303</v>
      </c>
      <c r="D7" s="24">
        <v>1.3437849944008999</v>
      </c>
    </row>
    <row r="8" spans="1:4">
      <c r="A8" s="9" t="s">
        <v>344</v>
      </c>
      <c r="B8" s="15">
        <v>1.91312319450057</v>
      </c>
      <c r="C8" s="15">
        <v>2.8323364810931002</v>
      </c>
      <c r="D8" s="24">
        <v>5.3611422172452396</v>
      </c>
    </row>
    <row r="9" spans="1:4" ht="30">
      <c r="A9" s="39" t="s">
        <v>479</v>
      </c>
      <c r="B9" s="15"/>
      <c r="C9" s="15"/>
      <c r="D9" s="24"/>
    </row>
    <row r="10" spans="1:4">
      <c r="A10" s="9" t="s">
        <v>480</v>
      </c>
      <c r="B10" s="15">
        <v>88.569732526594905</v>
      </c>
      <c r="C10" s="15">
        <v>85.593701571056002</v>
      </c>
      <c r="D10" s="24">
        <v>81.190509518477</v>
      </c>
    </row>
    <row r="11" spans="1:4">
      <c r="A11" s="9" t="s">
        <v>481</v>
      </c>
      <c r="B11" s="15">
        <v>11.430267473405101</v>
      </c>
      <c r="C11" s="15">
        <v>14.406298428944</v>
      </c>
      <c r="D11" s="24">
        <v>18.809490481523</v>
      </c>
    </row>
    <row r="12" spans="1:4" ht="30">
      <c r="A12" s="39" t="s">
        <v>482</v>
      </c>
      <c r="B12" s="15"/>
      <c r="C12" s="15"/>
      <c r="D12" s="24"/>
    </row>
    <row r="13" spans="1:4">
      <c r="A13" s="9" t="s">
        <v>480</v>
      </c>
      <c r="B13" s="15">
        <v>82.100654897111198</v>
      </c>
      <c r="C13" s="15">
        <v>80.597961762447895</v>
      </c>
      <c r="D13" s="24">
        <v>77.120660694288901</v>
      </c>
    </row>
    <row r="14" spans="1:4">
      <c r="A14" s="9" t="s">
        <v>481</v>
      </c>
      <c r="B14" s="15">
        <v>17.899345102888802</v>
      </c>
      <c r="C14" s="15">
        <v>19.402038237552102</v>
      </c>
      <c r="D14" s="24">
        <v>22.879339305711099</v>
      </c>
    </row>
    <row r="15" spans="1:4" ht="30">
      <c r="A15" s="39" t="s">
        <v>483</v>
      </c>
      <c r="B15" s="15"/>
      <c r="C15" s="15"/>
      <c r="D15" s="24"/>
    </row>
    <row r="16" spans="1:4">
      <c r="A16" s="9" t="s">
        <v>480</v>
      </c>
      <c r="B16" s="15">
        <v>57.8040347875842</v>
      </c>
      <c r="C16" s="15">
        <v>64.204682176943194</v>
      </c>
      <c r="D16" s="24">
        <v>59.388997760358301</v>
      </c>
    </row>
    <row r="17" spans="1:4">
      <c r="A17" s="9" t="s">
        <v>481</v>
      </c>
      <c r="B17" s="15">
        <v>42.1959652124158</v>
      </c>
      <c r="C17" s="15">
        <v>35.795317823056799</v>
      </c>
      <c r="D17" s="24">
        <v>40.611002239641699</v>
      </c>
    </row>
    <row r="18" spans="1:4" ht="30">
      <c r="A18" s="39" t="s">
        <v>484</v>
      </c>
      <c r="B18" s="15"/>
      <c r="C18" s="15"/>
      <c r="D18" s="24"/>
    </row>
    <row r="19" spans="1:4">
      <c r="A19" s="9" t="s">
        <v>480</v>
      </c>
      <c r="B19" s="15">
        <v>72.848701991406401</v>
      </c>
      <c r="C19" s="15">
        <v>70.681045644842698</v>
      </c>
      <c r="D19" s="24">
        <v>67.784154535274396</v>
      </c>
    </row>
    <row r="20" spans="1:4">
      <c r="A20" s="11" t="s">
        <v>481</v>
      </c>
      <c r="B20" s="16">
        <v>27.151298008593599</v>
      </c>
      <c r="C20" s="16">
        <v>29.318954355157299</v>
      </c>
      <c r="D20" s="25">
        <v>32.215845464725597</v>
      </c>
    </row>
    <row r="21" spans="1:4" ht="30" customHeight="1">
      <c r="A21" t="s">
        <v>144</v>
      </c>
    </row>
    <row r="22" spans="1:4">
      <c r="A22" t="s">
        <v>418</v>
      </c>
    </row>
    <row r="23" spans="1:4">
      <c r="A23" t="s">
        <v>419</v>
      </c>
    </row>
    <row r="24" spans="1:4">
      <c r="A24" t="s">
        <v>420</v>
      </c>
    </row>
    <row r="25" spans="1:4">
      <c r="A25"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32"/>
  <sheetViews>
    <sheetView zoomScale="70" workbookViewId="0"/>
  </sheetViews>
  <sheetFormatPr defaultColWidth="10.88671875" defaultRowHeight="15"/>
  <cols>
    <col min="1" max="1" width="77.6640625" customWidth="1"/>
    <col min="2" max="7" width="15.88671875" customWidth="1"/>
  </cols>
  <sheetData>
    <row r="1" spans="1:7" ht="39.950000000000003" customHeight="1">
      <c r="A1" s="10" t="s">
        <v>485</v>
      </c>
      <c r="B1" s="12"/>
      <c r="C1" s="12"/>
      <c r="D1" s="12"/>
      <c r="E1" s="12"/>
      <c r="F1" s="12"/>
      <c r="G1" s="12"/>
    </row>
    <row r="2" spans="1:7" ht="30">
      <c r="A2" s="7" t="s">
        <v>52</v>
      </c>
      <c r="B2" s="6" t="s">
        <v>486</v>
      </c>
      <c r="C2" s="6" t="s">
        <v>487</v>
      </c>
      <c r="D2" s="6" t="s">
        <v>488</v>
      </c>
      <c r="E2" s="6" t="s">
        <v>489</v>
      </c>
      <c r="F2" s="6" t="s">
        <v>490</v>
      </c>
      <c r="G2" s="8" t="s">
        <v>491</v>
      </c>
    </row>
    <row r="3" spans="1:7">
      <c r="A3" s="39" t="s">
        <v>492</v>
      </c>
      <c r="B3" s="15"/>
      <c r="C3" s="15"/>
      <c r="D3" s="15"/>
      <c r="E3" s="15"/>
      <c r="F3" s="15"/>
      <c r="G3" s="24"/>
    </row>
    <row r="4" spans="1:7">
      <c r="A4" s="9" t="s">
        <v>493</v>
      </c>
      <c r="B4" s="15">
        <v>23.567096274293799</v>
      </c>
      <c r="C4" s="15">
        <v>47.062151963428001</v>
      </c>
      <c r="D4" s="15">
        <v>14.5067501344038</v>
      </c>
      <c r="E4" s="15">
        <v>9.5251112522813006</v>
      </c>
      <c r="F4" s="15">
        <v>2.3868493368558199</v>
      </c>
      <c r="G4" s="24">
        <v>2.9520410387372502</v>
      </c>
    </row>
    <row r="5" spans="1:7">
      <c r="A5" s="9" t="s">
        <v>494</v>
      </c>
      <c r="B5" s="15">
        <v>20.617107015883001</v>
      </c>
      <c r="C5" s="15">
        <v>39.782838064813497</v>
      </c>
      <c r="D5" s="15">
        <v>17.5151511554024</v>
      </c>
      <c r="E5" s="15">
        <v>14.639883947331199</v>
      </c>
      <c r="F5" s="15">
        <v>5.13389392519161</v>
      </c>
      <c r="G5" s="24">
        <v>2.3111258913783002</v>
      </c>
    </row>
    <row r="6" spans="1:7">
      <c r="A6" s="9" t="s">
        <v>495</v>
      </c>
      <c r="B6" s="15">
        <v>39.008905881449401</v>
      </c>
      <c r="C6" s="15">
        <v>48.277900846921099</v>
      </c>
      <c r="D6" s="15">
        <v>6.8283623056595504</v>
      </c>
      <c r="E6" s="15">
        <v>4.6124512460488098</v>
      </c>
      <c r="F6" s="15">
        <v>0.79727015429562698</v>
      </c>
      <c r="G6" s="24">
        <v>0.475109565625502</v>
      </c>
    </row>
    <row r="7" spans="1:7">
      <c r="A7" s="9" t="s">
        <v>496</v>
      </c>
      <c r="B7" s="15">
        <v>33.387182787722402</v>
      </c>
      <c r="C7" s="15">
        <v>50.743503526211597</v>
      </c>
      <c r="D7" s="15">
        <v>8.6141892847623804</v>
      </c>
      <c r="E7" s="15">
        <v>5.8505268581211496</v>
      </c>
      <c r="F7" s="15">
        <v>0.92948797755699997</v>
      </c>
      <c r="G7" s="24">
        <v>0.475109565625502</v>
      </c>
    </row>
    <row r="8" spans="1:7">
      <c r="A8" s="9" t="s">
        <v>495</v>
      </c>
      <c r="B8" s="15">
        <v>39.008905881449401</v>
      </c>
      <c r="C8" s="15">
        <v>48.277900846921099</v>
      </c>
      <c r="D8" s="15">
        <v>6.8283623056595504</v>
      </c>
      <c r="E8" s="15">
        <v>4.6124512460488098</v>
      </c>
      <c r="F8" s="15">
        <v>0.79727015429562698</v>
      </c>
      <c r="G8" s="24">
        <v>0.475109565625502</v>
      </c>
    </row>
    <row r="9" spans="1:7">
      <c r="A9" s="39" t="s">
        <v>497</v>
      </c>
      <c r="B9" s="15"/>
      <c r="C9" s="15"/>
      <c r="D9" s="15"/>
      <c r="E9" s="15"/>
      <c r="F9" s="15"/>
      <c r="G9" s="24"/>
    </row>
    <row r="10" spans="1:7">
      <c r="A10" s="9" t="s">
        <v>498</v>
      </c>
      <c r="B10" s="15">
        <v>18.531145731463202</v>
      </c>
      <c r="C10" s="15">
        <v>34.180114091251099</v>
      </c>
      <c r="D10" s="15">
        <v>28.434486951369799</v>
      </c>
      <c r="E10" s="15">
        <v>12.6531986838602</v>
      </c>
      <c r="F10" s="15">
        <v>5.5117179544793</v>
      </c>
      <c r="G10" s="24">
        <v>0.68933658757643501</v>
      </c>
    </row>
    <row r="11" spans="1:7">
      <c r="A11" s="9" t="s">
        <v>499</v>
      </c>
      <c r="B11" s="15">
        <v>25.481789404373501</v>
      </c>
      <c r="C11" s="15">
        <v>42.973104244187098</v>
      </c>
      <c r="D11" s="15">
        <v>18.109995671619401</v>
      </c>
      <c r="E11" s="15">
        <v>7.1834376081547902</v>
      </c>
      <c r="F11" s="15">
        <v>3.9928056314847198</v>
      </c>
      <c r="G11" s="24">
        <v>2.2588674401804201</v>
      </c>
    </row>
    <row r="12" spans="1:7">
      <c r="A12" s="9" t="s">
        <v>500</v>
      </c>
      <c r="B12" s="15">
        <v>30.750436420510301</v>
      </c>
      <c r="C12" s="15">
        <v>40.556988240543099</v>
      </c>
      <c r="D12" s="15">
        <v>15.3618041450598</v>
      </c>
      <c r="E12" s="15">
        <v>8.8305103469721793</v>
      </c>
      <c r="F12" s="15">
        <v>3.6988218999063802</v>
      </c>
      <c r="G12" s="24">
        <v>0.80143894700829399</v>
      </c>
    </row>
    <row r="13" spans="1:7">
      <c r="A13" s="9" t="s">
        <v>501</v>
      </c>
      <c r="B13" s="15">
        <v>15.622440249997901</v>
      </c>
      <c r="C13" s="15">
        <v>30.498325426227002</v>
      </c>
      <c r="D13" s="15">
        <v>15.834472671715799</v>
      </c>
      <c r="E13" s="15">
        <v>22.7186051323878</v>
      </c>
      <c r="F13" s="15">
        <v>14.1934920149316</v>
      </c>
      <c r="G13" s="24">
        <v>1.13266450473993</v>
      </c>
    </row>
    <row r="14" spans="1:7">
      <c r="A14" s="9" t="s">
        <v>502</v>
      </c>
      <c r="B14" s="15">
        <v>6.5760586705227997</v>
      </c>
      <c r="C14" s="15">
        <v>13.276516232492099</v>
      </c>
      <c r="D14" s="15">
        <v>25.115395302813699</v>
      </c>
      <c r="E14" s="15">
        <v>25.1037786239241</v>
      </c>
      <c r="F14" s="15">
        <v>23.667382282779201</v>
      </c>
      <c r="G14" s="24">
        <v>6.26086888746807</v>
      </c>
    </row>
    <row r="15" spans="1:7">
      <c r="A15" s="39" t="s">
        <v>503</v>
      </c>
      <c r="B15" s="15"/>
      <c r="C15" s="15"/>
      <c r="D15" s="15"/>
      <c r="E15" s="15"/>
      <c r="F15" s="15"/>
      <c r="G15" s="24"/>
    </row>
    <row r="16" spans="1:7">
      <c r="A16" s="9" t="s">
        <v>504</v>
      </c>
      <c r="B16" s="15">
        <v>9.0201863530431208</v>
      </c>
      <c r="C16" s="15">
        <v>28.825118973064999</v>
      </c>
      <c r="D16" s="15">
        <v>26.0438654508539</v>
      </c>
      <c r="E16" s="15">
        <v>24.806173023128501</v>
      </c>
      <c r="F16" s="15">
        <v>9.1234582827559993</v>
      </c>
      <c r="G16" s="24">
        <v>2.1811979171534599</v>
      </c>
    </row>
    <row r="17" spans="1:7">
      <c r="A17" s="9" t="s">
        <v>505</v>
      </c>
      <c r="B17" s="15">
        <v>12.824468206673</v>
      </c>
      <c r="C17" s="15">
        <v>27.2561482362871</v>
      </c>
      <c r="D17" s="15">
        <v>26.043902366083501</v>
      </c>
      <c r="E17" s="15">
        <v>21.9649831443602</v>
      </c>
      <c r="F17" s="15">
        <v>9.0732184741618909</v>
      </c>
      <c r="G17" s="24">
        <v>2.8372795724344102</v>
      </c>
    </row>
    <row r="18" spans="1:7">
      <c r="A18" s="9" t="s">
        <v>506</v>
      </c>
      <c r="B18" s="15">
        <v>13.436807417908501</v>
      </c>
      <c r="C18" s="15">
        <v>46.197098769744201</v>
      </c>
      <c r="D18" s="15">
        <v>22.205363678858401</v>
      </c>
      <c r="E18" s="15">
        <v>13.481096473421999</v>
      </c>
      <c r="F18" s="15">
        <v>2.9403525808620299</v>
      </c>
      <c r="G18" s="24">
        <v>1.73928107920491</v>
      </c>
    </row>
    <row r="19" spans="1:7">
      <c r="A19" s="9" t="s">
        <v>507</v>
      </c>
      <c r="B19" s="15">
        <v>12.183421828892</v>
      </c>
      <c r="C19" s="15">
        <v>38.868085514994199</v>
      </c>
      <c r="D19" s="15">
        <v>26.101569152554799</v>
      </c>
      <c r="E19" s="15">
        <v>16.997589753112599</v>
      </c>
      <c r="F19" s="15">
        <v>2.6972128687380401</v>
      </c>
      <c r="G19" s="24">
        <v>3.15212088170831</v>
      </c>
    </row>
    <row r="20" spans="1:7">
      <c r="A20" s="9" t="s">
        <v>508</v>
      </c>
      <c r="B20" s="15">
        <v>8.5783795971958501</v>
      </c>
      <c r="C20" s="15">
        <v>30.132539392806098</v>
      </c>
      <c r="D20" s="15">
        <v>25.023231958951001</v>
      </c>
      <c r="E20" s="15">
        <v>22.9433568072204</v>
      </c>
      <c r="F20" s="15">
        <v>9.5522829762611394</v>
      </c>
      <c r="G20" s="24">
        <v>3.7702092675654799</v>
      </c>
    </row>
    <row r="21" spans="1:7">
      <c r="A21" s="9" t="s">
        <v>509</v>
      </c>
      <c r="B21" s="15">
        <v>31.7069640144895</v>
      </c>
      <c r="C21" s="15">
        <v>49.490026972060399</v>
      </c>
      <c r="D21" s="15">
        <v>12.3062927053638</v>
      </c>
      <c r="E21" s="15">
        <v>4.34122505815193</v>
      </c>
      <c r="F21" s="15">
        <v>1.1544983646704401</v>
      </c>
      <c r="G21" s="24">
        <v>1.00099288526396</v>
      </c>
    </row>
    <row r="22" spans="1:7">
      <c r="A22" s="39" t="s">
        <v>510</v>
      </c>
      <c r="B22" s="15"/>
      <c r="C22" s="15"/>
      <c r="D22" s="15"/>
      <c r="E22" s="15"/>
      <c r="F22" s="15"/>
      <c r="G22" s="24"/>
    </row>
    <row r="23" spans="1:7">
      <c r="A23" s="9" t="s">
        <v>511</v>
      </c>
      <c r="B23" s="15">
        <v>5.8924591979247296</v>
      </c>
      <c r="C23" s="15">
        <v>11.207360142180599</v>
      </c>
      <c r="D23" s="15">
        <v>34.742115518732803</v>
      </c>
      <c r="E23" s="15">
        <v>12.550857480396701</v>
      </c>
      <c r="F23" s="15">
        <v>22.828264789998801</v>
      </c>
      <c r="G23" s="24">
        <v>12.7789428707664</v>
      </c>
    </row>
    <row r="24" spans="1:7">
      <c r="A24" s="9" t="s">
        <v>512</v>
      </c>
      <c r="B24" s="15">
        <v>8.4065066093527694</v>
      </c>
      <c r="C24" s="15">
        <v>30.751336620324299</v>
      </c>
      <c r="D24" s="15">
        <v>21.066226936591601</v>
      </c>
      <c r="E24" s="15">
        <v>27.032853443735402</v>
      </c>
      <c r="F24" s="15">
        <v>11.015908624541201</v>
      </c>
      <c r="G24" s="24">
        <v>1.7271677654547</v>
      </c>
    </row>
    <row r="25" spans="1:7">
      <c r="A25" s="9" t="s">
        <v>513</v>
      </c>
      <c r="B25" s="15">
        <v>16.4437156868998</v>
      </c>
      <c r="C25" s="15">
        <v>38.654833891789202</v>
      </c>
      <c r="D25" s="15">
        <v>18.644843922391001</v>
      </c>
      <c r="E25" s="15">
        <v>19.030806776420999</v>
      </c>
      <c r="F25" s="15">
        <v>6.4528265578594901</v>
      </c>
      <c r="G25" s="24">
        <v>0.77297316463947097</v>
      </c>
    </row>
    <row r="26" spans="1:7">
      <c r="A26" s="9" t="s">
        <v>514</v>
      </c>
      <c r="B26" s="15">
        <v>13.046724450600999</v>
      </c>
      <c r="C26" s="15">
        <v>45.288390201044002</v>
      </c>
      <c r="D26" s="15">
        <v>15.5083263712913</v>
      </c>
      <c r="E26" s="15">
        <v>21.506716179056699</v>
      </c>
      <c r="F26" s="15">
        <v>4.0885095589826799</v>
      </c>
      <c r="G26" s="24">
        <v>0.561333239024283</v>
      </c>
    </row>
    <row r="27" spans="1:7">
      <c r="A27" s="11" t="s">
        <v>515</v>
      </c>
      <c r="B27" s="16">
        <v>15.8344530034069</v>
      </c>
      <c r="C27" s="16">
        <v>46.060197481684497</v>
      </c>
      <c r="D27" s="16">
        <v>24.404976209275301</v>
      </c>
      <c r="E27" s="16">
        <v>10.0622699173003</v>
      </c>
      <c r="F27" s="16">
        <v>2.5389325820714501</v>
      </c>
      <c r="G27" s="25">
        <v>1.09917080626153</v>
      </c>
    </row>
    <row r="28" spans="1:7" ht="30" customHeight="1">
      <c r="A28" t="s">
        <v>144</v>
      </c>
    </row>
    <row r="29" spans="1:7">
      <c r="A29" t="s">
        <v>418</v>
      </c>
    </row>
    <row r="30" spans="1:7">
      <c r="A30" t="s">
        <v>419</v>
      </c>
    </row>
    <row r="31" spans="1:7">
      <c r="A31" t="s">
        <v>420</v>
      </c>
    </row>
    <row r="32" spans="1:7">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32"/>
  <sheetViews>
    <sheetView zoomScale="70" workbookViewId="0"/>
  </sheetViews>
  <sheetFormatPr defaultColWidth="10.88671875" defaultRowHeight="15"/>
  <cols>
    <col min="1" max="1" width="77.6640625" customWidth="1"/>
    <col min="2" max="5" width="15.88671875" customWidth="1"/>
  </cols>
  <sheetData>
    <row r="1" spans="1:5" ht="39.950000000000003" customHeight="1">
      <c r="A1" s="10" t="s">
        <v>516</v>
      </c>
      <c r="B1" s="12"/>
      <c r="C1" s="12"/>
      <c r="D1" s="12"/>
      <c r="E1" s="12"/>
    </row>
    <row r="2" spans="1:5" ht="60">
      <c r="A2" s="7" t="s">
        <v>52</v>
      </c>
      <c r="B2" s="6" t="s">
        <v>517</v>
      </c>
      <c r="C2" s="6" t="s">
        <v>518</v>
      </c>
      <c r="D2" s="6" t="s">
        <v>519</v>
      </c>
      <c r="E2" s="8" t="s">
        <v>520</v>
      </c>
    </row>
    <row r="3" spans="1:5">
      <c r="A3" s="39" t="s">
        <v>521</v>
      </c>
      <c r="B3" s="15"/>
      <c r="C3" s="15"/>
      <c r="D3" s="15"/>
      <c r="E3" s="24"/>
    </row>
    <row r="4" spans="1:5">
      <c r="A4" s="9" t="s">
        <v>522</v>
      </c>
      <c r="B4" s="15">
        <v>19.285835192056702</v>
      </c>
      <c r="C4" s="15">
        <v>7.1912139884823096</v>
      </c>
      <c r="D4" s="15">
        <v>6.6399209460739703</v>
      </c>
      <c r="E4" s="24">
        <v>4.0147468108042101</v>
      </c>
    </row>
    <row r="5" spans="1:5">
      <c r="A5" s="9" t="s">
        <v>523</v>
      </c>
      <c r="B5" s="15">
        <v>73.550799398421205</v>
      </c>
      <c r="C5" s="15">
        <v>76.135122919817803</v>
      </c>
      <c r="D5" s="15">
        <v>69.847878343306206</v>
      </c>
      <c r="E5" s="24">
        <v>28.372013919123201</v>
      </c>
    </row>
    <row r="6" spans="1:5">
      <c r="A6" s="9" t="s">
        <v>524</v>
      </c>
      <c r="B6" s="15">
        <v>2.2632932826755598</v>
      </c>
      <c r="C6" s="15">
        <v>0.96885508517293495</v>
      </c>
      <c r="D6" s="15">
        <v>0.76147550227979399</v>
      </c>
      <c r="E6" s="24">
        <v>0.29343290315304399</v>
      </c>
    </row>
    <row r="7" spans="1:5">
      <c r="A7" s="9" t="s">
        <v>525</v>
      </c>
      <c r="B7" s="15">
        <v>5.0630131440872503</v>
      </c>
      <c r="C7" s="15">
        <v>2.8544345794995101</v>
      </c>
      <c r="D7" s="15">
        <v>2.6249711728074199</v>
      </c>
      <c r="E7" s="24">
        <v>1.2071337677876599</v>
      </c>
    </row>
    <row r="8" spans="1:5">
      <c r="A8" s="9" t="s">
        <v>526</v>
      </c>
      <c r="B8" s="15">
        <v>1.6619336565926499</v>
      </c>
      <c r="C8" s="15">
        <v>0</v>
      </c>
      <c r="D8" s="15">
        <v>0</v>
      </c>
      <c r="E8" s="24">
        <v>0</v>
      </c>
    </row>
    <row r="9" spans="1:5">
      <c r="A9" s="9" t="s">
        <v>527</v>
      </c>
      <c r="B9" s="15">
        <v>0.29586956456307301</v>
      </c>
      <c r="C9" s="15">
        <v>0</v>
      </c>
      <c r="D9" s="15">
        <v>0</v>
      </c>
      <c r="E9" s="24">
        <v>0</v>
      </c>
    </row>
    <row r="10" spans="1:5">
      <c r="A10" s="9" t="s">
        <v>528</v>
      </c>
      <c r="B10" s="15">
        <v>52.244742953068098</v>
      </c>
      <c r="C10" s="15">
        <v>0.29209733454424902</v>
      </c>
      <c r="D10" s="15">
        <v>0</v>
      </c>
      <c r="E10" s="24">
        <v>0.29209733454424902</v>
      </c>
    </row>
    <row r="11" spans="1:5">
      <c r="A11" s="9" t="s">
        <v>529</v>
      </c>
      <c r="B11" s="15">
        <v>25.413806939655899</v>
      </c>
      <c r="C11" s="15">
        <v>0.64488829895567801</v>
      </c>
      <c r="D11" s="15">
        <v>0.64488829895567801</v>
      </c>
      <c r="E11" s="24">
        <v>0.64488829895567801</v>
      </c>
    </row>
    <row r="12" spans="1:5">
      <c r="A12" s="9" t="s">
        <v>530</v>
      </c>
      <c r="B12" s="15">
        <v>29.1896318966355</v>
      </c>
      <c r="C12" s="15">
        <v>11.3975315907725</v>
      </c>
      <c r="D12" s="15">
        <v>6.1952722794805197</v>
      </c>
      <c r="E12" s="24">
        <v>4.0460410292109596</v>
      </c>
    </row>
    <row r="13" spans="1:5">
      <c r="A13" s="9" t="s">
        <v>344</v>
      </c>
      <c r="B13" s="15">
        <v>0.82131038925394395</v>
      </c>
      <c r="C13" s="15">
        <v>0.537719607152639</v>
      </c>
      <c r="D13" s="15">
        <v>0.537719607152639</v>
      </c>
      <c r="E13" s="24">
        <v>0.19241303752396599</v>
      </c>
    </row>
    <row r="14" spans="1:5">
      <c r="A14" s="39" t="s">
        <v>531</v>
      </c>
      <c r="B14" s="15"/>
      <c r="C14" s="15"/>
      <c r="D14" s="15"/>
      <c r="E14" s="24"/>
    </row>
    <row r="15" spans="1:5">
      <c r="A15" s="9" t="s">
        <v>532</v>
      </c>
      <c r="B15" s="15">
        <v>11.559754052914</v>
      </c>
      <c r="C15" s="15">
        <v>1.57671038047974</v>
      </c>
      <c r="D15" s="15">
        <v>0.69968377281442196</v>
      </c>
      <c r="E15" s="24">
        <v>1.44758724396137</v>
      </c>
    </row>
    <row r="16" spans="1:5">
      <c r="A16" s="9" t="s">
        <v>533</v>
      </c>
      <c r="B16" s="15">
        <v>5.1694381385915902</v>
      </c>
      <c r="C16" s="15">
        <v>0.96055575556505401</v>
      </c>
      <c r="D16" s="15">
        <v>1.0857880034482901</v>
      </c>
      <c r="E16" s="24">
        <v>0.728875486692379</v>
      </c>
    </row>
    <row r="17" spans="1:5">
      <c r="A17" s="9" t="s">
        <v>534</v>
      </c>
      <c r="B17" s="15">
        <v>2.4214889806476698</v>
      </c>
      <c r="C17" s="15">
        <v>0.69968377281442196</v>
      </c>
      <c r="D17" s="15">
        <v>1.8801548079755901</v>
      </c>
      <c r="E17" s="24">
        <v>0.45317596673389599</v>
      </c>
    </row>
    <row r="18" spans="1:5">
      <c r="A18" s="9" t="s">
        <v>535</v>
      </c>
      <c r="B18" s="15">
        <v>2.40494896668022</v>
      </c>
      <c r="C18" s="15">
        <v>1.0857880034482901</v>
      </c>
      <c r="D18" s="15">
        <v>11.457765042498</v>
      </c>
      <c r="E18" s="24">
        <v>0.42973812800646799</v>
      </c>
    </row>
    <row r="19" spans="1:5">
      <c r="A19" s="9" t="s">
        <v>536</v>
      </c>
      <c r="B19" s="15">
        <v>3.6513750356569199</v>
      </c>
      <c r="C19" s="15">
        <v>1.9740625436253201</v>
      </c>
      <c r="D19" s="15">
        <v>15.027416903312099</v>
      </c>
      <c r="E19" s="24">
        <v>1.41217236587647</v>
      </c>
    </row>
    <row r="20" spans="1:5">
      <c r="A20" s="9" t="s">
        <v>537</v>
      </c>
      <c r="B20" s="15">
        <v>15.7790247734847</v>
      </c>
      <c r="C20" s="15">
        <v>11.6677531736036</v>
      </c>
      <c r="D20" s="15">
        <v>60.661369478481802</v>
      </c>
      <c r="E20" s="24">
        <v>4.41531805439908</v>
      </c>
    </row>
    <row r="21" spans="1:5">
      <c r="A21" s="9" t="s">
        <v>538</v>
      </c>
      <c r="B21" s="15">
        <v>31.711802221531499</v>
      </c>
      <c r="C21" s="15">
        <v>16.0984558581839</v>
      </c>
      <c r="D21" s="15">
        <v>2.0005397188415901</v>
      </c>
      <c r="E21" s="24">
        <v>6.9522397973729904</v>
      </c>
    </row>
    <row r="22" spans="1:5">
      <c r="A22" s="9" t="s">
        <v>539</v>
      </c>
      <c r="B22" s="15">
        <v>74.099685448485701</v>
      </c>
      <c r="C22" s="15">
        <v>65.226992311445997</v>
      </c>
      <c r="D22" s="15">
        <v>2.9737992133404401</v>
      </c>
      <c r="E22" s="24">
        <v>28.566234683622302</v>
      </c>
    </row>
    <row r="23" spans="1:5">
      <c r="A23" s="9" t="s">
        <v>540</v>
      </c>
      <c r="B23" s="15">
        <v>8.0181269884767303</v>
      </c>
      <c r="C23" s="15">
        <v>2.70264023485288</v>
      </c>
      <c r="D23" s="15">
        <v>0.87329930181203796</v>
      </c>
      <c r="E23" s="24">
        <v>1.31493530601498</v>
      </c>
    </row>
    <row r="24" spans="1:5">
      <c r="A24" s="9" t="s">
        <v>541</v>
      </c>
      <c r="B24" s="15">
        <v>8.6422185179979198</v>
      </c>
      <c r="C24" s="15">
        <v>3.24637996044871</v>
      </c>
      <c r="D24" s="15">
        <v>0.72667335403572098</v>
      </c>
      <c r="E24" s="24">
        <v>1.5009739858693401</v>
      </c>
    </row>
    <row r="25" spans="1:5">
      <c r="A25" s="9" t="s">
        <v>542</v>
      </c>
      <c r="B25" s="15">
        <v>7.6097634253951796</v>
      </c>
      <c r="C25" s="15">
        <v>0.87329930181203796</v>
      </c>
      <c r="D25" s="15">
        <v>6.5355387265199498</v>
      </c>
      <c r="E25" s="24">
        <v>0.32068839587327702</v>
      </c>
    </row>
    <row r="26" spans="1:5">
      <c r="A26" s="9" t="s">
        <v>543</v>
      </c>
      <c r="B26" s="15">
        <v>1.90352006788277</v>
      </c>
      <c r="C26" s="15">
        <v>0.84992725707598304</v>
      </c>
      <c r="D26" s="15">
        <v>1.75783298977419</v>
      </c>
      <c r="E26" s="24">
        <v>0.33699182220135399</v>
      </c>
    </row>
    <row r="27" spans="1:5">
      <c r="A27" s="11" t="s">
        <v>344</v>
      </c>
      <c r="B27" s="16">
        <v>8.8791161434359793</v>
      </c>
      <c r="C27" s="16">
        <v>6.72257163335565</v>
      </c>
      <c r="D27" s="16">
        <v>1.4851540825488301</v>
      </c>
      <c r="E27" s="25">
        <v>2.0248279346713298</v>
      </c>
    </row>
    <row r="28" spans="1:5" ht="30" customHeight="1">
      <c r="A28" t="s">
        <v>144</v>
      </c>
    </row>
    <row r="29" spans="1:5">
      <c r="A29" t="s">
        <v>418</v>
      </c>
    </row>
    <row r="30" spans="1:5">
      <c r="A30" t="s">
        <v>419</v>
      </c>
    </row>
    <row r="31" spans="1:5">
      <c r="A31" t="s">
        <v>420</v>
      </c>
    </row>
    <row r="32" spans="1:5">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28"/>
  <sheetViews>
    <sheetView zoomScale="70" workbookViewId="0"/>
  </sheetViews>
  <sheetFormatPr defaultColWidth="10.88671875" defaultRowHeight="15"/>
  <cols>
    <col min="1" max="1" width="77.6640625" customWidth="1"/>
    <col min="2" max="2" width="15.88671875" customWidth="1"/>
  </cols>
  <sheetData>
    <row r="1" spans="1:2" ht="39.950000000000003" customHeight="1">
      <c r="A1" s="10" t="s">
        <v>544</v>
      </c>
      <c r="B1" s="12"/>
    </row>
    <row r="2" spans="1:2">
      <c r="A2" s="7" t="s">
        <v>52</v>
      </c>
      <c r="B2" s="8" t="s">
        <v>545</v>
      </c>
    </row>
    <row r="3" spans="1:2">
      <c r="A3" s="39" t="s">
        <v>546</v>
      </c>
      <c r="B3" s="24"/>
    </row>
    <row r="4" spans="1:2">
      <c r="A4" s="9" t="s">
        <v>547</v>
      </c>
      <c r="B4" s="24">
        <v>31.085526315789501</v>
      </c>
    </row>
    <row r="5" spans="1:2">
      <c r="A5" s="9" t="s">
        <v>548</v>
      </c>
      <c r="B5" s="24">
        <v>68.756998880179196</v>
      </c>
    </row>
    <row r="6" spans="1:2">
      <c r="A6" s="9" t="s">
        <v>549</v>
      </c>
      <c r="B6" s="24">
        <v>33.692609182530802</v>
      </c>
    </row>
    <row r="7" spans="1:2">
      <c r="A7" s="9" t="s">
        <v>550</v>
      </c>
      <c r="B7" s="24">
        <v>5.4136338185890303</v>
      </c>
    </row>
    <row r="8" spans="1:2">
      <c r="A8" s="9" t="s">
        <v>551</v>
      </c>
      <c r="B8" s="24">
        <v>29.699748040313601</v>
      </c>
    </row>
    <row r="9" spans="1:2">
      <c r="A9" s="9" t="s">
        <v>344</v>
      </c>
      <c r="B9" s="24">
        <v>1.3437849944008999</v>
      </c>
    </row>
    <row r="10" spans="1:2">
      <c r="A10" s="9" t="s">
        <v>552</v>
      </c>
      <c r="B10" s="24">
        <v>13.581326987682001</v>
      </c>
    </row>
    <row r="11" spans="1:2" ht="30">
      <c r="A11" s="39" t="s">
        <v>553</v>
      </c>
      <c r="B11" s="24"/>
    </row>
    <row r="12" spans="1:2">
      <c r="A12" s="9" t="s">
        <v>554</v>
      </c>
      <c r="B12" s="24">
        <v>0</v>
      </c>
    </row>
    <row r="13" spans="1:2">
      <c r="A13" s="9" t="s">
        <v>555</v>
      </c>
      <c r="B13" s="24">
        <v>81.344401700749103</v>
      </c>
    </row>
    <row r="14" spans="1:2">
      <c r="A14" s="9" t="s">
        <v>556</v>
      </c>
      <c r="B14" s="24">
        <v>12.4519133427819</v>
      </c>
    </row>
    <row r="15" spans="1:2">
      <c r="A15" s="9" t="s">
        <v>557</v>
      </c>
      <c r="B15" s="24">
        <v>3.0937436728082601</v>
      </c>
    </row>
    <row r="16" spans="1:2">
      <c r="A16" s="9" t="s">
        <v>558</v>
      </c>
      <c r="B16" s="24">
        <v>1.55497064183033</v>
      </c>
    </row>
    <row r="17" spans="1:2">
      <c r="A17" s="9" t="s">
        <v>559</v>
      </c>
      <c r="B17" s="24">
        <v>1.55497064183033</v>
      </c>
    </row>
    <row r="18" spans="1:2">
      <c r="A18" s="39" t="s">
        <v>560</v>
      </c>
      <c r="B18" s="24"/>
    </row>
    <row r="19" spans="1:2">
      <c r="A19" s="9" t="s">
        <v>561</v>
      </c>
      <c r="B19" s="24">
        <v>81.360599311601504</v>
      </c>
    </row>
    <row r="20" spans="1:2">
      <c r="A20" s="9" t="s">
        <v>562</v>
      </c>
      <c r="B20" s="24">
        <v>10.9293379226564</v>
      </c>
    </row>
    <row r="21" spans="1:2">
      <c r="A21" s="9" t="s">
        <v>563</v>
      </c>
      <c r="B21" s="24">
        <v>6.1712897347641196</v>
      </c>
    </row>
    <row r="22" spans="1:2">
      <c r="A22" s="9" t="s">
        <v>564</v>
      </c>
      <c r="B22" s="24">
        <v>1.5387730309779299</v>
      </c>
    </row>
    <row r="23" spans="1:2">
      <c r="A23" s="11" t="s">
        <v>344</v>
      </c>
      <c r="B23" s="25">
        <v>0</v>
      </c>
    </row>
    <row r="24" spans="1:2" ht="30" customHeight="1">
      <c r="A24" t="s">
        <v>144</v>
      </c>
    </row>
    <row r="25" spans="1:2">
      <c r="A25" t="s">
        <v>418</v>
      </c>
    </row>
    <row r="26" spans="1:2">
      <c r="A26" t="s">
        <v>419</v>
      </c>
    </row>
    <row r="27" spans="1:2">
      <c r="A27" t="s">
        <v>420</v>
      </c>
    </row>
    <row r="28" spans="1: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27"/>
  <sheetViews>
    <sheetView zoomScale="70" workbookViewId="0"/>
  </sheetViews>
  <sheetFormatPr defaultColWidth="10.88671875" defaultRowHeight="15"/>
  <cols>
    <col min="1" max="1" width="77.6640625" customWidth="1"/>
    <col min="2" max="6" width="15.88671875" customWidth="1"/>
  </cols>
  <sheetData>
    <row r="1" spans="1:6" ht="39.950000000000003" customHeight="1">
      <c r="A1" s="10" t="s">
        <v>565</v>
      </c>
      <c r="B1" s="12"/>
      <c r="C1" s="12"/>
      <c r="D1" s="12"/>
      <c r="E1" s="12"/>
      <c r="F1" s="12"/>
    </row>
    <row r="2" spans="1:6">
      <c r="A2" s="7" t="s">
        <v>52</v>
      </c>
      <c r="B2" s="6" t="s">
        <v>545</v>
      </c>
      <c r="C2" s="6" t="s">
        <v>566</v>
      </c>
      <c r="D2" s="6" t="s">
        <v>567</v>
      </c>
      <c r="E2" s="6" t="s">
        <v>568</v>
      </c>
      <c r="F2" s="8" t="s">
        <v>569</v>
      </c>
    </row>
    <row r="3" spans="1:6">
      <c r="A3" s="39" t="s">
        <v>570</v>
      </c>
      <c r="B3" s="15"/>
      <c r="C3" s="15"/>
      <c r="D3" s="15"/>
      <c r="E3" s="15"/>
      <c r="F3" s="24"/>
    </row>
    <row r="4" spans="1:6">
      <c r="A4" s="9" t="s">
        <v>571</v>
      </c>
      <c r="B4" s="15">
        <v>48.8661814109742</v>
      </c>
      <c r="C4" s="15">
        <v>2.8692650654393801</v>
      </c>
      <c r="D4" s="15">
        <v>1.4356132839204101</v>
      </c>
      <c r="E4" s="15">
        <v>12.6600751577949</v>
      </c>
      <c r="F4" s="24">
        <v>50.910114468005197</v>
      </c>
    </row>
    <row r="5" spans="1:6">
      <c r="A5" s="9" t="s">
        <v>572</v>
      </c>
      <c r="B5" s="15">
        <v>44.7963325867861</v>
      </c>
      <c r="C5" s="15">
        <v>2.8692650654393801</v>
      </c>
      <c r="D5" s="15">
        <v>1.4356132839204101</v>
      </c>
      <c r="E5" s="15">
        <v>11.2736692327338</v>
      </c>
      <c r="F5" s="24">
        <v>46.545318070932602</v>
      </c>
    </row>
    <row r="6" spans="1:6">
      <c r="A6" s="9" t="s">
        <v>573</v>
      </c>
      <c r="B6" s="15">
        <v>31.295492721164599</v>
      </c>
      <c r="C6" s="15">
        <v>1.43463253271969</v>
      </c>
      <c r="D6" s="15">
        <v>0</v>
      </c>
      <c r="E6" s="15">
        <v>2.7728118501222201</v>
      </c>
      <c r="F6" s="24">
        <v>32.066053668605697</v>
      </c>
    </row>
    <row r="7" spans="1:6" ht="30">
      <c r="A7" s="39" t="s">
        <v>574</v>
      </c>
      <c r="B7" s="15"/>
      <c r="C7" s="20" t="s">
        <v>575</v>
      </c>
      <c r="D7" s="20" t="s">
        <v>575</v>
      </c>
      <c r="E7" s="20" t="s">
        <v>575</v>
      </c>
      <c r="F7" s="26" t="s">
        <v>575</v>
      </c>
    </row>
    <row r="8" spans="1:6">
      <c r="A8" s="9" t="s">
        <v>480</v>
      </c>
      <c r="B8" s="15">
        <v>69.378401604124903</v>
      </c>
      <c r="C8" s="20" t="s">
        <v>575</v>
      </c>
      <c r="D8" s="20" t="s">
        <v>575</v>
      </c>
      <c r="E8" s="20" t="s">
        <v>575</v>
      </c>
      <c r="F8" s="26" t="s">
        <v>575</v>
      </c>
    </row>
    <row r="9" spans="1:6">
      <c r="A9" s="9" t="s">
        <v>481</v>
      </c>
      <c r="B9" s="15">
        <v>11.185906617015201</v>
      </c>
      <c r="C9" s="20" t="s">
        <v>575</v>
      </c>
      <c r="D9" s="20" t="s">
        <v>575</v>
      </c>
      <c r="E9" s="20" t="s">
        <v>575</v>
      </c>
      <c r="F9" s="26" t="s">
        <v>575</v>
      </c>
    </row>
    <row r="10" spans="1:6">
      <c r="A10" s="9" t="s">
        <v>491</v>
      </c>
      <c r="B10" s="15">
        <v>19.435691778859901</v>
      </c>
      <c r="C10" s="20" t="s">
        <v>575</v>
      </c>
      <c r="D10" s="20" t="s">
        <v>575</v>
      </c>
      <c r="E10" s="20" t="s">
        <v>575</v>
      </c>
      <c r="F10" s="26" t="s">
        <v>575</v>
      </c>
    </row>
    <row r="11" spans="1:6">
      <c r="A11" s="39" t="s">
        <v>576</v>
      </c>
      <c r="B11" s="15"/>
      <c r="C11" s="20" t="s">
        <v>575</v>
      </c>
      <c r="D11" s="20" t="s">
        <v>575</v>
      </c>
      <c r="E11" s="20" t="s">
        <v>575</v>
      </c>
      <c r="F11" s="26" t="s">
        <v>575</v>
      </c>
    </row>
    <row r="12" spans="1:6">
      <c r="A12" s="9" t="s">
        <v>480</v>
      </c>
      <c r="B12" s="15">
        <v>52.613864222285898</v>
      </c>
      <c r="C12" s="20" t="s">
        <v>575</v>
      </c>
      <c r="D12" s="20" t="s">
        <v>575</v>
      </c>
      <c r="E12" s="20" t="s">
        <v>575</v>
      </c>
      <c r="F12" s="26" t="s">
        <v>575</v>
      </c>
    </row>
    <row r="13" spans="1:6">
      <c r="A13" s="9" t="s">
        <v>481</v>
      </c>
      <c r="B13" s="15">
        <v>25.093096533944401</v>
      </c>
      <c r="C13" s="20" t="s">
        <v>575</v>
      </c>
      <c r="D13" s="20" t="s">
        <v>575</v>
      </c>
      <c r="E13" s="20" t="s">
        <v>575</v>
      </c>
      <c r="F13" s="26" t="s">
        <v>575</v>
      </c>
    </row>
    <row r="14" spans="1:6">
      <c r="A14" s="9" t="s">
        <v>491</v>
      </c>
      <c r="B14" s="15">
        <v>22.293039243769702</v>
      </c>
      <c r="C14" s="20" t="s">
        <v>575</v>
      </c>
      <c r="D14" s="20" t="s">
        <v>575</v>
      </c>
      <c r="E14" s="20" t="s">
        <v>575</v>
      </c>
      <c r="F14" s="26" t="s">
        <v>575</v>
      </c>
    </row>
    <row r="15" spans="1:6" ht="30">
      <c r="A15" s="39" t="s">
        <v>577</v>
      </c>
      <c r="B15" s="15"/>
      <c r="C15" s="20" t="s">
        <v>575</v>
      </c>
      <c r="D15" s="20" t="s">
        <v>575</v>
      </c>
      <c r="E15" s="20" t="s">
        <v>575</v>
      </c>
      <c r="F15" s="26" t="s">
        <v>575</v>
      </c>
    </row>
    <row r="16" spans="1:6">
      <c r="A16" s="9" t="s">
        <v>578</v>
      </c>
      <c r="B16" s="15">
        <v>72.371813234030398</v>
      </c>
      <c r="C16" s="20" t="s">
        <v>575</v>
      </c>
      <c r="D16" s="20" t="s">
        <v>575</v>
      </c>
      <c r="E16" s="20" t="s">
        <v>575</v>
      </c>
      <c r="F16" s="26" t="s">
        <v>575</v>
      </c>
    </row>
    <row r="17" spans="1:6">
      <c r="A17" s="9" t="s">
        <v>579</v>
      </c>
      <c r="B17" s="15">
        <v>16.764537381838998</v>
      </c>
      <c r="C17" s="20" t="s">
        <v>575</v>
      </c>
      <c r="D17" s="20" t="s">
        <v>575</v>
      </c>
      <c r="E17" s="20" t="s">
        <v>575</v>
      </c>
      <c r="F17" s="26" t="s">
        <v>575</v>
      </c>
    </row>
    <row r="18" spans="1:6">
      <c r="A18" s="9" t="s">
        <v>580</v>
      </c>
      <c r="B18" s="15">
        <v>0</v>
      </c>
      <c r="C18" s="20" t="s">
        <v>575</v>
      </c>
      <c r="D18" s="20" t="s">
        <v>575</v>
      </c>
      <c r="E18" s="20" t="s">
        <v>575</v>
      </c>
      <c r="F18" s="26" t="s">
        <v>575</v>
      </c>
    </row>
    <row r="19" spans="1:6">
      <c r="A19" s="9" t="s">
        <v>581</v>
      </c>
      <c r="B19" s="15">
        <v>27.599541678602101</v>
      </c>
      <c r="C19" s="20" t="s">
        <v>575</v>
      </c>
      <c r="D19" s="20" t="s">
        <v>575</v>
      </c>
      <c r="E19" s="20" t="s">
        <v>575</v>
      </c>
      <c r="F19" s="26" t="s">
        <v>575</v>
      </c>
    </row>
    <row r="20" spans="1:6">
      <c r="A20" s="9" t="s">
        <v>582</v>
      </c>
      <c r="B20" s="15">
        <v>5.6072758521913499</v>
      </c>
      <c r="C20" s="20" t="s">
        <v>575</v>
      </c>
      <c r="D20" s="20" t="s">
        <v>575</v>
      </c>
      <c r="E20" s="20" t="s">
        <v>575</v>
      </c>
      <c r="F20" s="26" t="s">
        <v>575</v>
      </c>
    </row>
    <row r="21" spans="1:6">
      <c r="A21" s="11" t="s">
        <v>344</v>
      </c>
      <c r="B21" s="16">
        <v>8.2211400744772298</v>
      </c>
      <c r="C21" s="28" t="s">
        <v>575</v>
      </c>
      <c r="D21" s="28" t="s">
        <v>575</v>
      </c>
      <c r="E21" s="28" t="s">
        <v>575</v>
      </c>
      <c r="F21" s="29" t="s">
        <v>575</v>
      </c>
    </row>
    <row r="22" spans="1:6" ht="30" customHeight="1">
      <c r="A22" t="s">
        <v>583</v>
      </c>
    </row>
    <row r="23" spans="1:6">
      <c r="A23" t="s">
        <v>144</v>
      </c>
    </row>
    <row r="24" spans="1:6">
      <c r="A24" t="s">
        <v>418</v>
      </c>
    </row>
    <row r="25" spans="1:6">
      <c r="A25" t="s">
        <v>419</v>
      </c>
    </row>
    <row r="26" spans="1:6">
      <c r="A26" t="s">
        <v>420</v>
      </c>
    </row>
    <row r="27" spans="1:6">
      <c r="A2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22"/>
  <sheetViews>
    <sheetView zoomScale="70" workbookViewId="0"/>
  </sheetViews>
  <sheetFormatPr defaultColWidth="10.88671875" defaultRowHeight="15"/>
  <cols>
    <col min="1" max="1" width="51.6640625" customWidth="1"/>
    <col min="2" max="3" width="15.88671875" customWidth="1"/>
  </cols>
  <sheetData>
    <row r="1" spans="1:3" ht="39.950000000000003" customHeight="1">
      <c r="A1" s="10" t="s">
        <v>584</v>
      </c>
      <c r="B1" s="12"/>
      <c r="C1" s="12"/>
    </row>
    <row r="2" spans="1:3" ht="150">
      <c r="A2" s="7" t="s">
        <v>52</v>
      </c>
      <c r="B2" s="6" t="s">
        <v>416</v>
      </c>
      <c r="C2" s="8" t="s">
        <v>417</v>
      </c>
    </row>
    <row r="3" spans="1:3" ht="21.95" customHeight="1">
      <c r="A3" s="22" t="s">
        <v>68</v>
      </c>
      <c r="B3" s="15">
        <v>92.880453063051505</v>
      </c>
      <c r="C3" s="24">
        <v>80.312646544741398</v>
      </c>
    </row>
    <row r="4" spans="1:3" ht="21.95" customHeight="1">
      <c r="A4" s="22" t="s">
        <v>69</v>
      </c>
      <c r="B4" s="15">
        <v>86.259349593495898</v>
      </c>
      <c r="C4" s="24">
        <v>82.113821138211406</v>
      </c>
    </row>
    <row r="5" spans="1:3" ht="21.95" customHeight="1">
      <c r="A5" s="22" t="s">
        <v>70</v>
      </c>
      <c r="B5" s="15">
        <v>89.8888888888889</v>
      </c>
      <c r="C5" s="24">
        <v>83.3333333333333</v>
      </c>
    </row>
    <row r="6" spans="1:3">
      <c r="A6" s="9" t="s">
        <v>240</v>
      </c>
      <c r="B6" s="15">
        <v>90</v>
      </c>
      <c r="C6" s="24">
        <v>100</v>
      </c>
    </row>
    <row r="7" spans="1:3">
      <c r="A7" s="9" t="s">
        <v>241</v>
      </c>
      <c r="B7" s="15">
        <v>90</v>
      </c>
      <c r="C7" s="24">
        <v>0</v>
      </c>
    </row>
    <row r="8" spans="1:3">
      <c r="A8" s="9" t="s">
        <v>242</v>
      </c>
      <c r="B8" s="15">
        <v>90</v>
      </c>
      <c r="C8" s="24">
        <v>100</v>
      </c>
    </row>
    <row r="9" spans="1:3">
      <c r="A9" s="9" t="s">
        <v>243</v>
      </c>
      <c r="B9" s="15">
        <v>100</v>
      </c>
      <c r="C9" s="24">
        <v>100</v>
      </c>
    </row>
    <row r="10" spans="1:3">
      <c r="A10" s="9" t="s">
        <v>244</v>
      </c>
      <c r="B10" s="15">
        <v>96</v>
      </c>
      <c r="C10" s="24">
        <v>0</v>
      </c>
    </row>
    <row r="11" spans="1:3">
      <c r="A11" s="9" t="s">
        <v>245</v>
      </c>
      <c r="B11" s="15">
        <v>96</v>
      </c>
      <c r="C11" s="24">
        <v>100</v>
      </c>
    </row>
    <row r="12" spans="1:3">
      <c r="A12" s="9" t="s">
        <v>246</v>
      </c>
      <c r="B12" s="15">
        <v>78</v>
      </c>
      <c r="C12" s="24">
        <v>100</v>
      </c>
    </row>
    <row r="13" spans="1:3">
      <c r="A13" s="9" t="s">
        <v>247</v>
      </c>
      <c r="B13" s="15">
        <v>76</v>
      </c>
      <c r="C13" s="24">
        <v>100</v>
      </c>
    </row>
    <row r="14" spans="1:3">
      <c r="A14" s="9" t="s">
        <v>248</v>
      </c>
      <c r="B14" s="15">
        <v>96</v>
      </c>
      <c r="C14" s="24">
        <v>100</v>
      </c>
    </row>
    <row r="15" spans="1:3">
      <c r="A15" s="9" t="s">
        <v>249</v>
      </c>
      <c r="B15" s="15">
        <v>90</v>
      </c>
      <c r="C15" s="24">
        <v>100</v>
      </c>
    </row>
    <row r="16" spans="1:3">
      <c r="A16" s="9" t="s">
        <v>250</v>
      </c>
      <c r="B16" s="15">
        <v>95</v>
      </c>
      <c r="C16" s="24">
        <v>100</v>
      </c>
    </row>
    <row r="17" spans="1:3">
      <c r="A17" s="11" t="s">
        <v>251</v>
      </c>
      <c r="B17" s="16">
        <v>90</v>
      </c>
      <c r="C17" s="25">
        <v>100</v>
      </c>
    </row>
    <row r="18" spans="1:3" ht="30" customHeight="1">
      <c r="A18" t="s">
        <v>144</v>
      </c>
    </row>
    <row r="19" spans="1:3">
      <c r="A19" t="s">
        <v>585</v>
      </c>
    </row>
    <row r="20" spans="1:3">
      <c r="A20" t="s">
        <v>586</v>
      </c>
    </row>
    <row r="21" spans="1:3">
      <c r="A21" t="s">
        <v>587</v>
      </c>
    </row>
    <row r="22" spans="1:3">
      <c r="A2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61"/>
  <sheetViews>
    <sheetView zoomScale="70" workbookViewId="0"/>
  </sheetViews>
  <sheetFormatPr defaultColWidth="10.88671875" defaultRowHeight="15"/>
  <cols>
    <col min="1" max="1" width="77.6640625" customWidth="1"/>
    <col min="2" max="8" width="15.88671875" customWidth="1"/>
  </cols>
  <sheetData>
    <row r="1" spans="1:8" ht="39.950000000000003" customHeight="1">
      <c r="A1" s="10" t="s">
        <v>588</v>
      </c>
      <c r="B1" s="12"/>
      <c r="C1" s="12"/>
      <c r="D1" s="12"/>
      <c r="E1" s="12"/>
      <c r="F1" s="12"/>
      <c r="G1" s="12"/>
      <c r="H1" s="12"/>
    </row>
    <row r="2" spans="1:8" ht="60">
      <c r="A2" s="7" t="s">
        <v>52</v>
      </c>
      <c r="B2" s="6" t="s">
        <v>589</v>
      </c>
      <c r="C2" s="6" t="s">
        <v>590</v>
      </c>
      <c r="D2" s="6" t="s">
        <v>591</v>
      </c>
      <c r="E2" s="6" t="s">
        <v>592</v>
      </c>
      <c r="F2" s="6" t="s">
        <v>593</v>
      </c>
      <c r="G2" s="6" t="s">
        <v>594</v>
      </c>
      <c r="H2" s="8" t="s">
        <v>595</v>
      </c>
    </row>
    <row r="3" spans="1:8">
      <c r="A3" s="39" t="s">
        <v>428</v>
      </c>
      <c r="B3" s="15"/>
      <c r="C3" s="15"/>
      <c r="D3" s="15"/>
      <c r="E3" s="15"/>
      <c r="F3" s="15"/>
      <c r="G3" s="15"/>
      <c r="H3" s="24"/>
    </row>
    <row r="4" spans="1:8">
      <c r="A4" s="9" t="s">
        <v>429</v>
      </c>
      <c r="B4" s="15">
        <v>54.061763319189097</v>
      </c>
      <c r="C4" s="15">
        <v>1.98019801980198</v>
      </c>
      <c r="D4" s="15">
        <v>36.301272984441297</v>
      </c>
      <c r="E4" s="15">
        <v>36.004243281470998</v>
      </c>
      <c r="F4" s="15">
        <v>42.398632720414902</v>
      </c>
      <c r="G4" s="15">
        <v>49.081801037246599</v>
      </c>
      <c r="H4" s="24">
        <v>44.585101367279599</v>
      </c>
    </row>
    <row r="5" spans="1:8">
      <c r="A5" s="9" t="s">
        <v>430</v>
      </c>
      <c r="B5" s="15">
        <v>96.212871287128706</v>
      </c>
      <c r="C5" s="15">
        <v>63.268505421970801</v>
      </c>
      <c r="D5" s="15">
        <v>92.128712871287107</v>
      </c>
      <c r="E5" s="15">
        <v>93.242574257425701</v>
      </c>
      <c r="F5" s="15">
        <v>92.004950495049499</v>
      </c>
      <c r="G5" s="15">
        <v>88.828382838283801</v>
      </c>
      <c r="H5" s="24">
        <v>83.229608675153202</v>
      </c>
    </row>
    <row r="6" spans="1:8">
      <c r="A6" s="9" t="s">
        <v>431</v>
      </c>
      <c r="B6" s="15">
        <v>82.9903347477605</v>
      </c>
      <c r="C6" s="15">
        <v>33.684582743988699</v>
      </c>
      <c r="D6" s="15">
        <v>82.000235737859498</v>
      </c>
      <c r="E6" s="15">
        <v>80.515087223007995</v>
      </c>
      <c r="F6" s="15">
        <v>75.988920320603498</v>
      </c>
      <c r="G6" s="15">
        <v>55.838048090523301</v>
      </c>
      <c r="H6" s="24">
        <v>50.392503536067899</v>
      </c>
    </row>
    <row r="7" spans="1:8">
      <c r="A7" s="9" t="s">
        <v>272</v>
      </c>
      <c r="B7" s="15">
        <v>13.358085808580899</v>
      </c>
      <c r="C7" s="15">
        <v>2.6402640264026398</v>
      </c>
      <c r="D7" s="15">
        <v>7.8712871287128703</v>
      </c>
      <c r="E7" s="15">
        <v>6.7161716171617201</v>
      </c>
      <c r="F7" s="15">
        <v>7.7062706270627102</v>
      </c>
      <c r="G7" s="15">
        <v>10.5528052805281</v>
      </c>
      <c r="H7" s="24">
        <v>8.8201320132013201</v>
      </c>
    </row>
    <row r="8" spans="1:8">
      <c r="A8" s="9" t="s">
        <v>432</v>
      </c>
      <c r="B8" s="15">
        <v>8.5985384252710997</v>
      </c>
      <c r="C8" s="15">
        <v>2.4752475247524801</v>
      </c>
      <c r="D8" s="15">
        <v>7.4846770391324799</v>
      </c>
      <c r="E8" s="15">
        <v>5.25695426685526</v>
      </c>
      <c r="F8" s="15">
        <v>5.25695426685526</v>
      </c>
      <c r="G8" s="15">
        <v>4.6499292786421504</v>
      </c>
      <c r="H8" s="24">
        <v>5.1449787835926504</v>
      </c>
    </row>
    <row r="9" spans="1:8">
      <c r="A9" s="9" t="s">
        <v>433</v>
      </c>
      <c r="B9" s="15">
        <v>8.2920792079207892</v>
      </c>
      <c r="C9" s="15">
        <v>0</v>
      </c>
      <c r="D9" s="15">
        <v>4.6204620462046204</v>
      </c>
      <c r="E9" s="15">
        <v>3.1353135313531402</v>
      </c>
      <c r="F9" s="15">
        <v>1.6501650165016499</v>
      </c>
      <c r="G9" s="15">
        <v>3.6716171617161701</v>
      </c>
      <c r="H9" s="24">
        <v>2.4339933993399301</v>
      </c>
    </row>
    <row r="10" spans="1:8">
      <c r="A10" s="9" t="s">
        <v>434</v>
      </c>
      <c r="B10" s="15">
        <v>26.3790664780764</v>
      </c>
      <c r="C10" s="15">
        <v>9.2821782178217802</v>
      </c>
      <c r="D10" s="15">
        <v>23.037482319660501</v>
      </c>
      <c r="E10" s="15">
        <v>23.037482319660501</v>
      </c>
      <c r="F10" s="15">
        <v>23.037482319660501</v>
      </c>
      <c r="G10" s="15">
        <v>18.4700612918435</v>
      </c>
      <c r="H10" s="24">
        <v>17.727487034417699</v>
      </c>
    </row>
    <row r="11" spans="1:8">
      <c r="A11" s="9" t="s">
        <v>435</v>
      </c>
      <c r="B11" s="15">
        <v>25.542197076850499</v>
      </c>
      <c r="C11" s="15">
        <v>0.56577086280056599</v>
      </c>
      <c r="D11" s="15">
        <v>14.6923620933522</v>
      </c>
      <c r="E11" s="15">
        <v>15.6824611032532</v>
      </c>
      <c r="F11" s="15">
        <v>17.8276756247053</v>
      </c>
      <c r="G11" s="15">
        <v>22.006129184346999</v>
      </c>
      <c r="H11" s="24">
        <v>21.511079679396499</v>
      </c>
    </row>
    <row r="12" spans="1:8">
      <c r="A12" s="9" t="s">
        <v>436</v>
      </c>
      <c r="B12" s="15">
        <v>29.646393210749601</v>
      </c>
      <c r="C12" s="15">
        <v>9.8361621876473393</v>
      </c>
      <c r="D12" s="15">
        <v>27.542432814710001</v>
      </c>
      <c r="E12" s="15">
        <v>25.3972182932579</v>
      </c>
      <c r="F12" s="15">
        <v>24.2090994813767</v>
      </c>
      <c r="G12" s="15">
        <v>19.1100895803866</v>
      </c>
      <c r="H12" s="24">
        <v>17.872465818010401</v>
      </c>
    </row>
    <row r="13" spans="1:8">
      <c r="A13" s="9" t="s">
        <v>437</v>
      </c>
      <c r="B13" s="15">
        <v>74.040546911833999</v>
      </c>
      <c r="C13" s="15">
        <v>17.562470532767598</v>
      </c>
      <c r="D13" s="15">
        <v>29.184347006129201</v>
      </c>
      <c r="E13" s="15">
        <v>33.639792550683602</v>
      </c>
      <c r="F13" s="15">
        <v>47.934936350777903</v>
      </c>
      <c r="G13" s="15">
        <v>71.936586515794403</v>
      </c>
      <c r="H13" s="24">
        <v>71.070249882131094</v>
      </c>
    </row>
    <row r="14" spans="1:8">
      <c r="A14" s="9" t="s">
        <v>438</v>
      </c>
      <c r="B14" s="15">
        <v>51.247053276756198</v>
      </c>
      <c r="C14" s="15">
        <v>3.1353135313531402</v>
      </c>
      <c r="D14" s="15">
        <v>29.649929278642201</v>
      </c>
      <c r="E14" s="15">
        <v>25.607024988213102</v>
      </c>
      <c r="F14" s="15">
        <v>30.351249410655399</v>
      </c>
      <c r="G14" s="15">
        <v>43.420556341348401</v>
      </c>
      <c r="H14" s="24">
        <v>40.499764262140502</v>
      </c>
    </row>
    <row r="15" spans="1:8">
      <c r="A15" s="39" t="s">
        <v>439</v>
      </c>
      <c r="B15" s="15"/>
      <c r="C15" s="15"/>
      <c r="D15" s="15"/>
      <c r="E15" s="15"/>
      <c r="F15" s="15"/>
      <c r="G15" s="15"/>
      <c r="H15" s="24"/>
    </row>
    <row r="16" spans="1:8">
      <c r="A16" s="9" t="s">
        <v>259</v>
      </c>
      <c r="B16" s="15">
        <v>97.450495049504994</v>
      </c>
      <c r="C16" s="15">
        <v>45.4926921263555</v>
      </c>
      <c r="D16" s="15">
        <v>96.955445544554493</v>
      </c>
      <c r="E16" s="15">
        <v>95.965346534653506</v>
      </c>
      <c r="F16" s="15">
        <v>93.242574257425701</v>
      </c>
      <c r="G16" s="15">
        <v>76.298915605846304</v>
      </c>
      <c r="H16" s="24">
        <v>60.632956152758098</v>
      </c>
    </row>
    <row r="17" spans="1:8">
      <c r="A17" s="9" t="s">
        <v>260</v>
      </c>
      <c r="B17" s="15">
        <v>90.7378595002357</v>
      </c>
      <c r="C17" s="15">
        <v>47.439886845827402</v>
      </c>
      <c r="D17" s="15">
        <v>67.408062234794897</v>
      </c>
      <c r="E17" s="15">
        <v>69.586280056577095</v>
      </c>
      <c r="F17" s="15">
        <v>82.115747289014607</v>
      </c>
      <c r="G17" s="15">
        <v>89.128948609146605</v>
      </c>
      <c r="H17" s="24">
        <v>87.396275341819901</v>
      </c>
    </row>
    <row r="18" spans="1:8">
      <c r="A18" s="9" t="s">
        <v>440</v>
      </c>
      <c r="B18" s="15">
        <v>96.4191419141914</v>
      </c>
      <c r="C18" s="15">
        <v>67.210042432814703</v>
      </c>
      <c r="D18" s="15">
        <v>93.820132013201302</v>
      </c>
      <c r="E18" s="15">
        <v>94.315181518151803</v>
      </c>
      <c r="F18" s="15">
        <v>95.305280528052805</v>
      </c>
      <c r="G18" s="15">
        <v>93.118811881188094</v>
      </c>
      <c r="H18" s="24">
        <v>85.188590287600206</v>
      </c>
    </row>
    <row r="19" spans="1:8">
      <c r="A19" s="9" t="s">
        <v>261</v>
      </c>
      <c r="B19" s="15">
        <v>94.034653465346494</v>
      </c>
      <c r="C19" s="15">
        <v>40.8309759547383</v>
      </c>
      <c r="D19" s="15">
        <v>81.010136727958496</v>
      </c>
      <c r="E19" s="15">
        <v>84.970532767562503</v>
      </c>
      <c r="F19" s="15">
        <v>89.590994813767097</v>
      </c>
      <c r="G19" s="15">
        <v>90.869872701555906</v>
      </c>
      <c r="H19" s="24">
        <v>85.927628477133396</v>
      </c>
    </row>
    <row r="20" spans="1:8">
      <c r="A20" s="9" t="s">
        <v>441</v>
      </c>
      <c r="B20" s="15">
        <v>4.4943422913719902</v>
      </c>
      <c r="C20" s="15">
        <v>0</v>
      </c>
      <c r="D20" s="15">
        <v>2.1923620933521901</v>
      </c>
      <c r="E20" s="15">
        <v>3.0091937765205099</v>
      </c>
      <c r="F20" s="15">
        <v>2.1216407355021198</v>
      </c>
      <c r="G20" s="15">
        <v>0.49504950495049499</v>
      </c>
      <c r="H20" s="24">
        <v>0.99009900990098998</v>
      </c>
    </row>
    <row r="21" spans="1:8">
      <c r="A21" s="9" t="s">
        <v>270</v>
      </c>
      <c r="B21" s="15">
        <v>84.528524280999505</v>
      </c>
      <c r="C21" s="15">
        <v>16.019566242338499</v>
      </c>
      <c r="D21" s="15">
        <v>82.548326261197502</v>
      </c>
      <c r="E21" s="15">
        <v>81.805752003771801</v>
      </c>
      <c r="F21" s="15">
        <v>80.815652993870799</v>
      </c>
      <c r="G21" s="15">
        <v>65.1214049976426</v>
      </c>
      <c r="H21" s="24">
        <v>52.629655822725098</v>
      </c>
    </row>
    <row r="22" spans="1:8">
      <c r="A22" s="9" t="s">
        <v>272</v>
      </c>
      <c r="B22" s="15">
        <v>13.358085808580899</v>
      </c>
      <c r="C22" s="15">
        <v>2.6402640264026398</v>
      </c>
      <c r="D22" s="15">
        <v>7.8712871287128703</v>
      </c>
      <c r="E22" s="15">
        <v>6.7161716171617201</v>
      </c>
      <c r="F22" s="15">
        <v>7.7062706270627102</v>
      </c>
      <c r="G22" s="15">
        <v>10.5528052805281</v>
      </c>
      <c r="H22" s="24">
        <v>8.8201320132013201</v>
      </c>
    </row>
    <row r="23" spans="1:8">
      <c r="A23" s="9" t="s">
        <v>274</v>
      </c>
      <c r="B23" s="15">
        <v>79.416548797736894</v>
      </c>
      <c r="C23" s="15">
        <v>46.184582743988699</v>
      </c>
      <c r="D23" s="15">
        <v>68.710513908533699</v>
      </c>
      <c r="E23" s="15">
        <v>67.225365393682196</v>
      </c>
      <c r="F23" s="15">
        <v>72.959688826025499</v>
      </c>
      <c r="G23" s="15">
        <v>74.507307873644507</v>
      </c>
      <c r="H23" s="24">
        <v>73.322725129655794</v>
      </c>
    </row>
    <row r="24" spans="1:8">
      <c r="A24" s="9" t="s">
        <v>279</v>
      </c>
      <c r="B24" s="15">
        <v>98.069306930693102</v>
      </c>
      <c r="C24" s="15">
        <v>64.148986327204099</v>
      </c>
      <c r="D24" s="15">
        <v>95.965346534653506</v>
      </c>
      <c r="E24" s="15">
        <v>96.460396039603907</v>
      </c>
      <c r="F24" s="15">
        <v>96.460396039603907</v>
      </c>
      <c r="G24" s="15">
        <v>97.079207920792101</v>
      </c>
      <c r="H24" s="24">
        <v>93.501885902875998</v>
      </c>
    </row>
    <row r="25" spans="1:8">
      <c r="A25" s="9" t="s">
        <v>281</v>
      </c>
      <c r="B25" s="15">
        <v>2.4752475247524801</v>
      </c>
      <c r="C25" s="15">
        <v>0</v>
      </c>
      <c r="D25" s="15">
        <v>2.4752475247524801</v>
      </c>
      <c r="E25" s="15">
        <v>1.98019801980198</v>
      </c>
      <c r="F25" s="15">
        <v>2.4752475247524801</v>
      </c>
      <c r="G25" s="15">
        <v>0.99009900990098998</v>
      </c>
      <c r="H25" s="24">
        <v>1.48514851485149</v>
      </c>
    </row>
    <row r="26" spans="1:8">
      <c r="A26" s="9" t="s">
        <v>442</v>
      </c>
      <c r="B26" s="15">
        <v>71.289486091466301</v>
      </c>
      <c r="C26" s="15">
        <v>14.8844884488449</v>
      </c>
      <c r="D26" s="15">
        <v>69.804337576614799</v>
      </c>
      <c r="E26" s="15">
        <v>69.804337576614799</v>
      </c>
      <c r="F26" s="15">
        <v>69.114804337576601</v>
      </c>
      <c r="G26" s="15">
        <v>51.481612446958998</v>
      </c>
      <c r="H26" s="24">
        <v>48.263790664780799</v>
      </c>
    </row>
    <row r="27" spans="1:8">
      <c r="A27" s="9" t="s">
        <v>287</v>
      </c>
      <c r="B27" s="15">
        <v>4.7241867043847199</v>
      </c>
      <c r="C27" s="15">
        <v>0.69306930693069302</v>
      </c>
      <c r="D27" s="15">
        <v>2.6732673267326699</v>
      </c>
      <c r="E27" s="15">
        <v>2.6732673267326699</v>
      </c>
      <c r="F27" s="15">
        <v>2.24893917963225</v>
      </c>
      <c r="G27" s="15">
        <v>2.7439886845827401</v>
      </c>
      <c r="H27" s="24">
        <v>3.2390381895332401</v>
      </c>
    </row>
    <row r="28" spans="1:8">
      <c r="A28" s="9" t="s">
        <v>443</v>
      </c>
      <c r="B28" s="15">
        <v>38.870815652993898</v>
      </c>
      <c r="C28" s="15">
        <v>8.9851485148514794</v>
      </c>
      <c r="D28" s="15">
        <v>37.314945780292298</v>
      </c>
      <c r="E28" s="15">
        <v>29.270391324846798</v>
      </c>
      <c r="F28" s="15">
        <v>26.535832154644002</v>
      </c>
      <c r="G28" s="15">
        <v>17.017916077321999</v>
      </c>
      <c r="H28" s="24">
        <v>16.522866572371498</v>
      </c>
    </row>
    <row r="29" spans="1:8">
      <c r="A29" s="9" t="s">
        <v>291</v>
      </c>
      <c r="B29" s="15">
        <v>93.708156529938705</v>
      </c>
      <c r="C29" s="15">
        <v>9.1053748231966107</v>
      </c>
      <c r="D29" s="15">
        <v>92.594295143800096</v>
      </c>
      <c r="E29" s="15">
        <v>91.604196133899094</v>
      </c>
      <c r="F29" s="15">
        <v>92.099245638849595</v>
      </c>
      <c r="G29" s="15">
        <v>87.520037718057495</v>
      </c>
      <c r="H29" s="24">
        <v>84.178453559641696</v>
      </c>
    </row>
    <row r="30" spans="1:8">
      <c r="A30" s="9" t="s">
        <v>444</v>
      </c>
      <c r="B30" s="15">
        <v>11.696133899104201</v>
      </c>
      <c r="C30" s="15">
        <v>0.49504950495049499</v>
      </c>
      <c r="D30" s="15">
        <v>9.0558698727015496</v>
      </c>
      <c r="E30" s="15">
        <v>9.5509193776520505</v>
      </c>
      <c r="F30" s="15">
        <v>9.5509193776520505</v>
      </c>
      <c r="G30" s="15">
        <v>9.7159358793022204</v>
      </c>
      <c r="H30" s="24">
        <v>8.2307873644507303</v>
      </c>
    </row>
    <row r="31" spans="1:8">
      <c r="A31" s="9" t="s">
        <v>445</v>
      </c>
      <c r="B31" s="15">
        <v>93.881423856671404</v>
      </c>
      <c r="C31" s="15">
        <v>42.4611032531825</v>
      </c>
      <c r="D31" s="15">
        <v>92.231258840169701</v>
      </c>
      <c r="E31" s="15">
        <v>92.396275341819901</v>
      </c>
      <c r="F31" s="15">
        <v>91.4061763319189</v>
      </c>
      <c r="G31" s="15">
        <v>83.909712399811397</v>
      </c>
      <c r="H31" s="24">
        <v>80.621169259783102</v>
      </c>
    </row>
    <row r="32" spans="1:8">
      <c r="A32" s="9" t="s">
        <v>303</v>
      </c>
      <c r="B32" s="15">
        <v>5.3630363036303601</v>
      </c>
      <c r="C32" s="15">
        <v>0.49504950495049499</v>
      </c>
      <c r="D32" s="15">
        <v>1.73267326732673</v>
      </c>
      <c r="E32" s="15">
        <v>2.2277227722772301</v>
      </c>
      <c r="F32" s="15">
        <v>1.73267326732673</v>
      </c>
      <c r="G32" s="15">
        <v>4.7442244224422403</v>
      </c>
      <c r="H32" s="24">
        <v>4.2491749174917501</v>
      </c>
    </row>
    <row r="33" spans="1:8">
      <c r="A33" s="9" t="s">
        <v>446</v>
      </c>
      <c r="B33" s="15">
        <v>47.946723243752899</v>
      </c>
      <c r="C33" s="15">
        <v>7.3762376237623801</v>
      </c>
      <c r="D33" s="15">
        <v>19.121876473361599</v>
      </c>
      <c r="E33" s="15">
        <v>18.131777463460601</v>
      </c>
      <c r="F33" s="15">
        <v>27.537718057519999</v>
      </c>
      <c r="G33" s="15">
        <v>43.903818953323899</v>
      </c>
      <c r="H33" s="24">
        <v>43.656294200848698</v>
      </c>
    </row>
    <row r="34" spans="1:8">
      <c r="A34" s="9" t="s">
        <v>447</v>
      </c>
      <c r="B34" s="15">
        <v>68.480669495520999</v>
      </c>
      <c r="C34" s="15">
        <v>33.8495992456388</v>
      </c>
      <c r="D34" s="15">
        <v>61.013672795851001</v>
      </c>
      <c r="E34" s="15">
        <v>62.045025931164503</v>
      </c>
      <c r="F34" s="15">
        <v>62.870108439415397</v>
      </c>
      <c r="G34" s="15">
        <v>58.809523809523803</v>
      </c>
      <c r="H34" s="24">
        <v>56.086751532296098</v>
      </c>
    </row>
    <row r="35" spans="1:8">
      <c r="A35" s="9" t="s">
        <v>310</v>
      </c>
      <c r="B35" s="15">
        <v>3.71287128712871</v>
      </c>
      <c r="C35" s="15">
        <v>0</v>
      </c>
      <c r="D35" s="15">
        <v>3.2178217821782198</v>
      </c>
      <c r="E35" s="15">
        <v>1.2376237623762401</v>
      </c>
      <c r="F35" s="15">
        <v>0.99009900990098998</v>
      </c>
      <c r="G35" s="15">
        <v>0.49504950495049499</v>
      </c>
      <c r="H35" s="24">
        <v>0.99009900990098998</v>
      </c>
    </row>
    <row r="36" spans="1:8">
      <c r="A36" s="9" t="s">
        <v>311</v>
      </c>
      <c r="B36" s="15">
        <v>53.629184347006102</v>
      </c>
      <c r="C36" s="15">
        <v>6.5181518151815201</v>
      </c>
      <c r="D36" s="15">
        <v>18.945073078736399</v>
      </c>
      <c r="E36" s="15">
        <v>20.760254596888299</v>
      </c>
      <c r="F36" s="15">
        <v>31.6395568128241</v>
      </c>
      <c r="G36" s="15">
        <v>47.708628005657701</v>
      </c>
      <c r="H36" s="24">
        <v>45.480905233380497</v>
      </c>
    </row>
    <row r="37" spans="1:8">
      <c r="A37" s="9" t="s">
        <v>448</v>
      </c>
      <c r="B37" s="15">
        <v>10.3677510608204</v>
      </c>
      <c r="C37" s="15">
        <v>1.11386138613861</v>
      </c>
      <c r="D37" s="15">
        <v>7.8512494106553499</v>
      </c>
      <c r="E37" s="15">
        <v>7.3231966053748199</v>
      </c>
      <c r="F37" s="15">
        <v>9.6746817538896792</v>
      </c>
      <c r="G37" s="15">
        <v>4.2079207920792099</v>
      </c>
      <c r="H37" s="24">
        <v>4.7029702970297</v>
      </c>
    </row>
    <row r="38" spans="1:8">
      <c r="A38" s="39" t="s">
        <v>449</v>
      </c>
      <c r="B38" s="15"/>
      <c r="C38" s="15"/>
      <c r="D38" s="15"/>
      <c r="E38" s="15"/>
      <c r="F38" s="15"/>
      <c r="G38" s="15"/>
      <c r="H38" s="24"/>
    </row>
    <row r="39" spans="1:8">
      <c r="A39" s="9" t="s">
        <v>273</v>
      </c>
      <c r="B39" s="15">
        <v>70.952380952380906</v>
      </c>
      <c r="C39" s="15">
        <v>3.66336633663366</v>
      </c>
      <c r="D39" s="15">
        <v>65.259311645450296</v>
      </c>
      <c r="E39" s="15">
        <v>62.495285242809999</v>
      </c>
      <c r="F39" s="15">
        <v>61.805752003771801</v>
      </c>
      <c r="G39" s="15">
        <v>48.681046676096202</v>
      </c>
      <c r="H39" s="24">
        <v>41.923620933521903</v>
      </c>
    </row>
    <row r="40" spans="1:8">
      <c r="A40" s="9" t="s">
        <v>282</v>
      </c>
      <c r="B40" s="15">
        <v>86.146864686468604</v>
      </c>
      <c r="C40" s="15">
        <v>12.1086751532296</v>
      </c>
      <c r="D40" s="15">
        <v>83.972182932579003</v>
      </c>
      <c r="E40" s="15">
        <v>82.227722772277204</v>
      </c>
      <c r="F40" s="15">
        <v>69.268033946251805</v>
      </c>
      <c r="G40" s="15">
        <v>28.0622347949081</v>
      </c>
      <c r="H40" s="24">
        <v>26.082036775106101</v>
      </c>
    </row>
    <row r="41" spans="1:8">
      <c r="A41" s="9" t="s">
        <v>450</v>
      </c>
      <c r="B41" s="15">
        <v>5.3960396039603999</v>
      </c>
      <c r="C41" s="15">
        <v>0</v>
      </c>
      <c r="D41" s="15">
        <v>3.1683168316831698</v>
      </c>
      <c r="E41" s="15">
        <v>2.4752475247524801</v>
      </c>
      <c r="F41" s="15">
        <v>3.2178217821782198</v>
      </c>
      <c r="G41" s="15">
        <v>1.48514851485149</v>
      </c>
      <c r="H41" s="24">
        <v>0.99009900990098998</v>
      </c>
    </row>
    <row r="42" spans="1:8">
      <c r="A42" s="39" t="s">
        <v>451</v>
      </c>
      <c r="B42" s="15"/>
      <c r="C42" s="15"/>
      <c r="D42" s="15"/>
      <c r="E42" s="15"/>
      <c r="F42" s="15"/>
      <c r="G42" s="15"/>
      <c r="H42" s="24"/>
    </row>
    <row r="43" spans="1:8">
      <c r="A43" s="9" t="s">
        <v>452</v>
      </c>
      <c r="B43" s="15">
        <v>2.1039603960396001</v>
      </c>
      <c r="C43" s="15">
        <v>0</v>
      </c>
      <c r="D43" s="15">
        <v>2.1039603960396001</v>
      </c>
      <c r="E43" s="15">
        <v>0</v>
      </c>
      <c r="F43" s="15">
        <v>0</v>
      </c>
      <c r="G43" s="15">
        <v>0</v>
      </c>
      <c r="H43" s="24">
        <v>0</v>
      </c>
    </row>
    <row r="44" spans="1:8">
      <c r="A44" s="9" t="s">
        <v>453</v>
      </c>
      <c r="B44" s="15">
        <v>2.5990099009901</v>
      </c>
      <c r="C44" s="15">
        <v>0</v>
      </c>
      <c r="D44" s="15">
        <v>1.11386138613861</v>
      </c>
      <c r="E44" s="15">
        <v>0</v>
      </c>
      <c r="F44" s="15">
        <v>1.48514851485149</v>
      </c>
      <c r="G44" s="15">
        <v>0.49504950495049499</v>
      </c>
      <c r="H44" s="24">
        <v>0</v>
      </c>
    </row>
    <row r="45" spans="1:8">
      <c r="A45" s="9" t="s">
        <v>269</v>
      </c>
      <c r="B45" s="15">
        <v>8.6633663366336595</v>
      </c>
      <c r="C45" s="15">
        <v>0</v>
      </c>
      <c r="D45" s="15">
        <v>5.0330033003300301</v>
      </c>
      <c r="E45" s="15">
        <v>5.0330033003300301</v>
      </c>
      <c r="F45" s="15">
        <v>2.6815181518151801</v>
      </c>
      <c r="G45" s="15">
        <v>3.7541254125412502</v>
      </c>
      <c r="H45" s="24">
        <v>3.0115511551155101</v>
      </c>
    </row>
    <row r="46" spans="1:8">
      <c r="A46" s="9" t="s">
        <v>290</v>
      </c>
      <c r="B46" s="15">
        <v>9.4884488448844895</v>
      </c>
      <c r="C46" s="15">
        <v>2.1452145214521501</v>
      </c>
      <c r="D46" s="15">
        <v>6.0231023102310202</v>
      </c>
      <c r="E46" s="15">
        <v>6.7656765676567696</v>
      </c>
      <c r="F46" s="15">
        <v>6.0231023102310202</v>
      </c>
      <c r="G46" s="15">
        <v>5.52805280528053</v>
      </c>
      <c r="H46" s="24">
        <v>6.0231023102310202</v>
      </c>
    </row>
    <row r="47" spans="1:8">
      <c r="A47" s="9" t="s">
        <v>454</v>
      </c>
      <c r="B47" s="15">
        <v>50.810938236680798</v>
      </c>
      <c r="C47" s="15">
        <v>6.0938236680810904</v>
      </c>
      <c r="D47" s="15">
        <v>47.675624705327699</v>
      </c>
      <c r="E47" s="15">
        <v>45.583451202263099</v>
      </c>
      <c r="F47" s="15">
        <v>36.466289486091497</v>
      </c>
      <c r="G47" s="15">
        <v>19.4931636020745</v>
      </c>
      <c r="H47" s="24">
        <v>15.3677510608204</v>
      </c>
    </row>
    <row r="48" spans="1:8">
      <c r="A48" s="9" t="s">
        <v>455</v>
      </c>
      <c r="B48" s="15">
        <v>0.49504950495049499</v>
      </c>
      <c r="C48" s="15">
        <v>0</v>
      </c>
      <c r="D48" s="15">
        <v>0</v>
      </c>
      <c r="E48" s="15">
        <v>0</v>
      </c>
      <c r="F48" s="15">
        <v>0.49504950495049499</v>
      </c>
      <c r="G48" s="15">
        <v>0</v>
      </c>
      <c r="H48" s="24">
        <v>0</v>
      </c>
    </row>
    <row r="49" spans="1:8">
      <c r="A49" s="9" t="s">
        <v>288</v>
      </c>
      <c r="B49" s="15">
        <v>23.2355021216407</v>
      </c>
      <c r="C49" s="15">
        <v>0.99009900990098998</v>
      </c>
      <c r="D49" s="15">
        <v>12.600188590287599</v>
      </c>
      <c r="E49" s="15">
        <v>11.6925978312117</v>
      </c>
      <c r="F49" s="15">
        <v>15.438472418670401</v>
      </c>
      <c r="G49" s="15">
        <v>7.2194719471947204</v>
      </c>
      <c r="H49" s="24">
        <v>6.4768976897689798</v>
      </c>
    </row>
    <row r="50" spans="1:8">
      <c r="A50" s="9" t="s">
        <v>292</v>
      </c>
      <c r="B50" s="15">
        <v>1.6089108910891099</v>
      </c>
      <c r="C50" s="15">
        <v>0</v>
      </c>
      <c r="D50" s="15">
        <v>1.11386138613861</v>
      </c>
      <c r="E50" s="15">
        <v>0.49504950495049499</v>
      </c>
      <c r="F50" s="15">
        <v>0</v>
      </c>
      <c r="G50" s="15">
        <v>0</v>
      </c>
      <c r="H50" s="24">
        <v>0</v>
      </c>
    </row>
    <row r="51" spans="1:8">
      <c r="A51" s="9" t="s">
        <v>293</v>
      </c>
      <c r="B51" s="15">
        <v>8.1683168316831694</v>
      </c>
      <c r="C51" s="15">
        <v>0.61881188118811903</v>
      </c>
      <c r="D51" s="15">
        <v>4.8267326732673297</v>
      </c>
      <c r="E51" s="15">
        <v>6.0643564356435604</v>
      </c>
      <c r="F51" s="15">
        <v>6.9306930693069297</v>
      </c>
      <c r="G51" s="15">
        <v>1.11386138613861</v>
      </c>
      <c r="H51" s="24">
        <v>1.11386138613861</v>
      </c>
    </row>
    <row r="52" spans="1:8">
      <c r="A52" s="9" t="s">
        <v>295</v>
      </c>
      <c r="B52" s="15">
        <v>1.98019801980198</v>
      </c>
      <c r="C52" s="15">
        <v>0</v>
      </c>
      <c r="D52" s="15">
        <v>0</v>
      </c>
      <c r="E52" s="15">
        <v>0.49504950495049499</v>
      </c>
      <c r="F52" s="15">
        <v>0.49504950495049499</v>
      </c>
      <c r="G52" s="15">
        <v>1.48514851485149</v>
      </c>
      <c r="H52" s="24">
        <v>1.48514851485149</v>
      </c>
    </row>
    <row r="53" spans="1:8">
      <c r="A53" s="9" t="s">
        <v>300</v>
      </c>
      <c r="B53" s="15">
        <v>1.11386138613861</v>
      </c>
      <c r="C53" s="15">
        <v>0</v>
      </c>
      <c r="D53" s="15">
        <v>0.61881188118811903</v>
      </c>
      <c r="E53" s="15">
        <v>0.61881188118811903</v>
      </c>
      <c r="F53" s="15">
        <v>1.11386138613861</v>
      </c>
      <c r="G53" s="15">
        <v>0.61881188118811903</v>
      </c>
      <c r="H53" s="24">
        <v>0</v>
      </c>
    </row>
    <row r="54" spans="1:8">
      <c r="A54" s="9" t="s">
        <v>301</v>
      </c>
      <c r="B54" s="15">
        <v>3.53606789250354</v>
      </c>
      <c r="C54" s="15">
        <v>0</v>
      </c>
      <c r="D54" s="15">
        <v>1.98019801980198</v>
      </c>
      <c r="E54" s="15">
        <v>1.98019801980198</v>
      </c>
      <c r="F54" s="15">
        <v>1.98019801980198</v>
      </c>
      <c r="G54" s="15">
        <v>1.0608203677510599</v>
      </c>
      <c r="H54" s="24">
        <v>0</v>
      </c>
    </row>
    <row r="55" spans="1:8">
      <c r="A55" s="9" t="s">
        <v>456</v>
      </c>
      <c r="B55" s="15">
        <v>2.4752475247524801</v>
      </c>
      <c r="C55" s="15">
        <v>1.48514851485149</v>
      </c>
      <c r="D55" s="15">
        <v>1.48514851485149</v>
      </c>
      <c r="E55" s="15">
        <v>1.98019801980198</v>
      </c>
      <c r="F55" s="15">
        <v>1.98019801980198</v>
      </c>
      <c r="G55" s="15">
        <v>1.98019801980198</v>
      </c>
      <c r="H55" s="24">
        <v>2.4752475247524801</v>
      </c>
    </row>
    <row r="56" spans="1:8">
      <c r="A56" s="11" t="s">
        <v>304</v>
      </c>
      <c r="B56" s="16">
        <v>2.4752475247524801</v>
      </c>
      <c r="C56" s="16">
        <v>0</v>
      </c>
      <c r="D56" s="16">
        <v>0.99009900990098998</v>
      </c>
      <c r="E56" s="16">
        <v>0.99009900990098998</v>
      </c>
      <c r="F56" s="16">
        <v>1.98019801980198</v>
      </c>
      <c r="G56" s="16">
        <v>0.99009900990098998</v>
      </c>
      <c r="H56" s="25">
        <v>0.99009900990098998</v>
      </c>
    </row>
    <row r="57" spans="1:8" ht="30" customHeight="1">
      <c r="A57" t="s">
        <v>144</v>
      </c>
    </row>
    <row r="58" spans="1:8">
      <c r="A58" t="s">
        <v>585</v>
      </c>
    </row>
    <row r="59" spans="1:8">
      <c r="A59" t="s">
        <v>586</v>
      </c>
    </row>
    <row r="60" spans="1:8">
      <c r="A60" t="s">
        <v>587</v>
      </c>
    </row>
    <row r="61" spans="1:8">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61"/>
  <sheetViews>
    <sheetView zoomScale="70" workbookViewId="0"/>
  </sheetViews>
  <sheetFormatPr defaultColWidth="10.88671875" defaultRowHeight="15"/>
  <cols>
    <col min="1" max="1" width="77.6640625" customWidth="1"/>
    <col min="2" max="5" width="15.88671875" customWidth="1"/>
  </cols>
  <sheetData>
    <row r="1" spans="1:5" ht="39.950000000000003" customHeight="1">
      <c r="A1" s="10" t="s">
        <v>596</v>
      </c>
      <c r="B1" s="12"/>
      <c r="C1" s="12"/>
      <c r="D1" s="12"/>
      <c r="E1" s="12"/>
    </row>
    <row r="2" spans="1:5" ht="60">
      <c r="A2" s="7" t="s">
        <v>52</v>
      </c>
      <c r="B2" s="6" t="s">
        <v>589</v>
      </c>
      <c r="C2" s="6" t="s">
        <v>458</v>
      </c>
      <c r="D2" s="6" t="s">
        <v>459</v>
      </c>
      <c r="E2" s="8" t="s">
        <v>460</v>
      </c>
    </row>
    <row r="3" spans="1:5">
      <c r="A3" s="39" t="s">
        <v>428</v>
      </c>
      <c r="B3" s="15"/>
      <c r="C3" s="15"/>
      <c r="D3" s="15"/>
      <c r="E3" s="24"/>
    </row>
    <row r="4" spans="1:5">
      <c r="A4" s="9" t="s">
        <v>429</v>
      </c>
      <c r="B4" s="15">
        <v>6.2623762376237604</v>
      </c>
      <c r="C4" s="15">
        <v>1.6089108910891099</v>
      </c>
      <c r="D4" s="15">
        <v>0.49504950495049499</v>
      </c>
      <c r="E4" s="24">
        <v>4.6534653465346496</v>
      </c>
    </row>
    <row r="5" spans="1:5">
      <c r="A5" s="9" t="s">
        <v>430</v>
      </c>
      <c r="B5" s="15">
        <v>30.162659123055199</v>
      </c>
      <c r="C5" s="15">
        <v>25.854549740688402</v>
      </c>
      <c r="D5" s="15">
        <v>4.4024045261669</v>
      </c>
      <c r="E5" s="24">
        <v>7.4552098066949499</v>
      </c>
    </row>
    <row r="6" spans="1:5">
      <c r="A6" s="9" t="s">
        <v>431</v>
      </c>
      <c r="B6" s="15">
        <v>30.8887317303159</v>
      </c>
      <c r="C6" s="15">
        <v>28.767090994813799</v>
      </c>
      <c r="D6" s="15">
        <v>4.1018387553041</v>
      </c>
      <c r="E6" s="24">
        <v>4.1018387553041</v>
      </c>
    </row>
    <row r="7" spans="1:5">
      <c r="A7" s="9" t="s">
        <v>272</v>
      </c>
      <c r="B7" s="15">
        <v>4.5379537953795399</v>
      </c>
      <c r="C7" s="15">
        <v>4.5379537953795399</v>
      </c>
      <c r="D7" s="15">
        <v>0</v>
      </c>
      <c r="E7" s="24">
        <v>0</v>
      </c>
    </row>
    <row r="8" spans="1:5">
      <c r="A8" s="9" t="s">
        <v>432</v>
      </c>
      <c r="B8" s="15">
        <v>4.1018387553041</v>
      </c>
      <c r="C8" s="15">
        <v>3.53606789250354</v>
      </c>
      <c r="D8" s="15">
        <v>0</v>
      </c>
      <c r="E8" s="24">
        <v>0.56577086280056599</v>
      </c>
    </row>
    <row r="9" spans="1:5">
      <c r="A9" s="9" t="s">
        <v>433</v>
      </c>
      <c r="B9" s="15">
        <v>5.2392739273927402</v>
      </c>
      <c r="C9" s="15">
        <v>3.7541254125412502</v>
      </c>
      <c r="D9" s="15">
        <v>0.99009900990098998</v>
      </c>
      <c r="E9" s="24">
        <v>1.48514851485149</v>
      </c>
    </row>
    <row r="10" spans="1:5">
      <c r="A10" s="9" t="s">
        <v>434</v>
      </c>
      <c r="B10" s="15">
        <v>1.73267326732673</v>
      </c>
      <c r="C10" s="15">
        <v>1.73267326732673</v>
      </c>
      <c r="D10" s="15">
        <v>0</v>
      </c>
      <c r="E10" s="24">
        <v>0</v>
      </c>
    </row>
    <row r="11" spans="1:5">
      <c r="A11" s="9" t="s">
        <v>435</v>
      </c>
      <c r="B11" s="15">
        <v>2.6402640264026398</v>
      </c>
      <c r="C11" s="15">
        <v>0</v>
      </c>
      <c r="D11" s="15">
        <v>0</v>
      </c>
      <c r="E11" s="24">
        <v>2.6402640264026398</v>
      </c>
    </row>
    <row r="12" spans="1:5">
      <c r="A12" s="9" t="s">
        <v>436</v>
      </c>
      <c r="B12" s="15">
        <v>7.3762376237623801</v>
      </c>
      <c r="C12" s="15">
        <v>7.3762376237623801</v>
      </c>
      <c r="D12" s="15">
        <v>0</v>
      </c>
      <c r="E12" s="24">
        <v>0</v>
      </c>
    </row>
    <row r="13" spans="1:5">
      <c r="A13" s="9" t="s">
        <v>437</v>
      </c>
      <c r="B13" s="15">
        <v>43.190711928335702</v>
      </c>
      <c r="C13" s="15">
        <v>32.735737859500198</v>
      </c>
      <c r="D13" s="15">
        <v>15.1991984912777</v>
      </c>
      <c r="E13" s="24">
        <v>12.1169259783121</v>
      </c>
    </row>
    <row r="14" spans="1:5">
      <c r="A14" s="9" t="s">
        <v>438</v>
      </c>
      <c r="B14" s="15">
        <v>8.0363036303630402</v>
      </c>
      <c r="C14" s="15">
        <v>6.2293729372937303</v>
      </c>
      <c r="D14" s="15">
        <v>0.49504950495049499</v>
      </c>
      <c r="E14" s="24">
        <v>2.7970297029703</v>
      </c>
    </row>
    <row r="15" spans="1:5">
      <c r="A15" s="39" t="s">
        <v>439</v>
      </c>
      <c r="B15" s="15"/>
      <c r="C15" s="15"/>
      <c r="D15" s="15"/>
      <c r="E15" s="24"/>
    </row>
    <row r="16" spans="1:5">
      <c r="A16" s="9" t="s">
        <v>259</v>
      </c>
      <c r="B16" s="15">
        <v>80.453795379537993</v>
      </c>
      <c r="C16" s="15">
        <v>75.962989156058498</v>
      </c>
      <c r="D16" s="15">
        <v>5.7814710042432802</v>
      </c>
      <c r="E16" s="24">
        <v>7.1841112682696799</v>
      </c>
    </row>
    <row r="17" spans="1:5">
      <c r="A17" s="9" t="s">
        <v>260</v>
      </c>
      <c r="B17" s="15">
        <v>56.841112682696803</v>
      </c>
      <c r="C17" s="15">
        <v>53.664545025931197</v>
      </c>
      <c r="D17" s="15">
        <v>3.5478547854785498</v>
      </c>
      <c r="E17" s="24">
        <v>3.79537953795379</v>
      </c>
    </row>
    <row r="18" spans="1:5">
      <c r="A18" s="9" t="s">
        <v>440</v>
      </c>
      <c r="B18" s="15">
        <v>65.663602074493198</v>
      </c>
      <c r="C18" s="15">
        <v>46.606553512494102</v>
      </c>
      <c r="D18" s="15">
        <v>9.2998585572843009</v>
      </c>
      <c r="E18" s="24">
        <v>22.027345591702002</v>
      </c>
    </row>
    <row r="19" spans="1:5">
      <c r="A19" s="9" t="s">
        <v>261</v>
      </c>
      <c r="B19" s="15">
        <v>73.922677982083897</v>
      </c>
      <c r="C19" s="15">
        <v>56.036067892503503</v>
      </c>
      <c r="D19" s="15">
        <v>23.7859500235738</v>
      </c>
      <c r="E19" s="24">
        <v>8.0445544554455406</v>
      </c>
    </row>
    <row r="20" spans="1:5">
      <c r="A20" s="9" t="s">
        <v>441</v>
      </c>
      <c r="B20" s="15">
        <v>0.49504950495049499</v>
      </c>
      <c r="C20" s="15">
        <v>0.49504950495049499</v>
      </c>
      <c r="D20" s="15">
        <v>0</v>
      </c>
      <c r="E20" s="24">
        <v>0</v>
      </c>
    </row>
    <row r="21" spans="1:5">
      <c r="A21" s="9" t="s">
        <v>270</v>
      </c>
      <c r="B21" s="15">
        <v>59.923385195662398</v>
      </c>
      <c r="C21" s="15">
        <v>37.351485148514897</v>
      </c>
      <c r="D21" s="15">
        <v>22.996228194248001</v>
      </c>
      <c r="E21" s="24">
        <v>14.1383781235266</v>
      </c>
    </row>
    <row r="22" spans="1:5">
      <c r="A22" s="9" t="s">
        <v>272</v>
      </c>
      <c r="B22" s="15">
        <v>4.5379537953795399</v>
      </c>
      <c r="C22" s="15">
        <v>4.5379537953795399</v>
      </c>
      <c r="D22" s="15">
        <v>0</v>
      </c>
      <c r="E22" s="24">
        <v>0</v>
      </c>
    </row>
    <row r="23" spans="1:5">
      <c r="A23" s="9" t="s">
        <v>274</v>
      </c>
      <c r="B23" s="15">
        <v>28.7010843941537</v>
      </c>
      <c r="C23" s="15">
        <v>25.907590759075902</v>
      </c>
      <c r="D23" s="15">
        <v>2.1039603960396001</v>
      </c>
      <c r="E23" s="24">
        <v>4.2786421499292802</v>
      </c>
    </row>
    <row r="24" spans="1:5">
      <c r="A24" s="9" t="s">
        <v>279</v>
      </c>
      <c r="B24" s="15">
        <v>95.346534653465298</v>
      </c>
      <c r="C24" s="15">
        <v>44.341112682696803</v>
      </c>
      <c r="D24" s="15">
        <v>64.499057048561994</v>
      </c>
      <c r="E24" s="24">
        <v>62.395096652522398</v>
      </c>
    </row>
    <row r="25" spans="1:5">
      <c r="A25" s="9" t="s">
        <v>281</v>
      </c>
      <c r="B25" s="15">
        <v>3.4653465346534702</v>
      </c>
      <c r="C25" s="15">
        <v>3.4653465346534702</v>
      </c>
      <c r="D25" s="15">
        <v>0</v>
      </c>
      <c r="E25" s="24">
        <v>0</v>
      </c>
    </row>
    <row r="26" spans="1:5">
      <c r="A26" s="9" t="s">
        <v>442</v>
      </c>
      <c r="B26" s="15">
        <v>50.768505421970801</v>
      </c>
      <c r="C26" s="15">
        <v>35.598774163130599</v>
      </c>
      <c r="D26" s="15">
        <v>4.7442244224422403</v>
      </c>
      <c r="E26" s="24">
        <v>21.4321074964639</v>
      </c>
    </row>
    <row r="27" spans="1:5">
      <c r="A27" s="9" t="s">
        <v>287</v>
      </c>
      <c r="B27" s="15">
        <v>0.99009900990098998</v>
      </c>
      <c r="C27" s="15">
        <v>0.99009900990098998</v>
      </c>
      <c r="D27" s="15">
        <v>0</v>
      </c>
      <c r="E27" s="24">
        <v>0</v>
      </c>
    </row>
    <row r="28" spans="1:5">
      <c r="A28" s="9" t="s">
        <v>443</v>
      </c>
      <c r="B28" s="15">
        <v>6.5594059405940603</v>
      </c>
      <c r="C28" s="15">
        <v>3.9603960396039599</v>
      </c>
      <c r="D28" s="15">
        <v>0</v>
      </c>
      <c r="E28" s="24">
        <v>2.5990099009901</v>
      </c>
    </row>
    <row r="29" spans="1:5">
      <c r="A29" s="9" t="s">
        <v>291</v>
      </c>
      <c r="B29" s="15">
        <v>84.590994813767097</v>
      </c>
      <c r="C29" s="15">
        <v>19.1136256482791</v>
      </c>
      <c r="D29" s="15">
        <v>1.2376237623762401</v>
      </c>
      <c r="E29" s="24">
        <v>65.848656294200893</v>
      </c>
    </row>
    <row r="30" spans="1:5">
      <c r="A30" s="9" t="s">
        <v>444</v>
      </c>
      <c r="B30" s="15">
        <v>6.0148514851485197</v>
      </c>
      <c r="C30" s="15">
        <v>2.1782178217821802</v>
      </c>
      <c r="D30" s="15">
        <v>3.3415841584158401</v>
      </c>
      <c r="E30" s="24">
        <v>1.8564356435643601</v>
      </c>
    </row>
    <row r="31" spans="1:5">
      <c r="A31" s="9" t="s">
        <v>445</v>
      </c>
      <c r="B31" s="15">
        <v>86.579443658651599</v>
      </c>
      <c r="C31" s="15">
        <v>33.177746346063202</v>
      </c>
      <c r="D31" s="15">
        <v>63.962753418199</v>
      </c>
      <c r="E31" s="24">
        <v>40.359500235737897</v>
      </c>
    </row>
    <row r="32" spans="1:5">
      <c r="A32" s="9" t="s">
        <v>303</v>
      </c>
      <c r="B32" s="15">
        <v>0.49504950495049499</v>
      </c>
      <c r="C32" s="15">
        <v>0.49504950495049499</v>
      </c>
      <c r="D32" s="15">
        <v>0</v>
      </c>
      <c r="E32" s="24">
        <v>0</v>
      </c>
    </row>
    <row r="33" spans="1:5">
      <c r="A33" s="9" t="s">
        <v>446</v>
      </c>
      <c r="B33" s="15">
        <v>16.254125412541299</v>
      </c>
      <c r="C33" s="15">
        <v>15.5115511551155</v>
      </c>
      <c r="D33" s="15">
        <v>0.74257425742574301</v>
      </c>
      <c r="E33" s="24">
        <v>0</v>
      </c>
    </row>
    <row r="34" spans="1:5">
      <c r="A34" s="9" t="s">
        <v>447</v>
      </c>
      <c r="B34" s="15">
        <v>34.642857142857103</v>
      </c>
      <c r="C34" s="15">
        <v>30.800330033003299</v>
      </c>
      <c r="D34" s="15">
        <v>6.07024988213107</v>
      </c>
      <c r="E34" s="24">
        <v>5.5044790193304998</v>
      </c>
    </row>
    <row r="35" spans="1:5">
      <c r="A35" s="9" t="s">
        <v>310</v>
      </c>
      <c r="B35" s="15">
        <v>0.49504950495049499</v>
      </c>
      <c r="C35" s="15">
        <v>0.49504950495049499</v>
      </c>
      <c r="D35" s="15">
        <v>0</v>
      </c>
      <c r="E35" s="24">
        <v>0</v>
      </c>
    </row>
    <row r="36" spans="1:5">
      <c r="A36" s="9" t="s">
        <v>311</v>
      </c>
      <c r="B36" s="15">
        <v>6.8399339933993399</v>
      </c>
      <c r="C36" s="15">
        <v>5.52805280528053</v>
      </c>
      <c r="D36" s="15">
        <v>0</v>
      </c>
      <c r="E36" s="24">
        <v>1.3118811881188099</v>
      </c>
    </row>
    <row r="37" spans="1:5">
      <c r="A37" s="9" t="s">
        <v>448</v>
      </c>
      <c r="B37" s="15">
        <v>0.66006600660065995</v>
      </c>
      <c r="C37" s="15">
        <v>0.66006600660065995</v>
      </c>
      <c r="D37" s="15">
        <v>0</v>
      </c>
      <c r="E37" s="24">
        <v>0</v>
      </c>
    </row>
    <row r="38" spans="1:5">
      <c r="A38" s="39" t="s">
        <v>449</v>
      </c>
      <c r="B38" s="15"/>
      <c r="C38" s="15"/>
      <c r="D38" s="15"/>
      <c r="E38" s="24"/>
    </row>
    <row r="39" spans="1:5">
      <c r="A39" s="9" t="s">
        <v>273</v>
      </c>
      <c r="B39" s="15">
        <v>38.570249882131101</v>
      </c>
      <c r="C39" s="15">
        <v>21.968411126827</v>
      </c>
      <c r="D39" s="15">
        <v>0.66006600660065995</v>
      </c>
      <c r="E39" s="24">
        <v>18.3757661480434</v>
      </c>
    </row>
    <row r="40" spans="1:5">
      <c r="A40" s="9" t="s">
        <v>282</v>
      </c>
      <c r="B40" s="15">
        <v>43.748231966053702</v>
      </c>
      <c r="C40" s="15">
        <v>32.138142385667102</v>
      </c>
      <c r="D40" s="15">
        <v>6.0938236680810904</v>
      </c>
      <c r="E40" s="24">
        <v>12.8477133427628</v>
      </c>
    </row>
    <row r="41" spans="1:5">
      <c r="A41" s="9" t="s">
        <v>450</v>
      </c>
      <c r="B41" s="15">
        <v>0</v>
      </c>
      <c r="C41" s="15">
        <v>0</v>
      </c>
      <c r="D41" s="15">
        <v>0</v>
      </c>
      <c r="E41" s="24">
        <v>0</v>
      </c>
    </row>
    <row r="42" spans="1:5">
      <c r="A42" s="39" t="s">
        <v>451</v>
      </c>
      <c r="B42" s="15"/>
      <c r="C42" s="15"/>
      <c r="D42" s="15"/>
      <c r="E42" s="24"/>
    </row>
    <row r="43" spans="1:5">
      <c r="A43" s="9" t="s">
        <v>452</v>
      </c>
      <c r="B43" s="15">
        <v>0.74257425742574301</v>
      </c>
      <c r="C43" s="15">
        <v>0.74257425742574301</v>
      </c>
      <c r="D43" s="15">
        <v>0</v>
      </c>
      <c r="E43" s="24">
        <v>0</v>
      </c>
    </row>
    <row r="44" spans="1:5">
      <c r="A44" s="9" t="s">
        <v>453</v>
      </c>
      <c r="B44" s="15">
        <v>0.49504950495049499</v>
      </c>
      <c r="C44" s="15">
        <v>0.49504950495049499</v>
      </c>
      <c r="D44" s="15">
        <v>0</v>
      </c>
      <c r="E44" s="24">
        <v>0</v>
      </c>
    </row>
    <row r="45" spans="1:5">
      <c r="A45" s="9" t="s">
        <v>269</v>
      </c>
      <c r="B45" s="15">
        <v>3.83663366336634</v>
      </c>
      <c r="C45" s="15">
        <v>3.83663366336634</v>
      </c>
      <c r="D45" s="15">
        <v>0.61881188118811903</v>
      </c>
      <c r="E45" s="24">
        <v>0.61881188118811903</v>
      </c>
    </row>
    <row r="46" spans="1:5">
      <c r="A46" s="9" t="s">
        <v>290</v>
      </c>
      <c r="B46" s="15">
        <v>4.6204620462046204</v>
      </c>
      <c r="C46" s="15">
        <v>3.9603960396039599</v>
      </c>
      <c r="D46" s="15">
        <v>0.66006600660065995</v>
      </c>
      <c r="E46" s="24">
        <v>0</v>
      </c>
    </row>
    <row r="47" spans="1:5">
      <c r="A47" s="9" t="s">
        <v>454</v>
      </c>
      <c r="B47" s="15">
        <v>2.1452145214521501</v>
      </c>
      <c r="C47" s="15">
        <v>1.48514851485149</v>
      </c>
      <c r="D47" s="15">
        <v>0.66006600660065995</v>
      </c>
      <c r="E47" s="24">
        <v>0.66006600660065995</v>
      </c>
    </row>
    <row r="48" spans="1:5">
      <c r="A48" s="9" t="s">
        <v>455</v>
      </c>
      <c r="B48" s="15">
        <v>0</v>
      </c>
      <c r="C48" s="15">
        <v>0</v>
      </c>
      <c r="D48" s="15">
        <v>0</v>
      </c>
      <c r="E48" s="24">
        <v>0</v>
      </c>
    </row>
    <row r="49" spans="1:5">
      <c r="A49" s="9" t="s">
        <v>288</v>
      </c>
      <c r="B49" s="15">
        <v>1.15511551155115</v>
      </c>
      <c r="C49" s="15">
        <v>0.49504950495049499</v>
      </c>
      <c r="D49" s="15">
        <v>0.66006600660065995</v>
      </c>
      <c r="E49" s="24">
        <v>0.66006600660065995</v>
      </c>
    </row>
    <row r="50" spans="1:5">
      <c r="A50" s="9" t="s">
        <v>292</v>
      </c>
      <c r="B50" s="15">
        <v>1.73267326732673</v>
      </c>
      <c r="C50" s="15">
        <v>1.73267326732673</v>
      </c>
      <c r="D50" s="15">
        <v>0</v>
      </c>
      <c r="E50" s="24">
        <v>0</v>
      </c>
    </row>
    <row r="51" spans="1:5">
      <c r="A51" s="9" t="s">
        <v>293</v>
      </c>
      <c r="B51" s="15">
        <v>5.2805280528052796</v>
      </c>
      <c r="C51" s="15">
        <v>4.2904290429042904</v>
      </c>
      <c r="D51" s="15">
        <v>0.99009900990098998</v>
      </c>
      <c r="E51" s="24">
        <v>0</v>
      </c>
    </row>
    <row r="52" spans="1:5">
      <c r="A52" s="9" t="s">
        <v>295</v>
      </c>
      <c r="B52" s="15">
        <v>0.74257425742574301</v>
      </c>
      <c r="C52" s="15">
        <v>0.74257425742574301</v>
      </c>
      <c r="D52" s="15">
        <v>0</v>
      </c>
      <c r="E52" s="24">
        <v>0</v>
      </c>
    </row>
    <row r="53" spans="1:5">
      <c r="A53" s="9" t="s">
        <v>300</v>
      </c>
      <c r="B53" s="15">
        <v>0.61881188118811903</v>
      </c>
      <c r="C53" s="15">
        <v>0.61881188118811903</v>
      </c>
      <c r="D53" s="15">
        <v>0</v>
      </c>
      <c r="E53" s="24">
        <v>0</v>
      </c>
    </row>
    <row r="54" spans="1:5">
      <c r="A54" s="9" t="s">
        <v>301</v>
      </c>
      <c r="B54" s="15">
        <v>2.84653465346535</v>
      </c>
      <c r="C54" s="15">
        <v>2.84653465346535</v>
      </c>
      <c r="D54" s="15">
        <v>0</v>
      </c>
      <c r="E54" s="24">
        <v>0</v>
      </c>
    </row>
    <row r="55" spans="1:5">
      <c r="A55" s="9" t="s">
        <v>456</v>
      </c>
      <c r="B55" s="15">
        <v>1.98019801980198</v>
      </c>
      <c r="C55" s="15">
        <v>1.98019801980198</v>
      </c>
      <c r="D55" s="15">
        <v>0</v>
      </c>
      <c r="E55" s="24">
        <v>0</v>
      </c>
    </row>
    <row r="56" spans="1:5">
      <c r="A56" s="11" t="s">
        <v>304</v>
      </c>
      <c r="B56" s="16">
        <v>2.4752475247524801</v>
      </c>
      <c r="C56" s="16">
        <v>2.4752475247524801</v>
      </c>
      <c r="D56" s="16">
        <v>0</v>
      </c>
      <c r="E56" s="25">
        <v>0</v>
      </c>
    </row>
    <row r="57" spans="1:5" ht="30" customHeight="1">
      <c r="A57" t="s">
        <v>144</v>
      </c>
    </row>
    <row r="58" spans="1:5">
      <c r="A58" t="s">
        <v>585</v>
      </c>
    </row>
    <row r="59" spans="1:5">
      <c r="A59" t="s">
        <v>586</v>
      </c>
    </row>
    <row r="60" spans="1:5">
      <c r="A60" t="s">
        <v>587</v>
      </c>
    </row>
    <row r="61" spans="1:5">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19"/>
  <sheetViews>
    <sheetView zoomScale="70" workbookViewId="0"/>
  </sheetViews>
  <sheetFormatPr defaultColWidth="10.88671875" defaultRowHeight="15"/>
  <cols>
    <col min="1" max="1" width="77.6640625" customWidth="1"/>
    <col min="2" max="4" width="15.88671875" customWidth="1"/>
  </cols>
  <sheetData>
    <row r="1" spans="1:4" ht="39.950000000000003" customHeight="1">
      <c r="A1" s="10" t="s">
        <v>597</v>
      </c>
      <c r="B1" s="12"/>
      <c r="C1" s="12"/>
      <c r="D1" s="12"/>
    </row>
    <row r="2" spans="1:4" ht="45">
      <c r="A2" s="7" t="s">
        <v>52</v>
      </c>
      <c r="B2" s="6" t="s">
        <v>68</v>
      </c>
      <c r="C2" s="6" t="s">
        <v>69</v>
      </c>
      <c r="D2" s="8" t="s">
        <v>70</v>
      </c>
    </row>
    <row r="3" spans="1:4" ht="30">
      <c r="A3" s="39" t="s">
        <v>462</v>
      </c>
      <c r="B3" s="15"/>
      <c r="C3" s="15"/>
      <c r="D3" s="24"/>
    </row>
    <row r="4" spans="1:4">
      <c r="A4" s="9" t="s">
        <v>463</v>
      </c>
      <c r="B4" s="15">
        <v>96.984109221127994</v>
      </c>
      <c r="C4" s="15">
        <v>97.560975609756099</v>
      </c>
      <c r="D4" s="24">
        <v>100</v>
      </c>
    </row>
    <row r="5" spans="1:4">
      <c r="A5" s="9" t="s">
        <v>464</v>
      </c>
      <c r="B5" s="15">
        <v>81.219891716758298</v>
      </c>
      <c r="C5" s="15">
        <v>80.487804878048806</v>
      </c>
      <c r="D5" s="24">
        <v>91.6666666666667</v>
      </c>
    </row>
    <row r="6" spans="1:4">
      <c r="A6" s="9" t="s">
        <v>465</v>
      </c>
      <c r="B6" s="15">
        <v>68.1392015176706</v>
      </c>
      <c r="C6" s="15">
        <v>68.292682926829301</v>
      </c>
      <c r="D6" s="24">
        <v>63.8888888888889</v>
      </c>
    </row>
    <row r="7" spans="1:4">
      <c r="A7" s="9" t="s">
        <v>466</v>
      </c>
      <c r="B7" s="15">
        <v>25.6504987850109</v>
      </c>
      <c r="C7" s="15">
        <v>26.016260162601601</v>
      </c>
      <c r="D7" s="24">
        <v>33.3333333333333</v>
      </c>
    </row>
    <row r="8" spans="1:4">
      <c r="A8" s="9" t="s">
        <v>467</v>
      </c>
      <c r="B8" s="15">
        <v>30.849320032399699</v>
      </c>
      <c r="C8" s="15">
        <v>34.5528455284553</v>
      </c>
      <c r="D8" s="24">
        <v>25</v>
      </c>
    </row>
    <row r="9" spans="1:4">
      <c r="A9" s="9" t="s">
        <v>468</v>
      </c>
      <c r="B9" s="15">
        <v>78.732521209020803</v>
      </c>
      <c r="C9" s="15">
        <v>69.512195121951194</v>
      </c>
      <c r="D9" s="24">
        <v>83.3333333333333</v>
      </c>
    </row>
    <row r="10" spans="1:4">
      <c r="A10" s="9" t="s">
        <v>469</v>
      </c>
      <c r="B10" s="15">
        <v>22.443939975273899</v>
      </c>
      <c r="C10" s="15">
        <v>23.5772357723577</v>
      </c>
      <c r="D10" s="24">
        <v>33.3333333333333</v>
      </c>
    </row>
    <row r="11" spans="1:4">
      <c r="A11" s="9" t="s">
        <v>470</v>
      </c>
      <c r="B11" s="15">
        <v>47.822398431171898</v>
      </c>
      <c r="C11" s="15">
        <v>45.528455284552798</v>
      </c>
      <c r="D11" s="24">
        <v>72.2222222222222</v>
      </c>
    </row>
    <row r="12" spans="1:4">
      <c r="A12" s="9" t="s">
        <v>471</v>
      </c>
      <c r="B12" s="15">
        <v>57.515773543078801</v>
      </c>
      <c r="C12" s="15">
        <v>43.495934959349597</v>
      </c>
      <c r="D12" s="24">
        <v>55.5555555555556</v>
      </c>
    </row>
    <row r="13" spans="1:4">
      <c r="A13" s="9" t="s">
        <v>472</v>
      </c>
      <c r="B13" s="15">
        <v>19.102453425416702</v>
      </c>
      <c r="C13" s="15">
        <v>15.4471544715447</v>
      </c>
      <c r="D13" s="24">
        <v>19.4444444444444</v>
      </c>
    </row>
    <row r="14" spans="1:4">
      <c r="A14" s="11" t="s">
        <v>344</v>
      </c>
      <c r="B14" s="16">
        <v>4.8231871083258699</v>
      </c>
      <c r="C14" s="16">
        <v>0</v>
      </c>
      <c r="D14" s="25">
        <v>0</v>
      </c>
    </row>
    <row r="15" spans="1:4" ht="30" customHeight="1">
      <c r="A15" t="s">
        <v>144</v>
      </c>
    </row>
    <row r="16" spans="1:4">
      <c r="A16" t="s">
        <v>585</v>
      </c>
    </row>
    <row r="17" spans="1:1">
      <c r="A17" t="s">
        <v>586</v>
      </c>
    </row>
    <row r="18" spans="1:1">
      <c r="A18" t="s">
        <v>587</v>
      </c>
    </row>
    <row r="19" spans="1:1">
      <c r="A1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25"/>
  <sheetViews>
    <sheetView zoomScale="70" workbookViewId="0"/>
  </sheetViews>
  <sheetFormatPr defaultColWidth="10.88671875" defaultRowHeight="15"/>
  <cols>
    <col min="1" max="1" width="77.6640625" customWidth="1"/>
    <col min="2" max="4" width="15.88671875" customWidth="1"/>
  </cols>
  <sheetData>
    <row r="1" spans="1:4" ht="39.950000000000003" customHeight="1">
      <c r="A1" s="10" t="s">
        <v>598</v>
      </c>
      <c r="B1" s="12"/>
      <c r="C1" s="12"/>
      <c r="D1" s="12"/>
    </row>
    <row r="2" spans="1:4" ht="45">
      <c r="A2" s="7" t="s">
        <v>52</v>
      </c>
      <c r="B2" s="6" t="s">
        <v>68</v>
      </c>
      <c r="C2" s="6" t="s">
        <v>69</v>
      </c>
      <c r="D2" s="8" t="s">
        <v>70</v>
      </c>
    </row>
    <row r="3" spans="1:4" ht="30">
      <c r="A3" s="39" t="s">
        <v>474</v>
      </c>
      <c r="B3" s="15"/>
      <c r="C3" s="15"/>
      <c r="D3" s="24"/>
    </row>
    <row r="4" spans="1:4">
      <c r="A4" s="9" t="s">
        <v>475</v>
      </c>
      <c r="B4" s="15">
        <v>87.857835614102399</v>
      </c>
      <c r="C4" s="15">
        <v>86.991869918699194</v>
      </c>
      <c r="D4" s="24">
        <v>80.5555555555556</v>
      </c>
    </row>
    <row r="5" spans="1:4">
      <c r="A5" s="9" t="s">
        <v>476</v>
      </c>
      <c r="B5" s="15">
        <v>9.5906872149038698</v>
      </c>
      <c r="C5" s="15">
        <v>5.6910569105691096</v>
      </c>
      <c r="D5" s="24">
        <v>11.1111111111111</v>
      </c>
    </row>
    <row r="6" spans="1:4">
      <c r="A6" s="9" t="s">
        <v>477</v>
      </c>
      <c r="B6" s="15">
        <v>0.42524619516562201</v>
      </c>
      <c r="C6" s="15">
        <v>2.4390243902439002</v>
      </c>
      <c r="D6" s="24">
        <v>8.3333333333333304</v>
      </c>
    </row>
    <row r="7" spans="1:4">
      <c r="A7" s="9" t="s">
        <v>478</v>
      </c>
      <c r="B7" s="15">
        <v>1.2757385854968699</v>
      </c>
      <c r="C7" s="15">
        <v>2.4390243902439002</v>
      </c>
      <c r="D7" s="24">
        <v>0</v>
      </c>
    </row>
    <row r="8" spans="1:4">
      <c r="A8" s="9" t="s">
        <v>344</v>
      </c>
      <c r="B8" s="15">
        <v>0.85049239033124402</v>
      </c>
      <c r="C8" s="15">
        <v>2.4390243902439002</v>
      </c>
      <c r="D8" s="24">
        <v>0</v>
      </c>
    </row>
    <row r="9" spans="1:4" ht="30">
      <c r="A9" s="39" t="s">
        <v>479</v>
      </c>
      <c r="B9" s="15"/>
      <c r="C9" s="15"/>
      <c r="D9" s="24"/>
    </row>
    <row r="10" spans="1:4">
      <c r="A10" s="9" t="s">
        <v>480</v>
      </c>
      <c r="B10" s="15">
        <v>77.860446774949907</v>
      </c>
      <c r="C10" s="15">
        <v>83.3333333333333</v>
      </c>
      <c r="D10" s="24">
        <v>88.8888888888889</v>
      </c>
    </row>
    <row r="11" spans="1:4">
      <c r="A11" s="9" t="s">
        <v>481</v>
      </c>
      <c r="B11" s="15">
        <v>22.139553225050101</v>
      </c>
      <c r="C11" s="15">
        <v>16.6666666666667</v>
      </c>
      <c r="D11" s="24">
        <v>11.1111111111111</v>
      </c>
    </row>
    <row r="12" spans="1:4" ht="30">
      <c r="A12" s="39" t="s">
        <v>482</v>
      </c>
      <c r="B12" s="15"/>
      <c r="C12" s="15"/>
      <c r="D12" s="24"/>
    </row>
    <row r="13" spans="1:4">
      <c r="A13" s="9" t="s">
        <v>480</v>
      </c>
      <c r="B13" s="15">
        <v>90.512959884043099</v>
      </c>
      <c r="C13" s="15">
        <v>89.430894308943095</v>
      </c>
      <c r="D13" s="24">
        <v>91.6666666666667</v>
      </c>
    </row>
    <row r="14" spans="1:4">
      <c r="A14" s="9" t="s">
        <v>481</v>
      </c>
      <c r="B14" s="15">
        <v>9.4870401159568605</v>
      </c>
      <c r="C14" s="15">
        <v>10.569105691056899</v>
      </c>
      <c r="D14" s="24">
        <v>8.3333333333333304</v>
      </c>
    </row>
    <row r="15" spans="1:4" ht="30">
      <c r="A15" s="39" t="s">
        <v>483</v>
      </c>
      <c r="B15" s="15"/>
      <c r="C15" s="15"/>
      <c r="D15" s="24"/>
    </row>
    <row r="16" spans="1:4">
      <c r="A16" s="9" t="s">
        <v>480</v>
      </c>
      <c r="B16" s="15">
        <v>73.343138508760703</v>
      </c>
      <c r="C16" s="15">
        <v>77.235772357723604</v>
      </c>
      <c r="D16" s="24">
        <v>91.6666666666667</v>
      </c>
    </row>
    <row r="17" spans="1:4">
      <c r="A17" s="9" t="s">
        <v>481</v>
      </c>
      <c r="B17" s="15">
        <v>26.656861491239301</v>
      </c>
      <c r="C17" s="15">
        <v>22.764227642276399</v>
      </c>
      <c r="D17" s="24">
        <v>8.3333333333333304</v>
      </c>
    </row>
    <row r="18" spans="1:4" ht="30">
      <c r="A18" s="39" t="s">
        <v>484</v>
      </c>
      <c r="B18" s="15"/>
      <c r="C18" s="15"/>
      <c r="D18" s="24"/>
    </row>
    <row r="19" spans="1:4">
      <c r="A19" s="9" t="s">
        <v>480</v>
      </c>
      <c r="B19" s="15">
        <v>86.922613718719305</v>
      </c>
      <c r="C19" s="15">
        <v>92.682926829268297</v>
      </c>
      <c r="D19" s="24">
        <v>100</v>
      </c>
    </row>
    <row r="20" spans="1:4">
      <c r="A20" s="11" t="s">
        <v>481</v>
      </c>
      <c r="B20" s="16">
        <v>13.077386281280599</v>
      </c>
      <c r="C20" s="16">
        <v>7.3170731707317103</v>
      </c>
      <c r="D20" s="25">
        <v>0</v>
      </c>
    </row>
    <row r="21" spans="1:4" ht="30" customHeight="1">
      <c r="A21" t="s">
        <v>144</v>
      </c>
    </row>
    <row r="22" spans="1:4">
      <c r="A22" t="s">
        <v>585</v>
      </c>
    </row>
    <row r="23" spans="1:4">
      <c r="A23" t="s">
        <v>586</v>
      </c>
    </row>
    <row r="24" spans="1:4">
      <c r="A24" t="s">
        <v>587</v>
      </c>
    </row>
    <row r="25" spans="1:4">
      <c r="A25"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32"/>
  <sheetViews>
    <sheetView zoomScale="70" workbookViewId="0"/>
  </sheetViews>
  <sheetFormatPr defaultColWidth="10.88671875" defaultRowHeight="15"/>
  <cols>
    <col min="1" max="1" width="77.6640625" customWidth="1"/>
    <col min="2" max="7" width="15.88671875" customWidth="1"/>
  </cols>
  <sheetData>
    <row r="1" spans="1:7" ht="39.950000000000003" customHeight="1">
      <c r="A1" s="10" t="s">
        <v>599</v>
      </c>
      <c r="B1" s="12"/>
      <c r="C1" s="12"/>
      <c r="D1" s="12"/>
      <c r="E1" s="12"/>
      <c r="F1" s="12"/>
      <c r="G1" s="12"/>
    </row>
    <row r="2" spans="1:7" ht="30">
      <c r="A2" s="7" t="s">
        <v>52</v>
      </c>
      <c r="B2" s="6" t="s">
        <v>486</v>
      </c>
      <c r="C2" s="6" t="s">
        <v>487</v>
      </c>
      <c r="D2" s="6" t="s">
        <v>488</v>
      </c>
      <c r="E2" s="6" t="s">
        <v>489</v>
      </c>
      <c r="F2" s="6" t="s">
        <v>490</v>
      </c>
      <c r="G2" s="8" t="s">
        <v>491</v>
      </c>
    </row>
    <row r="3" spans="1:7">
      <c r="A3" s="39" t="s">
        <v>492</v>
      </c>
      <c r="B3" s="15"/>
      <c r="C3" s="15"/>
      <c r="D3" s="15"/>
      <c r="E3" s="15"/>
      <c r="F3" s="15"/>
      <c r="G3" s="24"/>
    </row>
    <row r="4" spans="1:7">
      <c r="A4" s="9" t="s">
        <v>493</v>
      </c>
      <c r="B4" s="15">
        <v>46.087930221593602</v>
      </c>
      <c r="C4" s="15">
        <v>40.182696841112701</v>
      </c>
      <c r="D4" s="15">
        <v>6.7986798679867997</v>
      </c>
      <c r="E4" s="15">
        <v>2.7227722772277199</v>
      </c>
      <c r="F4" s="15">
        <v>4.2079207920792099</v>
      </c>
      <c r="G4" s="24">
        <v>0</v>
      </c>
    </row>
    <row r="5" spans="1:7">
      <c r="A5" s="9" t="s">
        <v>494</v>
      </c>
      <c r="B5" s="15">
        <v>18.2932578972183</v>
      </c>
      <c r="C5" s="15">
        <v>28.288543140028299</v>
      </c>
      <c r="D5" s="15">
        <v>19.529702970296999</v>
      </c>
      <c r="E5" s="15">
        <v>18.446487505893401</v>
      </c>
      <c r="F5" s="15">
        <v>15.4420084865629</v>
      </c>
      <c r="G5" s="24">
        <v>0</v>
      </c>
    </row>
    <row r="6" spans="1:7">
      <c r="A6" s="9" t="s">
        <v>495</v>
      </c>
      <c r="B6" s="15">
        <v>22.9502593116454</v>
      </c>
      <c r="C6" s="15">
        <v>56.371994342291401</v>
      </c>
      <c r="D6" s="15">
        <v>12.1499292786421</v>
      </c>
      <c r="E6" s="15">
        <v>7.5377180575200402</v>
      </c>
      <c r="F6" s="15">
        <v>0.99009900990098998</v>
      </c>
      <c r="G6" s="24">
        <v>0</v>
      </c>
    </row>
    <row r="7" spans="1:7">
      <c r="A7" s="9" t="s">
        <v>496</v>
      </c>
      <c r="B7" s="15">
        <v>22.492927864215002</v>
      </c>
      <c r="C7" s="15">
        <v>50.806223479490797</v>
      </c>
      <c r="D7" s="15">
        <v>14.933993399339901</v>
      </c>
      <c r="E7" s="15">
        <v>8.6020744931636006</v>
      </c>
      <c r="F7" s="15">
        <v>3.16478076379066</v>
      </c>
      <c r="G7" s="24">
        <v>0</v>
      </c>
    </row>
    <row r="8" spans="1:7">
      <c r="A8" s="9" t="s">
        <v>495</v>
      </c>
      <c r="B8" s="15">
        <v>22.9502593116454</v>
      </c>
      <c r="C8" s="15">
        <v>56.371994342291401</v>
      </c>
      <c r="D8" s="15">
        <v>12.1499292786421</v>
      </c>
      <c r="E8" s="15">
        <v>7.5377180575200402</v>
      </c>
      <c r="F8" s="15">
        <v>0.99009900990098998</v>
      </c>
      <c r="G8" s="24">
        <v>0</v>
      </c>
    </row>
    <row r="9" spans="1:7">
      <c r="A9" s="39" t="s">
        <v>497</v>
      </c>
      <c r="B9" s="15"/>
      <c r="C9" s="15"/>
      <c r="D9" s="15"/>
      <c r="E9" s="15"/>
      <c r="F9" s="15"/>
      <c r="G9" s="24"/>
    </row>
    <row r="10" spans="1:7">
      <c r="A10" s="9" t="s">
        <v>498</v>
      </c>
      <c r="B10" s="15">
        <v>63.592644978783603</v>
      </c>
      <c r="C10" s="15">
        <v>21.225836869401199</v>
      </c>
      <c r="D10" s="15">
        <v>10.932343234323399</v>
      </c>
      <c r="E10" s="15">
        <v>1.73267326732673</v>
      </c>
      <c r="F10" s="15">
        <v>2.5165016501650199</v>
      </c>
      <c r="G10" s="24">
        <v>0</v>
      </c>
    </row>
    <row r="11" spans="1:7">
      <c r="A11" s="9" t="s">
        <v>499</v>
      </c>
      <c r="B11" s="15">
        <v>44.467232437529503</v>
      </c>
      <c r="C11" s="15">
        <v>28.148279113625598</v>
      </c>
      <c r="D11" s="15">
        <v>18.8531353135314</v>
      </c>
      <c r="E11" s="15">
        <v>4.7772277227722801</v>
      </c>
      <c r="F11" s="15">
        <v>3.7541254125412502</v>
      </c>
      <c r="G11" s="24">
        <v>0</v>
      </c>
    </row>
    <row r="12" spans="1:7">
      <c r="A12" s="9" t="s">
        <v>500</v>
      </c>
      <c r="B12" s="15">
        <v>32.042668552569502</v>
      </c>
      <c r="C12" s="15">
        <v>27.278406412069799</v>
      </c>
      <c r="D12" s="15">
        <v>7.4964639321075</v>
      </c>
      <c r="E12" s="15">
        <v>18.2355021216407</v>
      </c>
      <c r="F12" s="15">
        <v>14.946958981612401</v>
      </c>
      <c r="G12" s="24">
        <v>0</v>
      </c>
    </row>
    <row r="13" spans="1:7">
      <c r="A13" s="9" t="s">
        <v>501</v>
      </c>
      <c r="B13" s="15">
        <v>15.924092409240901</v>
      </c>
      <c r="C13" s="15">
        <v>21.923620933521899</v>
      </c>
      <c r="D13" s="15">
        <v>5.72607260726073</v>
      </c>
      <c r="E13" s="15">
        <v>29.97171145686</v>
      </c>
      <c r="F13" s="15">
        <v>26.454502593116501</v>
      </c>
      <c r="G13" s="24">
        <v>0</v>
      </c>
    </row>
    <row r="14" spans="1:7">
      <c r="A14" s="9" t="s">
        <v>502</v>
      </c>
      <c r="B14" s="15">
        <v>18.151815181518099</v>
      </c>
      <c r="C14" s="15">
        <v>30.678925035360699</v>
      </c>
      <c r="D14" s="15">
        <v>14.7194719471947</v>
      </c>
      <c r="E14" s="15">
        <v>15.297029702970301</v>
      </c>
      <c r="F14" s="15">
        <v>19.543847241866999</v>
      </c>
      <c r="G14" s="24">
        <v>1.6089108910891099</v>
      </c>
    </row>
    <row r="15" spans="1:7">
      <c r="A15" s="39" t="s">
        <v>503</v>
      </c>
      <c r="B15" s="15"/>
      <c r="C15" s="15"/>
      <c r="D15" s="15"/>
      <c r="E15" s="15"/>
      <c r="F15" s="15"/>
      <c r="G15" s="24"/>
    </row>
    <row r="16" spans="1:7">
      <c r="A16" s="9" t="s">
        <v>504</v>
      </c>
      <c r="B16" s="15">
        <v>20.772041489863302</v>
      </c>
      <c r="C16" s="15">
        <v>25.0707213578501</v>
      </c>
      <c r="D16" s="15">
        <v>18.420556341348401</v>
      </c>
      <c r="E16" s="15">
        <v>23.624469589816101</v>
      </c>
      <c r="F16" s="15">
        <v>12.1122112211221</v>
      </c>
      <c r="G16" s="24">
        <v>0</v>
      </c>
    </row>
    <row r="17" spans="1:7">
      <c r="A17" s="9" t="s">
        <v>505</v>
      </c>
      <c r="B17" s="15">
        <v>25.212164073550198</v>
      </c>
      <c r="C17" s="15">
        <v>32.6084394153701</v>
      </c>
      <c r="D17" s="15">
        <v>20.7225365393682</v>
      </c>
      <c r="E17" s="15">
        <v>9.8102310231023093</v>
      </c>
      <c r="F17" s="15">
        <v>11.6466289486091</v>
      </c>
      <c r="G17" s="24">
        <v>0</v>
      </c>
    </row>
    <row r="18" spans="1:7">
      <c r="A18" s="9" t="s">
        <v>506</v>
      </c>
      <c r="B18" s="15">
        <v>77.701555869872706</v>
      </c>
      <c r="C18" s="15">
        <v>19.006364922206501</v>
      </c>
      <c r="D18" s="15">
        <v>1.8069306930693101</v>
      </c>
      <c r="E18" s="15">
        <v>0.99009900990098998</v>
      </c>
      <c r="F18" s="15">
        <v>0.49504950495049499</v>
      </c>
      <c r="G18" s="24">
        <v>0</v>
      </c>
    </row>
    <row r="19" spans="1:7">
      <c r="A19" s="9" t="s">
        <v>507</v>
      </c>
      <c r="B19" s="15">
        <v>39.941065535124899</v>
      </c>
      <c r="C19" s="15">
        <v>39.006364922206501</v>
      </c>
      <c r="D19" s="15">
        <v>12.100424328147099</v>
      </c>
      <c r="E19" s="15">
        <v>6.5594059405940603</v>
      </c>
      <c r="F19" s="15">
        <v>2.3927392739273898</v>
      </c>
      <c r="G19" s="24">
        <v>0</v>
      </c>
    </row>
    <row r="20" spans="1:7">
      <c r="A20" s="9" t="s">
        <v>508</v>
      </c>
      <c r="B20" s="15">
        <v>16.0242809995285</v>
      </c>
      <c r="C20" s="15">
        <v>35.648279113625598</v>
      </c>
      <c r="D20" s="15">
        <v>19.852663837812401</v>
      </c>
      <c r="E20" s="15">
        <v>19.852663837812401</v>
      </c>
      <c r="F20" s="15">
        <v>8.6221122112211201</v>
      </c>
      <c r="G20" s="24">
        <v>0</v>
      </c>
    </row>
    <row r="21" spans="1:7">
      <c r="A21" s="9" t="s">
        <v>509</v>
      </c>
      <c r="B21" s="15">
        <v>70.531588873173007</v>
      </c>
      <c r="C21" s="15">
        <v>25.3842527109854</v>
      </c>
      <c r="D21" s="15">
        <v>3.5891089108910901</v>
      </c>
      <c r="E21" s="15">
        <v>0</v>
      </c>
      <c r="F21" s="15">
        <v>0.49504950495049499</v>
      </c>
      <c r="G21" s="24">
        <v>0</v>
      </c>
    </row>
    <row r="22" spans="1:7">
      <c r="A22" s="39" t="s">
        <v>510</v>
      </c>
      <c r="B22" s="15"/>
      <c r="C22" s="15"/>
      <c r="D22" s="15"/>
      <c r="E22" s="15"/>
      <c r="F22" s="15"/>
      <c r="G22" s="24"/>
    </row>
    <row r="23" spans="1:7">
      <c r="A23" s="9" t="s">
        <v>511</v>
      </c>
      <c r="B23" s="15">
        <v>16.316595945308801</v>
      </c>
      <c r="C23" s="15">
        <v>34.501414427157002</v>
      </c>
      <c r="D23" s="15">
        <v>5.2687411598302702</v>
      </c>
      <c r="E23" s="15">
        <v>20.500942951437999</v>
      </c>
      <c r="F23" s="15">
        <v>23.412305516265899</v>
      </c>
      <c r="G23" s="24">
        <v>0</v>
      </c>
    </row>
    <row r="24" spans="1:7">
      <c r="A24" s="9" t="s">
        <v>512</v>
      </c>
      <c r="B24" s="15">
        <v>30.364214992927899</v>
      </c>
      <c r="C24" s="15">
        <v>29.011079679396499</v>
      </c>
      <c r="D24" s="15">
        <v>8.2095709570957105</v>
      </c>
      <c r="E24" s="15">
        <v>20.1214049976426</v>
      </c>
      <c r="F24" s="15">
        <v>12.2937293729373</v>
      </c>
      <c r="G24" s="24">
        <v>0</v>
      </c>
    </row>
    <row r="25" spans="1:7">
      <c r="A25" s="9" t="s">
        <v>513</v>
      </c>
      <c r="B25" s="15">
        <v>29.97171145686</v>
      </c>
      <c r="C25" s="15">
        <v>32.9101838755304</v>
      </c>
      <c r="D25" s="15">
        <v>8.7340876944837298</v>
      </c>
      <c r="E25" s="15">
        <v>17.265440829797299</v>
      </c>
      <c r="F25" s="15">
        <v>11.1185761433286</v>
      </c>
      <c r="G25" s="24">
        <v>0</v>
      </c>
    </row>
    <row r="26" spans="1:7">
      <c r="A26" s="9" t="s">
        <v>514</v>
      </c>
      <c r="B26" s="15">
        <v>32.237152286657199</v>
      </c>
      <c r="C26" s="15">
        <v>38.834276284771299</v>
      </c>
      <c r="D26" s="15">
        <v>13.717586044318701</v>
      </c>
      <c r="E26" s="15">
        <v>9.6004243281470991</v>
      </c>
      <c r="F26" s="15">
        <v>5.6105610561056096</v>
      </c>
      <c r="G26" s="24">
        <v>0</v>
      </c>
    </row>
    <row r="27" spans="1:7">
      <c r="A27" s="11" t="s">
        <v>515</v>
      </c>
      <c r="B27" s="16">
        <v>58.992220650636497</v>
      </c>
      <c r="C27" s="16">
        <v>30.950023573785899</v>
      </c>
      <c r="D27" s="16">
        <v>5.7673267326732702</v>
      </c>
      <c r="E27" s="16">
        <v>3.1353135313531402</v>
      </c>
      <c r="F27" s="16">
        <v>1.15511551155115</v>
      </c>
      <c r="G27" s="25">
        <v>0</v>
      </c>
    </row>
    <row r="28" spans="1:7" ht="30" customHeight="1">
      <c r="A28" t="s">
        <v>144</v>
      </c>
    </row>
    <row r="29" spans="1:7">
      <c r="A29" t="s">
        <v>585</v>
      </c>
    </row>
    <row r="30" spans="1:7">
      <c r="A30" t="s">
        <v>586</v>
      </c>
    </row>
    <row r="31" spans="1:7">
      <c r="A31" t="s">
        <v>587</v>
      </c>
    </row>
    <row r="32" spans="1:7">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32"/>
  <sheetViews>
    <sheetView zoomScale="70" workbookViewId="0"/>
  </sheetViews>
  <sheetFormatPr defaultColWidth="10.88671875" defaultRowHeight="15"/>
  <cols>
    <col min="1" max="1" width="77.6640625" customWidth="1"/>
    <col min="2" max="5" width="15.88671875" customWidth="1"/>
  </cols>
  <sheetData>
    <row r="1" spans="1:5" ht="39.950000000000003" customHeight="1">
      <c r="A1" s="10" t="s">
        <v>600</v>
      </c>
      <c r="B1" s="12"/>
      <c r="C1" s="12"/>
      <c r="D1" s="12"/>
      <c r="E1" s="12"/>
    </row>
    <row r="2" spans="1:5" ht="60">
      <c r="A2" s="7" t="s">
        <v>52</v>
      </c>
      <c r="B2" s="6" t="s">
        <v>517</v>
      </c>
      <c r="C2" s="6" t="s">
        <v>518</v>
      </c>
      <c r="D2" s="6" t="s">
        <v>519</v>
      </c>
      <c r="E2" s="8" t="s">
        <v>520</v>
      </c>
    </row>
    <row r="3" spans="1:5">
      <c r="A3" s="39" t="s">
        <v>521</v>
      </c>
      <c r="B3" s="15"/>
      <c r="C3" s="15"/>
      <c r="D3" s="15"/>
      <c r="E3" s="24"/>
    </row>
    <row r="4" spans="1:5">
      <c r="A4" s="9" t="s">
        <v>522</v>
      </c>
      <c r="B4" s="15">
        <v>86.909476661951899</v>
      </c>
      <c r="C4" s="15">
        <v>60.983026874116</v>
      </c>
      <c r="D4" s="15">
        <v>60.240452616690199</v>
      </c>
      <c r="E4" s="24">
        <v>11.1386138613861</v>
      </c>
    </row>
    <row r="5" spans="1:5">
      <c r="A5" s="9" t="s">
        <v>523</v>
      </c>
      <c r="B5" s="15">
        <v>56.2022630834512</v>
      </c>
      <c r="C5" s="15">
        <v>59.048797736916498</v>
      </c>
      <c r="D5" s="15">
        <v>50.426685525695397</v>
      </c>
      <c r="E5" s="24">
        <v>25.763790664780799</v>
      </c>
    </row>
    <row r="6" spans="1:5">
      <c r="A6" s="9" t="s">
        <v>524</v>
      </c>
      <c r="B6" s="15">
        <v>27.629655822725098</v>
      </c>
      <c r="C6" s="15">
        <v>24.1136256482791</v>
      </c>
      <c r="D6" s="15">
        <v>15.6565299387082</v>
      </c>
      <c r="E6" s="24">
        <v>7.1251768033946297</v>
      </c>
    </row>
    <row r="7" spans="1:5">
      <c r="A7" s="9" t="s">
        <v>525</v>
      </c>
      <c r="B7" s="15">
        <v>65.852192362093305</v>
      </c>
      <c r="C7" s="15">
        <v>50.755539839698301</v>
      </c>
      <c r="D7" s="15">
        <v>44.823196605374797</v>
      </c>
      <c r="E7" s="24">
        <v>33.923856671381401</v>
      </c>
    </row>
    <row r="8" spans="1:5">
      <c r="A8" s="9" t="s">
        <v>526</v>
      </c>
      <c r="B8" s="15">
        <v>1.8481848184818499</v>
      </c>
      <c r="C8" s="15">
        <v>0</v>
      </c>
      <c r="D8" s="15">
        <v>0</v>
      </c>
      <c r="E8" s="24">
        <v>0</v>
      </c>
    </row>
    <row r="9" spans="1:5">
      <c r="A9" s="9" t="s">
        <v>527</v>
      </c>
      <c r="B9" s="15">
        <v>7.1287128712871297</v>
      </c>
      <c r="C9" s="15">
        <v>1.98019801980198</v>
      </c>
      <c r="D9" s="15">
        <v>1.48514851485149</v>
      </c>
      <c r="E9" s="24">
        <v>0</v>
      </c>
    </row>
    <row r="10" spans="1:5">
      <c r="A10" s="9" t="s">
        <v>528</v>
      </c>
      <c r="B10" s="15">
        <v>28.2520037718058</v>
      </c>
      <c r="C10" s="15">
        <v>9.0346534653465405</v>
      </c>
      <c r="D10" s="15">
        <v>9.0346534653465405</v>
      </c>
      <c r="E10" s="24">
        <v>0.49504950495049499</v>
      </c>
    </row>
    <row r="11" spans="1:5">
      <c r="A11" s="9" t="s">
        <v>529</v>
      </c>
      <c r="B11" s="15">
        <v>4.2373880245167399</v>
      </c>
      <c r="C11" s="15">
        <v>1.77392739273927</v>
      </c>
      <c r="D11" s="15">
        <v>1.77392739273927</v>
      </c>
      <c r="E11" s="24">
        <v>0</v>
      </c>
    </row>
    <row r="12" spans="1:5">
      <c r="A12" s="9" t="s">
        <v>530</v>
      </c>
      <c r="B12" s="15">
        <v>84.549740688354504</v>
      </c>
      <c r="C12" s="15">
        <v>68.384016973125895</v>
      </c>
      <c r="D12" s="15">
        <v>65.413719943422905</v>
      </c>
      <c r="E12" s="24">
        <v>30.829797265440799</v>
      </c>
    </row>
    <row r="13" spans="1:5">
      <c r="A13" s="9" t="s">
        <v>344</v>
      </c>
      <c r="B13" s="15">
        <v>4.4554455445544603</v>
      </c>
      <c r="C13" s="15">
        <v>4.7029702970297</v>
      </c>
      <c r="D13" s="15">
        <v>3.71287128712871</v>
      </c>
      <c r="E13" s="24">
        <v>2.2277227722772301</v>
      </c>
    </row>
    <row r="14" spans="1:5">
      <c r="A14" s="39" t="s">
        <v>531</v>
      </c>
      <c r="B14" s="15"/>
      <c r="C14" s="15"/>
      <c r="D14" s="15"/>
      <c r="E14" s="24"/>
    </row>
    <row r="15" spans="1:5">
      <c r="A15" s="9" t="s">
        <v>532</v>
      </c>
      <c r="B15" s="15">
        <v>43.3203677510608</v>
      </c>
      <c r="C15" s="15">
        <v>24.255068363979301</v>
      </c>
      <c r="D15" s="15">
        <v>14.356435643564399</v>
      </c>
      <c r="E15" s="24">
        <v>0.99009900990098998</v>
      </c>
    </row>
    <row r="16" spans="1:5">
      <c r="A16" s="9" t="s">
        <v>533</v>
      </c>
      <c r="B16" s="15">
        <v>6.1350777934936396</v>
      </c>
      <c r="C16" s="15">
        <v>5.1980198019802</v>
      </c>
      <c r="D16" s="15">
        <v>4.8679867986798699</v>
      </c>
      <c r="E16" s="24">
        <v>2.4339933993399301</v>
      </c>
    </row>
    <row r="17" spans="1:5">
      <c r="A17" s="9" t="s">
        <v>534</v>
      </c>
      <c r="B17" s="15">
        <v>25.1367279585101</v>
      </c>
      <c r="C17" s="15">
        <v>14.356435643564399</v>
      </c>
      <c r="D17" s="15">
        <v>7.0132013201320103</v>
      </c>
      <c r="E17" s="24">
        <v>0.49504950495049499</v>
      </c>
    </row>
    <row r="18" spans="1:5">
      <c r="A18" s="9" t="s">
        <v>535</v>
      </c>
      <c r="B18" s="15">
        <v>3.1353135313531402</v>
      </c>
      <c r="C18" s="15">
        <v>4.8679867986798699</v>
      </c>
      <c r="D18" s="15">
        <v>21.856435643564399</v>
      </c>
      <c r="E18" s="24">
        <v>1.48514851485149</v>
      </c>
    </row>
    <row r="19" spans="1:5">
      <c r="A19" s="9" t="s">
        <v>536</v>
      </c>
      <c r="B19" s="15">
        <v>11.4898632720415</v>
      </c>
      <c r="C19" s="15">
        <v>7.5082508250825102</v>
      </c>
      <c r="D19" s="15">
        <v>54.695898161244699</v>
      </c>
      <c r="E19" s="24">
        <v>1.8151815181518201</v>
      </c>
    </row>
    <row r="20" spans="1:5">
      <c r="A20" s="9" t="s">
        <v>537</v>
      </c>
      <c r="B20" s="15">
        <v>30.066006600660099</v>
      </c>
      <c r="C20" s="15">
        <v>22.422206506364901</v>
      </c>
      <c r="D20" s="15">
        <v>61.565299387081602</v>
      </c>
      <c r="E20" s="24">
        <v>10.912305516265899</v>
      </c>
    </row>
    <row r="21" spans="1:5">
      <c r="A21" s="9" t="s">
        <v>538</v>
      </c>
      <c r="B21" s="15">
        <v>61.915370108439397</v>
      </c>
      <c r="C21" s="15">
        <v>56.346063177746302</v>
      </c>
      <c r="D21" s="15">
        <v>25.619990570485601</v>
      </c>
      <c r="E21" s="24">
        <v>17.8547854785479</v>
      </c>
    </row>
    <row r="22" spans="1:5">
      <c r="A22" s="9" t="s">
        <v>539</v>
      </c>
      <c r="B22" s="15">
        <v>69.214992927864202</v>
      </c>
      <c r="C22" s="15">
        <v>63.174210278170698</v>
      </c>
      <c r="D22" s="15">
        <v>6.3118811881188099</v>
      </c>
      <c r="E22" s="24">
        <v>24.814945780292302</v>
      </c>
    </row>
    <row r="23" spans="1:5">
      <c r="A23" s="9" t="s">
        <v>540</v>
      </c>
      <c r="B23" s="15">
        <v>47.197076850542203</v>
      </c>
      <c r="C23" s="15">
        <v>30.364214992927899</v>
      </c>
      <c r="D23" s="15">
        <v>3.50660066006601</v>
      </c>
      <c r="E23" s="24">
        <v>10.5528052805281</v>
      </c>
    </row>
    <row r="24" spans="1:5">
      <c r="A24" s="9" t="s">
        <v>541</v>
      </c>
      <c r="B24" s="15">
        <v>17.805280528052801</v>
      </c>
      <c r="C24" s="15">
        <v>7.5</v>
      </c>
      <c r="D24" s="15">
        <v>13.4075907590759</v>
      </c>
      <c r="E24" s="24">
        <v>3.9108910891089099</v>
      </c>
    </row>
    <row r="25" spans="1:5">
      <c r="A25" s="9" t="s">
        <v>542</v>
      </c>
      <c r="B25" s="15">
        <v>12.079207920792101</v>
      </c>
      <c r="C25" s="15">
        <v>7.4587458745874597</v>
      </c>
      <c r="D25" s="15">
        <v>4.5792079207920802</v>
      </c>
      <c r="E25" s="24">
        <v>2.7970297029703</v>
      </c>
    </row>
    <row r="26" spans="1:5">
      <c r="A26" s="9" t="s">
        <v>543</v>
      </c>
      <c r="B26" s="15">
        <v>20.285242809995299</v>
      </c>
      <c r="C26" s="15">
        <v>14.3976897689769</v>
      </c>
      <c r="D26" s="15">
        <v>9.5297029702970306</v>
      </c>
      <c r="E26" s="24">
        <v>6.0231023102310202</v>
      </c>
    </row>
    <row r="27" spans="1:5">
      <c r="A27" s="11" t="s">
        <v>344</v>
      </c>
      <c r="B27" s="16">
        <v>2.7640264026402601</v>
      </c>
      <c r="C27" s="16">
        <v>5.2392739273927402</v>
      </c>
      <c r="D27" s="16">
        <v>21.267090994813799</v>
      </c>
      <c r="E27" s="25">
        <v>2.5990099009901</v>
      </c>
    </row>
    <row r="28" spans="1:5" ht="30" customHeight="1">
      <c r="A28" t="s">
        <v>144</v>
      </c>
    </row>
    <row r="29" spans="1:5">
      <c r="A29" t="s">
        <v>585</v>
      </c>
    </row>
    <row r="30" spans="1:5">
      <c r="A30" t="s">
        <v>586</v>
      </c>
    </row>
    <row r="31" spans="1:5">
      <c r="A31" t="s">
        <v>587</v>
      </c>
    </row>
    <row r="32" spans="1:5">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28"/>
  <sheetViews>
    <sheetView zoomScale="70" workbookViewId="0"/>
  </sheetViews>
  <sheetFormatPr defaultColWidth="10.88671875" defaultRowHeight="15"/>
  <cols>
    <col min="1" max="1" width="77.6640625" customWidth="1"/>
    <col min="2" max="2" width="15.88671875" customWidth="1"/>
  </cols>
  <sheetData>
    <row r="1" spans="1:2" ht="39.950000000000003" customHeight="1">
      <c r="A1" s="10" t="s">
        <v>601</v>
      </c>
      <c r="B1" s="12"/>
    </row>
    <row r="2" spans="1:2">
      <c r="A2" s="7" t="s">
        <v>52</v>
      </c>
      <c r="B2" s="8" t="s">
        <v>602</v>
      </c>
    </row>
    <row r="3" spans="1:2">
      <c r="A3" s="39" t="s">
        <v>546</v>
      </c>
      <c r="B3" s="24"/>
    </row>
    <row r="4" spans="1:2">
      <c r="A4" s="9" t="s">
        <v>547</v>
      </c>
      <c r="B4" s="24">
        <v>0</v>
      </c>
    </row>
    <row r="5" spans="1:2">
      <c r="A5" s="9" t="s">
        <v>548</v>
      </c>
      <c r="B5" s="24">
        <v>0</v>
      </c>
    </row>
    <row r="6" spans="1:2">
      <c r="A6" s="9" t="s">
        <v>549</v>
      </c>
      <c r="B6" s="24">
        <v>0</v>
      </c>
    </row>
    <row r="7" spans="1:2">
      <c r="A7" s="9" t="s">
        <v>550</v>
      </c>
      <c r="B7" s="24">
        <v>0</v>
      </c>
    </row>
    <row r="8" spans="1:2">
      <c r="A8" s="9" t="s">
        <v>551</v>
      </c>
      <c r="B8" s="24">
        <v>0</v>
      </c>
    </row>
    <row r="9" spans="1:2">
      <c r="A9" s="9" t="s">
        <v>344</v>
      </c>
      <c r="B9" s="24">
        <v>0</v>
      </c>
    </row>
    <row r="10" spans="1:2">
      <c r="A10" s="9" t="s">
        <v>552</v>
      </c>
      <c r="B10" s="24">
        <v>100</v>
      </c>
    </row>
    <row r="11" spans="1:2" ht="30">
      <c r="A11" s="39" t="s">
        <v>553</v>
      </c>
      <c r="B11" s="24"/>
    </row>
    <row r="12" spans="1:2">
      <c r="A12" s="9" t="s">
        <v>554</v>
      </c>
      <c r="B12" s="24">
        <v>0</v>
      </c>
    </row>
    <row r="13" spans="1:2">
      <c r="A13" s="9" t="s">
        <v>555</v>
      </c>
      <c r="B13" s="24">
        <v>0</v>
      </c>
    </row>
    <row r="14" spans="1:2">
      <c r="A14" s="9" t="s">
        <v>556</v>
      </c>
      <c r="B14" s="24">
        <v>0</v>
      </c>
    </row>
    <row r="15" spans="1:2">
      <c r="A15" s="9" t="s">
        <v>557</v>
      </c>
      <c r="B15" s="24">
        <v>0</v>
      </c>
    </row>
    <row r="16" spans="1:2">
      <c r="A16" s="9" t="s">
        <v>558</v>
      </c>
      <c r="B16" s="24">
        <v>0</v>
      </c>
    </row>
    <row r="17" spans="1:2">
      <c r="A17" s="9" t="s">
        <v>559</v>
      </c>
      <c r="B17" s="24">
        <v>0</v>
      </c>
    </row>
    <row r="18" spans="1:2">
      <c r="A18" s="39" t="s">
        <v>560</v>
      </c>
      <c r="B18" s="24"/>
    </row>
    <row r="19" spans="1:2">
      <c r="A19" s="9" t="s">
        <v>561</v>
      </c>
      <c r="B19" s="24">
        <v>0</v>
      </c>
    </row>
    <row r="20" spans="1:2">
      <c r="A20" s="9" t="s">
        <v>562</v>
      </c>
      <c r="B20" s="24">
        <v>0</v>
      </c>
    </row>
    <row r="21" spans="1:2">
      <c r="A21" s="9" t="s">
        <v>563</v>
      </c>
      <c r="B21" s="24">
        <v>0</v>
      </c>
    </row>
    <row r="22" spans="1:2">
      <c r="A22" s="9" t="s">
        <v>564</v>
      </c>
      <c r="B22" s="24">
        <v>0</v>
      </c>
    </row>
    <row r="23" spans="1:2">
      <c r="A23" s="11" t="s">
        <v>344</v>
      </c>
      <c r="B23" s="25">
        <v>0</v>
      </c>
    </row>
    <row r="24" spans="1:2" ht="30" customHeight="1">
      <c r="A24" t="s">
        <v>144</v>
      </c>
    </row>
    <row r="25" spans="1:2">
      <c r="A25" t="s">
        <v>585</v>
      </c>
    </row>
    <row r="26" spans="1:2">
      <c r="A26" t="s">
        <v>586</v>
      </c>
    </row>
    <row r="27" spans="1:2">
      <c r="A27" t="s">
        <v>587</v>
      </c>
    </row>
    <row r="28" spans="1: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27"/>
  <sheetViews>
    <sheetView zoomScale="70" workbookViewId="0"/>
  </sheetViews>
  <sheetFormatPr defaultColWidth="10.88671875" defaultRowHeight="15"/>
  <cols>
    <col min="1" max="1" width="77.6640625" customWidth="1"/>
    <col min="2" max="7" width="15.88671875" customWidth="1"/>
  </cols>
  <sheetData>
    <row r="1" spans="1:7" ht="39.950000000000003" customHeight="1">
      <c r="A1" s="10" t="s">
        <v>603</v>
      </c>
      <c r="B1" s="12"/>
      <c r="C1" s="12"/>
      <c r="D1" s="12"/>
      <c r="E1" s="12"/>
      <c r="F1" s="12"/>
      <c r="G1" s="12"/>
    </row>
    <row r="2" spans="1:7">
      <c r="A2" s="7" t="s">
        <v>52</v>
      </c>
      <c r="B2" s="6" t="s">
        <v>602</v>
      </c>
      <c r="C2" s="6" t="s">
        <v>604</v>
      </c>
      <c r="D2" s="6" t="s">
        <v>605</v>
      </c>
      <c r="E2" s="6" t="s">
        <v>606</v>
      </c>
      <c r="F2" s="6" t="s">
        <v>607</v>
      </c>
      <c r="G2" s="8" t="s">
        <v>608</v>
      </c>
    </row>
    <row r="3" spans="1:7">
      <c r="A3" s="39" t="s">
        <v>570</v>
      </c>
      <c r="B3" s="15"/>
      <c r="C3" s="15"/>
      <c r="D3" s="15"/>
      <c r="E3" s="15"/>
      <c r="F3" s="15"/>
      <c r="G3" s="24"/>
    </row>
    <row r="4" spans="1:7">
      <c r="A4" s="9" t="s">
        <v>571</v>
      </c>
      <c r="B4" s="15">
        <v>8.3333333333333304</v>
      </c>
      <c r="C4" s="15">
        <v>8.3333333333333304</v>
      </c>
      <c r="D4" s="15">
        <v>0</v>
      </c>
      <c r="E4" s="15">
        <v>0</v>
      </c>
      <c r="F4" s="15">
        <v>0</v>
      </c>
      <c r="G4" s="24">
        <v>0</v>
      </c>
    </row>
    <row r="5" spans="1:7">
      <c r="A5" s="9" t="s">
        <v>572</v>
      </c>
      <c r="B5" s="15">
        <v>8.3333333333333304</v>
      </c>
      <c r="C5" s="15">
        <v>8.3333333333333304</v>
      </c>
      <c r="D5" s="15">
        <v>0</v>
      </c>
      <c r="E5" s="15">
        <v>0</v>
      </c>
      <c r="F5" s="15">
        <v>0</v>
      </c>
      <c r="G5" s="24">
        <v>0</v>
      </c>
    </row>
    <row r="6" spans="1:7">
      <c r="A6" s="9" t="s">
        <v>573</v>
      </c>
      <c r="B6" s="15">
        <v>8.3333333333333304</v>
      </c>
      <c r="C6" s="15">
        <v>8.3333333333333304</v>
      </c>
      <c r="D6" s="15">
        <v>0</v>
      </c>
      <c r="E6" s="15">
        <v>0</v>
      </c>
      <c r="F6" s="15">
        <v>0</v>
      </c>
      <c r="G6" s="24">
        <v>0</v>
      </c>
    </row>
    <row r="7" spans="1:7" ht="30">
      <c r="A7" s="39" t="s">
        <v>574</v>
      </c>
      <c r="B7" s="15"/>
      <c r="C7" s="20" t="s">
        <v>575</v>
      </c>
      <c r="D7" s="20" t="s">
        <v>575</v>
      </c>
      <c r="E7" s="20" t="s">
        <v>575</v>
      </c>
      <c r="F7" s="20" t="s">
        <v>575</v>
      </c>
      <c r="G7" s="26" t="s">
        <v>575</v>
      </c>
    </row>
    <row r="8" spans="1:7">
      <c r="A8" s="9" t="s">
        <v>480</v>
      </c>
      <c r="B8" s="15">
        <v>100</v>
      </c>
      <c r="C8" s="20" t="s">
        <v>575</v>
      </c>
      <c r="D8" s="20" t="s">
        <v>575</v>
      </c>
      <c r="E8" s="20" t="s">
        <v>575</v>
      </c>
      <c r="F8" s="20" t="s">
        <v>575</v>
      </c>
      <c r="G8" s="26" t="s">
        <v>575</v>
      </c>
    </row>
    <row r="9" spans="1:7">
      <c r="A9" s="9" t="s">
        <v>481</v>
      </c>
      <c r="B9" s="15">
        <v>0</v>
      </c>
      <c r="C9" s="20" t="s">
        <v>575</v>
      </c>
      <c r="D9" s="20" t="s">
        <v>575</v>
      </c>
      <c r="E9" s="20" t="s">
        <v>575</v>
      </c>
      <c r="F9" s="20" t="s">
        <v>575</v>
      </c>
      <c r="G9" s="26" t="s">
        <v>575</v>
      </c>
    </row>
    <row r="10" spans="1:7">
      <c r="A10" s="9" t="s">
        <v>491</v>
      </c>
      <c r="B10" s="15">
        <v>0</v>
      </c>
      <c r="C10" s="20" t="s">
        <v>575</v>
      </c>
      <c r="D10" s="20" t="s">
        <v>575</v>
      </c>
      <c r="E10" s="20" t="s">
        <v>575</v>
      </c>
      <c r="F10" s="20" t="s">
        <v>575</v>
      </c>
      <c r="G10" s="26" t="s">
        <v>575</v>
      </c>
    </row>
    <row r="11" spans="1:7">
      <c r="A11" s="39" t="s">
        <v>576</v>
      </c>
      <c r="B11" s="15"/>
      <c r="C11" s="20" t="s">
        <v>575</v>
      </c>
      <c r="D11" s="20" t="s">
        <v>575</v>
      </c>
      <c r="E11" s="20" t="s">
        <v>575</v>
      </c>
      <c r="F11" s="20" t="s">
        <v>575</v>
      </c>
      <c r="G11" s="26" t="s">
        <v>575</v>
      </c>
    </row>
    <row r="12" spans="1:7">
      <c r="A12" s="9" t="s">
        <v>480</v>
      </c>
      <c r="B12" s="15">
        <v>100</v>
      </c>
      <c r="C12" s="20" t="s">
        <v>575</v>
      </c>
      <c r="D12" s="20" t="s">
        <v>575</v>
      </c>
      <c r="E12" s="20" t="s">
        <v>575</v>
      </c>
      <c r="F12" s="20" t="s">
        <v>575</v>
      </c>
      <c r="G12" s="26" t="s">
        <v>575</v>
      </c>
    </row>
    <row r="13" spans="1:7">
      <c r="A13" s="9" t="s">
        <v>481</v>
      </c>
      <c r="B13" s="15">
        <v>0</v>
      </c>
      <c r="C13" s="20" t="s">
        <v>575</v>
      </c>
      <c r="D13" s="20" t="s">
        <v>575</v>
      </c>
      <c r="E13" s="20" t="s">
        <v>575</v>
      </c>
      <c r="F13" s="20" t="s">
        <v>575</v>
      </c>
      <c r="G13" s="26" t="s">
        <v>575</v>
      </c>
    </row>
    <row r="14" spans="1:7">
      <c r="A14" s="9" t="s">
        <v>491</v>
      </c>
      <c r="B14" s="15">
        <v>0</v>
      </c>
      <c r="C14" s="20" t="s">
        <v>575</v>
      </c>
      <c r="D14" s="20" t="s">
        <v>575</v>
      </c>
      <c r="E14" s="20" t="s">
        <v>575</v>
      </c>
      <c r="F14" s="20" t="s">
        <v>575</v>
      </c>
      <c r="G14" s="26" t="s">
        <v>575</v>
      </c>
    </row>
    <row r="15" spans="1:7" ht="30">
      <c r="A15" s="39" t="s">
        <v>577</v>
      </c>
      <c r="B15" s="15"/>
      <c r="C15" s="20" t="s">
        <v>575</v>
      </c>
      <c r="D15" s="20" t="s">
        <v>575</v>
      </c>
      <c r="E15" s="20" t="s">
        <v>575</v>
      </c>
      <c r="F15" s="20" t="s">
        <v>575</v>
      </c>
      <c r="G15" s="26" t="s">
        <v>575</v>
      </c>
    </row>
    <row r="16" spans="1:7">
      <c r="A16" s="9" t="s">
        <v>578</v>
      </c>
      <c r="B16" s="15">
        <v>0</v>
      </c>
      <c r="C16" s="20" t="s">
        <v>575</v>
      </c>
      <c r="D16" s="20" t="s">
        <v>575</v>
      </c>
      <c r="E16" s="20" t="s">
        <v>575</v>
      </c>
      <c r="F16" s="20" t="s">
        <v>575</v>
      </c>
      <c r="G16" s="26" t="s">
        <v>575</v>
      </c>
    </row>
    <row r="17" spans="1:7">
      <c r="A17" s="9" t="s">
        <v>579</v>
      </c>
      <c r="B17" s="15">
        <v>100</v>
      </c>
      <c r="C17" s="20" t="s">
        <v>575</v>
      </c>
      <c r="D17" s="20" t="s">
        <v>575</v>
      </c>
      <c r="E17" s="20" t="s">
        <v>575</v>
      </c>
      <c r="F17" s="20" t="s">
        <v>575</v>
      </c>
      <c r="G17" s="26" t="s">
        <v>575</v>
      </c>
    </row>
    <row r="18" spans="1:7">
      <c r="A18" s="9" t="s">
        <v>580</v>
      </c>
      <c r="B18" s="15">
        <v>0</v>
      </c>
      <c r="C18" s="20" t="s">
        <v>575</v>
      </c>
      <c r="D18" s="20" t="s">
        <v>575</v>
      </c>
      <c r="E18" s="20" t="s">
        <v>575</v>
      </c>
      <c r="F18" s="20" t="s">
        <v>575</v>
      </c>
      <c r="G18" s="26" t="s">
        <v>575</v>
      </c>
    </row>
    <row r="19" spans="1:7">
      <c r="A19" s="9" t="s">
        <v>581</v>
      </c>
      <c r="B19" s="15">
        <v>0</v>
      </c>
      <c r="C19" s="20" t="s">
        <v>575</v>
      </c>
      <c r="D19" s="20" t="s">
        <v>575</v>
      </c>
      <c r="E19" s="20" t="s">
        <v>575</v>
      </c>
      <c r="F19" s="20" t="s">
        <v>575</v>
      </c>
      <c r="G19" s="26" t="s">
        <v>575</v>
      </c>
    </row>
    <row r="20" spans="1:7">
      <c r="A20" s="9" t="s">
        <v>582</v>
      </c>
      <c r="B20" s="15">
        <v>0</v>
      </c>
      <c r="C20" s="20" t="s">
        <v>575</v>
      </c>
      <c r="D20" s="20" t="s">
        <v>575</v>
      </c>
      <c r="E20" s="20" t="s">
        <v>575</v>
      </c>
      <c r="F20" s="20" t="s">
        <v>575</v>
      </c>
      <c r="G20" s="26" t="s">
        <v>575</v>
      </c>
    </row>
    <row r="21" spans="1:7">
      <c r="A21" s="11" t="s">
        <v>344</v>
      </c>
      <c r="B21" s="16">
        <v>0</v>
      </c>
      <c r="C21" s="28" t="s">
        <v>575</v>
      </c>
      <c r="D21" s="28" t="s">
        <v>575</v>
      </c>
      <c r="E21" s="28" t="s">
        <v>575</v>
      </c>
      <c r="F21" s="28" t="s">
        <v>575</v>
      </c>
      <c r="G21" s="29" t="s">
        <v>575</v>
      </c>
    </row>
    <row r="22" spans="1:7" ht="30" customHeight="1">
      <c r="A22" t="s">
        <v>583</v>
      </c>
    </row>
    <row r="23" spans="1:7">
      <c r="A23" t="s">
        <v>144</v>
      </c>
    </row>
    <row r="24" spans="1:7">
      <c r="A24" t="s">
        <v>585</v>
      </c>
    </row>
    <row r="25" spans="1:7">
      <c r="A25" t="s">
        <v>586</v>
      </c>
    </row>
    <row r="26" spans="1:7">
      <c r="A26" t="s">
        <v>587</v>
      </c>
    </row>
    <row r="27" spans="1:7">
      <c r="A2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55C825E154BF6418B2AF6233B31B98A" ma:contentTypeVersion="8" ma:contentTypeDescription="Create a new document." ma:contentTypeScope="" ma:versionID="dd0b1907b40496270bc72d7357db019e">
  <xsd:schema xmlns:xsd="http://www.w3.org/2001/XMLSchema" xmlns:xs="http://www.w3.org/2001/XMLSchema" xmlns:p="http://schemas.microsoft.com/office/2006/metadata/properties" xmlns:ns2="40b48965-5b74-4088-b430-b5b4d24607f5" xmlns:ns3="fc59b0ed-4470-448c-82fe-ce7472394354" targetNamespace="http://schemas.microsoft.com/office/2006/metadata/properties" ma:root="true" ma:fieldsID="2bc1bfe2217d08cc824ae521adfe65de" ns2:_="" ns3:_="">
    <xsd:import namespace="40b48965-5b74-4088-b430-b5b4d24607f5"/>
    <xsd:import namespace="fc59b0ed-4470-448c-82fe-ce7472394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b48965-5b74-4088-b430-b5b4d24607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59b0ed-4470-448c-82fe-ce747239435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SharedContentType xmlns="Microsoft.SharePoint.Taxonomy.ContentTypeSync" SourceId="b6a5190f-ebbd-42e3-bc8b-869af9a80cc9" ContentTypeId="0x0101" PreviousValue="false"/>
</file>

<file path=customXml/itemProps1.xml><?xml version="1.0" encoding="utf-8"?>
<ds:datastoreItem xmlns:ds="http://schemas.openxmlformats.org/officeDocument/2006/customXml" ds:itemID="{83BD9E93-B500-49FB-8082-F4548B6AD6C3}"/>
</file>

<file path=customXml/itemProps2.xml><?xml version="1.0" encoding="utf-8"?>
<ds:datastoreItem xmlns:ds="http://schemas.openxmlformats.org/officeDocument/2006/customXml" ds:itemID="{6CC5C659-2506-46CD-A5A0-A76FEBF20EA7}"/>
</file>

<file path=customXml/itemProps3.xml><?xml version="1.0" encoding="utf-8"?>
<ds:datastoreItem xmlns:ds="http://schemas.openxmlformats.org/officeDocument/2006/customXml" ds:itemID="{DB3A0EBA-9A48-4AC7-BF8E-A4E054567D0B}"/>
</file>

<file path=customXml/itemProps4.xml><?xml version="1.0" encoding="utf-8"?>
<ds:datastoreItem xmlns:ds="http://schemas.openxmlformats.org/officeDocument/2006/customXml" ds:itemID="{FE37FFCA-B9B3-4426-9C88-31771099E0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HRandall</dc:creator>
  <cp:keywords/>
  <dc:description/>
  <cp:lastModifiedBy>Steffan Berrow</cp:lastModifiedBy>
  <cp:revision/>
  <dcterms:created xsi:type="dcterms:W3CDTF">2022-11-18T14:31:56Z</dcterms:created>
  <dcterms:modified xsi:type="dcterms:W3CDTF">2023-06-26T13:32:44Z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0x010100755C825E154BF6418B2AF6233B31B98A</vt:lpwstr>
  </property>
</Properties>
</file>