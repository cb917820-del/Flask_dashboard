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dataunit-my.sharepoint.com/personal/hrandall_dataunitwales_gov_uk/Documents/Desktop/SportWales/Final/LA/English/"/>
    </mc:Choice>
  </mc:AlternateContent>
  <xr:revisionPtr revIDLastSave="0" documentId="8_{B447E5A1-145B-4C74-84D3-2F24057337C7}" xr6:coauthVersionLast="47" xr6:coauthVersionMax="47" xr10:uidLastSave="{00000000-0000-0000-0000-000000000000}"/>
  <bookViews>
    <workbookView xWindow="33375" yWindow="-9135" windowWidth="4860" windowHeight="2400" xr2:uid="{00000000-000D-0000-FFFF-FFFF00000000}"/>
  </bookViews>
  <sheets>
    <sheet name="Contents" sheetId="1" r:id="rId1"/>
    <sheet name="Technical Information" sheetId="2" r:id="rId2"/>
    <sheet name="Sample" sheetId="3" r:id="rId3"/>
    <sheet name="Table 1" sheetId="4" r:id="rId4"/>
    <sheet name="Table 2" sheetId="5" r:id="rId5"/>
    <sheet name="Table 3" sheetId="6" r:id="rId6"/>
    <sheet name="Table 4" sheetId="7" r:id="rId7"/>
    <sheet name="Table 5" sheetId="8" r:id="rId8"/>
    <sheet name="Table 6" sheetId="9" r:id="rId9"/>
    <sheet name="Table 7a" sheetId="10" r:id="rId10"/>
    <sheet name="Table 7b" sheetId="11" r:id="rId11"/>
    <sheet name="Table 7c" sheetId="12" r:id="rId12"/>
    <sheet name="Table 8a" sheetId="13" r:id="rId13"/>
    <sheet name="Table 8b" sheetId="14" r:id="rId14"/>
    <sheet name="Table 8c" sheetId="15" r:id="rId15"/>
    <sheet name="Table 9a" sheetId="16" r:id="rId16"/>
    <sheet name="Table 9b" sheetId="17" r:id="rId17"/>
    <sheet name="Table 9c" sheetId="18" r:id="rId18"/>
    <sheet name="Table 10a" sheetId="19" r:id="rId19"/>
    <sheet name="Table 10b" sheetId="20" r:id="rId20"/>
    <sheet name="Table 10c" sheetId="21" r:id="rId21"/>
    <sheet name="Table 11a" sheetId="22" r:id="rId22"/>
    <sheet name="Table 11b" sheetId="23" r:id="rId23"/>
    <sheet name="Table 11c" sheetId="24" r:id="rId24"/>
    <sheet name="Table 12a" sheetId="25" r:id="rId25"/>
    <sheet name="Table 12b" sheetId="26" r:id="rId26"/>
    <sheet name="Table 12c" sheetId="27" r:id="rId27"/>
    <sheet name="Table 13a" sheetId="28" r:id="rId28"/>
    <sheet name="Table 13b" sheetId="29" r:id="rId29"/>
    <sheet name="Table 13c" sheetId="30" r:id="rId30"/>
    <sheet name="Table 14a" sheetId="31" r:id="rId31"/>
    <sheet name="Table 14b" sheetId="32" r:id="rId32"/>
    <sheet name="Table 15a" sheetId="33" r:id="rId33"/>
    <sheet name="Table 15b" sheetId="34" r:id="rId34"/>
    <sheet name="Table 16a" sheetId="35" r:id="rId35"/>
    <sheet name="Table 16b" sheetId="36" r:id="rId36"/>
    <sheet name="Table P1" sheetId="37" r:id="rId37"/>
    <sheet name="Table P2" sheetId="38" r:id="rId38"/>
    <sheet name="Table P3" sheetId="39" r:id="rId39"/>
    <sheet name="Table P4" sheetId="40" r:id="rId40"/>
    <sheet name="Table P5" sheetId="41" r:id="rId41"/>
    <sheet name="Table P6" sheetId="42" r:id="rId42"/>
    <sheet name="Table P7" sheetId="43" r:id="rId43"/>
    <sheet name="Table P8" sheetId="44" r:id="rId44"/>
    <sheet name="Table P9" sheetId="45" r:id="rId45"/>
    <sheet name="Table S1" sheetId="46" r:id="rId46"/>
    <sheet name="Table S2" sheetId="47" r:id="rId47"/>
    <sheet name="Table S3" sheetId="48" r:id="rId48"/>
    <sheet name="Table S4" sheetId="49" r:id="rId49"/>
    <sheet name="Table S5" sheetId="50" r:id="rId50"/>
    <sheet name="Table S6" sheetId="51" r:id="rId51"/>
    <sheet name="Table S7" sheetId="52" r:id="rId52"/>
    <sheet name="Table S8" sheetId="53" r:id="rId53"/>
    <sheet name="Table S9" sheetId="54" r:id="rId5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17" i="46"/>
  <c r="A27" i="45"/>
  <c r="A28" i="44"/>
  <c r="A32" i="43"/>
  <c r="A32" i="42"/>
  <c r="A25" i="41"/>
  <c r="A19" i="40"/>
  <c r="A61" i="39"/>
  <c r="A61" i="38"/>
  <c r="A37" i="37"/>
  <c r="A14" i="36"/>
  <c r="A13" i="35"/>
  <c r="A29" i="34"/>
  <c r="A28" i="33"/>
  <c r="A44" i="32"/>
  <c r="A43" i="31"/>
  <c r="A71" i="30"/>
  <c r="A71" i="29"/>
  <c r="A70" i="28"/>
  <c r="A71" i="27"/>
  <c r="A71" i="26"/>
  <c r="A70" i="25"/>
  <c r="A70" i="24"/>
  <c r="A23" i="23"/>
  <c r="A71" i="22"/>
  <c r="A71" i="21"/>
  <c r="A70" i="20"/>
  <c r="A48" i="19"/>
  <c r="A71" i="18"/>
  <c r="A70" i="17"/>
  <c r="A48" i="16"/>
  <c r="A71" i="15"/>
  <c r="A70" i="14"/>
  <c r="A48" i="13"/>
  <c r="A71" i="12"/>
  <c r="A70" i="11"/>
  <c r="A48" i="10"/>
  <c r="A48" i="9"/>
  <c r="A48" i="8"/>
  <c r="A48" i="7"/>
  <c r="A48"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<sst xmlns="http://schemas.openxmlformats.org/spreadsheetml/2006/main" count="15876" uniqueCount="558">
  <si>
    <t>School Sport Survey 2022: Local authority results for Neath Port Talbot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</si>
  <si>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</si>
  <si>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</si>
  <si>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</si>
  <si>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</si>
  <si>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</si>
  <si>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</si>
  <si>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</si>
  <si>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</si>
  <si>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</si>
  <si>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</si>
  <si>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</si>
  <si>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</si>
  <si>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</si>
  <si>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</si>
  <si>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</si>
  <si>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</si>
  <si>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</si>
  <si>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</si>
  <si>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</si>
  <si>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</si>
  <si>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</si>
  <si>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</si>
  <si>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</si>
  <si>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</si>
  <si>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</si>
  <si>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</si>
  <si>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</si>
  <si>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</si>
  <si>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</si>
  <si>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</si>
  <si>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</si>
  <si>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</si>
  <si>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</si>
  <si>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</si>
  <si>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</si>
  <si>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</si>
  <si>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</si>
  <si>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</si>
  <si>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</si>
  <si>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</si>
  <si>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</si>
  <si>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</si>
  <si>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</si>
  <si>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</si>
  <si>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</si>
  <si>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</si>
  <si>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</si>
  <si>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</si>
  <si>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</si>
  <si>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</si>
  <si>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</si>
  <si>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</si>
  <si>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</si>
  <si>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</si>
  <si>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</si>
  <si>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</si>
  <si>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</si>
  <si>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</si>
  <si>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</si>
  <si>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</si>
  <si>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</si>
  <si>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</si>
  <si>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</si>
  <si>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</si>
  <si>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</si>
  <si>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</si>
  <si>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</si>
  <si>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</si>
  <si>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</si>
  <si>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Neath Port Talbot</t>
  </si>
  <si>
    <t>Neath Port Talbot demographic breakdown:</t>
  </si>
  <si>
    <t>Gender</t>
  </si>
  <si>
    <t>Boy</t>
  </si>
  <si>
    <t>Girl</t>
  </si>
  <si>
    <t>Pupils identifying as 'Other'</t>
  </si>
  <si>
    <t>-</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</si>
  <si>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</si>
  <si>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</si>
  <si>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</si>
  <si>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</si>
  <si>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</si>
  <si>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</si>
  <si>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</si>
  <si>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</si>
  <si>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</si>
  <si>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</si>
  <si>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</si>
  <si>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</si>
  <si>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</si>
  <si>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</si>
  <si>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</si>
  <si>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</si>
  <si>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</si>
  <si>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</si>
  <si>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</si>
  <si>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</si>
  <si>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</si>
  <si>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</si>
  <si>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</si>
  <si>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</si>
  <si>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</si>
  <si>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</si>
  <si>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</si>
  <si>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</si>
  <si>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</si>
  <si>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</si>
  <si>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</si>
  <si>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</si>
  <si>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</si>
  <si>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</si>
  <si>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</si>
  <si>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</si>
  <si>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</si>
  <si>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</si>
  <si>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</si>
  <si>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</si>
  <si>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</si>
  <si>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</si>
  <si>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</si>
  <si>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</si>
  <si>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</si>
  <si>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</si>
  <si>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</si>
  <si>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</si>
  <si>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</si>
  <si>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</si>
  <si>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</si>
  <si>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</si>
  <si>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</si>
  <si>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</si>
  <si>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Population figures for ethnicities are rounded to the nearest 5. Numbers less than 5 are suppressed.</t>
  </si>
  <si>
    <t>Table 1: Key Indicators in Neath Port Talbot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</si>
  <si>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</si>
  <si>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</si>
  <si>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</si>
  <si>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</si>
  <si>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</si>
  <si>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</si>
  <si>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</si>
  <si>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</si>
  <si>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rPr>
      <t>i</t>
    </r>
    <r>
      <rPr>
        <sz val="12"/>
        <color rgb="FF000000"/>
        <rFont val="Arial"/>
      </rPr>
      <t/>
    </r>
  </si>
  <si>
    <r>
      <rPr>
        <vertAlign val="superscript"/>
        <sz val="12"/>
        <rFont val="Arial"/>
      </rPr>
      <t>i</t>
    </r>
    <r>
      <rPr>
        <sz val="12"/>
        <color rgb="FF000000"/>
        <rFont val="Arial"/>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</si>
  <si>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</si>
  <si>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</si>
  <si>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</si>
  <si>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</si>
  <si>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Neath Port Talbot is  4,584</t>
  </si>
  <si>
    <t>Table 2: Number of occasions of participation per week in Neath Port Talbot by protected characteristic</t>
  </si>
  <si>
    <t>No frequent activity</t>
  </si>
  <si>
    <t>Once per week</t>
  </si>
  <si>
    <t>Twice per week</t>
  </si>
  <si>
    <t>Three times a week or more</t>
  </si>
  <si>
    <t>Table 3: Three or more occasions of activity per week in Neath Port Talbot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</si>
  <si>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</si>
  <si>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</si>
  <si>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</si>
  <si>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</si>
  <si>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</si>
  <si>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</si>
  <si>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</si>
  <si>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</si>
  <si>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</si>
  <si>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</si>
  <si>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</si>
  <si>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Neath Port Talbot: 
Years 3 to 6</t>
  </si>
  <si>
    <t>Alderman Davies Ciw Primary School</t>
  </si>
  <si>
    <t>Alltwen Primary School</t>
  </si>
  <si>
    <t>Blaenbaglan Primary School</t>
  </si>
  <si>
    <t>Blaengwrach Primary School</t>
  </si>
  <si>
    <t>Blaenhonddan Primary School</t>
  </si>
  <si>
    <t>Bryncoch Ciw Primary School</t>
  </si>
  <si>
    <t>Central Primary School</t>
  </si>
  <si>
    <t>Cilffriw Primary School</t>
  </si>
  <si>
    <t>Coed Hirwaun Primary School</t>
  </si>
  <si>
    <t>Croeserw Primary School</t>
  </si>
  <si>
    <t>Crynallt Primary School</t>
  </si>
  <si>
    <t>Cwmnedd Primary School</t>
  </si>
  <si>
    <t>Gnoll Primary School</t>
  </si>
  <si>
    <t>Melin Primary School</t>
  </si>
  <si>
    <t>Pen Afan Primary School</t>
  </si>
  <si>
    <t>Rhos Primary School</t>
  </si>
  <si>
    <t>St Therese's Catholic Primary School</t>
  </si>
  <si>
    <t>Tonnau Primary Community School</t>
  </si>
  <si>
    <t>Tywyn Primary School</t>
  </si>
  <si>
    <t>Ygg Cwm Nedd</t>
  </si>
  <si>
    <t>Ygg Gwaun Cae Gurwen</t>
  </si>
  <si>
    <t>Ygg Pontardawe</t>
  </si>
  <si>
    <t>Ygg Rhosafan</t>
  </si>
  <si>
    <t>Ysgol Bae Baglan (years 3 to 6)</t>
  </si>
  <si>
    <t>Ysgol Carreg Hir</t>
  </si>
  <si>
    <t>Ysgol Cwm Brombil (years 3 to 6)</t>
  </si>
  <si>
    <t>Ysgol Gymraeg Ystalyfera Bro Dur (years 3 to 6)</t>
  </si>
  <si>
    <t>Secondary in Neath Port Talbot: 
Years 7 to 11</t>
  </si>
  <si>
    <t>Cefn Saeson Comprehensive School</t>
  </si>
  <si>
    <t>Cwmtawe Community School</t>
  </si>
  <si>
    <t>Dwr y Felin Comprehensive School</t>
  </si>
  <si>
    <t>Llangatwg Community School</t>
  </si>
  <si>
    <t>St Joseph's Rc School And 6Th Form Centre</t>
  </si>
  <si>
    <t>Ysgol Bae Baglan (years 7 to 11)</t>
  </si>
  <si>
    <t>Ysgol Gymraeg Ystalyfera Bro Dur (years 7 to 11)</t>
  </si>
  <si>
    <t>Schools that did not have a representative number of boys and girls from each year group complete the survey have not been included.</t>
  </si>
  <si>
    <t>Table 4: Number of occasions of participation per week in Neath Port Talbot (percentage of pupils)</t>
  </si>
  <si>
    <t>Table 5: Frequent participation in extracurricular sport in Neath Port Talbot - at least once a week (percentage of pupils)</t>
  </si>
  <si>
    <t>Table 6: Frequent participation in community sport outside of school in Neath Port Talbot - at least once a week (percentage of pupils)</t>
  </si>
  <si>
    <t>Table 7a: Any participation in sport in the last year in Neath Port Talbot - any setting (percentage of pupils)</t>
  </si>
  <si>
    <t>Table 7b: Any participation in sport in the last year in Neath Port Talbot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</si>
  <si>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</si>
  <si>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</si>
  <si>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</si>
  <si>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</si>
  <si>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</si>
  <si>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</si>
  <si>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</si>
  <si>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</si>
  <si>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</si>
  <si>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</si>
  <si>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</si>
  <si>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</si>
  <si>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</si>
  <si>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</si>
  <si>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</si>
  <si>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</si>
  <si>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</si>
  <si>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</si>
  <si>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</si>
  <si>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</si>
  <si>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</si>
  <si>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</si>
  <si>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</si>
  <si>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</si>
  <si>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</si>
  <si>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</si>
  <si>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</si>
  <si>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</si>
  <si>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</si>
  <si>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</si>
  <si>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</si>
  <si>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</si>
  <si>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</si>
  <si>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</si>
  <si>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</si>
  <si>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</si>
  <si>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</si>
  <si>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</si>
  <si>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</si>
  <si>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</si>
  <si>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</si>
  <si>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</si>
  <si>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</si>
  <si>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</si>
  <si>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</si>
  <si>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</si>
  <si>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</si>
  <si>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</si>
  <si>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</si>
  <si>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</si>
  <si>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</si>
  <si>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</si>
  <si>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</si>
  <si>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</si>
  <si>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</si>
  <si>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</si>
  <si>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</si>
  <si>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</si>
  <si>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</si>
  <si>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</si>
  <si>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</si>
  <si>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</si>
  <si>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Neath Port Talbot - any setting - by sport, by school (percentage of pupils)</t>
  </si>
  <si>
    <t>Table 8a: Any participation in sport in the last year in Neath Port Talbot - Extracurricular sport (percentage of pupils)</t>
  </si>
  <si>
    <t>Table 8b: Any participation in sport in the last year in Neath Port Talbot - Extracurricular sport - by sport (percentage of pupils)</t>
  </si>
  <si>
    <t>Table 8c: Any participation in sport in the last year in Neath Port Talbot - Extracurricular sport - by sport, by school (percentage of pupils)</t>
  </si>
  <si>
    <t>Table 9a: Any participation in sport in the last year in Neath Port Talbot - Community club outside of school (percentage of pupils)</t>
  </si>
  <si>
    <t>Table 9b: Any participation in sport in the last year in Neath Port Talbot - Community club outside of school - by sport (percentage of pupils)</t>
  </si>
  <si>
    <t>Table 9c: Any participation in sport in the last year in Neath Port Talbot - Community club outside of school - by sport, by school (percentage of pupils)</t>
  </si>
  <si>
    <t>Table 10a: Any participation in sport in the last year in Neath Port Talbot - Other settings outside of school (percentage of pupils)</t>
  </si>
  <si>
    <t>Table 10b: Any participation in sport in the last year in Neath Port Talbot - Other settings outside of school - by sport (percentage of pupils)</t>
  </si>
  <si>
    <t>Table 10c: Any participation in sport in the last year in Neath Port Talbot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</si>
  <si>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</si>
  <si>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</si>
  <si>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</si>
  <si>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</si>
  <si>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</si>
  <si>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</si>
  <si>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</si>
  <si>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</si>
  <si>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</si>
  <si>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</si>
  <si>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</si>
  <si>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</si>
  <si>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</si>
  <si>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</si>
  <si>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</si>
  <si>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</si>
  <si>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</si>
  <si>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</si>
  <si>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</si>
  <si>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</si>
  <si>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</si>
  <si>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Neath Port Talbot, by sport (percentage of pupils)</t>
  </si>
  <si>
    <t>Table 12b: Latent demand in Neath Port Talbot - by sport, by school (percentage of pupils)</t>
  </si>
  <si>
    <t>Table 12c: Latent demand - pupil has a disability or impairment (percentage of pupils)</t>
  </si>
  <si>
    <t>Table 13a: Unmet demand in Neath Port Talbot, by sport (percentage of pupils)</t>
  </si>
  <si>
    <t>Table 13b: Unmet demand in Neath Port Talbot - by sport, by school (percentage of pupils)</t>
  </si>
  <si>
    <t>Table 13c: Unmet demand - pupil has a disability or impairment (percentage of pupils)</t>
  </si>
  <si>
    <t>Table 14a: Motivation and attitudes in Neath Port Talbot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</si>
  <si>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</si>
  <si>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</si>
  <si>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</si>
  <si>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</si>
  <si>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</si>
  <si>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</si>
  <si>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</si>
  <si>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</si>
  <si>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</si>
  <si>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</si>
  <si>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</si>
  <si>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</si>
  <si>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</si>
  <si>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</si>
  <si>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</si>
  <si>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</si>
  <si>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</si>
  <si>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</si>
  <si>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</si>
  <si>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</si>
  <si>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</si>
  <si>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</si>
  <si>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</si>
  <si>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</si>
  <si>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</si>
  <si>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</si>
  <si>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</si>
  <si>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Neath Port Talbot (percentage of pupils)</t>
  </si>
  <si>
    <t>Table 15a: Motivation and attitudes in Neath Port Talbot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</si>
  <si>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</si>
  <si>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</si>
  <si>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</si>
  <si>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</si>
  <si>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</si>
  <si>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</si>
  <si>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</si>
  <si>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</si>
  <si>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</si>
  <si>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</si>
  <si>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</si>
  <si>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</si>
  <si>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</si>
  <si>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</si>
  <si>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</si>
  <si>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rPr>
      <t>i</t>
    </r>
    <r>
      <rPr>
        <sz val="12"/>
        <color rgb="FF000000"/>
        <rFont val="Arial"/>
      </rPr>
      <t/>
    </r>
  </si>
  <si>
    <t>Someone else went with me</t>
  </si>
  <si>
    <t>I do not need or want to play more sport</t>
  </si>
  <si>
    <t>Something else</t>
  </si>
  <si>
    <r>
      <rPr>
        <vertAlign val="superscript"/>
        <sz val="12"/>
        <rFont val="Arial"/>
      </rPr>
      <t>i</t>
    </r>
    <r>
      <rPr>
        <sz val="12"/>
        <color rgb="FF000000"/>
        <rFont val="Arial"/>
      </rPr>
      <t>If I could manage my period better - This response option was only available to those in Year 5 and above.</t>
    </r>
  </si>
  <si>
    <t>Table 15b: Motivation and attitudes in Neath Port Talbot (percentage of pupils)</t>
  </si>
  <si>
    <t>Table 16a: Membership and volunteering in Neath Port Talbot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</si>
  <si>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</si>
  <si>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</si>
  <si>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</si>
  <si>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</si>
  <si>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</si>
  <si>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Neath Port Talbot (percentage of pupils)</t>
  </si>
  <si>
    <t>Table P1: Time allocated for curricular Physical Education (PE) in Neath Port Talbot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</si>
  <si>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</si>
  <si>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</si>
  <si>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</si>
  <si>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</si>
  <si>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Neath Port Talbot is 28</t>
  </si>
  <si>
    <t>Table P2: Curricular (PE) provision to pupils in school years 3 to 6 in Neath Port Talbot,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</si>
  <si>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</si>
  <si>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</si>
  <si>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</si>
  <si>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</si>
  <si>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</si>
  <si>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</si>
  <si>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</si>
  <si>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</si>
  <si>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</si>
  <si>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</si>
  <si>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</si>
  <si>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</si>
  <si>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</si>
  <si>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</si>
  <si>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</si>
  <si>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</si>
  <si>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</si>
  <si>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</si>
  <si>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</si>
  <si>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</si>
  <si>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</si>
  <si>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</si>
  <si>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</si>
  <si>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</si>
  <si>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</si>
  <si>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</si>
  <si>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</si>
  <si>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</si>
  <si>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</si>
  <si>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</si>
  <si>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</si>
  <si>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</si>
  <si>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</si>
  <si>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</si>
  <si>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</si>
  <si>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Neath Port Talbot, by sport (percentage of schools)</t>
  </si>
  <si>
    <t>Mixed Sessions</t>
  </si>
  <si>
    <t>Male Only Sessions</t>
  </si>
  <si>
    <t>Female only Sessions</t>
  </si>
  <si>
    <t>Table P4: Factors affecting curricular sport provision in Neath Port Talbot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</si>
  <si>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</si>
  <si>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</si>
  <si>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</si>
  <si>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</si>
  <si>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</si>
  <si>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</si>
  <si>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</si>
  <si>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</si>
  <si>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</si>
  <si>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</si>
  <si>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</si>
  <si>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Neath Port Talbot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</si>
  <si>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</si>
  <si>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</si>
  <si>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</si>
  <si>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</si>
  <si>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</si>
  <si>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</si>
  <si>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</si>
  <si>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</si>
  <si>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</si>
  <si>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</si>
  <si>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</si>
  <si>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Neath Port Talbot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</si>
  <si>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</si>
  <si>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</si>
  <si>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</si>
  <si>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</si>
  <si>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</si>
  <si>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</si>
  <si>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</si>
  <si>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</si>
  <si>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</si>
  <si>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</si>
  <si>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</si>
  <si>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</si>
  <si>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</si>
  <si>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</si>
  <si>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</si>
  <si>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</si>
  <si>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</si>
  <si>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</si>
  <si>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</si>
  <si>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</si>
  <si>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</si>
  <si>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</si>
  <si>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</si>
  <si>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</si>
  <si>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</si>
  <si>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</si>
  <si>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</si>
  <si>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</si>
  <si>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</si>
  <si>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</si>
  <si>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Neath Port Talbot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</si>
  <si>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</si>
  <si>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</si>
  <si>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</si>
  <si>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</si>
  <si>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</si>
  <si>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</si>
  <si>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</si>
  <si>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</si>
  <si>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</si>
  <si>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</si>
  <si>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</si>
  <si>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</si>
  <si>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</si>
  <si>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</si>
  <si>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</si>
  <si>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</si>
  <si>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</si>
  <si>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</si>
  <si>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</si>
  <si>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</si>
  <si>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</si>
  <si>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</si>
  <si>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</si>
  <si>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</si>
  <si>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</si>
  <si>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</si>
  <si>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</si>
  <si>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Neath Port Talbot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</si>
  <si>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</si>
  <si>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</si>
  <si>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</si>
  <si>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</si>
  <si>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</si>
  <si>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</si>
  <si>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</si>
  <si>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</si>
  <si>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</si>
  <si>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</si>
  <si>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</si>
  <si>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</si>
  <si>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</si>
  <si>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</si>
  <si>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</si>
  <si>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</si>
  <si>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</si>
  <si>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</si>
  <si>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</si>
  <si>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</si>
  <si>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Neath Port Talbot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</si>
  <si>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</si>
  <si>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</si>
  <si>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</si>
  <si>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</si>
  <si>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</si>
  <si>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</si>
  <si>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</si>
  <si>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</si>
  <si>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</si>
  <si>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NA</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</si>
  <si>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</si>
  <si>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</si>
  <si>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</si>
  <si>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</si>
  <si>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</si>
  <si>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</si>
  <si>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</si>
  <si>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 - Question was not asked for each year group.</t>
  </si>
  <si>
    <t>Table S1: Time allocated for curricular Physical Education (PE) in Neath Port Talbot - Years 7 to 11</t>
  </si>
  <si>
    <t>Base: total number of survey responses in Wales is 182</t>
  </si>
  <si>
    <t>Base: total number of survey responses in Regional Sport Partnership: West Wales is 37</t>
  </si>
  <si>
    <t>Base: total number of survey responses in Neath Port Talbot is 8</t>
  </si>
  <si>
    <t>Table S2: Curricular (PE) provision to pupils in school years 7 to 11 in Neath Port Talbot,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</si>
  <si>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</si>
  <si>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</si>
  <si>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</si>
  <si>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</si>
  <si>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</si>
  <si>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</si>
  <si>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</si>
  <si>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Neath Port Talbot, by sport (percentage of schools)</t>
  </si>
  <si>
    <t>Table S4: Factors affecting curricular sport provision in Neath Port Talbot (percentage of schools)</t>
  </si>
  <si>
    <t>Table S5: Provision for pupils with a Disability or Additional Learning Need in Neath Port Talbot (percentage of schools)</t>
  </si>
  <si>
    <t>Table S6: Opinions of PE provision, resources and support in Neath Port Talbot (percentage of schools)</t>
  </si>
  <si>
    <t>Table S7: Facilities at your School in Neath Port Talbot (percentage of schools)</t>
  </si>
  <si>
    <t>Table S8: Life skills - Swimming in Neath Port Talbot (percentage of schools)</t>
  </si>
  <si>
    <t>Years 7-11</t>
  </si>
  <si>
    <t>Table S9: Life skills - Cycling in Neath Port Talbot (percentage of schools)</t>
  </si>
  <si>
    <t>Year 7</t>
  </si>
  <si>
    <t>Year 8</t>
  </si>
  <si>
    <t>Year 9</t>
  </si>
  <si>
    <t>Year 10</t>
  </si>
  <si>
    <t>Year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</si>
</sst>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font>
      <sz val="12"/>
      <color rgb="FF000000"/>
      <name val="Arial"/>
    </font>
    <font>
      <b/>
      <sz val="16"/>
      <color rgb="FF000000"/>
      <name val="Arial"/>
    </font>
    <font>
      <b/>
      <sz val="12"/>
      <color rgb="FF000000"/>
      <name val="Arial"/>
    </font>
    <font>
      <i/>
      <sz val="12"/>
      <color rgb="FF000000"/>
      <name val="Arial"/>
    </font>
    <font>
      <u/>
      <sz val="12"/>
      <color theme="10"/>
      <name val="Arial"/>
    </font>
    <font>
      <vertAlign val="superscript"/>
      <sz val="12"/>
      <name val="Arial"/>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164" fontId="0" fillId="0" borderId="4" xfId="0" applyNumberFormat="1" applyBorder="1" applyAlignment="1">
      <alignment horizontal="right"/>
    </xf>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164" fontId="0" fillId="0" borderId="5" xfId="0" applyNumberFormat="1" applyBorder="1" applyAlignment="1">
      <alignment horizontal="right"/>
    </xf>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41"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41"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41"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41"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41"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AN64" totalsRowShown="0">
  <tableColumns count="40">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Neath Port Talbot"/>
    <tableColumn id="5" xr3:uid="{00000000-0010-0000-0A00-000005000000}" name="Primary in Neath Port Talbot: _x000a_Years 3 to 6"/>
    <tableColumn id="6" xr3:uid="{00000000-0010-0000-0A00-000006000000}" name="Alderman Davies Ciw Primary School"/>
    <tableColumn id="7" xr3:uid="{00000000-0010-0000-0A00-000007000000}" name="Alltwen Primary School"/>
    <tableColumn id="8" xr3:uid="{00000000-0010-0000-0A00-000008000000}" name="Blaenbaglan Primary School"/>
    <tableColumn id="9" xr3:uid="{00000000-0010-0000-0A00-000009000000}" name="Blaengwrach Primary School"/>
    <tableColumn id="10" xr3:uid="{00000000-0010-0000-0A00-00000A000000}" name="Blaenhonddan Primary School"/>
    <tableColumn id="11" xr3:uid="{00000000-0010-0000-0A00-00000B000000}" name="Bryncoch Ciw Primary School"/>
    <tableColumn id="12" xr3:uid="{00000000-0010-0000-0A00-00000C000000}" name="Central Primary School"/>
    <tableColumn id="13" xr3:uid="{00000000-0010-0000-0A00-00000D000000}" name="Cilffriw Primary School"/>
    <tableColumn id="14" xr3:uid="{00000000-0010-0000-0A00-00000E000000}" name="Coed Hirwaun Primary School"/>
    <tableColumn id="15" xr3:uid="{00000000-0010-0000-0A00-00000F000000}" name="Croeserw Primary School"/>
    <tableColumn id="16" xr3:uid="{00000000-0010-0000-0A00-000010000000}" name="Crynallt Primary School"/>
    <tableColumn id="17" xr3:uid="{00000000-0010-0000-0A00-000011000000}" name="Cwmnedd Primary School"/>
    <tableColumn id="18" xr3:uid="{00000000-0010-0000-0A00-000012000000}" name="Gnoll Primary School"/>
    <tableColumn id="19" xr3:uid="{00000000-0010-0000-0A00-000013000000}" name="Melin Primary School"/>
    <tableColumn id="20" xr3:uid="{00000000-0010-0000-0A00-000014000000}" name="Pen Afan Primary School"/>
    <tableColumn id="21" xr3:uid="{00000000-0010-0000-0A00-000015000000}" name="Rhos Primary School"/>
    <tableColumn id="22" xr3:uid="{00000000-0010-0000-0A00-000016000000}" name="St Therese's Catholic Primary School"/>
    <tableColumn id="23" xr3:uid="{00000000-0010-0000-0A00-000017000000}" name="Tonnau Primary Community School"/>
    <tableColumn id="24" xr3:uid="{00000000-0010-0000-0A00-000018000000}" name="Tywyn Primary School"/>
    <tableColumn id="25" xr3:uid="{00000000-0010-0000-0A00-000019000000}" name="Ygg Cwm Nedd"/>
    <tableColumn id="26" xr3:uid="{00000000-0010-0000-0A00-00001A000000}" name="Ygg Gwaun Cae Gurwen"/>
    <tableColumn id="27" xr3:uid="{00000000-0010-0000-0A00-00001B000000}" name="Ygg Pontardawe"/>
    <tableColumn id="28" xr3:uid="{00000000-0010-0000-0A00-00001C000000}" name="Ygg Rhosafan"/>
    <tableColumn id="29" xr3:uid="{00000000-0010-0000-0A00-00001D000000}" name="Ysgol Bae Baglan (years 3 to 6)"/>
    <tableColumn id="30" xr3:uid="{00000000-0010-0000-0A00-00001E000000}" name="Ysgol Carreg Hir"/>
    <tableColumn id="31" xr3:uid="{00000000-0010-0000-0A00-00001F000000}" name="Ysgol Cwm Brombil (years 3 to 6)"/>
    <tableColumn id="32" xr3:uid="{00000000-0010-0000-0A00-000020000000}" name="Ysgol Gymraeg Ystalyfera Bro Dur (years 3 to 6)"/>
    <tableColumn id="33" xr3:uid="{00000000-0010-0000-0A00-000021000000}" name="Secondary in Neath Port Talbot: _x000a_Years 7 to 11"/>
    <tableColumn id="34" xr3:uid="{00000000-0010-0000-0A00-000022000000}" name="Cefn Saeson Comprehensive School"/>
    <tableColumn id="35" xr3:uid="{00000000-0010-0000-0A00-000023000000}" name="Cwmtawe Community School"/>
    <tableColumn id="36" xr3:uid="{00000000-0010-0000-0A00-000024000000}" name="Dwr y Felin Comprehensive School"/>
    <tableColumn id="37" xr3:uid="{00000000-0010-0000-0A00-000025000000}" name="Llangatwg Community School"/>
    <tableColumn id="38" xr3:uid="{00000000-0010-0000-0A00-000026000000}" name="St Joseph's Rc School And 6Th Form Centre"/>
    <tableColumn id="39" xr3:uid="{00000000-0010-0000-0A00-000027000000}" name="Ysgol Bae Baglan (years 7 to 11)"/>
    <tableColumn id="40" xr3:uid="{00000000-0010-0000-0A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41"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AN64" totalsRowShown="0">
  <tableColumns count="40">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Neath Port Talbot"/>
    <tableColumn id="5" xr3:uid="{00000000-0010-0000-0D00-000005000000}" name="Primary in Neath Port Talbot: _x000a_Years 3 to 6"/>
    <tableColumn id="6" xr3:uid="{00000000-0010-0000-0D00-000006000000}" name="Alderman Davies Ciw Primary School"/>
    <tableColumn id="7" xr3:uid="{00000000-0010-0000-0D00-000007000000}" name="Alltwen Primary School"/>
    <tableColumn id="8" xr3:uid="{00000000-0010-0000-0D00-000008000000}" name="Blaenbaglan Primary School"/>
    <tableColumn id="9" xr3:uid="{00000000-0010-0000-0D00-000009000000}" name="Blaengwrach Primary School"/>
    <tableColumn id="10" xr3:uid="{00000000-0010-0000-0D00-00000A000000}" name="Blaenhonddan Primary School"/>
    <tableColumn id="11" xr3:uid="{00000000-0010-0000-0D00-00000B000000}" name="Bryncoch Ciw Primary School"/>
    <tableColumn id="12" xr3:uid="{00000000-0010-0000-0D00-00000C000000}" name="Central Primary School"/>
    <tableColumn id="13" xr3:uid="{00000000-0010-0000-0D00-00000D000000}" name="Cilffriw Primary School"/>
    <tableColumn id="14" xr3:uid="{00000000-0010-0000-0D00-00000E000000}" name="Coed Hirwaun Primary School"/>
    <tableColumn id="15" xr3:uid="{00000000-0010-0000-0D00-00000F000000}" name="Croeserw Primary School"/>
    <tableColumn id="16" xr3:uid="{00000000-0010-0000-0D00-000010000000}" name="Crynallt Primary School"/>
    <tableColumn id="17" xr3:uid="{00000000-0010-0000-0D00-000011000000}" name="Cwmnedd Primary School"/>
    <tableColumn id="18" xr3:uid="{00000000-0010-0000-0D00-000012000000}" name="Gnoll Primary School"/>
    <tableColumn id="19" xr3:uid="{00000000-0010-0000-0D00-000013000000}" name="Melin Primary School"/>
    <tableColumn id="20" xr3:uid="{00000000-0010-0000-0D00-000014000000}" name="Pen Afan Primary School"/>
    <tableColumn id="21" xr3:uid="{00000000-0010-0000-0D00-000015000000}" name="Rhos Primary School"/>
    <tableColumn id="22" xr3:uid="{00000000-0010-0000-0D00-000016000000}" name="St Therese's Catholic Primary School"/>
    <tableColumn id="23" xr3:uid="{00000000-0010-0000-0D00-000017000000}" name="Tonnau Primary Community School"/>
    <tableColumn id="24" xr3:uid="{00000000-0010-0000-0D00-000018000000}" name="Tywyn Primary School"/>
    <tableColumn id="25" xr3:uid="{00000000-0010-0000-0D00-000019000000}" name="Ygg Cwm Nedd"/>
    <tableColumn id="26" xr3:uid="{00000000-0010-0000-0D00-00001A000000}" name="Ygg Gwaun Cae Gurwen"/>
    <tableColumn id="27" xr3:uid="{00000000-0010-0000-0D00-00001B000000}" name="Ygg Pontardawe"/>
    <tableColumn id="28" xr3:uid="{00000000-0010-0000-0D00-00001C000000}" name="Ygg Rhosafan"/>
    <tableColumn id="29" xr3:uid="{00000000-0010-0000-0D00-00001D000000}" name="Ysgol Bae Baglan (years 3 to 6)"/>
    <tableColumn id="30" xr3:uid="{00000000-0010-0000-0D00-00001E000000}" name="Ysgol Carreg Hir"/>
    <tableColumn id="31" xr3:uid="{00000000-0010-0000-0D00-00001F000000}" name="Ysgol Cwm Brombil (years 3 to 6)"/>
    <tableColumn id="32" xr3:uid="{00000000-0010-0000-0D00-000020000000}" name="Ysgol Gymraeg Ystalyfera Bro Dur (years 3 to 6)"/>
    <tableColumn id="33" xr3:uid="{00000000-0010-0000-0D00-000021000000}" name="Secondary in Neath Port Talbot: _x000a_Years 7 to 11"/>
    <tableColumn id="34" xr3:uid="{00000000-0010-0000-0D00-000022000000}" name="Cefn Saeson Comprehensive School"/>
    <tableColumn id="35" xr3:uid="{00000000-0010-0000-0D00-000023000000}" name="Cwmtawe Community School"/>
    <tableColumn id="36" xr3:uid="{00000000-0010-0000-0D00-000024000000}" name="Dwr y Felin Comprehensive School"/>
    <tableColumn id="37" xr3:uid="{00000000-0010-0000-0D00-000025000000}" name="Llangatwg Community School"/>
    <tableColumn id="38" xr3:uid="{00000000-0010-0000-0D00-000026000000}" name="St Joseph's Rc School And 6Th Form Centre"/>
    <tableColumn id="39" xr3:uid="{00000000-0010-0000-0D00-000027000000}" name="Ysgol Bae Baglan (years 7 to 11)"/>
    <tableColumn id="40" xr3:uid="{00000000-0010-0000-0D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41"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AN64" totalsRowShown="0">
  <tableColumns count="40">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Neath Port Talbot"/>
    <tableColumn id="5" xr3:uid="{00000000-0010-0000-1000-000005000000}" name="Primary in Neath Port Talbot: _x000a_Years 3 to 6"/>
    <tableColumn id="6" xr3:uid="{00000000-0010-0000-1000-000006000000}" name="Alderman Davies Ciw Primary School"/>
    <tableColumn id="7" xr3:uid="{00000000-0010-0000-1000-000007000000}" name="Alltwen Primary School"/>
    <tableColumn id="8" xr3:uid="{00000000-0010-0000-1000-000008000000}" name="Blaenbaglan Primary School"/>
    <tableColumn id="9" xr3:uid="{00000000-0010-0000-1000-000009000000}" name="Blaengwrach Primary School"/>
    <tableColumn id="10" xr3:uid="{00000000-0010-0000-1000-00000A000000}" name="Blaenhonddan Primary School"/>
    <tableColumn id="11" xr3:uid="{00000000-0010-0000-1000-00000B000000}" name="Bryncoch Ciw Primary School"/>
    <tableColumn id="12" xr3:uid="{00000000-0010-0000-1000-00000C000000}" name="Central Primary School"/>
    <tableColumn id="13" xr3:uid="{00000000-0010-0000-1000-00000D000000}" name="Cilffriw Primary School"/>
    <tableColumn id="14" xr3:uid="{00000000-0010-0000-1000-00000E000000}" name="Coed Hirwaun Primary School"/>
    <tableColumn id="15" xr3:uid="{00000000-0010-0000-1000-00000F000000}" name="Croeserw Primary School"/>
    <tableColumn id="16" xr3:uid="{00000000-0010-0000-1000-000010000000}" name="Crynallt Primary School"/>
    <tableColumn id="17" xr3:uid="{00000000-0010-0000-1000-000011000000}" name="Cwmnedd Primary School"/>
    <tableColumn id="18" xr3:uid="{00000000-0010-0000-1000-000012000000}" name="Gnoll Primary School"/>
    <tableColumn id="19" xr3:uid="{00000000-0010-0000-1000-000013000000}" name="Melin Primary School"/>
    <tableColumn id="20" xr3:uid="{00000000-0010-0000-1000-000014000000}" name="Pen Afan Primary School"/>
    <tableColumn id="21" xr3:uid="{00000000-0010-0000-1000-000015000000}" name="Rhos Primary School"/>
    <tableColumn id="22" xr3:uid="{00000000-0010-0000-1000-000016000000}" name="St Therese's Catholic Primary School"/>
    <tableColumn id="23" xr3:uid="{00000000-0010-0000-1000-000017000000}" name="Tonnau Primary Community School"/>
    <tableColumn id="24" xr3:uid="{00000000-0010-0000-1000-000018000000}" name="Tywyn Primary School"/>
    <tableColumn id="25" xr3:uid="{00000000-0010-0000-1000-000019000000}" name="Ygg Cwm Nedd"/>
    <tableColumn id="26" xr3:uid="{00000000-0010-0000-1000-00001A000000}" name="Ygg Gwaun Cae Gurwen"/>
    <tableColumn id="27" xr3:uid="{00000000-0010-0000-1000-00001B000000}" name="Ygg Pontardawe"/>
    <tableColumn id="28" xr3:uid="{00000000-0010-0000-1000-00001C000000}" name="Ygg Rhosafan"/>
    <tableColumn id="29" xr3:uid="{00000000-0010-0000-1000-00001D000000}" name="Ysgol Bae Baglan (years 3 to 6)"/>
    <tableColumn id="30" xr3:uid="{00000000-0010-0000-1000-00001E000000}" name="Ysgol Carreg Hir"/>
    <tableColumn id="31" xr3:uid="{00000000-0010-0000-1000-00001F000000}" name="Ysgol Cwm Brombil (years 3 to 6)"/>
    <tableColumn id="32" xr3:uid="{00000000-0010-0000-1000-000020000000}" name="Ysgol Gymraeg Ystalyfera Bro Dur (years 3 to 6)"/>
    <tableColumn id="33" xr3:uid="{00000000-0010-0000-1000-000021000000}" name="Secondary in Neath Port Talbot: _x000a_Years 7 to 11"/>
    <tableColumn id="34" xr3:uid="{00000000-0010-0000-1000-000022000000}" name="Cefn Saeson Comprehensive School"/>
    <tableColumn id="35" xr3:uid="{00000000-0010-0000-1000-000023000000}" name="Cwmtawe Community School"/>
    <tableColumn id="36" xr3:uid="{00000000-0010-0000-1000-000024000000}" name="Dwr y Felin Comprehensive School"/>
    <tableColumn id="37" xr3:uid="{00000000-0010-0000-1000-000025000000}" name="Llangatwg Community School"/>
    <tableColumn id="38" xr3:uid="{00000000-0010-0000-1000-000026000000}" name="St Joseph's Rc School And 6Th Form Centre"/>
    <tableColumn id="39" xr3:uid="{00000000-0010-0000-1000-000027000000}" name="Ysgol Bae Baglan (years 7 to 11)"/>
    <tableColumn id="40" xr3:uid="{00000000-0010-0000-10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41"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AN64" totalsRowShown="0">
  <tableColumns count="40">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Neath Port Talbot"/>
    <tableColumn id="5" xr3:uid="{00000000-0010-0000-1300-000005000000}" name="Primary in Neath Port Talbot: _x000a_Years 3 to 6"/>
    <tableColumn id="6" xr3:uid="{00000000-0010-0000-1300-000006000000}" name="Alderman Davies Ciw Primary School"/>
    <tableColumn id="7" xr3:uid="{00000000-0010-0000-1300-000007000000}" name="Alltwen Primary School"/>
    <tableColumn id="8" xr3:uid="{00000000-0010-0000-1300-000008000000}" name="Blaenbaglan Primary School"/>
    <tableColumn id="9" xr3:uid="{00000000-0010-0000-1300-000009000000}" name="Blaengwrach Primary School"/>
    <tableColumn id="10" xr3:uid="{00000000-0010-0000-1300-00000A000000}" name="Blaenhonddan Primary School"/>
    <tableColumn id="11" xr3:uid="{00000000-0010-0000-1300-00000B000000}" name="Bryncoch Ciw Primary School"/>
    <tableColumn id="12" xr3:uid="{00000000-0010-0000-1300-00000C000000}" name="Central Primary School"/>
    <tableColumn id="13" xr3:uid="{00000000-0010-0000-1300-00000D000000}" name="Cilffriw Primary School"/>
    <tableColumn id="14" xr3:uid="{00000000-0010-0000-1300-00000E000000}" name="Coed Hirwaun Primary School"/>
    <tableColumn id="15" xr3:uid="{00000000-0010-0000-1300-00000F000000}" name="Croeserw Primary School"/>
    <tableColumn id="16" xr3:uid="{00000000-0010-0000-1300-000010000000}" name="Crynallt Primary School"/>
    <tableColumn id="17" xr3:uid="{00000000-0010-0000-1300-000011000000}" name="Cwmnedd Primary School"/>
    <tableColumn id="18" xr3:uid="{00000000-0010-0000-1300-000012000000}" name="Gnoll Primary School"/>
    <tableColumn id="19" xr3:uid="{00000000-0010-0000-1300-000013000000}" name="Melin Primary School"/>
    <tableColumn id="20" xr3:uid="{00000000-0010-0000-1300-000014000000}" name="Pen Afan Primary School"/>
    <tableColumn id="21" xr3:uid="{00000000-0010-0000-1300-000015000000}" name="Rhos Primary School"/>
    <tableColumn id="22" xr3:uid="{00000000-0010-0000-1300-000016000000}" name="St Therese's Catholic Primary School"/>
    <tableColumn id="23" xr3:uid="{00000000-0010-0000-1300-000017000000}" name="Tonnau Primary Community School"/>
    <tableColumn id="24" xr3:uid="{00000000-0010-0000-1300-000018000000}" name="Tywyn Primary School"/>
    <tableColumn id="25" xr3:uid="{00000000-0010-0000-1300-000019000000}" name="Ygg Cwm Nedd"/>
    <tableColumn id="26" xr3:uid="{00000000-0010-0000-1300-00001A000000}" name="Ygg Gwaun Cae Gurwen"/>
    <tableColumn id="27" xr3:uid="{00000000-0010-0000-1300-00001B000000}" name="Ygg Pontardawe"/>
    <tableColumn id="28" xr3:uid="{00000000-0010-0000-1300-00001C000000}" name="Ygg Rhosafan"/>
    <tableColumn id="29" xr3:uid="{00000000-0010-0000-1300-00001D000000}" name="Ysgol Bae Baglan (years 3 to 6)"/>
    <tableColumn id="30" xr3:uid="{00000000-0010-0000-1300-00001E000000}" name="Ysgol Carreg Hir"/>
    <tableColumn id="31" xr3:uid="{00000000-0010-0000-1300-00001F000000}" name="Ysgol Cwm Brombil (years 3 to 6)"/>
    <tableColumn id="32" xr3:uid="{00000000-0010-0000-1300-000020000000}" name="Ysgol Gymraeg Ystalyfera Bro Dur (years 3 to 6)"/>
    <tableColumn id="33" xr3:uid="{00000000-0010-0000-1300-000021000000}" name="Secondary in Neath Port Talbot: _x000a_Years 7 to 11"/>
    <tableColumn id="34" xr3:uid="{00000000-0010-0000-1300-000022000000}" name="Cefn Saeson Comprehensive School"/>
    <tableColumn id="35" xr3:uid="{00000000-0010-0000-1300-000023000000}" name="Cwmtawe Community School"/>
    <tableColumn id="36" xr3:uid="{00000000-0010-0000-1300-000024000000}" name="Dwr y Felin Comprehensive School"/>
    <tableColumn id="37" xr3:uid="{00000000-0010-0000-1300-000025000000}" name="Llangatwg Community School"/>
    <tableColumn id="38" xr3:uid="{00000000-0010-0000-1300-000026000000}" name="St Joseph's Rc School And 6Th Form Centre"/>
    <tableColumn id="39" xr3:uid="{00000000-0010-0000-1300-000027000000}" name="Ysgol Bae Baglan (years 7 to 11)"/>
    <tableColumn id="40" xr3:uid="{00000000-0010-0000-13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Neath Port Talbot"/>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Neath Port Talbot"/>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AN64" totalsRowShown="0">
  <tableColumns count="40">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Neath Port Talbot"/>
    <tableColumn id="5" xr3:uid="{00000000-0010-0000-1800-000005000000}" name="Primary in Neath Port Talbot: _x000a_Years 3 to 6"/>
    <tableColumn id="6" xr3:uid="{00000000-0010-0000-1800-000006000000}" name="Alderman Davies Ciw Primary School"/>
    <tableColumn id="7" xr3:uid="{00000000-0010-0000-1800-000007000000}" name="Alltwen Primary School"/>
    <tableColumn id="8" xr3:uid="{00000000-0010-0000-1800-000008000000}" name="Blaenbaglan Primary School"/>
    <tableColumn id="9" xr3:uid="{00000000-0010-0000-1800-000009000000}" name="Blaengwrach Primary School"/>
    <tableColumn id="10" xr3:uid="{00000000-0010-0000-1800-00000A000000}" name="Blaenhonddan Primary School"/>
    <tableColumn id="11" xr3:uid="{00000000-0010-0000-1800-00000B000000}" name="Bryncoch Ciw Primary School"/>
    <tableColumn id="12" xr3:uid="{00000000-0010-0000-1800-00000C000000}" name="Central Primary School"/>
    <tableColumn id="13" xr3:uid="{00000000-0010-0000-1800-00000D000000}" name="Cilffriw Primary School"/>
    <tableColumn id="14" xr3:uid="{00000000-0010-0000-1800-00000E000000}" name="Coed Hirwaun Primary School"/>
    <tableColumn id="15" xr3:uid="{00000000-0010-0000-1800-00000F000000}" name="Croeserw Primary School"/>
    <tableColumn id="16" xr3:uid="{00000000-0010-0000-1800-000010000000}" name="Crynallt Primary School"/>
    <tableColumn id="17" xr3:uid="{00000000-0010-0000-1800-000011000000}" name="Cwmnedd Primary School"/>
    <tableColumn id="18" xr3:uid="{00000000-0010-0000-1800-000012000000}" name="Gnoll Primary School"/>
    <tableColumn id="19" xr3:uid="{00000000-0010-0000-1800-000013000000}" name="Melin Primary School"/>
    <tableColumn id="20" xr3:uid="{00000000-0010-0000-1800-000014000000}" name="Pen Afan Primary School"/>
    <tableColumn id="21" xr3:uid="{00000000-0010-0000-1800-000015000000}" name="Rhos Primary School"/>
    <tableColumn id="22" xr3:uid="{00000000-0010-0000-1800-000016000000}" name="St Therese's Catholic Primary School"/>
    <tableColumn id="23" xr3:uid="{00000000-0010-0000-1800-000017000000}" name="Tonnau Primary Community School"/>
    <tableColumn id="24" xr3:uid="{00000000-0010-0000-1800-000018000000}" name="Tywyn Primary School"/>
    <tableColumn id="25" xr3:uid="{00000000-0010-0000-1800-000019000000}" name="Ygg Cwm Nedd"/>
    <tableColumn id="26" xr3:uid="{00000000-0010-0000-1800-00001A000000}" name="Ygg Gwaun Cae Gurwen"/>
    <tableColumn id="27" xr3:uid="{00000000-0010-0000-1800-00001B000000}" name="Ygg Pontardawe"/>
    <tableColumn id="28" xr3:uid="{00000000-0010-0000-1800-00001C000000}" name="Ygg Rhosafan"/>
    <tableColumn id="29" xr3:uid="{00000000-0010-0000-1800-00001D000000}" name="Ysgol Bae Baglan (years 3 to 6)"/>
    <tableColumn id="30" xr3:uid="{00000000-0010-0000-1800-00001E000000}" name="Ysgol Carreg Hir"/>
    <tableColumn id="31" xr3:uid="{00000000-0010-0000-1800-00001F000000}" name="Ysgol Cwm Brombil (years 3 to 6)"/>
    <tableColumn id="32" xr3:uid="{00000000-0010-0000-1800-000020000000}" name="Ysgol Gymraeg Ystalyfera Bro Dur (years 3 to 6)"/>
    <tableColumn id="33" xr3:uid="{00000000-0010-0000-1800-000021000000}" name="Secondary in Neath Port Talbot: _x000a_Years 7 to 11"/>
    <tableColumn id="34" xr3:uid="{00000000-0010-0000-1800-000022000000}" name="Cefn Saeson Comprehensive School"/>
    <tableColumn id="35" xr3:uid="{00000000-0010-0000-1800-000023000000}" name="Cwmtawe Community School"/>
    <tableColumn id="36" xr3:uid="{00000000-0010-0000-1800-000024000000}" name="Dwr y Felin Comprehensive School"/>
    <tableColumn id="37" xr3:uid="{00000000-0010-0000-1800-000025000000}" name="Llangatwg Community School"/>
    <tableColumn id="38" xr3:uid="{00000000-0010-0000-1800-000026000000}" name="St Joseph's Rc School And 6Th Form Centre"/>
    <tableColumn id="39" xr3:uid="{00000000-0010-0000-1800-000027000000}" name="Ysgol Bae Baglan (years 7 to 11)"/>
    <tableColumn id="40" xr3:uid="{00000000-0010-0000-18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Neath Port Talbot"/>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AN64" totalsRowShown="0">
  <tableColumns count="40">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Neath Port Talbot"/>
    <tableColumn id="5" xr3:uid="{00000000-0010-0000-1B00-000005000000}" name="Primary in Neath Port Talbot: _x000a_Years 3 to 6"/>
    <tableColumn id="6" xr3:uid="{00000000-0010-0000-1B00-000006000000}" name="Alderman Davies Ciw Primary School"/>
    <tableColumn id="7" xr3:uid="{00000000-0010-0000-1B00-000007000000}" name="Alltwen Primary School"/>
    <tableColumn id="8" xr3:uid="{00000000-0010-0000-1B00-000008000000}" name="Blaenbaglan Primary School"/>
    <tableColumn id="9" xr3:uid="{00000000-0010-0000-1B00-000009000000}" name="Blaengwrach Primary School"/>
    <tableColumn id="10" xr3:uid="{00000000-0010-0000-1B00-00000A000000}" name="Blaenhonddan Primary School"/>
    <tableColumn id="11" xr3:uid="{00000000-0010-0000-1B00-00000B000000}" name="Bryncoch Ciw Primary School"/>
    <tableColumn id="12" xr3:uid="{00000000-0010-0000-1B00-00000C000000}" name="Central Primary School"/>
    <tableColumn id="13" xr3:uid="{00000000-0010-0000-1B00-00000D000000}" name="Cilffriw Primary School"/>
    <tableColumn id="14" xr3:uid="{00000000-0010-0000-1B00-00000E000000}" name="Coed Hirwaun Primary School"/>
    <tableColumn id="15" xr3:uid="{00000000-0010-0000-1B00-00000F000000}" name="Croeserw Primary School"/>
    <tableColumn id="16" xr3:uid="{00000000-0010-0000-1B00-000010000000}" name="Crynallt Primary School"/>
    <tableColumn id="17" xr3:uid="{00000000-0010-0000-1B00-000011000000}" name="Cwmnedd Primary School"/>
    <tableColumn id="18" xr3:uid="{00000000-0010-0000-1B00-000012000000}" name="Gnoll Primary School"/>
    <tableColumn id="19" xr3:uid="{00000000-0010-0000-1B00-000013000000}" name="Melin Primary School"/>
    <tableColumn id="20" xr3:uid="{00000000-0010-0000-1B00-000014000000}" name="Pen Afan Primary School"/>
    <tableColumn id="21" xr3:uid="{00000000-0010-0000-1B00-000015000000}" name="Rhos Primary School"/>
    <tableColumn id="22" xr3:uid="{00000000-0010-0000-1B00-000016000000}" name="St Therese's Catholic Primary School"/>
    <tableColumn id="23" xr3:uid="{00000000-0010-0000-1B00-000017000000}" name="Tonnau Primary Community School"/>
    <tableColumn id="24" xr3:uid="{00000000-0010-0000-1B00-000018000000}" name="Tywyn Primary School"/>
    <tableColumn id="25" xr3:uid="{00000000-0010-0000-1B00-000019000000}" name="Ygg Cwm Nedd"/>
    <tableColumn id="26" xr3:uid="{00000000-0010-0000-1B00-00001A000000}" name="Ygg Gwaun Cae Gurwen"/>
    <tableColumn id="27" xr3:uid="{00000000-0010-0000-1B00-00001B000000}" name="Ygg Pontardawe"/>
    <tableColumn id="28" xr3:uid="{00000000-0010-0000-1B00-00001C000000}" name="Ygg Rhosafan"/>
    <tableColumn id="29" xr3:uid="{00000000-0010-0000-1B00-00001D000000}" name="Ysgol Bae Baglan (years 3 to 6)"/>
    <tableColumn id="30" xr3:uid="{00000000-0010-0000-1B00-00001E000000}" name="Ysgol Carreg Hir"/>
    <tableColumn id="31" xr3:uid="{00000000-0010-0000-1B00-00001F000000}" name="Ysgol Cwm Brombil (years 3 to 6)"/>
    <tableColumn id="32" xr3:uid="{00000000-0010-0000-1B00-000020000000}" name="Ysgol Gymraeg Ystalyfera Bro Dur (years 3 to 6)"/>
    <tableColumn id="33" xr3:uid="{00000000-0010-0000-1B00-000021000000}" name="Secondary in Neath Port Talbot: _x000a_Years 7 to 11"/>
    <tableColumn id="34" xr3:uid="{00000000-0010-0000-1B00-000022000000}" name="Cefn Saeson Comprehensive School"/>
    <tableColumn id="35" xr3:uid="{00000000-0010-0000-1B00-000023000000}" name="Cwmtawe Community School"/>
    <tableColumn id="36" xr3:uid="{00000000-0010-0000-1B00-000024000000}" name="Dwr y Felin Comprehensive School"/>
    <tableColumn id="37" xr3:uid="{00000000-0010-0000-1B00-000025000000}" name="Llangatwg Community School"/>
    <tableColumn id="38" xr3:uid="{00000000-0010-0000-1B00-000026000000}" name="St Joseph's Rc School And 6Th Form Centre"/>
    <tableColumn id="39" xr3:uid="{00000000-0010-0000-1B00-000027000000}" name="Ysgol Bae Baglan (years 7 to 11)"/>
    <tableColumn id="40" xr3:uid="{00000000-0010-0000-1B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Neath Port Talbot"/>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AN37" totalsRowShown="0">
  <tableColumns count="40">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Neath Port Talbot"/>
    <tableColumn id="5" xr3:uid="{00000000-0010-0000-1E00-000005000000}" name="Primary in Neath Port Talbot: _x000a_Years 3 to 6"/>
    <tableColumn id="6" xr3:uid="{00000000-0010-0000-1E00-000006000000}" name="Alderman Davies Ciw Primary School"/>
    <tableColumn id="7" xr3:uid="{00000000-0010-0000-1E00-000007000000}" name="Alltwen Primary School"/>
    <tableColumn id="8" xr3:uid="{00000000-0010-0000-1E00-000008000000}" name="Blaenbaglan Primary School"/>
    <tableColumn id="9" xr3:uid="{00000000-0010-0000-1E00-000009000000}" name="Blaengwrach Primary School"/>
    <tableColumn id="10" xr3:uid="{00000000-0010-0000-1E00-00000A000000}" name="Blaenhonddan Primary School"/>
    <tableColumn id="11" xr3:uid="{00000000-0010-0000-1E00-00000B000000}" name="Bryncoch Ciw Primary School"/>
    <tableColumn id="12" xr3:uid="{00000000-0010-0000-1E00-00000C000000}" name="Central Primary School"/>
    <tableColumn id="13" xr3:uid="{00000000-0010-0000-1E00-00000D000000}" name="Cilffriw Primary School"/>
    <tableColumn id="14" xr3:uid="{00000000-0010-0000-1E00-00000E000000}" name="Coed Hirwaun Primary School"/>
    <tableColumn id="15" xr3:uid="{00000000-0010-0000-1E00-00000F000000}" name="Croeserw Primary School"/>
    <tableColumn id="16" xr3:uid="{00000000-0010-0000-1E00-000010000000}" name="Crynallt Primary School"/>
    <tableColumn id="17" xr3:uid="{00000000-0010-0000-1E00-000011000000}" name="Cwmnedd Primary School"/>
    <tableColumn id="18" xr3:uid="{00000000-0010-0000-1E00-000012000000}" name="Gnoll Primary School"/>
    <tableColumn id="19" xr3:uid="{00000000-0010-0000-1E00-000013000000}" name="Melin Primary School"/>
    <tableColumn id="20" xr3:uid="{00000000-0010-0000-1E00-000014000000}" name="Pen Afan Primary School"/>
    <tableColumn id="21" xr3:uid="{00000000-0010-0000-1E00-000015000000}" name="Rhos Primary School"/>
    <tableColumn id="22" xr3:uid="{00000000-0010-0000-1E00-000016000000}" name="St Therese's Catholic Primary School"/>
    <tableColumn id="23" xr3:uid="{00000000-0010-0000-1E00-000017000000}" name="Tonnau Primary Community School"/>
    <tableColumn id="24" xr3:uid="{00000000-0010-0000-1E00-000018000000}" name="Tywyn Primary School"/>
    <tableColumn id="25" xr3:uid="{00000000-0010-0000-1E00-000019000000}" name="Ygg Cwm Nedd"/>
    <tableColumn id="26" xr3:uid="{00000000-0010-0000-1E00-00001A000000}" name="Ygg Gwaun Cae Gurwen"/>
    <tableColumn id="27" xr3:uid="{00000000-0010-0000-1E00-00001B000000}" name="Ygg Pontardawe"/>
    <tableColumn id="28" xr3:uid="{00000000-0010-0000-1E00-00001C000000}" name="Ygg Rhosafan"/>
    <tableColumn id="29" xr3:uid="{00000000-0010-0000-1E00-00001D000000}" name="Ysgol Bae Baglan (years 3 to 6)"/>
    <tableColumn id="30" xr3:uid="{00000000-0010-0000-1E00-00001E000000}" name="Ysgol Carreg Hir"/>
    <tableColumn id="31" xr3:uid="{00000000-0010-0000-1E00-00001F000000}" name="Ysgol Cwm Brombil (years 3 to 6)"/>
    <tableColumn id="32" xr3:uid="{00000000-0010-0000-1E00-000020000000}" name="Ysgol Gymraeg Ystalyfera Bro Dur (years 3 to 6)"/>
    <tableColumn id="33" xr3:uid="{00000000-0010-0000-1E00-000021000000}" name="Secondary in Neath Port Talbot: _x000a_Years 7 to 11"/>
    <tableColumn id="34" xr3:uid="{00000000-0010-0000-1E00-000022000000}" name="Cefn Saeson Comprehensive School"/>
    <tableColumn id="35" xr3:uid="{00000000-0010-0000-1E00-000023000000}" name="Cwmtawe Community School"/>
    <tableColumn id="36" xr3:uid="{00000000-0010-0000-1E00-000024000000}" name="Dwr y Felin Comprehensive School"/>
    <tableColumn id="37" xr3:uid="{00000000-0010-0000-1E00-000025000000}" name="Llangatwg Community School"/>
    <tableColumn id="38" xr3:uid="{00000000-0010-0000-1E00-000026000000}" name="St Joseph's Rc School And 6Th Form Centre"/>
    <tableColumn id="39" xr3:uid="{00000000-0010-0000-1E00-000027000000}" name="Ysgol Bae Baglan (years 7 to 11)"/>
    <tableColumn id="40" xr3:uid="{00000000-0010-0000-1E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AN21" totalsRowShown="0">
  <tableColumns count="40">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Neath Port Talbot"/>
    <tableColumn id="5" xr3:uid="{00000000-0010-0000-2000-000005000000}" name="Primary in Neath Port Talbot: _x000a_Years 3 to 6"/>
    <tableColumn id="6" xr3:uid="{00000000-0010-0000-2000-000006000000}" name="Alderman Davies Ciw Primary School"/>
    <tableColumn id="7" xr3:uid="{00000000-0010-0000-2000-000007000000}" name="Alltwen Primary School"/>
    <tableColumn id="8" xr3:uid="{00000000-0010-0000-2000-000008000000}" name="Blaenbaglan Primary School"/>
    <tableColumn id="9" xr3:uid="{00000000-0010-0000-2000-000009000000}" name="Blaengwrach Primary School"/>
    <tableColumn id="10" xr3:uid="{00000000-0010-0000-2000-00000A000000}" name="Blaenhonddan Primary School"/>
    <tableColumn id="11" xr3:uid="{00000000-0010-0000-2000-00000B000000}" name="Bryncoch Ciw Primary School"/>
    <tableColumn id="12" xr3:uid="{00000000-0010-0000-2000-00000C000000}" name="Central Primary School"/>
    <tableColumn id="13" xr3:uid="{00000000-0010-0000-2000-00000D000000}" name="Cilffriw Primary School"/>
    <tableColumn id="14" xr3:uid="{00000000-0010-0000-2000-00000E000000}" name="Coed Hirwaun Primary School"/>
    <tableColumn id="15" xr3:uid="{00000000-0010-0000-2000-00000F000000}" name="Croeserw Primary School"/>
    <tableColumn id="16" xr3:uid="{00000000-0010-0000-2000-000010000000}" name="Crynallt Primary School"/>
    <tableColumn id="17" xr3:uid="{00000000-0010-0000-2000-000011000000}" name="Cwmnedd Primary School"/>
    <tableColumn id="18" xr3:uid="{00000000-0010-0000-2000-000012000000}" name="Gnoll Primary School"/>
    <tableColumn id="19" xr3:uid="{00000000-0010-0000-2000-000013000000}" name="Melin Primary School"/>
    <tableColumn id="20" xr3:uid="{00000000-0010-0000-2000-000014000000}" name="Pen Afan Primary School"/>
    <tableColumn id="21" xr3:uid="{00000000-0010-0000-2000-000015000000}" name="Rhos Primary School"/>
    <tableColumn id="22" xr3:uid="{00000000-0010-0000-2000-000016000000}" name="St Therese's Catholic Primary School"/>
    <tableColumn id="23" xr3:uid="{00000000-0010-0000-2000-000017000000}" name="Tonnau Primary Community School"/>
    <tableColumn id="24" xr3:uid="{00000000-0010-0000-2000-000018000000}" name="Tywyn Primary School"/>
    <tableColumn id="25" xr3:uid="{00000000-0010-0000-2000-000019000000}" name="Ygg Cwm Nedd"/>
    <tableColumn id="26" xr3:uid="{00000000-0010-0000-2000-00001A000000}" name="Ygg Gwaun Cae Gurwen"/>
    <tableColumn id="27" xr3:uid="{00000000-0010-0000-2000-00001B000000}" name="Ygg Pontardawe"/>
    <tableColumn id="28" xr3:uid="{00000000-0010-0000-2000-00001C000000}" name="Ygg Rhosafan"/>
    <tableColumn id="29" xr3:uid="{00000000-0010-0000-2000-00001D000000}" name="Ysgol Bae Baglan (years 3 to 6)"/>
    <tableColumn id="30" xr3:uid="{00000000-0010-0000-2000-00001E000000}" name="Ysgol Carreg Hir"/>
    <tableColumn id="31" xr3:uid="{00000000-0010-0000-2000-00001F000000}" name="Ysgol Cwm Brombil (years 3 to 6)"/>
    <tableColumn id="32" xr3:uid="{00000000-0010-0000-2000-000020000000}" name="Ysgol Gymraeg Ystalyfera Bro Dur (years 3 to 6)"/>
    <tableColumn id="33" xr3:uid="{00000000-0010-0000-2000-000021000000}" name="Secondary in Neath Port Talbot: _x000a_Years 7 to 11"/>
    <tableColumn id="34" xr3:uid="{00000000-0010-0000-2000-000022000000}" name="Cefn Saeson Comprehensive School"/>
    <tableColumn id="35" xr3:uid="{00000000-0010-0000-2000-000023000000}" name="Cwmtawe Community School"/>
    <tableColumn id="36" xr3:uid="{00000000-0010-0000-2000-000024000000}" name="Dwr y Felin Comprehensive School"/>
    <tableColumn id="37" xr3:uid="{00000000-0010-0000-2000-000025000000}" name="Llangatwg Community School"/>
    <tableColumn id="38" xr3:uid="{00000000-0010-0000-2000-000026000000}" name="St Joseph's Rc School And 6Th Form Centre"/>
    <tableColumn id="39" xr3:uid="{00000000-0010-0000-2000-000027000000}" name="Ysgol Bae Baglan (years 7 to 11)"/>
    <tableColumn id="40" xr3:uid="{00000000-0010-0000-20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AN7" totalsRowShown="0">
  <tableColumns count="40">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Neath Port Talbot"/>
    <tableColumn id="5" xr3:uid="{00000000-0010-0000-2200-000005000000}" name="Primary in Neath Port Talbot: _x000a_Years 3 to 6"/>
    <tableColumn id="6" xr3:uid="{00000000-0010-0000-2200-000006000000}" name="Alderman Davies Ciw Primary School"/>
    <tableColumn id="7" xr3:uid="{00000000-0010-0000-2200-000007000000}" name="Alltwen Primary School"/>
    <tableColumn id="8" xr3:uid="{00000000-0010-0000-2200-000008000000}" name="Blaenbaglan Primary School"/>
    <tableColumn id="9" xr3:uid="{00000000-0010-0000-2200-000009000000}" name="Blaengwrach Primary School"/>
    <tableColumn id="10" xr3:uid="{00000000-0010-0000-2200-00000A000000}" name="Blaenhonddan Primary School"/>
    <tableColumn id="11" xr3:uid="{00000000-0010-0000-2200-00000B000000}" name="Bryncoch Ciw Primary School"/>
    <tableColumn id="12" xr3:uid="{00000000-0010-0000-2200-00000C000000}" name="Central Primary School"/>
    <tableColumn id="13" xr3:uid="{00000000-0010-0000-2200-00000D000000}" name="Cilffriw Primary School"/>
    <tableColumn id="14" xr3:uid="{00000000-0010-0000-2200-00000E000000}" name="Coed Hirwaun Primary School"/>
    <tableColumn id="15" xr3:uid="{00000000-0010-0000-2200-00000F000000}" name="Croeserw Primary School"/>
    <tableColumn id="16" xr3:uid="{00000000-0010-0000-2200-000010000000}" name="Crynallt Primary School"/>
    <tableColumn id="17" xr3:uid="{00000000-0010-0000-2200-000011000000}" name="Cwmnedd Primary School"/>
    <tableColumn id="18" xr3:uid="{00000000-0010-0000-2200-000012000000}" name="Gnoll Primary School"/>
    <tableColumn id="19" xr3:uid="{00000000-0010-0000-2200-000013000000}" name="Melin Primary School"/>
    <tableColumn id="20" xr3:uid="{00000000-0010-0000-2200-000014000000}" name="Pen Afan Primary School"/>
    <tableColumn id="21" xr3:uid="{00000000-0010-0000-2200-000015000000}" name="Rhos Primary School"/>
    <tableColumn id="22" xr3:uid="{00000000-0010-0000-2200-000016000000}" name="St Therese's Catholic Primary School"/>
    <tableColumn id="23" xr3:uid="{00000000-0010-0000-2200-000017000000}" name="Tonnau Primary Community School"/>
    <tableColumn id="24" xr3:uid="{00000000-0010-0000-2200-000018000000}" name="Tywyn Primary School"/>
    <tableColumn id="25" xr3:uid="{00000000-0010-0000-2200-000019000000}" name="Ygg Cwm Nedd"/>
    <tableColumn id="26" xr3:uid="{00000000-0010-0000-2200-00001A000000}" name="Ygg Gwaun Cae Gurwen"/>
    <tableColumn id="27" xr3:uid="{00000000-0010-0000-2200-00001B000000}" name="Ygg Pontardawe"/>
    <tableColumn id="28" xr3:uid="{00000000-0010-0000-2200-00001C000000}" name="Ygg Rhosafan"/>
    <tableColumn id="29" xr3:uid="{00000000-0010-0000-2200-00001D000000}" name="Ysgol Bae Baglan (years 3 to 6)"/>
    <tableColumn id="30" xr3:uid="{00000000-0010-0000-2200-00001E000000}" name="Ysgol Carreg Hir"/>
    <tableColumn id="31" xr3:uid="{00000000-0010-0000-2200-00001F000000}" name="Ysgol Cwm Brombil (years 3 to 6)"/>
    <tableColumn id="32" xr3:uid="{00000000-0010-0000-2200-000020000000}" name="Ysgol Gymraeg Ystalyfera Bro Dur (years 3 to 6)"/>
    <tableColumn id="33" xr3:uid="{00000000-0010-0000-2200-000021000000}" name="Secondary in Neath Port Talbot: _x000a_Years 7 to 11"/>
    <tableColumn id="34" xr3:uid="{00000000-0010-0000-2200-000022000000}" name="Cefn Saeson Comprehensive School"/>
    <tableColumn id="35" xr3:uid="{00000000-0010-0000-2200-000023000000}" name="Cwmtawe Community School"/>
    <tableColumn id="36" xr3:uid="{00000000-0010-0000-2200-000024000000}" name="Dwr y Felin Comprehensive School"/>
    <tableColumn id="37" xr3:uid="{00000000-0010-0000-2200-000025000000}" name="Llangatwg Community School"/>
    <tableColumn id="38" xr3:uid="{00000000-0010-0000-2200-000026000000}" name="St Joseph's Rc School And 6Th Form Centre"/>
    <tableColumn id="39" xr3:uid="{00000000-0010-0000-2200-000027000000}" name="Ysgol Bae Baglan (years 7 to 11)"/>
    <tableColumn id="40" xr3:uid="{00000000-0010-0000-22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32"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Neath Port Talbot"/>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Neath Port Talbot"/>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2"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Neath Port Talbot"/>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Neath Port Talbot"/>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sheetViews>
  <sheetFormatPr defaultColWidth="10.88671875" defaultRowHeight="15"/>
  <cols>
    <col min="1" max="1" width="9.6640625" customWidth="1"/>
    <col min="2" max="2" width="100.6640625" customWidth="1"/>
  </cols>
  <sheetData>
    <row r="1" spans="1:2" ht="30" customHeight="1">
      <c r="A1" s="41" t="s">
        <v>0</v>
      </c>
      <c r="B1" s="44"/>
    </row>
    <row r="2" spans="1:2" ht="30" customHeight="1">
      <c r="A2" s="42" t="s">
        <v>1</v>
      </c>
      <c r="B2" s="44"/>
    </row>
    <row r="3" spans="1:2">
      <c r="A3" s="3" t="s">
        <v>2</v>
      </c>
      <c r="B3" s="45"/>
    </row>
    <row r="4" spans="1:2" ht="30" customHeight="1">
      <c r="A4" s="43" t="str">
        <f>HYPERLINK("#'Table 1'!A1", "Table 1")</f>
        <v>Table 1</v>
      </c>
      <c r="B4" s="46" t="s">
        <v>3</v>
      </c>
    </row>
    <row r="5" spans="1:2">
      <c r="A5" s="3" t="s">
        <v>4</v>
      </c>
      <c r="B5" s="45"/>
    </row>
    <row r="6" spans="1:2">
      <c r="A6" s="43" t="str">
        <f>HYPERLINK("#'Table 2'!A1", "Table 2")</f>
        <v>Table 2</v>
      </c>
      <c r="B6" s="46" t="s">
        <v>5</v>
      </c>
    </row>
    <row r="7" spans="1:2">
      <c r="A7" s="43" t="str">
        <f>HYPERLINK("#'Table 3'!A1", "Table 3")</f>
        <v>Table 3</v>
      </c>
      <c r="B7" s="46" t="s">
        <v>6</v>
      </c>
    </row>
    <row r="8" spans="1:2">
      <c r="A8" s="43" t="str">
        <f>HYPERLINK("#'Table 4'!A1", "Table 4")</f>
        <v>Table 4</v>
      </c>
      <c r="B8" s="46" t="s">
        <v>7</v>
      </c>
    </row>
    <row r="9" spans="1:2">
      <c r="A9" s="43" t="str">
        <f>HYPERLINK("#'Table 5'!A1", "Table 5")</f>
        <v>Table 5</v>
      </c>
      <c r="B9" s="46" t="s">
        <v>8</v>
      </c>
    </row>
    <row r="10" spans="1:2" ht="30" customHeight="1">
      <c r="A10" s="43" t="str">
        <f>HYPERLINK("#'Table 6'!A1", "Table 6")</f>
        <v>Table 6</v>
      </c>
      <c r="B10" s="46" t="s">
        <v>9</v>
      </c>
    </row>
    <row r="11" spans="1:2">
      <c r="A11" s="3" t="s">
        <v>10</v>
      </c>
      <c r="B11" s="45"/>
    </row>
    <row r="12" spans="1:2">
      <c r="A12" s="43" t="str">
        <f>HYPERLINK("#'Table 7a'!A1", "Table 7a")</f>
        <v>Table 7a</v>
      </c>
      <c r="B12" s="46" t="s">
        <v>11</v>
      </c>
    </row>
    <row r="13" spans="1:2">
      <c r="A13" s="43" t="str">
        <f>HYPERLINK("#'Table 7b'!A1", "Table 7b")</f>
        <v>Table 7b</v>
      </c>
      <c r="B13" s="46" t="s">
        <v>12</v>
      </c>
    </row>
    <row r="14" spans="1:2">
      <c r="A14" s="43" t="str">
        <f>HYPERLINK("#'Table 7c'!A1", "Table 7c")</f>
        <v>Table 7c</v>
      </c>
      <c r="B14" s="46" t="s">
        <v>13</v>
      </c>
    </row>
    <row r="15" spans="1:2">
      <c r="A15" s="43" t="str">
        <f>HYPERLINK("#'Table 8a'!A1", "Table 8a")</f>
        <v>Table 8a</v>
      </c>
      <c r="B15" s="46" t="s">
        <v>14</v>
      </c>
    </row>
    <row r="16" spans="1:2">
      <c r="A16" s="43" t="str">
        <f>HYPERLINK("#'Table 8b'!A1", "Table 8b")</f>
        <v>Table 8b</v>
      </c>
      <c r="B16" s="46" t="s">
        <v>12</v>
      </c>
    </row>
    <row r="17" spans="1:2">
      <c r="A17" s="43" t="str">
        <f>HYPERLINK("#'Table 8c'!A1", "Table 8c")</f>
        <v>Table 8c</v>
      </c>
      <c r="B17" s="46" t="s">
        <v>13</v>
      </c>
    </row>
    <row r="18" spans="1:2">
      <c r="A18" s="43" t="str">
        <f>HYPERLINK("#'Table 9a'!A1", "Table 9a")</f>
        <v>Table 9a</v>
      </c>
      <c r="B18" s="46" t="s">
        <v>15</v>
      </c>
    </row>
    <row r="19" spans="1:2">
      <c r="A19" s="43" t="str">
        <f>HYPERLINK("#'Table 9b'!A1", "Table 9b")</f>
        <v>Table 9b</v>
      </c>
      <c r="B19" s="46" t="s">
        <v>12</v>
      </c>
    </row>
    <row r="20" spans="1:2">
      <c r="A20" s="43" t="str">
        <f>HYPERLINK("#'Table 9c'!A1", "Table 9c")</f>
        <v>Table 9c</v>
      </c>
      <c r="B20" s="46" t="s">
        <v>13</v>
      </c>
    </row>
    <row r="21" spans="1:2">
      <c r="A21" s="43" t="str">
        <f>HYPERLINK("#'Table 10a'!A1", "Table 10a")</f>
        <v>Table 10a</v>
      </c>
      <c r="B21" s="46" t="s">
        <v>16</v>
      </c>
    </row>
    <row r="22" spans="1:2">
      <c r="A22" s="43" t="str">
        <f>HYPERLINK("#'Table 10b'!A1", "Table 10b")</f>
        <v>Table 10b</v>
      </c>
      <c r="B22" s="46" t="s">
        <v>12</v>
      </c>
    </row>
    <row r="23" spans="1:2" ht="30" customHeight="1">
      <c r="A23" s="43" t="str">
        <f>HYPERLINK("#'Table 10c'!A1", "Table 10c")</f>
        <v>Table 10c</v>
      </c>
      <c r="B23" s="46" t="s">
        <v>13</v>
      </c>
    </row>
    <row r="24" spans="1:2">
      <c r="A24" s="3" t="s">
        <v>17</v>
      </c>
      <c r="B24" s="45"/>
    </row>
    <row r="25" spans="1:2">
      <c r="A25" s="43" t="str">
        <f>HYPERLINK("#'Table 11a'!A1", "Table 11a")</f>
        <v>Table 11a</v>
      </c>
      <c r="B25" s="46" t="s">
        <v>18</v>
      </c>
    </row>
    <row r="26" spans="1:2">
      <c r="A26" s="43" t="str">
        <f>HYPERLINK("#'Table 11b'!A1", "Table 11b")</f>
        <v>Table 11b</v>
      </c>
      <c r="B26" s="46" t="s">
        <v>19</v>
      </c>
    </row>
    <row r="27" spans="1:2" ht="30" customHeight="1">
      <c r="A27" s="43" t="str">
        <f>HYPERLINK("#'Table 11c'!A1", "Table 11c")</f>
        <v>Table 11c</v>
      </c>
      <c r="B27" s="46" t="s">
        <v>20</v>
      </c>
    </row>
    <row r="28" spans="1:2">
      <c r="A28" s="3" t="s">
        <v>21</v>
      </c>
      <c r="B28" s="45"/>
    </row>
    <row r="29" spans="1:2">
      <c r="A29" s="43" t="str">
        <f>HYPERLINK("#'Table 12a'!A1", "Table 12a")</f>
        <v>Table 12a</v>
      </c>
      <c r="B29" s="46" t="s">
        <v>22</v>
      </c>
    </row>
    <row r="30" spans="1:2">
      <c r="A30" s="43" t="str">
        <f>HYPERLINK("#'Table 12b'!A1", "Table 12b")</f>
        <v>Table 12b</v>
      </c>
      <c r="B30" s="46" t="s">
        <v>13</v>
      </c>
    </row>
    <row r="31" spans="1:2">
      <c r="A31" s="43" t="str">
        <f>HYPERLINK("#'Table 12c'!A1", "Table 12c")</f>
        <v>Table 12c</v>
      </c>
      <c r="B31" s="46" t="s">
        <v>23</v>
      </c>
    </row>
    <row r="32" spans="1:2">
      <c r="A32" s="43" t="str">
        <f>HYPERLINK("#'Table 13a'!A1", "Table 13a")</f>
        <v>Table 13a</v>
      </c>
      <c r="B32" s="46" t="s">
        <v>24</v>
      </c>
    </row>
    <row r="33" spans="1:2">
      <c r="A33" s="43" t="str">
        <f>HYPERLINK("#'Table 13b'!A1", "Table 13b")</f>
        <v>Table 13b</v>
      </c>
      <c r="B33" s="46" t="s">
        <v>13</v>
      </c>
    </row>
    <row r="34" spans="1:2" ht="30" customHeight="1">
      <c r="A34" s="43" t="str">
        <f>HYPERLINK("#'Table 13c'!A1", "Table 13c")</f>
        <v>Table 13c</v>
      </c>
      <c r="B34" s="46" t="s">
        <v>23</v>
      </c>
    </row>
    <row r="35" spans="1:2">
      <c r="A35" s="3" t="s">
        <v>25</v>
      </c>
      <c r="B35" s="45"/>
    </row>
    <row r="36" spans="1:2">
      <c r="A36" s="43" t="str">
        <f>HYPERLINK("#'Table 14a'!A1", "Table 14a")</f>
        <v>Table 14a</v>
      </c>
      <c r="B36" s="46" t="s">
        <v>26</v>
      </c>
    </row>
    <row r="37" spans="1:2">
      <c r="A37" s="43" t="str">
        <f>HYPERLINK("#'Table 14b'!A1", "Table 14b")</f>
        <v>Table 14b</v>
      </c>
      <c r="B37" s="46" t="s">
        <v>27</v>
      </c>
    </row>
    <row r="38" spans="1:2">
      <c r="A38" s="43" t="str">
        <f>HYPERLINK("#'Table 15a'!A1", "Table 15a")</f>
        <v>Table 15a</v>
      </c>
      <c r="B38" s="46" t="s">
        <v>28</v>
      </c>
    </row>
    <row r="39" spans="1:2">
      <c r="A39" s="43" t="str">
        <f>HYPERLINK("#'Table 15b'!A1", "Table 15b")</f>
        <v>Table 15b</v>
      </c>
      <c r="B39" s="46" t="s">
        <v>27</v>
      </c>
    </row>
    <row r="40" spans="1:2">
      <c r="A40" s="43" t="str">
        <f>HYPERLINK("#'Table 16a'!A1", "Table 16a")</f>
        <v>Table 16a</v>
      </c>
      <c r="B40" s="46" t="s">
        <v>29</v>
      </c>
    </row>
    <row r="41" spans="1:2" ht="30" customHeight="1">
      <c r="A41" s="43" t="str">
        <f>HYPERLINK("#'Table 16b'!A1", "Table 16b")</f>
        <v>Table 16b</v>
      </c>
      <c r="B41" s="46" t="s">
        <v>27</v>
      </c>
    </row>
    <row r="42" spans="1:2">
      <c r="A42" s="3" t="s">
        <v>30</v>
      </c>
      <c r="B42" s="45"/>
    </row>
    <row r="43" spans="1:2">
      <c r="A43" s="43" t="str">
        <f>HYPERLINK("#'Table P1'!A1", "Table P1")</f>
        <v>Table P1</v>
      </c>
      <c r="B43" s="46" t="s">
        <v>31</v>
      </c>
    </row>
    <row r="44" spans="1:2">
      <c r="A44" s="43" t="str">
        <f>HYPERLINK("#'Table P2'!A1", "Table P2")</f>
        <v>Table P2</v>
      </c>
      <c r="B44" s="46" t="s">
        <v>32</v>
      </c>
    </row>
    <row r="45" spans="1:2">
      <c r="A45" s="43" t="str">
        <f>HYPERLINK("#'Table P3'!A1", "Table P3")</f>
        <v>Table P3</v>
      </c>
      <c r="B45" s="46" t="s">
        <v>33</v>
      </c>
    </row>
    <row r="46" spans="1:2">
      <c r="A46" s="43" t="str">
        <f>HYPERLINK("#'Table P4'!A1", "Table P4")</f>
        <v>Table P4</v>
      </c>
      <c r="B46" s="46" t="s">
        <v>34</v>
      </c>
    </row>
    <row r="47" spans="1:2">
      <c r="A47" s="43" t="str">
        <f>HYPERLINK("#'Table P5'!A1", "Table P5")</f>
        <v>Table P5</v>
      </c>
      <c r="B47" s="46" t="s">
        <v>35</v>
      </c>
    </row>
    <row r="48" spans="1:2">
      <c r="A48" s="43" t="str">
        <f>HYPERLINK("#'Table P6'!A1", "Table P6")</f>
        <v>Table P6</v>
      </c>
      <c r="B48" s="46" t="s">
        <v>36</v>
      </c>
    </row>
    <row r="49" spans="1:2">
      <c r="A49" s="43" t="str">
        <f>HYPERLINK("#'Table P7'!A1", "Table P7")</f>
        <v>Table P7</v>
      </c>
      <c r="B49" s="46" t="s">
        <v>37</v>
      </c>
    </row>
    <row r="50" spans="1:2">
      <c r="A50" s="43" t="str">
        <f>HYPERLINK("#'Table P8'!A1", "Table P8")</f>
        <v>Table P8</v>
      </c>
      <c r="B50" s="46" t="s">
        <v>38</v>
      </c>
    </row>
    <row r="51" spans="1:2">
      <c r="A51" s="43" t="str">
        <f>HYPERLINK("#'Table P9'!A1", "Table P9")</f>
        <v>Table P9</v>
      </c>
      <c r="B51" s="46" t="s">
        <v>39</v>
      </c>
    </row>
    <row r="52" spans="1:2">
      <c r="A52" s="43" t="str">
        <f>HYPERLINK("#'Table S1'!A1", "Table S1")</f>
        <v>Table S1</v>
      </c>
      <c r="B52" s="46" t="s">
        <v>40</v>
      </c>
    </row>
    <row r="53" spans="1:2">
      <c r="A53" s="43" t="str">
        <f>HYPERLINK("#'Table S2'!A1", "Table S2")</f>
        <v>Table S2</v>
      </c>
      <c r="B53" s="46" t="s">
        <v>41</v>
      </c>
    </row>
    <row r="54" spans="1:2">
      <c r="A54" s="43" t="str">
        <f>HYPERLINK("#'Table S3'!A1", "Table S3")</f>
        <v>Table S3</v>
      </c>
      <c r="B54" s="46" t="s">
        <v>42</v>
      </c>
    </row>
    <row r="55" spans="1:2">
      <c r="A55" s="43" t="str">
        <f>HYPERLINK("#'Table S4'!A1", "Table S4")</f>
        <v>Table S4</v>
      </c>
      <c r="B55" s="46" t="s">
        <v>43</v>
      </c>
    </row>
    <row r="56" spans="1:2">
      <c r="A56" s="43" t="str">
        <f>HYPERLINK("#'Table S5'!A1", "Table S5")</f>
        <v>Table S5</v>
      </c>
      <c r="B56" s="46" t="s">
        <v>44</v>
      </c>
    </row>
    <row r="57" spans="1:2">
      <c r="A57" s="43" t="str">
        <f>HYPERLINK("#'Table S6'!A1", "Table S6")</f>
        <v>Table S6</v>
      </c>
      <c r="B57" s="46" t="s">
        <v>45</v>
      </c>
    </row>
    <row r="58" spans="1:2">
      <c r="A58" s="43" t="str">
        <f>HYPERLINK("#'Table S7'!A1", "Table S7")</f>
        <v>Table S7</v>
      </c>
      <c r="B58" s="46" t="s">
        <v>46</v>
      </c>
    </row>
    <row r="59" spans="1:2">
      <c r="A59" s="43" t="str">
        <f>HYPERLINK("#'Table S8'!A1", "Table S8")</f>
        <v>Table S8</v>
      </c>
      <c r="B59" s="46" t="s">
        <v>47</v>
      </c>
    </row>
    <row r="60" spans="1:2" ht="30" customHeight="1">
      <c r="A60" s="47" t="str">
        <f>HYPERLINK("#'Table S9'!A1", "Table S9")</f>
        <v>Table S9</v>
      </c>
      <c r="B60" s="49" t="s">
        <v>48</v>
      </c>
    </row>
    <row r="61" spans="1:2" ht="45" customHeight="1">
      <c r="A61" s="50" t="s">
        <v>49</v>
      </c>
      <c r="B61" s="48"/>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88671875" defaultRowHeight="15"/>
  <cols>
    <col min="1" max="1" width="23.6640625" customWidth="1"/>
    <col min="2" max="2" width="140.6640625" customWidth="1"/>
  </cols>
  <sheetData>
    <row r="1" spans="1:2" ht="30" customHeight="1">
      <c r="A1" s="1" t="s">
        <v>50</v>
      </c>
    </row>
    <row r="2" spans="1:2">
      <c r="A2" s="3" t="s">
        <v>51</v>
      </c>
      <c r="B2" s="2" t="s">
        <v>52</v>
      </c>
    </row>
    <row r="3" spans="1:2">
      <c r="A3" s="4" t="s">
        <v>53</v>
      </c>
      <c r="B3" s="5" t="s">
        <v>54</v>
      </c>
    </row>
    <row r="4" spans="1:2" ht="105">
      <c r="A4" s="4" t="s">
        <v>55</v>
      </c>
      <c r="B4" s="5" t="s">
        <v>56</v>
      </c>
    </row>
    <row r="5" spans="1:2" ht="195">
      <c r="A5" s="4" t="s">
        <v>57</v>
      </c>
      <c r="B5" s="5" t="s">
        <v>58</v>
      </c>
    </row>
    <row r="6" spans="1:2" ht="45">
      <c r="A6" s="4" t="s">
        <v>59</v>
      </c>
      <c r="B6" s="5" t="s">
        <v>60</v>
      </c>
    </row>
    <row r="7" spans="1:2" ht="75">
      <c r="A7" s="4" t="s">
        <v>61</v>
      </c>
      <c r="B7" s="5" t="s">
        <v>62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63</v>
      </c>
      <c r="B1" s="12"/>
      <c r="C1" s="12"/>
      <c r="D1" s="12"/>
      <c r="E1" s="12"/>
    </row>
    <row r="2" spans="1:5" ht="30">
      <c r="A2" s="7" t="s">
        <v>64</v>
      </c>
      <c r="B2" s="6" t="s">
        <v>65</v>
      </c>
      <c r="C2" s="6" t="s">
        <v>66</v>
      </c>
      <c r="D2" s="6" t="s">
        <v>67</v>
      </c>
      <c r="E2" s="8" t="s">
        <v>57</v>
      </c>
    </row>
    <row r="3" spans="1:5" ht="21.95" customHeight="1">
      <c r="A3" s="22" t="s">
        <v>68</v>
      </c>
      <c r="B3" s="13">
        <v>115167</v>
      </c>
      <c r="C3" s="13">
        <v>313088</v>
      </c>
      <c r="D3" s="15">
        <v>36.7842267988553</v>
      </c>
      <c r="E3" s="17">
        <v>2.2960094893883102E-3</v>
      </c>
    </row>
    <row r="4" spans="1:5">
      <c r="A4" s="22" t="s">
        <v>69</v>
      </c>
      <c r="B4" s="13">
        <v>24572</v>
      </c>
      <c r="C4" s="13">
        <v>68079</v>
      </c>
      <c r="D4" s="15">
        <v>36.093362123415403</v>
      </c>
      <c r="E4" s="17">
        <v>4.9977418106933198E-3</v>
      </c>
    </row>
    <row r="5" spans="1:5">
      <c r="A5" s="22" t="s">
        <v>70</v>
      </c>
      <c r="B5" s="13">
        <v>4584</v>
      </c>
      <c r="C5" s="13">
        <v>14425</v>
      </c>
      <c r="D5" s="15">
        <v>31.778162911611801</v>
      </c>
      <c r="E5" s="17">
        <v>1.19548301313212E-2</v>
      </c>
    </row>
    <row r="6" spans="1:5">
      <c r="A6" s="23" t="s">
        <v>71</v>
      </c>
      <c r="B6" s="13"/>
      <c r="C6" s="13"/>
      <c r="D6" s="15"/>
      <c r="E6" s="17"/>
    </row>
    <row r="7" spans="1:5" ht="21.95" customHeight="1">
      <c r="A7" s="22" t="s">
        <v>72</v>
      </c>
      <c r="B7" s="13"/>
      <c r="C7" s="13"/>
      <c r="D7" s="15"/>
      <c r="E7" s="17"/>
    </row>
    <row r="8" spans="1:5">
      <c r="A8" s="9" t="s">
        <v>73</v>
      </c>
      <c r="B8" s="13">
        <v>2253</v>
      </c>
      <c r="C8" s="13">
        <v>7426</v>
      </c>
      <c r="D8" s="15">
        <v>30.339348235927801</v>
      </c>
      <c r="E8" s="17">
        <v>1.7230475614628399E-2</v>
      </c>
    </row>
    <row r="9" spans="1:5">
      <c r="A9" s="9" t="s">
        <v>74</v>
      </c>
      <c r="B9" s="13">
        <v>2214</v>
      </c>
      <c r="C9" s="13">
        <v>6999</v>
      </c>
      <c r="D9" s="15">
        <v>31.6330904414916</v>
      </c>
      <c r="E9" s="17">
        <v>1.7219274769163E-2</v>
      </c>
    </row>
    <row r="10" spans="1:5">
      <c r="A10" s="9" t="s">
        <v>75</v>
      </c>
      <c r="B10" s="13">
        <v>38</v>
      </c>
      <c r="C10" s="19" t="s">
        <v>76</v>
      </c>
      <c r="D10" s="20" t="s">
        <v>76</v>
      </c>
      <c r="E10" s="21" t="s">
        <v>76</v>
      </c>
    </row>
    <row r="11" spans="1:5">
      <c r="A11" s="9" t="s">
        <v>77</v>
      </c>
      <c r="B11" s="13">
        <v>79</v>
      </c>
      <c r="C11" s="19" t="s">
        <v>76</v>
      </c>
      <c r="D11" s="20" t="s">
        <v>76</v>
      </c>
      <c r="E11" s="21" t="s">
        <v>76</v>
      </c>
    </row>
    <row r="12" spans="1:5" ht="21.95" customHeight="1">
      <c r="A12" s="22" t="s">
        <v>78</v>
      </c>
      <c r="B12" s="13"/>
      <c r="C12" s="13"/>
      <c r="D12" s="15"/>
      <c r="E12" s="17"/>
    </row>
    <row r="13" spans="1:5">
      <c r="A13" s="9" t="s">
        <v>79</v>
      </c>
      <c r="B13" s="13">
        <v>943</v>
      </c>
      <c r="C13" s="13">
        <v>2982</v>
      </c>
      <c r="D13" s="15">
        <v>31.623071763916801</v>
      </c>
      <c r="E13" s="17">
        <v>2.6382655077154201E-2</v>
      </c>
    </row>
    <row r="14" spans="1:5">
      <c r="A14" s="9" t="s">
        <v>80</v>
      </c>
      <c r="B14" s="13">
        <v>1070</v>
      </c>
      <c r="C14" s="13">
        <v>3257</v>
      </c>
      <c r="D14" s="15">
        <v>32.852318084126502</v>
      </c>
      <c r="E14" s="17">
        <v>2.4544285067499699E-2</v>
      </c>
    </row>
    <row r="15" spans="1:5">
      <c r="A15" s="9" t="s">
        <v>81</v>
      </c>
      <c r="B15" s="13">
        <v>2079</v>
      </c>
      <c r="C15" s="13">
        <v>4997</v>
      </c>
      <c r="D15" s="15">
        <v>41.604962977786698</v>
      </c>
      <c r="E15" s="17">
        <v>1.64214828417696E-2</v>
      </c>
    </row>
    <row r="16" spans="1:5">
      <c r="A16" s="9" t="s">
        <v>82</v>
      </c>
      <c r="B16" s="13">
        <v>492</v>
      </c>
      <c r="C16" s="13">
        <v>3189</v>
      </c>
      <c r="D16" s="15">
        <v>15.428033866415801</v>
      </c>
      <c r="E16" s="17">
        <v>4.0623394339966902E-2</v>
      </c>
    </row>
    <row r="17" spans="1:5" ht="21.95" customHeight="1">
      <c r="A17" s="22" t="s">
        <v>83</v>
      </c>
      <c r="B17" s="13"/>
      <c r="C17" s="13"/>
      <c r="D17" s="15"/>
      <c r="E17" s="17"/>
    </row>
    <row r="18" spans="1:5">
      <c r="A18" s="9" t="s">
        <v>84</v>
      </c>
      <c r="B18" s="13">
        <v>2013</v>
      </c>
      <c r="C18" s="13">
        <v>6239</v>
      </c>
      <c r="D18" s="15">
        <v>32.2647860234012</v>
      </c>
      <c r="E18" s="17">
        <v>1.7974633836403998E-2</v>
      </c>
    </row>
    <row r="19" spans="1:5">
      <c r="A19" s="9" t="s">
        <v>85</v>
      </c>
      <c r="B19" s="13">
        <v>2571</v>
      </c>
      <c r="C19" s="13">
        <v>8186</v>
      </c>
      <c r="D19" s="15">
        <v>31.407280723185899</v>
      </c>
      <c r="E19" s="17">
        <v>1.6005725755890501E-2</v>
      </c>
    </row>
    <row r="20" spans="1:5" ht="21.95" customHeight="1">
      <c r="A20" s="22" t="s">
        <v>86</v>
      </c>
      <c r="B20" s="13"/>
      <c r="C20" s="13"/>
      <c r="D20" s="15"/>
      <c r="E20" s="17"/>
    </row>
    <row r="21" spans="1:5">
      <c r="A21" s="9" t="s">
        <v>87</v>
      </c>
      <c r="B21" s="13">
        <v>4103</v>
      </c>
      <c r="C21" s="13">
        <v>13730</v>
      </c>
      <c r="D21" s="15">
        <v>29.8834668608886</v>
      </c>
      <c r="E21" s="17">
        <v>1.2810408454455699E-2</v>
      </c>
    </row>
    <row r="22" spans="1:5">
      <c r="A22" s="9" t="s">
        <v>88</v>
      </c>
      <c r="B22" s="13">
        <v>3977</v>
      </c>
      <c r="C22" s="13">
        <v>13460</v>
      </c>
      <c r="D22" s="15">
        <v>29.546805349182801</v>
      </c>
      <c r="E22" s="17">
        <v>1.30429468864596E-2</v>
      </c>
    </row>
    <row r="23" spans="1:5">
      <c r="A23" s="9" t="s">
        <v>89</v>
      </c>
      <c r="B23" s="13">
        <v>17</v>
      </c>
      <c r="C23" s="19" t="s">
        <v>76</v>
      </c>
      <c r="D23" s="20" t="s">
        <v>76</v>
      </c>
      <c r="E23" s="21" t="s">
        <v>76</v>
      </c>
    </row>
    <row r="24" spans="1:5">
      <c r="A24" s="9" t="s">
        <v>90</v>
      </c>
      <c r="B24" s="13">
        <v>9</v>
      </c>
      <c r="C24" s="13">
        <v>40</v>
      </c>
      <c r="D24" s="15">
        <v>22.5</v>
      </c>
      <c r="E24" s="17">
        <v>0.28290163190291701</v>
      </c>
    </row>
    <row r="25" spans="1:5">
      <c r="A25" s="9" t="s">
        <v>91</v>
      </c>
      <c r="B25" s="13">
        <v>5</v>
      </c>
      <c r="C25" s="13">
        <v>0</v>
      </c>
      <c r="D25" s="20" t="s">
        <v>76</v>
      </c>
      <c r="E25" s="21" t="s">
        <v>76</v>
      </c>
    </row>
    <row r="26" spans="1:5">
      <c r="A26" s="9" t="s">
        <v>92</v>
      </c>
      <c r="B26" s="13">
        <v>95</v>
      </c>
      <c r="C26" s="13">
        <v>225</v>
      </c>
      <c r="D26" s="15">
        <v>42.2222222222222</v>
      </c>
      <c r="E26" s="17">
        <v>7.61321104765528E-2</v>
      </c>
    </row>
    <row r="27" spans="1:5">
      <c r="A27" s="9" t="s">
        <v>93</v>
      </c>
      <c r="B27" s="13">
        <v>104</v>
      </c>
      <c r="C27" s="13">
        <v>395</v>
      </c>
      <c r="D27" s="15">
        <v>26.329113924050599</v>
      </c>
      <c r="E27" s="17">
        <v>8.2339809365983396E-2</v>
      </c>
    </row>
    <row r="28" spans="1:5">
      <c r="A28" s="9" t="s">
        <v>94</v>
      </c>
      <c r="B28" s="13">
        <v>27</v>
      </c>
      <c r="C28" s="13">
        <v>90</v>
      </c>
      <c r="D28" s="15">
        <v>30</v>
      </c>
      <c r="E28" s="17">
        <v>0.156537640591043</v>
      </c>
    </row>
    <row r="29" spans="1:5">
      <c r="A29" s="9" t="s">
        <v>95</v>
      </c>
      <c r="B29" s="13">
        <v>12</v>
      </c>
      <c r="C29" s="13">
        <v>40</v>
      </c>
      <c r="D29" s="15">
        <v>30</v>
      </c>
      <c r="E29" s="17">
        <v>0.23242740802237599</v>
      </c>
    </row>
    <row r="30" spans="1:5">
      <c r="A30" s="9" t="s">
        <v>96</v>
      </c>
      <c r="B30" s="13">
        <v>15</v>
      </c>
      <c r="C30" s="13">
        <v>100</v>
      </c>
      <c r="D30" s="15">
        <v>15</v>
      </c>
      <c r="E30" s="17">
        <v>0.23191032749750501</v>
      </c>
    </row>
    <row r="31" spans="1:5">
      <c r="A31" s="9" t="s">
        <v>97</v>
      </c>
      <c r="B31" s="13">
        <v>50</v>
      </c>
      <c r="C31" s="13">
        <v>165</v>
      </c>
      <c r="D31" s="15">
        <v>30.303030303030301</v>
      </c>
      <c r="E31" s="17">
        <v>0.115199747474471</v>
      </c>
    </row>
    <row r="32" spans="1:5">
      <c r="A32" s="9" t="s">
        <v>98</v>
      </c>
      <c r="B32" s="13">
        <v>100</v>
      </c>
      <c r="C32" s="13">
        <v>175</v>
      </c>
      <c r="D32" s="15">
        <v>57.142857142857103</v>
      </c>
      <c r="E32" s="17">
        <v>6.3726917389749796E-2</v>
      </c>
    </row>
    <row r="33" spans="1:5">
      <c r="A33" s="9" t="s">
        <v>99</v>
      </c>
      <c r="B33" s="13">
        <v>15</v>
      </c>
      <c r="C33" s="13">
        <v>45</v>
      </c>
      <c r="D33" s="15">
        <v>33.3333333333333</v>
      </c>
      <c r="E33" s="17">
        <v>0.20312958826726801</v>
      </c>
    </row>
    <row r="34" spans="1:5">
      <c r="A34" s="9" t="s">
        <v>100</v>
      </c>
      <c r="B34" s="13">
        <v>4</v>
      </c>
      <c r="C34" s="13">
        <v>15</v>
      </c>
      <c r="D34" s="15">
        <v>26.6666666666667</v>
      </c>
      <c r="E34" s="17">
        <v>0.40008332465458601</v>
      </c>
    </row>
    <row r="35" spans="1:5">
      <c r="A35" s="9" t="s">
        <v>101</v>
      </c>
      <c r="B35" s="13">
        <v>20</v>
      </c>
      <c r="C35" s="13">
        <v>80</v>
      </c>
      <c r="D35" s="15">
        <v>25</v>
      </c>
      <c r="E35" s="17">
        <v>0.188188070822781</v>
      </c>
    </row>
    <row r="36" spans="1:5">
      <c r="A36" s="9" t="s">
        <v>102</v>
      </c>
      <c r="B36" s="13">
        <v>19</v>
      </c>
      <c r="C36" s="13">
        <v>15</v>
      </c>
      <c r="D36" s="20" t="s">
        <v>76</v>
      </c>
      <c r="E36" s="21" t="s">
        <v>76</v>
      </c>
    </row>
    <row r="37" spans="1:5">
      <c r="A37" s="9" t="s">
        <v>103</v>
      </c>
      <c r="B37" s="13">
        <v>42</v>
      </c>
      <c r="C37" s="13">
        <v>20</v>
      </c>
      <c r="D37" s="20" t="s">
        <v>76</v>
      </c>
      <c r="E37" s="21" t="s">
        <v>76</v>
      </c>
    </row>
    <row r="38" spans="1:5">
      <c r="A38" s="9" t="s">
        <v>104</v>
      </c>
      <c r="B38" s="13">
        <v>38</v>
      </c>
      <c r="C38" s="13">
        <v>30</v>
      </c>
      <c r="D38" s="20" t="s">
        <v>76</v>
      </c>
      <c r="E38" s="21" t="s">
        <v>76</v>
      </c>
    </row>
    <row r="39" spans="1:5">
      <c r="A39" s="9" t="s">
        <v>105</v>
      </c>
      <c r="B39" s="13">
        <v>5</v>
      </c>
      <c r="C39" s="13">
        <v>5</v>
      </c>
      <c r="D39" s="15">
        <v>100</v>
      </c>
      <c r="E39" s="17">
        <v>0</v>
      </c>
    </row>
    <row r="40" spans="1:5">
      <c r="A40" s="9" t="s">
        <v>106</v>
      </c>
      <c r="B40" s="13">
        <v>15</v>
      </c>
      <c r="C40" s="13">
        <v>15</v>
      </c>
      <c r="D40" s="15">
        <v>100</v>
      </c>
      <c r="E40" s="17">
        <v>0</v>
      </c>
    </row>
    <row r="41" spans="1:5">
      <c r="A41" s="9" t="s">
        <v>107</v>
      </c>
      <c r="B41" s="13">
        <v>18</v>
      </c>
      <c r="C41" s="13">
        <v>10</v>
      </c>
      <c r="D41" s="20" t="s">
        <v>76</v>
      </c>
      <c r="E41" s="21" t="s">
        <v>76</v>
      </c>
    </row>
    <row r="42" spans="1:5">
      <c r="A42" s="9" t="s">
        <v>108</v>
      </c>
      <c r="B42" s="13">
        <v>20</v>
      </c>
      <c r="C42" s="13">
        <v>65</v>
      </c>
      <c r="D42" s="15">
        <v>30.769230769230798</v>
      </c>
      <c r="E42" s="17">
        <v>0.18029377735752899</v>
      </c>
    </row>
    <row r="43" spans="1:5">
      <c r="A43" s="9" t="s">
        <v>109</v>
      </c>
      <c r="B43" s="13">
        <v>5</v>
      </c>
      <c r="C43" s="19" t="s">
        <v>76</v>
      </c>
      <c r="D43" s="20" t="s">
        <v>76</v>
      </c>
      <c r="E43" s="21" t="s">
        <v>76</v>
      </c>
    </row>
    <row r="44" spans="1:5">
      <c r="A44" s="9" t="s">
        <v>110</v>
      </c>
      <c r="B44" s="13">
        <v>15</v>
      </c>
      <c r="C44" s="13">
        <v>65</v>
      </c>
      <c r="D44" s="15">
        <v>23.076923076923102</v>
      </c>
      <c r="E44" s="17">
        <v>0.21969582702057999</v>
      </c>
    </row>
    <row r="45" spans="1:5">
      <c r="A45" s="9" t="s">
        <v>111</v>
      </c>
      <c r="B45" s="13">
        <v>219</v>
      </c>
      <c r="C45" s="13">
        <v>30</v>
      </c>
      <c r="D45" s="20" t="s">
        <v>76</v>
      </c>
      <c r="E45" s="21" t="s">
        <v>76</v>
      </c>
    </row>
    <row r="46" spans="1:5" ht="21.95" customHeight="1">
      <c r="A46" s="22" t="s">
        <v>112</v>
      </c>
      <c r="B46" s="13"/>
      <c r="C46" s="13"/>
      <c r="D46" s="15"/>
      <c r="E46" s="17"/>
    </row>
    <row r="47" spans="1:5">
      <c r="A47" s="9" t="s">
        <v>113</v>
      </c>
      <c r="B47" s="13">
        <v>197</v>
      </c>
      <c r="C47" s="19" t="s">
        <v>76</v>
      </c>
      <c r="D47" s="20" t="s">
        <v>76</v>
      </c>
      <c r="E47" s="21" t="s">
        <v>76</v>
      </c>
    </row>
    <row r="48" spans="1:5">
      <c r="A48" s="9" t="s">
        <v>114</v>
      </c>
      <c r="B48" s="13">
        <v>4225</v>
      </c>
      <c r="C48" s="19" t="s">
        <v>76</v>
      </c>
      <c r="D48" s="20" t="s">
        <v>76</v>
      </c>
      <c r="E48" s="21" t="s">
        <v>76</v>
      </c>
    </row>
    <row r="49" spans="1:5">
      <c r="A49" s="9" t="s">
        <v>111</v>
      </c>
      <c r="B49" s="13">
        <v>162</v>
      </c>
      <c r="C49" s="19" t="s">
        <v>76</v>
      </c>
      <c r="D49" s="20" t="s">
        <v>76</v>
      </c>
      <c r="E49" s="21" t="s">
        <v>76</v>
      </c>
    </row>
    <row r="50" spans="1:5" ht="21.95" customHeight="1">
      <c r="A50" s="22" t="s">
        <v>115</v>
      </c>
      <c r="B50" s="13"/>
      <c r="C50" s="13"/>
      <c r="D50" s="15"/>
      <c r="E50" s="17"/>
    </row>
    <row r="51" spans="1:5">
      <c r="A51" s="9" t="s">
        <v>116</v>
      </c>
      <c r="B51" s="13">
        <v>400</v>
      </c>
      <c r="C51" s="19" t="s">
        <v>76</v>
      </c>
      <c r="D51" s="20" t="s">
        <v>76</v>
      </c>
      <c r="E51" s="21" t="s">
        <v>76</v>
      </c>
    </row>
    <row r="52" spans="1:5">
      <c r="A52" s="9" t="s">
        <v>117</v>
      </c>
      <c r="B52" s="13">
        <v>3937</v>
      </c>
      <c r="C52" s="19" t="s">
        <v>76</v>
      </c>
      <c r="D52" s="20" t="s">
        <v>76</v>
      </c>
      <c r="E52" s="21" t="s">
        <v>76</v>
      </c>
    </row>
    <row r="53" spans="1:5">
      <c r="A53" s="9" t="s">
        <v>111</v>
      </c>
      <c r="B53" s="13">
        <v>247</v>
      </c>
      <c r="C53" s="19" t="s">
        <v>76</v>
      </c>
      <c r="D53" s="20" t="s">
        <v>76</v>
      </c>
      <c r="E53" s="21" t="s">
        <v>76</v>
      </c>
    </row>
    <row r="54" spans="1:5" ht="21.95" customHeight="1">
      <c r="A54" s="22" t="s">
        <v>118</v>
      </c>
      <c r="B54" s="13"/>
      <c r="C54" s="13"/>
      <c r="D54" s="15"/>
      <c r="E54" s="17"/>
    </row>
    <row r="55" spans="1:5">
      <c r="A55" s="9" t="s">
        <v>119</v>
      </c>
      <c r="B55" s="13">
        <v>484</v>
      </c>
      <c r="C55" s="13">
        <v>335</v>
      </c>
      <c r="D55" s="20" t="s">
        <v>76</v>
      </c>
      <c r="E55" s="21" t="s">
        <v>76</v>
      </c>
    </row>
    <row r="56" spans="1:5">
      <c r="A56" s="9" t="s">
        <v>120</v>
      </c>
      <c r="B56" s="13">
        <v>1194</v>
      </c>
      <c r="C56" s="13">
        <v>4938</v>
      </c>
      <c r="D56" s="15">
        <v>24.179829890644001</v>
      </c>
      <c r="E56" s="17">
        <v>2.4692114550314202E-2</v>
      </c>
    </row>
    <row r="57" spans="1:5">
      <c r="A57" s="9" t="s">
        <v>121</v>
      </c>
      <c r="B57" s="13">
        <v>2145</v>
      </c>
      <c r="C57" s="13">
        <v>6134</v>
      </c>
      <c r="D57" s="15">
        <v>34.969025105966701</v>
      </c>
      <c r="E57" s="17">
        <v>1.7061535590637899E-2</v>
      </c>
    </row>
    <row r="58" spans="1:5">
      <c r="A58" s="9" t="s">
        <v>122</v>
      </c>
      <c r="B58" s="13">
        <v>761</v>
      </c>
      <c r="C58" s="13">
        <v>3018</v>
      </c>
      <c r="D58" s="15">
        <v>25.2153744201458</v>
      </c>
      <c r="E58" s="17">
        <v>3.07145160817065E-2</v>
      </c>
    </row>
    <row r="59" spans="1:5" ht="21.95" customHeight="1">
      <c r="A59" s="22" t="s">
        <v>123</v>
      </c>
      <c r="B59" s="13"/>
      <c r="C59" s="13"/>
      <c r="D59" s="15"/>
      <c r="E59" s="17"/>
    </row>
    <row r="60" spans="1:5">
      <c r="A60" s="9" t="s">
        <v>124</v>
      </c>
      <c r="B60" s="13">
        <v>1586</v>
      </c>
      <c r="C60" s="19" t="s">
        <v>76</v>
      </c>
      <c r="D60" s="20" t="s">
        <v>76</v>
      </c>
      <c r="E60" s="21" t="s">
        <v>76</v>
      </c>
    </row>
    <row r="61" spans="1:5">
      <c r="A61" s="9" t="s">
        <v>125</v>
      </c>
      <c r="B61" s="13">
        <v>2998</v>
      </c>
      <c r="C61" s="19" t="s">
        <v>76</v>
      </c>
      <c r="D61" s="20" t="s">
        <v>76</v>
      </c>
      <c r="E61" s="21" t="s">
        <v>76</v>
      </c>
    </row>
    <row r="62" spans="1:5" ht="21.95" customHeight="1">
      <c r="A62" s="22" t="s">
        <v>126</v>
      </c>
      <c r="B62" s="13"/>
      <c r="C62" s="13"/>
      <c r="D62" s="15"/>
      <c r="E62" s="17"/>
    </row>
    <row r="63" spans="1:5">
      <c r="A63" s="9" t="s">
        <v>127</v>
      </c>
      <c r="B63" s="13">
        <v>987</v>
      </c>
      <c r="C63" s="13">
        <v>3229</v>
      </c>
      <c r="D63" s="15">
        <v>30.566738928460801</v>
      </c>
      <c r="E63" s="17">
        <v>2.5986895805057E-2</v>
      </c>
    </row>
    <row r="64" spans="1:5">
      <c r="A64" s="9" t="s">
        <v>128</v>
      </c>
      <c r="B64" s="13">
        <v>1266</v>
      </c>
      <c r="C64" s="13">
        <v>4197</v>
      </c>
      <c r="D64" s="15">
        <v>30.164403145103599</v>
      </c>
      <c r="E64" s="17">
        <v>2.3013016477453099E-2</v>
      </c>
    </row>
    <row r="65" spans="1:5">
      <c r="A65" s="9" t="s">
        <v>129</v>
      </c>
      <c r="B65" s="13">
        <v>996</v>
      </c>
      <c r="C65" s="13">
        <v>3010</v>
      </c>
      <c r="D65" s="15">
        <v>33.089700996677699</v>
      </c>
      <c r="E65" s="17">
        <v>2.5394229846531301E-2</v>
      </c>
    </row>
    <row r="66" spans="1:5">
      <c r="A66" s="11" t="s">
        <v>130</v>
      </c>
      <c r="B66" s="14">
        <v>1218</v>
      </c>
      <c r="C66" s="14">
        <v>3989</v>
      </c>
      <c r="D66" s="16">
        <v>30.533968413136101</v>
      </c>
      <c r="E66" s="18">
        <v>2.33997004539316E-2</v>
      </c>
    </row>
    <row r="67" spans="1:5">
      <c r="A67" t="s">
        <v>131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zoomScale="70" workbookViewId="0"/>
  </sheetViews>
  <sheetFormatPr defaultColWidth="10.88671875" defaultRowHeight="15"/>
  <cols>
    <col min="1" max="1" width="51.6640625" customWidth="1"/>
    <col min="2" max="7" width="23.21875" customWidth="1"/>
  </cols>
  <sheetData>
    <row r="1" spans="1:7" ht="39.950000000000003" customHeight="1">
      <c r="A1" s="10" t="s">
        <v>132</v>
      </c>
      <c r="B1" s="12"/>
      <c r="C1" s="12"/>
      <c r="D1" s="12"/>
      <c r="E1" s="12"/>
      <c r="F1" s="12"/>
      <c r="G1" s="12"/>
    </row>
    <row r="2" spans="1:7" ht="60">
      <c r="A2" s="7" t="s">
        <v>52</v>
      </c>
      <c r="B2" s="6" t="s">
        <v>133</v>
      </c>
      <c r="C2" s="6" t="s">
        <v>134</v>
      </c>
      <c r="D2" s="6" t="s">
        <v>135</v>
      </c>
      <c r="E2" s="6" t="s">
        <v>136</v>
      </c>
      <c r="F2" s="6" t="s">
        <v>137</v>
      </c>
      <c r="G2" s="8" t="s">
        <v>138</v>
      </c>
    </row>
    <row r="3" spans="1:7" ht="21.95" customHeight="1">
      <c r="A3" s="22" t="s">
        <v>68</v>
      </c>
      <c r="B3" s="15">
        <v>39.470113608276201</v>
      </c>
      <c r="C3" s="15">
        <v>57.3251753061665</v>
      </c>
      <c r="D3" s="15">
        <v>69.304044090253598</v>
      </c>
      <c r="E3" s="15">
        <v>51.412597068578997</v>
      </c>
      <c r="F3" s="15">
        <v>15.3555012742789</v>
      </c>
      <c r="G3" s="24">
        <v>55.725851211528997</v>
      </c>
    </row>
    <row r="4" spans="1:7">
      <c r="A4" s="22" t="s">
        <v>69</v>
      </c>
      <c r="B4" s="15">
        <v>42.0011119167266</v>
      </c>
      <c r="C4" s="15">
        <v>59.5234638904805</v>
      </c>
      <c r="D4" s="15">
        <v>69.478300526662295</v>
      </c>
      <c r="E4" s="15">
        <v>52.564848192151501</v>
      </c>
      <c r="F4" s="15">
        <v>15.2308857961863</v>
      </c>
      <c r="G4" s="24">
        <v>57.930304624100501</v>
      </c>
    </row>
    <row r="5" spans="1:7">
      <c r="A5" s="22" t="s">
        <v>70</v>
      </c>
      <c r="B5" s="15">
        <v>46.027668371634199</v>
      </c>
      <c r="C5" s="15">
        <v>61.067191149386197</v>
      </c>
      <c r="D5" s="15">
        <v>70.835656989529198</v>
      </c>
      <c r="E5" s="15">
        <v>53.955873899081602</v>
      </c>
      <c r="F5" s="15">
        <v>17.065370694302299</v>
      </c>
      <c r="G5" s="24">
        <v>62.337466501034299</v>
      </c>
    </row>
    <row r="6" spans="1:7">
      <c r="A6" s="23" t="s">
        <v>71</v>
      </c>
      <c r="B6" s="15"/>
      <c r="C6" s="15"/>
      <c r="D6" s="15"/>
      <c r="E6" s="15"/>
      <c r="F6" s="15"/>
      <c r="G6" s="24"/>
    </row>
    <row r="7" spans="1:7" ht="21.95" customHeight="1">
      <c r="A7" s="22" t="s">
        <v>72</v>
      </c>
      <c r="B7" s="15"/>
      <c r="C7" s="15"/>
      <c r="D7" s="15"/>
      <c r="E7" s="15"/>
      <c r="F7" s="15"/>
      <c r="G7" s="24"/>
    </row>
    <row r="8" spans="1:7">
      <c r="A8" s="9" t="s">
        <v>73</v>
      </c>
      <c r="B8" s="15">
        <v>50.991711251889399</v>
      </c>
      <c r="C8" s="15">
        <v>68.869409972358099</v>
      </c>
      <c r="D8" s="15">
        <v>79.434076825409306</v>
      </c>
      <c r="E8" s="15">
        <v>58.068575387404898</v>
      </c>
      <c r="F8" s="15">
        <v>19.036009606242601</v>
      </c>
      <c r="G8" s="24">
        <v>65.687826576806998</v>
      </c>
    </row>
    <row r="9" spans="1:7">
      <c r="A9" s="9" t="s">
        <v>74</v>
      </c>
      <c r="B9" s="15">
        <v>41.662813486469702</v>
      </c>
      <c r="C9" s="15">
        <v>54.370348902003002</v>
      </c>
      <c r="D9" s="15">
        <v>63.079963475699202</v>
      </c>
      <c r="E9" s="15">
        <v>51.379854776917803</v>
      </c>
      <c r="F9" s="15">
        <v>15.3623300818914</v>
      </c>
      <c r="G9" s="24">
        <v>60.237575300581298</v>
      </c>
    </row>
    <row r="10" spans="1:7">
      <c r="A10" s="9" t="s">
        <v>75</v>
      </c>
      <c r="B10" s="20" t="s">
        <v>76</v>
      </c>
      <c r="C10" s="20" t="s">
        <v>76</v>
      </c>
      <c r="D10" s="20" t="s">
        <v>76</v>
      </c>
      <c r="E10" s="20" t="s">
        <v>76</v>
      </c>
      <c r="F10" s="20" t="s">
        <v>76</v>
      </c>
      <c r="G10" s="26" t="s">
        <v>76</v>
      </c>
    </row>
    <row r="11" spans="1:7">
      <c r="A11" s="9" t="s">
        <v>77</v>
      </c>
      <c r="B11" s="20" t="s">
        <v>76</v>
      </c>
      <c r="C11" s="20" t="s">
        <v>76</v>
      </c>
      <c r="D11" s="15">
        <v>43.121218969085497</v>
      </c>
      <c r="E11" s="20" t="s">
        <v>76</v>
      </c>
      <c r="F11" s="20" t="s">
        <v>76</v>
      </c>
      <c r="G11" s="24">
        <v>33.590916375620601</v>
      </c>
    </row>
    <row r="12" spans="1:7" ht="21.95" customHeight="1">
      <c r="A12" s="22" t="s">
        <v>78</v>
      </c>
      <c r="B12" s="15"/>
      <c r="C12" s="15"/>
      <c r="D12" s="15"/>
      <c r="E12" s="15"/>
      <c r="F12" s="15"/>
      <c r="G12" s="24"/>
    </row>
    <row r="13" spans="1:7">
      <c r="A13" s="9" t="s">
        <v>79</v>
      </c>
      <c r="B13" s="15">
        <v>39.433134430404102</v>
      </c>
      <c r="C13" s="15">
        <v>80.9116062386762</v>
      </c>
      <c r="D13" s="15">
        <v>79.910403690820999</v>
      </c>
      <c r="E13" s="15">
        <v>64.942685806621498</v>
      </c>
      <c r="F13" s="15">
        <v>28.678549596431399</v>
      </c>
      <c r="G13" s="24">
        <v>61.288302198762302</v>
      </c>
    </row>
    <row r="14" spans="1:7">
      <c r="A14" s="9" t="s">
        <v>80</v>
      </c>
      <c r="B14" s="15">
        <v>48.048516433458403</v>
      </c>
      <c r="C14" s="15">
        <v>66.975824138454797</v>
      </c>
      <c r="D14" s="15">
        <v>75.833875136028695</v>
      </c>
      <c r="E14" s="15">
        <v>64.684824315403603</v>
      </c>
      <c r="F14" s="15">
        <v>19.0645275039887</v>
      </c>
      <c r="G14" s="24">
        <v>64.116302958869397</v>
      </c>
    </row>
    <row r="15" spans="1:7">
      <c r="A15" s="9" t="s">
        <v>81</v>
      </c>
      <c r="B15" s="15">
        <v>45.973280777801399</v>
      </c>
      <c r="C15" s="15">
        <v>52.909700167826003</v>
      </c>
      <c r="D15" s="15">
        <v>64.954120070520702</v>
      </c>
      <c r="E15" s="15">
        <v>49.710354725480201</v>
      </c>
      <c r="F15" s="15">
        <v>12.9893956556154</v>
      </c>
      <c r="G15" s="24">
        <v>60.619287907660002</v>
      </c>
    </row>
    <row r="16" spans="1:7">
      <c r="A16" s="9" t="s">
        <v>82</v>
      </c>
      <c r="B16" s="15">
        <v>50.2860878340543</v>
      </c>
      <c r="C16" s="15">
        <v>48.800895258907701</v>
      </c>
      <c r="D16" s="15">
        <v>66.200238082253605</v>
      </c>
      <c r="E16" s="15">
        <v>39.017272311983099</v>
      </c>
      <c r="F16" s="15">
        <v>10.310349867240999</v>
      </c>
      <c r="G16" s="24">
        <v>64.169592015462499</v>
      </c>
    </row>
    <row r="17" spans="1:7" ht="21.95" customHeight="1">
      <c r="A17" s="22" t="s">
        <v>83</v>
      </c>
      <c r="B17" s="15"/>
      <c r="C17" s="15"/>
      <c r="D17" s="15"/>
      <c r="E17" s="15"/>
      <c r="F17" s="15"/>
      <c r="G17" s="24"/>
    </row>
    <row r="18" spans="1:7">
      <c r="A18" s="9" t="s">
        <v>84</v>
      </c>
      <c r="B18" s="15">
        <v>43.926363986118702</v>
      </c>
      <c r="C18" s="15">
        <v>73.643597926042602</v>
      </c>
      <c r="D18" s="15">
        <v>77.784348388732994</v>
      </c>
      <c r="E18" s="15">
        <v>64.808201825155507</v>
      </c>
      <c r="F18" s="15">
        <v>23.664493551122899</v>
      </c>
      <c r="G18" s="24">
        <v>62.7632056440642</v>
      </c>
    </row>
    <row r="19" spans="1:7">
      <c r="A19" s="9" t="s">
        <v>85</v>
      </c>
      <c r="B19" s="15">
        <v>47.658975307866001</v>
      </c>
      <c r="C19" s="15">
        <v>51.303741480194901</v>
      </c>
      <c r="D19" s="15">
        <v>65.441175088005807</v>
      </c>
      <c r="E19" s="15">
        <v>45.530879432740797</v>
      </c>
      <c r="F19" s="15">
        <v>11.9422695559891</v>
      </c>
      <c r="G19" s="24">
        <v>62.006952168204997</v>
      </c>
    </row>
    <row r="20" spans="1:7" ht="21.95" customHeight="1">
      <c r="A20" s="22" t="s">
        <v>86</v>
      </c>
      <c r="B20" s="15"/>
      <c r="C20" s="15"/>
      <c r="D20" s="15"/>
      <c r="E20" s="15"/>
      <c r="F20" s="15"/>
      <c r="G20" s="24"/>
    </row>
    <row r="21" spans="1:7">
      <c r="A21" s="9" t="s">
        <v>87</v>
      </c>
      <c r="B21" s="15">
        <v>46.698118944027598</v>
      </c>
      <c r="C21" s="15">
        <v>61.513425114301199</v>
      </c>
      <c r="D21" s="15">
        <v>70.909322501779201</v>
      </c>
      <c r="E21" s="15">
        <v>54.283284669016297</v>
      </c>
      <c r="F21" s="15">
        <v>17.330766885722799</v>
      </c>
      <c r="G21" s="24">
        <v>63.340587254514901</v>
      </c>
    </row>
    <row r="22" spans="1:7">
      <c r="A22" s="9" t="s">
        <v>88</v>
      </c>
      <c r="B22" s="15">
        <v>47.034553384151998</v>
      </c>
      <c r="C22" s="15">
        <v>61.712704679935896</v>
      </c>
      <c r="D22" s="15">
        <v>70.7213251103109</v>
      </c>
      <c r="E22" s="15">
        <v>54.473090331296099</v>
      </c>
      <c r="F22" s="15">
        <v>17.302837485331601</v>
      </c>
      <c r="G22" s="24">
        <v>63.556844433043501</v>
      </c>
    </row>
    <row r="23" spans="1:7">
      <c r="A23" s="9" t="s">
        <v>89</v>
      </c>
      <c r="B23" s="20" t="s">
        <v>76</v>
      </c>
      <c r="C23" s="20" t="s">
        <v>76</v>
      </c>
      <c r="D23" s="20" t="s">
        <v>76</v>
      </c>
      <c r="E23" s="20" t="s">
        <v>76</v>
      </c>
      <c r="F23" s="20" t="s">
        <v>76</v>
      </c>
      <c r="G23" s="26" t="s">
        <v>76</v>
      </c>
    </row>
    <row r="24" spans="1:7">
      <c r="A24" s="9" t="s">
        <v>90</v>
      </c>
      <c r="B24" s="20" t="s">
        <v>76</v>
      </c>
      <c r="C24" s="20" t="s">
        <v>76</v>
      </c>
      <c r="D24" s="20" t="s">
        <v>76</v>
      </c>
      <c r="E24" s="20" t="s">
        <v>76</v>
      </c>
      <c r="F24" s="20" t="s">
        <v>76</v>
      </c>
      <c r="G24" s="26" t="s">
        <v>76</v>
      </c>
    </row>
    <row r="25" spans="1:7">
      <c r="A25" s="9" t="s">
        <v>91</v>
      </c>
      <c r="B25" s="20" t="s">
        <v>76</v>
      </c>
      <c r="C25" s="20" t="s">
        <v>76</v>
      </c>
      <c r="D25" s="20" t="s">
        <v>76</v>
      </c>
      <c r="E25" s="20" t="s">
        <v>76</v>
      </c>
      <c r="F25" s="20" t="s">
        <v>76</v>
      </c>
      <c r="G25" s="26" t="s">
        <v>76</v>
      </c>
    </row>
    <row r="26" spans="1:7">
      <c r="A26" s="9" t="s">
        <v>92</v>
      </c>
      <c r="B26" s="15">
        <v>34.8437558897934</v>
      </c>
      <c r="C26" s="15">
        <v>57.097648805918197</v>
      </c>
      <c r="D26" s="15">
        <v>78.121015725481897</v>
      </c>
      <c r="E26" s="15">
        <v>44.243912563043601</v>
      </c>
      <c r="F26" s="20" t="s">
        <v>76</v>
      </c>
      <c r="G26" s="24">
        <v>54.034848228313102</v>
      </c>
    </row>
    <row r="27" spans="1:7">
      <c r="A27" s="9" t="s">
        <v>93</v>
      </c>
      <c r="B27" s="15">
        <v>54.124443150531803</v>
      </c>
      <c r="C27" s="15">
        <v>51.250568464934602</v>
      </c>
      <c r="D27" s="15">
        <v>69.982903165212704</v>
      </c>
      <c r="E27" s="15">
        <v>50.062801706657801</v>
      </c>
      <c r="F27" s="20" t="s">
        <v>76</v>
      </c>
      <c r="G27" s="24">
        <v>69.332291053659205</v>
      </c>
    </row>
    <row r="28" spans="1:7">
      <c r="A28" s="9" t="s">
        <v>94</v>
      </c>
      <c r="B28" s="20" t="s">
        <v>76</v>
      </c>
      <c r="C28" s="20" t="s">
        <v>76</v>
      </c>
      <c r="D28" s="20" t="s">
        <v>76</v>
      </c>
      <c r="E28" s="20" t="s">
        <v>76</v>
      </c>
      <c r="F28" s="20" t="s">
        <v>76</v>
      </c>
      <c r="G28" s="26" t="s">
        <v>76</v>
      </c>
    </row>
    <row r="29" spans="1:7">
      <c r="A29" s="9" t="s">
        <v>95</v>
      </c>
      <c r="B29" s="20" t="s">
        <v>76</v>
      </c>
      <c r="C29" s="20" t="s">
        <v>76</v>
      </c>
      <c r="D29" s="20" t="s">
        <v>76</v>
      </c>
      <c r="E29" s="20" t="s">
        <v>76</v>
      </c>
      <c r="F29" s="20" t="s">
        <v>76</v>
      </c>
      <c r="G29" s="26" t="s">
        <v>76</v>
      </c>
    </row>
    <row r="30" spans="1:7">
      <c r="A30" s="9" t="s">
        <v>96</v>
      </c>
      <c r="B30" s="20" t="s">
        <v>76</v>
      </c>
      <c r="C30" s="20" t="s">
        <v>76</v>
      </c>
      <c r="D30" s="20" t="s">
        <v>76</v>
      </c>
      <c r="E30" s="20" t="s">
        <v>76</v>
      </c>
      <c r="F30" s="20" t="s">
        <v>76</v>
      </c>
      <c r="G30" s="26" t="s">
        <v>76</v>
      </c>
    </row>
    <row r="31" spans="1:7">
      <c r="A31" s="9" t="s">
        <v>97</v>
      </c>
      <c r="B31" s="20" t="s">
        <v>76</v>
      </c>
      <c r="C31" s="20" t="s">
        <v>76</v>
      </c>
      <c r="D31" s="15">
        <v>65.934265097130094</v>
      </c>
      <c r="E31" s="20" t="s">
        <v>76</v>
      </c>
      <c r="F31" s="20" t="s">
        <v>76</v>
      </c>
      <c r="G31" s="24">
        <v>66.325492768889006</v>
      </c>
    </row>
    <row r="32" spans="1:7">
      <c r="A32" s="9" t="s">
        <v>98</v>
      </c>
      <c r="B32" s="20" t="s">
        <v>76</v>
      </c>
      <c r="C32" s="15">
        <v>48.300355083819099</v>
      </c>
      <c r="D32" s="15">
        <v>63.5033410555994</v>
      </c>
      <c r="E32" s="15">
        <v>46.058413657914002</v>
      </c>
      <c r="F32" s="20" t="s">
        <v>76</v>
      </c>
      <c r="G32" s="24">
        <v>48.250353099864299</v>
      </c>
    </row>
    <row r="33" spans="1:7">
      <c r="A33" s="9" t="s">
        <v>99</v>
      </c>
      <c r="B33" s="20" t="s">
        <v>76</v>
      </c>
      <c r="C33" s="20" t="s">
        <v>76</v>
      </c>
      <c r="D33" s="20" t="s">
        <v>76</v>
      </c>
      <c r="E33" s="20" t="s">
        <v>76</v>
      </c>
      <c r="F33" s="20" t="s">
        <v>76</v>
      </c>
      <c r="G33" s="26" t="s">
        <v>76</v>
      </c>
    </row>
    <row r="34" spans="1:7">
      <c r="A34" s="9" t="s">
        <v>100</v>
      </c>
      <c r="B34" s="20" t="s">
        <v>76</v>
      </c>
      <c r="C34" s="20" t="s">
        <v>76</v>
      </c>
      <c r="D34" s="20" t="s">
        <v>76</v>
      </c>
      <c r="E34" s="20" t="s">
        <v>76</v>
      </c>
      <c r="F34" s="20" t="s">
        <v>76</v>
      </c>
      <c r="G34" s="26" t="s">
        <v>76</v>
      </c>
    </row>
    <row r="35" spans="1:7">
      <c r="A35" s="9" t="s">
        <v>101</v>
      </c>
      <c r="B35" s="20" t="s">
        <v>76</v>
      </c>
      <c r="C35" s="20" t="s">
        <v>76</v>
      </c>
      <c r="D35" s="20" t="s">
        <v>76</v>
      </c>
      <c r="E35" s="20" t="s">
        <v>76</v>
      </c>
      <c r="F35" s="20" t="s">
        <v>76</v>
      </c>
      <c r="G35" s="26" t="s">
        <v>76</v>
      </c>
    </row>
    <row r="36" spans="1:7">
      <c r="A36" s="9" t="s">
        <v>102</v>
      </c>
      <c r="B36" s="20" t="s">
        <v>76</v>
      </c>
      <c r="C36" s="20" t="s">
        <v>76</v>
      </c>
      <c r="D36" s="20" t="s">
        <v>76</v>
      </c>
      <c r="E36" s="20" t="s">
        <v>76</v>
      </c>
      <c r="F36" s="20" t="s">
        <v>76</v>
      </c>
      <c r="G36" s="26" t="s">
        <v>76</v>
      </c>
    </row>
    <row r="37" spans="1:7">
      <c r="A37" s="9" t="s">
        <v>103</v>
      </c>
      <c r="B37" s="20" t="s">
        <v>76</v>
      </c>
      <c r="C37" s="20" t="s">
        <v>76</v>
      </c>
      <c r="D37" s="20" t="s">
        <v>76</v>
      </c>
      <c r="E37" s="20" t="s">
        <v>76</v>
      </c>
      <c r="F37" s="20" t="s">
        <v>76</v>
      </c>
      <c r="G37" s="26" t="s">
        <v>76</v>
      </c>
    </row>
    <row r="38" spans="1:7">
      <c r="A38" s="9" t="s">
        <v>104</v>
      </c>
      <c r="B38" s="20" t="s">
        <v>76</v>
      </c>
      <c r="C38" s="20" t="s">
        <v>76</v>
      </c>
      <c r="D38" s="15">
        <v>79.9483288725785</v>
      </c>
      <c r="E38" s="20" t="s">
        <v>76</v>
      </c>
      <c r="F38" s="20" t="s">
        <v>76</v>
      </c>
      <c r="G38" s="26" t="s">
        <v>76</v>
      </c>
    </row>
    <row r="39" spans="1:7">
      <c r="A39" s="9" t="s">
        <v>105</v>
      </c>
      <c r="B39" s="20" t="s">
        <v>76</v>
      </c>
      <c r="C39" s="20" t="s">
        <v>76</v>
      </c>
      <c r="D39" s="20" t="s">
        <v>76</v>
      </c>
      <c r="E39" s="20" t="s">
        <v>76</v>
      </c>
      <c r="F39" s="20" t="s">
        <v>76</v>
      </c>
      <c r="G39" s="26" t="s">
        <v>76</v>
      </c>
    </row>
    <row r="40" spans="1:7">
      <c r="A40" s="9" t="s">
        <v>106</v>
      </c>
      <c r="B40" s="20" t="s">
        <v>76</v>
      </c>
      <c r="C40" s="20" t="s">
        <v>76</v>
      </c>
      <c r="D40" s="20" t="s">
        <v>76</v>
      </c>
      <c r="E40" s="20" t="s">
        <v>76</v>
      </c>
      <c r="F40" s="20" t="s">
        <v>76</v>
      </c>
      <c r="G40" s="26" t="s">
        <v>76</v>
      </c>
    </row>
    <row r="41" spans="1:7">
      <c r="A41" s="9" t="s">
        <v>107</v>
      </c>
      <c r="B41" s="20" t="s">
        <v>76</v>
      </c>
      <c r="C41" s="20" t="s">
        <v>76</v>
      </c>
      <c r="D41" s="20" t="s">
        <v>76</v>
      </c>
      <c r="E41" s="20" t="s">
        <v>76</v>
      </c>
      <c r="F41" s="20" t="s">
        <v>76</v>
      </c>
      <c r="G41" s="26" t="s">
        <v>76</v>
      </c>
    </row>
    <row r="42" spans="1:7">
      <c r="A42" s="9" t="s">
        <v>108</v>
      </c>
      <c r="B42" s="20" t="s">
        <v>76</v>
      </c>
      <c r="C42" s="20" t="s">
        <v>76</v>
      </c>
      <c r="D42" s="20" t="s">
        <v>76</v>
      </c>
      <c r="E42" s="20" t="s">
        <v>76</v>
      </c>
      <c r="F42" s="20" t="s">
        <v>76</v>
      </c>
      <c r="G42" s="26" t="s">
        <v>76</v>
      </c>
    </row>
    <row r="43" spans="1:7">
      <c r="A43" s="9" t="s">
        <v>109</v>
      </c>
      <c r="B43" s="20" t="s">
        <v>76</v>
      </c>
      <c r="C43" s="20" t="s">
        <v>76</v>
      </c>
      <c r="D43" s="20" t="s">
        <v>76</v>
      </c>
      <c r="E43" s="20" t="s">
        <v>76</v>
      </c>
      <c r="F43" s="20" t="s">
        <v>76</v>
      </c>
      <c r="G43" s="26" t="s">
        <v>76</v>
      </c>
    </row>
    <row r="44" spans="1:7">
      <c r="A44" s="9" t="s">
        <v>110</v>
      </c>
      <c r="B44" s="20" t="s">
        <v>76</v>
      </c>
      <c r="C44" s="20" t="s">
        <v>76</v>
      </c>
      <c r="D44" s="20" t="s">
        <v>76</v>
      </c>
      <c r="E44" s="20" t="s">
        <v>76</v>
      </c>
      <c r="F44" s="20" t="s">
        <v>76</v>
      </c>
      <c r="G44" s="26" t="s">
        <v>76</v>
      </c>
    </row>
    <row r="45" spans="1:7">
      <c r="A45" s="9" t="s">
        <v>111</v>
      </c>
      <c r="B45" s="15">
        <v>36.360129740933402</v>
      </c>
      <c r="C45" s="15">
        <v>60.330698803458397</v>
      </c>
      <c r="D45" s="15">
        <v>70.835423744386503</v>
      </c>
      <c r="E45" s="15">
        <v>51.467550802646997</v>
      </c>
      <c r="F45" s="15">
        <v>20.140943739489401</v>
      </c>
      <c r="G45" s="24">
        <v>46.340720426959898</v>
      </c>
    </row>
    <row r="46" spans="1:7" ht="21.95" customHeight="1">
      <c r="A46" s="22" t="s">
        <v>112</v>
      </c>
      <c r="B46" s="15"/>
      <c r="C46" s="15"/>
      <c r="D46" s="15"/>
      <c r="E46" s="15"/>
      <c r="F46" s="15"/>
      <c r="G46" s="24"/>
    </row>
    <row r="47" spans="1:7">
      <c r="A47" s="9" t="s">
        <v>113</v>
      </c>
      <c r="B47" s="15">
        <v>41.904481689281702</v>
      </c>
      <c r="C47" s="15">
        <v>49.795231998431198</v>
      </c>
      <c r="D47" s="15">
        <v>66.165246551978697</v>
      </c>
      <c r="E47" s="15">
        <v>47.665121909285602</v>
      </c>
      <c r="F47" s="15">
        <v>16.386970595757401</v>
      </c>
      <c r="G47" s="24">
        <v>55.352822361396399</v>
      </c>
    </row>
    <row r="48" spans="1:7">
      <c r="A48" s="9" t="s">
        <v>114</v>
      </c>
      <c r="B48" s="15">
        <v>46.808860626220401</v>
      </c>
      <c r="C48" s="15">
        <v>62.247397436237399</v>
      </c>
      <c r="D48" s="15">
        <v>71.699024543231602</v>
      </c>
      <c r="E48" s="15">
        <v>54.777907108594498</v>
      </c>
      <c r="F48" s="15">
        <v>17.129977529693701</v>
      </c>
      <c r="G48" s="24">
        <v>63.282693257215101</v>
      </c>
    </row>
    <row r="49" spans="1:7">
      <c r="A49" s="9" t="s">
        <v>111</v>
      </c>
      <c r="B49" s="15">
        <v>30.395619035583501</v>
      </c>
      <c r="C49" s="15">
        <v>44.1441298143571</v>
      </c>
      <c r="D49" s="15">
        <v>53.709887938823897</v>
      </c>
      <c r="E49" s="15">
        <v>40.097555987179902</v>
      </c>
      <c r="F49" s="20" t="s">
        <v>76</v>
      </c>
      <c r="G49" s="24">
        <v>46.0719464146812</v>
      </c>
    </row>
    <row r="50" spans="1:7" ht="21.95" customHeight="1">
      <c r="A50" s="22" t="s">
        <v>115</v>
      </c>
      <c r="B50" s="15"/>
      <c r="C50" s="15"/>
      <c r="D50" s="15"/>
      <c r="E50" s="15"/>
      <c r="F50" s="15"/>
      <c r="G50" s="24"/>
    </row>
    <row r="51" spans="1:7">
      <c r="A51" s="9" t="s">
        <v>116</v>
      </c>
      <c r="B51" s="15">
        <v>38.401270757595</v>
      </c>
      <c r="C51" s="15">
        <v>55.609217213707502</v>
      </c>
      <c r="D51" s="15">
        <v>63.492082149406599</v>
      </c>
      <c r="E51" s="15">
        <v>43.527490414598098</v>
      </c>
      <c r="F51" s="15">
        <v>18.532586609474201</v>
      </c>
      <c r="G51" s="24">
        <v>52.399771168822497</v>
      </c>
    </row>
    <row r="52" spans="1:7">
      <c r="A52" s="9" t="s">
        <v>117</v>
      </c>
      <c r="B52" s="15">
        <v>47.737105347183103</v>
      </c>
      <c r="C52" s="15">
        <v>62.8370157762931</v>
      </c>
      <c r="D52" s="15">
        <v>72.667677556685106</v>
      </c>
      <c r="E52" s="15">
        <v>55.959495392196899</v>
      </c>
      <c r="F52" s="15">
        <v>17.379795808188199</v>
      </c>
      <c r="G52" s="24">
        <v>64.784555476685298</v>
      </c>
    </row>
    <row r="53" spans="1:7">
      <c r="A53" s="9" t="s">
        <v>111</v>
      </c>
      <c r="B53" s="15">
        <v>31.209470479493302</v>
      </c>
      <c r="C53" s="15">
        <v>41.615480635495999</v>
      </c>
      <c r="D53" s="15">
        <v>53.556003344469303</v>
      </c>
      <c r="E53" s="15">
        <v>39.098799353544699</v>
      </c>
      <c r="F53" s="20" t="s">
        <v>76</v>
      </c>
      <c r="G53" s="24">
        <v>39.473364366828299</v>
      </c>
    </row>
    <row r="54" spans="1:7" ht="21.95" customHeight="1">
      <c r="A54" s="22" t="s">
        <v>118</v>
      </c>
      <c r="B54" s="15"/>
      <c r="C54" s="15"/>
      <c r="D54" s="15"/>
      <c r="E54" s="15"/>
      <c r="F54" s="15"/>
      <c r="G54" s="24"/>
    </row>
    <row r="55" spans="1:7">
      <c r="A55" s="9" t="s">
        <v>139</v>
      </c>
      <c r="B55" s="15">
        <v>59.223258505528896</v>
      </c>
      <c r="C55" s="15">
        <v>65.829255912109105</v>
      </c>
      <c r="D55" s="15">
        <v>76.921183260339106</v>
      </c>
      <c r="E55" s="15">
        <v>60.773097169046103</v>
      </c>
      <c r="F55" s="15">
        <v>17.607418189922001</v>
      </c>
      <c r="G55" s="24">
        <v>72.050034662631205</v>
      </c>
    </row>
    <row r="56" spans="1:7">
      <c r="A56" s="9" t="s">
        <v>120</v>
      </c>
      <c r="B56" s="15">
        <v>45.009616573814597</v>
      </c>
      <c r="C56" s="15">
        <v>56.861056842524199</v>
      </c>
      <c r="D56" s="15">
        <v>70.452347955977899</v>
      </c>
      <c r="E56" s="15">
        <v>50.766430419101503</v>
      </c>
      <c r="F56" s="15">
        <v>13.768244640743401</v>
      </c>
      <c r="G56" s="24">
        <v>63.466015240625701</v>
      </c>
    </row>
    <row r="57" spans="1:7">
      <c r="A57" s="9" t="s">
        <v>121</v>
      </c>
      <c r="B57" s="15">
        <v>42.411703870367603</v>
      </c>
      <c r="C57" s="15">
        <v>57.289445774016002</v>
      </c>
      <c r="D57" s="15">
        <v>68.162783886990894</v>
      </c>
      <c r="E57" s="15">
        <v>50.756156156556798</v>
      </c>
      <c r="F57" s="15">
        <v>15.607314822808799</v>
      </c>
      <c r="G57" s="24">
        <v>59.968796733111603</v>
      </c>
    </row>
    <row r="58" spans="1:7">
      <c r="A58" s="9" t="s">
        <v>140</v>
      </c>
      <c r="B58" s="15">
        <v>48.685610582320898</v>
      </c>
      <c r="C58" s="15">
        <v>73.599926104453999</v>
      </c>
      <c r="D58" s="15">
        <v>74.336338945078694</v>
      </c>
      <c r="E58" s="15">
        <v>62.4413802419229</v>
      </c>
      <c r="F58" s="15">
        <v>25.107448413795801</v>
      </c>
      <c r="G58" s="24">
        <v>60.822919944580498</v>
      </c>
    </row>
    <row r="59" spans="1:7" ht="21.95" customHeight="1">
      <c r="A59" s="22" t="s">
        <v>123</v>
      </c>
      <c r="B59" s="15"/>
      <c r="C59" s="15"/>
      <c r="D59" s="15"/>
      <c r="E59" s="15"/>
      <c r="F59" s="15"/>
      <c r="G59" s="24"/>
    </row>
    <row r="60" spans="1:7" ht="18">
      <c r="A60" s="9" t="s">
        <v>141</v>
      </c>
      <c r="B60" s="15">
        <v>53.898491407065499</v>
      </c>
      <c r="C60" s="15">
        <v>63.900195860382503</v>
      </c>
      <c r="D60" s="15">
        <v>74.809094468420298</v>
      </c>
      <c r="E60" s="15">
        <v>56.897985229068397</v>
      </c>
      <c r="F60" s="15">
        <v>19.156143557535302</v>
      </c>
      <c r="G60" s="24">
        <v>67.548325832093994</v>
      </c>
    </row>
    <row r="61" spans="1:7">
      <c r="A61" s="11" t="s">
        <v>125</v>
      </c>
      <c r="B61" s="16">
        <v>41.489024025336697</v>
      </c>
      <c r="C61" s="16">
        <v>59.433562651233501</v>
      </c>
      <c r="D61" s="16">
        <v>68.544407463557903</v>
      </c>
      <c r="E61" s="16">
        <v>52.259329980623399</v>
      </c>
      <c r="F61" s="16">
        <v>15.8597439901586</v>
      </c>
      <c r="G61" s="25">
        <v>59.332668002097002</v>
      </c>
    </row>
    <row r="62" spans="1:7" ht="30" customHeight="1">
      <c r="A62" t="s">
        <v>142</v>
      </c>
    </row>
    <row r="63" spans="1:7">
      <c r="A63" t="s">
        <v>143</v>
      </c>
    </row>
    <row r="64" spans="1:7">
      <c r="A64" t="s">
        <v>144</v>
      </c>
    </row>
    <row r="65" spans="1:1">
      <c r="A65" t="s">
        <v>145</v>
      </c>
    </row>
    <row r="66" spans="1:1">
      <c r="A66" t="s">
        <v>146</v>
      </c>
    </row>
    <row r="67" spans="1:1">
      <c r="A67" t="s">
        <v>147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148</v>
      </c>
      <c r="B1" s="12"/>
      <c r="C1" s="12"/>
      <c r="D1" s="12"/>
      <c r="E1" s="12"/>
    </row>
    <row r="2" spans="1:5" ht="30">
      <c r="A2" s="7" t="s">
        <v>52</v>
      </c>
      <c r="B2" s="6" t="s">
        <v>149</v>
      </c>
      <c r="C2" s="6" t="s">
        <v>150</v>
      </c>
      <c r="D2" s="6" t="s">
        <v>151</v>
      </c>
      <c r="E2" s="8" t="s">
        <v>152</v>
      </c>
    </row>
    <row r="3" spans="1:5" ht="21.95" customHeight="1">
      <c r="A3" s="22" t="s">
        <v>68</v>
      </c>
      <c r="B3" s="15">
        <v>35.541075826307697</v>
      </c>
      <c r="C3" s="15">
        <v>11.8395129915867</v>
      </c>
      <c r="D3" s="15">
        <v>13.149297573829401</v>
      </c>
      <c r="E3" s="24">
        <v>39.470113608276201</v>
      </c>
    </row>
    <row r="4" spans="1:5">
      <c r="A4" s="22" t="s">
        <v>69</v>
      </c>
      <c r="B4" s="15">
        <v>33.854688614232302</v>
      </c>
      <c r="C4" s="15">
        <v>11.273237644932401</v>
      </c>
      <c r="D4" s="15">
        <v>12.870961824108701</v>
      </c>
      <c r="E4" s="24">
        <v>42.0011119167266</v>
      </c>
    </row>
    <row r="5" spans="1:5">
      <c r="A5" s="22" t="s">
        <v>70</v>
      </c>
      <c r="B5" s="15">
        <v>30.368015133766502</v>
      </c>
      <c r="C5" s="15">
        <v>10.275429705514799</v>
      </c>
      <c r="D5" s="15">
        <v>13.3288867890845</v>
      </c>
      <c r="E5" s="24">
        <v>46.027668371634199</v>
      </c>
    </row>
    <row r="6" spans="1:5">
      <c r="A6" s="23" t="s">
        <v>71</v>
      </c>
      <c r="B6" s="15"/>
      <c r="C6" s="15"/>
      <c r="D6" s="15"/>
      <c r="E6" s="24"/>
    </row>
    <row r="7" spans="1:5" ht="21.95" customHeight="1">
      <c r="A7" s="22" t="s">
        <v>72</v>
      </c>
      <c r="B7" s="15"/>
      <c r="C7" s="15"/>
      <c r="D7" s="15"/>
      <c r="E7" s="24"/>
    </row>
    <row r="8" spans="1:5">
      <c r="A8" s="9" t="s">
        <v>73</v>
      </c>
      <c r="B8" s="15">
        <v>28.420803223127699</v>
      </c>
      <c r="C8" s="15">
        <v>7.7455745626893604</v>
      </c>
      <c r="D8" s="15">
        <v>12.8419109622935</v>
      </c>
      <c r="E8" s="24">
        <v>50.991711251889399</v>
      </c>
    </row>
    <row r="9" spans="1:5">
      <c r="A9" s="9" t="s">
        <v>74</v>
      </c>
      <c r="B9" s="15">
        <v>31.1467558623422</v>
      </c>
      <c r="C9" s="15">
        <v>13.0135124254684</v>
      </c>
      <c r="D9" s="15">
        <v>14.1769182257197</v>
      </c>
      <c r="E9" s="24">
        <v>41.662813486469702</v>
      </c>
    </row>
    <row r="10" spans="1:5">
      <c r="A10" s="9" t="s">
        <v>75</v>
      </c>
      <c r="B10" s="20" t="s">
        <v>76</v>
      </c>
      <c r="C10" s="20" t="s">
        <v>76</v>
      </c>
      <c r="D10" s="20" t="s">
        <v>76</v>
      </c>
      <c r="E10" s="26" t="s">
        <v>76</v>
      </c>
    </row>
    <row r="11" spans="1:5">
      <c r="A11" s="9" t="s">
        <v>77</v>
      </c>
      <c r="B11" s="15">
        <v>54.435841030682099</v>
      </c>
      <c r="C11" s="20" t="s">
        <v>76</v>
      </c>
      <c r="D11" s="20" t="s">
        <v>76</v>
      </c>
      <c r="E11" s="26" t="s">
        <v>76</v>
      </c>
    </row>
    <row r="12" spans="1:5" ht="21.95" customHeight="1">
      <c r="A12" s="22" t="s">
        <v>78</v>
      </c>
      <c r="B12" s="15"/>
      <c r="C12" s="15"/>
      <c r="D12" s="15"/>
      <c r="E12" s="24"/>
    </row>
    <row r="13" spans="1:5">
      <c r="A13" s="9" t="s">
        <v>79</v>
      </c>
      <c r="B13" s="15">
        <v>30.945435875070899</v>
      </c>
      <c r="C13" s="15">
        <v>14.0129374629237</v>
      </c>
      <c r="D13" s="15">
        <v>15.6084922316013</v>
      </c>
      <c r="E13" s="24">
        <v>39.433134430404102</v>
      </c>
    </row>
    <row r="14" spans="1:5">
      <c r="A14" s="9" t="s">
        <v>80</v>
      </c>
      <c r="B14" s="15">
        <v>26.0067630756466</v>
      </c>
      <c r="C14" s="15">
        <v>11.648507961704301</v>
      </c>
      <c r="D14" s="15">
        <v>14.296212529190701</v>
      </c>
      <c r="E14" s="24">
        <v>48.048516433458403</v>
      </c>
    </row>
    <row r="15" spans="1:5">
      <c r="A15" s="9" t="s">
        <v>81</v>
      </c>
      <c r="B15" s="15">
        <v>32.1164020563075</v>
      </c>
      <c r="C15" s="15">
        <v>9.2966337379388904</v>
      </c>
      <c r="D15" s="15">
        <v>12.6136834279521</v>
      </c>
      <c r="E15" s="24">
        <v>45.973280777801399</v>
      </c>
    </row>
    <row r="16" spans="1:5">
      <c r="A16" s="9" t="s">
        <v>82</v>
      </c>
      <c r="B16" s="15">
        <v>31.612213786106601</v>
      </c>
      <c r="C16" s="15">
        <v>6.8266163686208197</v>
      </c>
      <c r="D16" s="15">
        <v>11.2750820112183</v>
      </c>
      <c r="E16" s="24">
        <v>50.2860878340543</v>
      </c>
    </row>
    <row r="17" spans="1:5" ht="21.95" customHeight="1">
      <c r="A17" s="22" t="s">
        <v>83</v>
      </c>
      <c r="B17" s="15"/>
      <c r="C17" s="15"/>
      <c r="D17" s="15"/>
      <c r="E17" s="24"/>
    </row>
    <row r="18" spans="1:5">
      <c r="A18" s="9" t="s">
        <v>84</v>
      </c>
      <c r="B18" s="15">
        <v>28.369741543640199</v>
      </c>
      <c r="C18" s="15">
        <v>12.7798029932605</v>
      </c>
      <c r="D18" s="15">
        <v>14.9240914769806</v>
      </c>
      <c r="E18" s="24">
        <v>43.926363986118702</v>
      </c>
    </row>
    <row r="19" spans="1:5">
      <c r="A19" s="9" t="s">
        <v>85</v>
      </c>
      <c r="B19" s="15">
        <v>31.9193361087437</v>
      </c>
      <c r="C19" s="15">
        <v>8.3312080385473202</v>
      </c>
      <c r="D19" s="15">
        <v>12.090480544843</v>
      </c>
      <c r="E19" s="24">
        <v>47.658975307866001</v>
      </c>
    </row>
    <row r="20" spans="1:5" ht="21.95" customHeight="1">
      <c r="A20" s="22" t="s">
        <v>86</v>
      </c>
      <c r="B20" s="15"/>
      <c r="C20" s="15"/>
      <c r="D20" s="15"/>
      <c r="E20" s="24"/>
    </row>
    <row r="21" spans="1:5">
      <c r="A21" s="9" t="s">
        <v>87</v>
      </c>
      <c r="B21" s="15">
        <v>29.659538147094299</v>
      </c>
      <c r="C21" s="15">
        <v>10.151100111135399</v>
      </c>
      <c r="D21" s="15">
        <v>13.4912427977427</v>
      </c>
      <c r="E21" s="24">
        <v>46.698118944027598</v>
      </c>
    </row>
    <row r="22" spans="1:5">
      <c r="A22" s="9" t="s">
        <v>88</v>
      </c>
      <c r="B22" s="15">
        <v>29.520261459738499</v>
      </c>
      <c r="C22" s="15">
        <v>10.1955468343228</v>
      </c>
      <c r="D22" s="15">
        <v>13.2496383217867</v>
      </c>
      <c r="E22" s="24">
        <v>47.034553384151998</v>
      </c>
    </row>
    <row r="23" spans="1:5">
      <c r="A23" s="9" t="s">
        <v>89</v>
      </c>
      <c r="B23" s="20" t="s">
        <v>76</v>
      </c>
      <c r="C23" s="20" t="s">
        <v>76</v>
      </c>
      <c r="D23" s="20" t="s">
        <v>76</v>
      </c>
      <c r="E23" s="26" t="s">
        <v>76</v>
      </c>
    </row>
    <row r="24" spans="1:5">
      <c r="A24" s="9" t="s">
        <v>90</v>
      </c>
      <c r="B24" s="20" t="s">
        <v>76</v>
      </c>
      <c r="C24" s="20" t="s">
        <v>76</v>
      </c>
      <c r="D24" s="20" t="s">
        <v>76</v>
      </c>
      <c r="E24" s="26" t="s">
        <v>76</v>
      </c>
    </row>
    <row r="25" spans="1:5">
      <c r="A25" s="9" t="s">
        <v>91</v>
      </c>
      <c r="B25" s="20" t="s">
        <v>76</v>
      </c>
      <c r="C25" s="20" t="s">
        <v>76</v>
      </c>
      <c r="D25" s="20" t="s">
        <v>76</v>
      </c>
      <c r="E25" s="26" t="s">
        <v>76</v>
      </c>
    </row>
    <row r="26" spans="1:5">
      <c r="A26" s="9" t="s">
        <v>92</v>
      </c>
      <c r="B26" s="15">
        <v>35.782351821515903</v>
      </c>
      <c r="C26" s="20" t="s">
        <v>76</v>
      </c>
      <c r="D26" s="20" t="s">
        <v>76</v>
      </c>
      <c r="E26" s="24">
        <v>34.8437558897934</v>
      </c>
    </row>
    <row r="27" spans="1:5">
      <c r="A27" s="9" t="s">
        <v>93</v>
      </c>
      <c r="B27" s="20" t="s">
        <v>76</v>
      </c>
      <c r="C27" s="20" t="s">
        <v>76</v>
      </c>
      <c r="D27" s="20" t="s">
        <v>76</v>
      </c>
      <c r="E27" s="24">
        <v>54.124443150531803</v>
      </c>
    </row>
    <row r="28" spans="1:5">
      <c r="A28" s="9" t="s">
        <v>94</v>
      </c>
      <c r="B28" s="20" t="s">
        <v>76</v>
      </c>
      <c r="C28" s="20" t="s">
        <v>76</v>
      </c>
      <c r="D28" s="20" t="s">
        <v>76</v>
      </c>
      <c r="E28" s="26" t="s">
        <v>76</v>
      </c>
    </row>
    <row r="29" spans="1:5">
      <c r="A29" s="9" t="s">
        <v>95</v>
      </c>
      <c r="B29" s="20" t="s">
        <v>76</v>
      </c>
      <c r="C29" s="20" t="s">
        <v>76</v>
      </c>
      <c r="D29" s="20" t="s">
        <v>76</v>
      </c>
      <c r="E29" s="26" t="s">
        <v>76</v>
      </c>
    </row>
    <row r="30" spans="1:5">
      <c r="A30" s="9" t="s">
        <v>96</v>
      </c>
      <c r="B30" s="20" t="s">
        <v>76</v>
      </c>
      <c r="C30" s="20" t="s">
        <v>76</v>
      </c>
      <c r="D30" s="20" t="s">
        <v>76</v>
      </c>
      <c r="E30" s="26" t="s">
        <v>76</v>
      </c>
    </row>
    <row r="31" spans="1:5">
      <c r="A31" s="9" t="s">
        <v>97</v>
      </c>
      <c r="B31" s="20" t="s">
        <v>76</v>
      </c>
      <c r="C31" s="20" t="s">
        <v>76</v>
      </c>
      <c r="D31" s="20" t="s">
        <v>76</v>
      </c>
      <c r="E31" s="26" t="s">
        <v>76</v>
      </c>
    </row>
    <row r="32" spans="1:5">
      <c r="A32" s="9" t="s">
        <v>98</v>
      </c>
      <c r="B32" s="15">
        <v>44.872616539497997</v>
      </c>
      <c r="C32" s="20" t="s">
        <v>76</v>
      </c>
      <c r="D32" s="20" t="s">
        <v>76</v>
      </c>
      <c r="E32" s="26" t="s">
        <v>76</v>
      </c>
    </row>
    <row r="33" spans="1:5">
      <c r="A33" s="9" t="s">
        <v>99</v>
      </c>
      <c r="B33" s="20" t="s">
        <v>76</v>
      </c>
      <c r="C33" s="20" t="s">
        <v>76</v>
      </c>
      <c r="D33" s="20" t="s">
        <v>76</v>
      </c>
      <c r="E33" s="26" t="s">
        <v>76</v>
      </c>
    </row>
    <row r="34" spans="1:5">
      <c r="A34" s="9" t="s">
        <v>100</v>
      </c>
      <c r="B34" s="20" t="s">
        <v>76</v>
      </c>
      <c r="C34" s="20" t="s">
        <v>76</v>
      </c>
      <c r="D34" s="20" t="s">
        <v>76</v>
      </c>
      <c r="E34" s="26" t="s">
        <v>76</v>
      </c>
    </row>
    <row r="35" spans="1:5">
      <c r="A35" s="9" t="s">
        <v>101</v>
      </c>
      <c r="B35" s="20" t="s">
        <v>76</v>
      </c>
      <c r="C35" s="20" t="s">
        <v>76</v>
      </c>
      <c r="D35" s="20" t="s">
        <v>76</v>
      </c>
      <c r="E35" s="26" t="s">
        <v>76</v>
      </c>
    </row>
    <row r="36" spans="1:5">
      <c r="A36" s="9" t="s">
        <v>102</v>
      </c>
      <c r="B36" s="20" t="s">
        <v>76</v>
      </c>
      <c r="C36" s="20" t="s">
        <v>76</v>
      </c>
      <c r="D36" s="20" t="s">
        <v>76</v>
      </c>
      <c r="E36" s="26" t="s">
        <v>76</v>
      </c>
    </row>
    <row r="37" spans="1:5">
      <c r="A37" s="9" t="s">
        <v>103</v>
      </c>
      <c r="B37" s="20" t="s">
        <v>76</v>
      </c>
      <c r="C37" s="20" t="s">
        <v>76</v>
      </c>
      <c r="D37" s="20" t="s">
        <v>76</v>
      </c>
      <c r="E37" s="26" t="s">
        <v>76</v>
      </c>
    </row>
    <row r="38" spans="1:5">
      <c r="A38" s="9" t="s">
        <v>104</v>
      </c>
      <c r="B38" s="20" t="s">
        <v>76</v>
      </c>
      <c r="C38" s="20" t="s">
        <v>76</v>
      </c>
      <c r="D38" s="20" t="s">
        <v>76</v>
      </c>
      <c r="E38" s="26" t="s">
        <v>76</v>
      </c>
    </row>
    <row r="39" spans="1:5">
      <c r="A39" s="9" t="s">
        <v>105</v>
      </c>
      <c r="B39" s="20" t="s">
        <v>76</v>
      </c>
      <c r="C39" s="20" t="s">
        <v>76</v>
      </c>
      <c r="D39" s="20" t="s">
        <v>76</v>
      </c>
      <c r="E39" s="26" t="s">
        <v>76</v>
      </c>
    </row>
    <row r="40" spans="1:5">
      <c r="A40" s="9" t="s">
        <v>106</v>
      </c>
      <c r="B40" s="20" t="s">
        <v>76</v>
      </c>
      <c r="C40" s="20" t="s">
        <v>76</v>
      </c>
      <c r="D40" s="20" t="s">
        <v>76</v>
      </c>
      <c r="E40" s="26" t="s">
        <v>76</v>
      </c>
    </row>
    <row r="41" spans="1:5">
      <c r="A41" s="9" t="s">
        <v>107</v>
      </c>
      <c r="B41" s="20" t="s">
        <v>76</v>
      </c>
      <c r="C41" s="20" t="s">
        <v>76</v>
      </c>
      <c r="D41" s="20" t="s">
        <v>76</v>
      </c>
      <c r="E41" s="26" t="s">
        <v>76</v>
      </c>
    </row>
    <row r="42" spans="1:5">
      <c r="A42" s="9" t="s">
        <v>108</v>
      </c>
      <c r="B42" s="20" t="s">
        <v>76</v>
      </c>
      <c r="C42" s="20" t="s">
        <v>76</v>
      </c>
      <c r="D42" s="20" t="s">
        <v>76</v>
      </c>
      <c r="E42" s="26" t="s">
        <v>76</v>
      </c>
    </row>
    <row r="43" spans="1:5">
      <c r="A43" s="9" t="s">
        <v>109</v>
      </c>
      <c r="B43" s="20" t="s">
        <v>76</v>
      </c>
      <c r="C43" s="20" t="s">
        <v>76</v>
      </c>
      <c r="D43" s="20" t="s">
        <v>76</v>
      </c>
      <c r="E43" s="26" t="s">
        <v>76</v>
      </c>
    </row>
    <row r="44" spans="1:5">
      <c r="A44" s="9" t="s">
        <v>110</v>
      </c>
      <c r="B44" s="20" t="s">
        <v>76</v>
      </c>
      <c r="C44" s="20" t="s">
        <v>76</v>
      </c>
      <c r="D44" s="20" t="s">
        <v>76</v>
      </c>
      <c r="E44" s="26" t="s">
        <v>76</v>
      </c>
    </row>
    <row r="45" spans="1:5">
      <c r="A45" s="9" t="s">
        <v>111</v>
      </c>
      <c r="B45" s="15">
        <v>40.337025026303998</v>
      </c>
      <c r="C45" s="20" t="s">
        <v>76</v>
      </c>
      <c r="D45" s="20" t="s">
        <v>76</v>
      </c>
      <c r="E45" s="24">
        <v>36.360129740933402</v>
      </c>
    </row>
    <row r="46" spans="1:5" ht="21.95" customHeight="1">
      <c r="A46" s="22" t="s">
        <v>112</v>
      </c>
      <c r="B46" s="15"/>
      <c r="C46" s="15"/>
      <c r="D46" s="15"/>
      <c r="E46" s="24"/>
    </row>
    <row r="47" spans="1:5">
      <c r="A47" s="9" t="s">
        <v>113</v>
      </c>
      <c r="B47" s="15">
        <v>37.423576424186997</v>
      </c>
      <c r="C47" s="20" t="s">
        <v>76</v>
      </c>
      <c r="D47" s="20" t="s">
        <v>76</v>
      </c>
      <c r="E47" s="24">
        <v>41.904481689281702</v>
      </c>
    </row>
    <row r="48" spans="1:5">
      <c r="A48" s="9" t="s">
        <v>114</v>
      </c>
      <c r="B48" s="15">
        <v>29.349887776471299</v>
      </c>
      <c r="C48" s="15">
        <v>10.370452422761399</v>
      </c>
      <c r="D48" s="15">
        <v>13.470799174546899</v>
      </c>
      <c r="E48" s="24">
        <v>46.808860626220401</v>
      </c>
    </row>
    <row r="49" spans="1:5">
      <c r="A49" s="9" t="s">
        <v>111</v>
      </c>
      <c r="B49" s="15">
        <v>48.508909205569502</v>
      </c>
      <c r="C49" s="20" t="s">
        <v>76</v>
      </c>
      <c r="D49" s="20" t="s">
        <v>76</v>
      </c>
      <c r="E49" s="24">
        <v>30.395619035583501</v>
      </c>
    </row>
    <row r="50" spans="1:5" ht="21.95" customHeight="1">
      <c r="A50" s="22" t="s">
        <v>115</v>
      </c>
      <c r="B50" s="15"/>
      <c r="C50" s="15"/>
      <c r="D50" s="15"/>
      <c r="E50" s="24"/>
    </row>
    <row r="51" spans="1:5">
      <c r="A51" s="9" t="s">
        <v>116</v>
      </c>
      <c r="B51" s="15">
        <v>38.163701193310096</v>
      </c>
      <c r="C51" s="15">
        <v>10.5741881369725</v>
      </c>
      <c r="D51" s="15">
        <v>12.860839912122501</v>
      </c>
      <c r="E51" s="24">
        <v>38.401270757595</v>
      </c>
    </row>
    <row r="52" spans="1:5">
      <c r="A52" s="9" t="s">
        <v>117</v>
      </c>
      <c r="B52" s="15">
        <v>28.355751340473098</v>
      </c>
      <c r="C52" s="15">
        <v>10.3163813798225</v>
      </c>
      <c r="D52" s="15">
        <v>13.590761932521399</v>
      </c>
      <c r="E52" s="24">
        <v>47.737105347183103</v>
      </c>
    </row>
    <row r="53" spans="1:5">
      <c r="A53" s="9" t="s">
        <v>111</v>
      </c>
      <c r="B53" s="15">
        <v>49.803581072142798</v>
      </c>
      <c r="C53" s="20" t="s">
        <v>76</v>
      </c>
      <c r="D53" s="20" t="s">
        <v>76</v>
      </c>
      <c r="E53" s="24">
        <v>31.209470479493302</v>
      </c>
    </row>
    <row r="54" spans="1:5" ht="21.95" customHeight="1">
      <c r="A54" s="22" t="s">
        <v>118</v>
      </c>
      <c r="B54" s="15"/>
      <c r="C54" s="15"/>
      <c r="D54" s="15"/>
      <c r="E54" s="24"/>
    </row>
    <row r="55" spans="1:5">
      <c r="A55" s="9" t="s">
        <v>139</v>
      </c>
      <c r="B55" s="15">
        <v>21.165160977631398</v>
      </c>
      <c r="C55" s="15">
        <v>6.7822420612739096</v>
      </c>
      <c r="D55" s="15">
        <v>12.829338455565701</v>
      </c>
      <c r="E55" s="24">
        <v>59.223258505528896</v>
      </c>
    </row>
    <row r="56" spans="1:5">
      <c r="A56" s="9" t="s">
        <v>120</v>
      </c>
      <c r="B56" s="15">
        <v>31.737609409213299</v>
      </c>
      <c r="C56" s="15">
        <v>9.4361884646993008</v>
      </c>
      <c r="D56" s="15">
        <v>13.8165855522728</v>
      </c>
      <c r="E56" s="24">
        <v>45.009616573814597</v>
      </c>
    </row>
    <row r="57" spans="1:5">
      <c r="A57" s="9" t="s">
        <v>121</v>
      </c>
      <c r="B57" s="15">
        <v>33.049026677149499</v>
      </c>
      <c r="C57" s="15">
        <v>11.397879259226499</v>
      </c>
      <c r="D57" s="15">
        <v>13.141390193256401</v>
      </c>
      <c r="E57" s="24">
        <v>42.411703870367603</v>
      </c>
    </row>
    <row r="58" spans="1:5">
      <c r="A58" s="9" t="s">
        <v>140</v>
      </c>
      <c r="B58" s="15">
        <v>27.160642189596899</v>
      </c>
      <c r="C58" s="15">
        <v>10.8131718105993</v>
      </c>
      <c r="D58" s="15">
        <v>13.340575417482899</v>
      </c>
      <c r="E58" s="24">
        <v>48.685610582320898</v>
      </c>
    </row>
    <row r="59" spans="1:5" ht="21.95" customHeight="1">
      <c r="A59" s="22" t="s">
        <v>123</v>
      </c>
      <c r="B59" s="15"/>
      <c r="C59" s="15"/>
      <c r="D59" s="15"/>
      <c r="E59" s="24"/>
    </row>
    <row r="60" spans="1:5" ht="18">
      <c r="A60" s="9" t="s">
        <v>141</v>
      </c>
      <c r="B60" s="15">
        <v>25.041131301397499</v>
      </c>
      <c r="C60" s="15">
        <v>9.1866743851677803</v>
      </c>
      <c r="D60" s="15">
        <v>11.8737029063692</v>
      </c>
      <c r="E60" s="24">
        <v>53.898491407065499</v>
      </c>
    </row>
    <row r="61" spans="1:5">
      <c r="A61" s="11" t="s">
        <v>125</v>
      </c>
      <c r="B61" s="16">
        <v>33.439718192052901</v>
      </c>
      <c r="C61" s="16">
        <v>10.903251364946099</v>
      </c>
      <c r="D61" s="16">
        <v>14.1680064176643</v>
      </c>
      <c r="E61" s="25">
        <v>41.489024025336697</v>
      </c>
    </row>
    <row r="62" spans="1:5" ht="30" customHeight="1">
      <c r="A62" t="s">
        <v>142</v>
      </c>
    </row>
    <row r="63" spans="1:5">
      <c r="A63" t="s">
        <v>143</v>
      </c>
    </row>
    <row r="64" spans="1:5">
      <c r="A64" t="s">
        <v>144</v>
      </c>
    </row>
    <row r="65" spans="1:1">
      <c r="A65" t="s">
        <v>145</v>
      </c>
    </row>
    <row r="66" spans="1:1">
      <c r="A66" t="s">
        <v>146</v>
      </c>
    </row>
    <row r="67" spans="1:1">
      <c r="A67" t="s">
        <v>147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153</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5" customHeight="1">
      <c r="A4" s="22" t="s">
        <v>69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76</v>
      </c>
      <c r="M4" s="24">
        <v>24.440130963566901</v>
      </c>
      <c r="N4" s="15">
        <v>28.022935934646</v>
      </c>
      <c r="O4" s="15">
        <v>28.953270168162899</v>
      </c>
      <c r="P4" s="24">
        <v>27.294251229824098</v>
      </c>
    </row>
    <row r="5" spans="1:16" ht="21.95" customHeight="1">
      <c r="A5" s="22" t="s">
        <v>70</v>
      </c>
      <c r="B5" s="15">
        <v>46.027668371634199</v>
      </c>
      <c r="C5" s="15">
        <v>43.926363986118702</v>
      </c>
      <c r="D5" s="24">
        <v>47.658975307866001</v>
      </c>
      <c r="E5" s="15">
        <v>50.991711251889399</v>
      </c>
      <c r="F5" s="15">
        <v>49.915702010996</v>
      </c>
      <c r="G5" s="24">
        <v>51.861068795176301</v>
      </c>
      <c r="H5" s="15">
        <v>41.662813486469702</v>
      </c>
      <c r="I5" s="15">
        <v>37.839894432104202</v>
      </c>
      <c r="J5" s="24">
        <v>44.627022452988598</v>
      </c>
      <c r="K5" s="20" t="s">
        <v>76</v>
      </c>
      <c r="L5" s="20" t="s">
        <v>76</v>
      </c>
      <c r="M5" s="26" t="s">
        <v>76</v>
      </c>
      <c r="N5" s="20" t="s">
        <v>76</v>
      </c>
      <c r="O5" s="20" t="s">
        <v>76</v>
      </c>
      <c r="P5" s="26" t="s">
        <v>76</v>
      </c>
    </row>
    <row r="6" spans="1:16" ht="21.95" customHeight="1">
      <c r="A6" s="22" t="s">
        <v>165</v>
      </c>
      <c r="B6" s="15">
        <v>43.926363986118702</v>
      </c>
      <c r="C6" s="15">
        <v>43.926363986118702</v>
      </c>
      <c r="D6" s="26" t="s">
        <v>76</v>
      </c>
      <c r="E6" s="15">
        <v>49.915702010996</v>
      </c>
      <c r="F6" s="15">
        <v>49.915702010996</v>
      </c>
      <c r="G6" s="26" t="s">
        <v>76</v>
      </c>
      <c r="H6" s="15">
        <v>37.839894432104202</v>
      </c>
      <c r="I6" s="15">
        <v>37.839894432104202</v>
      </c>
      <c r="J6" s="26" t="s">
        <v>76</v>
      </c>
      <c r="K6" s="20" t="s">
        <v>76</v>
      </c>
      <c r="L6" s="20" t="s">
        <v>76</v>
      </c>
      <c r="M6" s="26" t="s">
        <v>76</v>
      </c>
      <c r="N6" s="20" t="s">
        <v>76</v>
      </c>
      <c r="O6" s="20" t="s">
        <v>76</v>
      </c>
      <c r="P6" s="26" t="s">
        <v>76</v>
      </c>
    </row>
    <row r="7" spans="1:16">
      <c r="A7" s="9" t="s">
        <v>166</v>
      </c>
      <c r="B7" s="15">
        <v>20.8333333333333</v>
      </c>
      <c r="C7" s="15">
        <v>20.8333333333333</v>
      </c>
      <c r="D7" s="26" t="s">
        <v>76</v>
      </c>
      <c r="E7" s="15">
        <v>22.9166666666667</v>
      </c>
      <c r="F7" s="15">
        <v>22.9166666666667</v>
      </c>
      <c r="G7" s="26" t="s">
        <v>76</v>
      </c>
      <c r="H7" s="15">
        <v>18.75</v>
      </c>
      <c r="I7" s="15">
        <v>18.75</v>
      </c>
      <c r="J7" s="26" t="s">
        <v>76</v>
      </c>
      <c r="K7" s="20" t="s">
        <v>76</v>
      </c>
      <c r="L7" s="20" t="s">
        <v>76</v>
      </c>
      <c r="M7" s="26" t="s">
        <v>76</v>
      </c>
      <c r="N7" s="20" t="s">
        <v>76</v>
      </c>
      <c r="O7" s="20" t="s">
        <v>76</v>
      </c>
      <c r="P7" s="26" t="s">
        <v>76</v>
      </c>
    </row>
    <row r="8" spans="1:16">
      <c r="A8" s="9" t="s">
        <v>167</v>
      </c>
      <c r="B8" s="15">
        <v>49.253731343283597</v>
      </c>
      <c r="C8" s="15">
        <v>49.253731343283597</v>
      </c>
      <c r="D8" s="26" t="s">
        <v>76</v>
      </c>
      <c r="E8" s="15">
        <v>51.724137931034498</v>
      </c>
      <c r="F8" s="15">
        <v>51.724137931034498</v>
      </c>
      <c r="G8" s="26" t="s">
        <v>76</v>
      </c>
      <c r="H8" s="15">
        <v>47.368421052631597</v>
      </c>
      <c r="I8" s="15">
        <v>47.368421052631597</v>
      </c>
      <c r="J8" s="26" t="s">
        <v>76</v>
      </c>
      <c r="K8" s="20" t="s">
        <v>76</v>
      </c>
      <c r="L8" s="20" t="s">
        <v>76</v>
      </c>
      <c r="M8" s="26" t="s">
        <v>76</v>
      </c>
      <c r="N8" s="20" t="s">
        <v>76</v>
      </c>
      <c r="O8" s="20" t="s">
        <v>76</v>
      </c>
      <c r="P8" s="26" t="s">
        <v>76</v>
      </c>
    </row>
    <row r="9" spans="1:16">
      <c r="A9" s="9" t="s">
        <v>168</v>
      </c>
      <c r="B9" s="15">
        <v>58.536585365853703</v>
      </c>
      <c r="C9" s="15">
        <v>58.536585365853703</v>
      </c>
      <c r="D9" s="26" t="s">
        <v>76</v>
      </c>
      <c r="E9" s="15">
        <v>65</v>
      </c>
      <c r="F9" s="15">
        <v>65</v>
      </c>
      <c r="G9" s="26" t="s">
        <v>76</v>
      </c>
      <c r="H9" s="15">
        <v>51.219512195122</v>
      </c>
      <c r="I9" s="15">
        <v>51.219512195122</v>
      </c>
      <c r="J9" s="26" t="s">
        <v>76</v>
      </c>
      <c r="K9" s="20" t="s">
        <v>76</v>
      </c>
      <c r="L9" s="20" t="s">
        <v>76</v>
      </c>
      <c r="M9" s="26" t="s">
        <v>76</v>
      </c>
      <c r="N9" s="20" t="s">
        <v>76</v>
      </c>
      <c r="O9" s="20" t="s">
        <v>76</v>
      </c>
      <c r="P9" s="26" t="s">
        <v>76</v>
      </c>
    </row>
    <row r="10" spans="1:16">
      <c r="A10" s="9" t="s">
        <v>169</v>
      </c>
      <c r="B10" s="15">
        <v>62.5</v>
      </c>
      <c r="C10" s="15">
        <v>62.5</v>
      </c>
      <c r="D10" s="26" t="s">
        <v>76</v>
      </c>
      <c r="E10" s="15">
        <v>64.705882352941202</v>
      </c>
      <c r="F10" s="15">
        <v>64.705882352941202</v>
      </c>
      <c r="G10" s="26" t="s">
        <v>76</v>
      </c>
      <c r="H10" s="15">
        <v>60.869565217391298</v>
      </c>
      <c r="I10" s="15">
        <v>60.869565217391298</v>
      </c>
      <c r="J10" s="26" t="s">
        <v>76</v>
      </c>
      <c r="K10" s="20" t="s">
        <v>76</v>
      </c>
      <c r="L10" s="20" t="s">
        <v>76</v>
      </c>
      <c r="M10" s="26" t="s">
        <v>76</v>
      </c>
      <c r="N10" s="20" t="s">
        <v>76</v>
      </c>
      <c r="O10" s="20" t="s">
        <v>76</v>
      </c>
      <c r="P10" s="26" t="s">
        <v>76</v>
      </c>
    </row>
    <row r="11" spans="1:16">
      <c r="A11" s="9" t="s">
        <v>170</v>
      </c>
      <c r="B11" s="15">
        <v>49.382716049382701</v>
      </c>
      <c r="C11" s="15">
        <v>49.382716049382701</v>
      </c>
      <c r="D11" s="26" t="s">
        <v>76</v>
      </c>
      <c r="E11" s="15">
        <v>43.902439024390198</v>
      </c>
      <c r="F11" s="15">
        <v>43.902439024390198</v>
      </c>
      <c r="G11" s="26" t="s">
        <v>76</v>
      </c>
      <c r="H11" s="15">
        <v>56.756756756756801</v>
      </c>
      <c r="I11" s="15">
        <v>56.756756756756801</v>
      </c>
      <c r="J11" s="26" t="s">
        <v>76</v>
      </c>
      <c r="K11" s="20" t="s">
        <v>76</v>
      </c>
      <c r="L11" s="20" t="s">
        <v>76</v>
      </c>
      <c r="M11" s="26" t="s">
        <v>76</v>
      </c>
      <c r="N11" s="20" t="s">
        <v>76</v>
      </c>
      <c r="O11" s="20" t="s">
        <v>76</v>
      </c>
      <c r="P11" s="26" t="s">
        <v>76</v>
      </c>
    </row>
    <row r="12" spans="1:16">
      <c r="A12" s="9" t="s">
        <v>171</v>
      </c>
      <c r="B12" s="15">
        <v>38</v>
      </c>
      <c r="C12" s="15">
        <v>38</v>
      </c>
      <c r="D12" s="26" t="s">
        <v>76</v>
      </c>
      <c r="E12" s="15">
        <v>33.3333333333333</v>
      </c>
      <c r="F12" s="15">
        <v>33.3333333333333</v>
      </c>
      <c r="G12" s="26" t="s">
        <v>76</v>
      </c>
      <c r="H12" s="15">
        <v>42.307692307692299</v>
      </c>
      <c r="I12" s="15">
        <v>42.307692307692299</v>
      </c>
      <c r="J12" s="26" t="s">
        <v>76</v>
      </c>
      <c r="K12" s="20" t="s">
        <v>76</v>
      </c>
      <c r="L12" s="20" t="s">
        <v>76</v>
      </c>
      <c r="M12" s="26" t="s">
        <v>76</v>
      </c>
      <c r="N12" s="20" t="s">
        <v>76</v>
      </c>
      <c r="O12" s="20" t="s">
        <v>76</v>
      </c>
      <c r="P12" s="26" t="s">
        <v>76</v>
      </c>
    </row>
    <row r="13" spans="1:16">
      <c r="A13" s="9" t="s">
        <v>172</v>
      </c>
      <c r="B13" s="15">
        <v>32.03125</v>
      </c>
      <c r="C13" s="15">
        <v>32.03125</v>
      </c>
      <c r="D13" s="26" t="s">
        <v>76</v>
      </c>
      <c r="E13" s="15">
        <v>37.5</v>
      </c>
      <c r="F13" s="15">
        <v>37.5</v>
      </c>
      <c r="G13" s="26" t="s">
        <v>76</v>
      </c>
      <c r="H13" s="15">
        <v>25.4237288135593</v>
      </c>
      <c r="I13" s="15">
        <v>25.4237288135593</v>
      </c>
      <c r="J13" s="26" t="s">
        <v>76</v>
      </c>
      <c r="K13" s="20" t="s">
        <v>76</v>
      </c>
      <c r="L13" s="20" t="s">
        <v>76</v>
      </c>
      <c r="M13" s="26" t="s">
        <v>76</v>
      </c>
      <c r="N13" s="20" t="s">
        <v>76</v>
      </c>
      <c r="O13" s="20" t="s">
        <v>76</v>
      </c>
      <c r="P13" s="26" t="s">
        <v>76</v>
      </c>
    </row>
    <row r="14" spans="1:16">
      <c r="A14" s="9" t="s">
        <v>173</v>
      </c>
      <c r="B14" s="15">
        <v>29.411764705882401</v>
      </c>
      <c r="C14" s="15">
        <v>29.411764705882401</v>
      </c>
      <c r="D14" s="26" t="s">
        <v>76</v>
      </c>
      <c r="E14" s="15">
        <v>35.294117647058798</v>
      </c>
      <c r="F14" s="15">
        <v>35.294117647058798</v>
      </c>
      <c r="G14" s="26" t="s">
        <v>76</v>
      </c>
      <c r="H14" s="15">
        <v>24.2424242424242</v>
      </c>
      <c r="I14" s="15">
        <v>24.2424242424242</v>
      </c>
      <c r="J14" s="26" t="s">
        <v>76</v>
      </c>
      <c r="K14" s="20" t="s">
        <v>76</v>
      </c>
      <c r="L14" s="20" t="s">
        <v>76</v>
      </c>
      <c r="M14" s="26" t="s">
        <v>76</v>
      </c>
      <c r="N14" s="20" t="s">
        <v>76</v>
      </c>
      <c r="O14" s="20" t="s">
        <v>76</v>
      </c>
      <c r="P14" s="26" t="s">
        <v>76</v>
      </c>
    </row>
    <row r="15" spans="1:16">
      <c r="A15" s="9" t="s">
        <v>174</v>
      </c>
      <c r="B15" s="15">
        <v>44.8979591836735</v>
      </c>
      <c r="C15" s="15">
        <v>44.8979591836735</v>
      </c>
      <c r="D15" s="26" t="s">
        <v>76</v>
      </c>
      <c r="E15" s="15">
        <v>55.5555555555556</v>
      </c>
      <c r="F15" s="15">
        <v>55.5555555555556</v>
      </c>
      <c r="G15" s="26" t="s">
        <v>76</v>
      </c>
      <c r="H15" s="15">
        <v>31.818181818181799</v>
      </c>
      <c r="I15" s="15">
        <v>31.818181818181799</v>
      </c>
      <c r="J15" s="26" t="s">
        <v>76</v>
      </c>
      <c r="K15" s="20" t="s">
        <v>76</v>
      </c>
      <c r="L15" s="20" t="s">
        <v>76</v>
      </c>
      <c r="M15" s="26" t="s">
        <v>76</v>
      </c>
      <c r="N15" s="20" t="s">
        <v>76</v>
      </c>
      <c r="O15" s="20" t="s">
        <v>76</v>
      </c>
      <c r="P15" s="26" t="s">
        <v>76</v>
      </c>
    </row>
    <row r="16" spans="1:16">
      <c r="A16" s="9" t="s">
        <v>175</v>
      </c>
      <c r="B16" s="15">
        <v>40.476190476190503</v>
      </c>
      <c r="C16" s="15">
        <v>40.476190476190503</v>
      </c>
      <c r="D16" s="26" t="s">
        <v>76</v>
      </c>
      <c r="E16" s="15">
        <v>57.142857142857103</v>
      </c>
      <c r="F16" s="15">
        <v>57.142857142857103</v>
      </c>
      <c r="G16" s="26" t="s">
        <v>76</v>
      </c>
      <c r="H16" s="15">
        <v>23.8095238095238</v>
      </c>
      <c r="I16" s="15">
        <v>23.8095238095238</v>
      </c>
      <c r="J16" s="26" t="s">
        <v>76</v>
      </c>
      <c r="K16" s="20" t="s">
        <v>76</v>
      </c>
      <c r="L16" s="20" t="s">
        <v>76</v>
      </c>
      <c r="M16" s="26" t="s">
        <v>76</v>
      </c>
      <c r="N16" s="20" t="s">
        <v>76</v>
      </c>
      <c r="O16" s="20" t="s">
        <v>76</v>
      </c>
      <c r="P16" s="26" t="s">
        <v>76</v>
      </c>
    </row>
    <row r="17" spans="1:16">
      <c r="A17" s="9" t="s">
        <v>176</v>
      </c>
      <c r="B17" s="15">
        <v>28.148148148148099</v>
      </c>
      <c r="C17" s="15">
        <v>28.148148148148099</v>
      </c>
      <c r="D17" s="26" t="s">
        <v>76</v>
      </c>
      <c r="E17" s="15">
        <v>33.823529411764703</v>
      </c>
      <c r="F17" s="15">
        <v>33.823529411764703</v>
      </c>
      <c r="G17" s="26" t="s">
        <v>76</v>
      </c>
      <c r="H17" s="15">
        <v>20.9677419354839</v>
      </c>
      <c r="I17" s="15">
        <v>20.9677419354839</v>
      </c>
      <c r="J17" s="26" t="s">
        <v>76</v>
      </c>
      <c r="K17" s="20" t="s">
        <v>76</v>
      </c>
      <c r="L17" s="20" t="s">
        <v>76</v>
      </c>
      <c r="M17" s="26" t="s">
        <v>76</v>
      </c>
      <c r="N17" s="20" t="s">
        <v>76</v>
      </c>
      <c r="O17" s="20" t="s">
        <v>76</v>
      </c>
      <c r="P17" s="26" t="s">
        <v>76</v>
      </c>
    </row>
    <row r="18" spans="1:16">
      <c r="A18" s="9" t="s">
        <v>177</v>
      </c>
      <c r="B18" s="15">
        <v>66.6666666666667</v>
      </c>
      <c r="C18" s="15">
        <v>66.6666666666667</v>
      </c>
      <c r="D18" s="26" t="s">
        <v>76</v>
      </c>
      <c r="E18" s="15">
        <v>65.625</v>
      </c>
      <c r="F18" s="15">
        <v>65.625</v>
      </c>
      <c r="G18" s="26" t="s">
        <v>76</v>
      </c>
      <c r="H18" s="15">
        <v>66.6666666666667</v>
      </c>
      <c r="I18" s="15">
        <v>66.6666666666667</v>
      </c>
      <c r="J18" s="26" t="s">
        <v>76</v>
      </c>
      <c r="K18" s="20" t="s">
        <v>76</v>
      </c>
      <c r="L18" s="20" t="s">
        <v>76</v>
      </c>
      <c r="M18" s="26" t="s">
        <v>76</v>
      </c>
      <c r="N18" s="20" t="s">
        <v>76</v>
      </c>
      <c r="O18" s="20" t="s">
        <v>76</v>
      </c>
      <c r="P18" s="26" t="s">
        <v>76</v>
      </c>
    </row>
    <row r="19" spans="1:16">
      <c r="A19" s="9" t="s">
        <v>178</v>
      </c>
      <c r="B19" s="15">
        <v>36.263736263736298</v>
      </c>
      <c r="C19" s="15">
        <v>36.263736263736298</v>
      </c>
      <c r="D19" s="26" t="s">
        <v>76</v>
      </c>
      <c r="E19" s="15">
        <v>43.181818181818201</v>
      </c>
      <c r="F19" s="15">
        <v>43.181818181818201</v>
      </c>
      <c r="G19" s="26" t="s">
        <v>76</v>
      </c>
      <c r="H19" s="15">
        <v>31.1111111111111</v>
      </c>
      <c r="I19" s="15">
        <v>31.1111111111111</v>
      </c>
      <c r="J19" s="26" t="s">
        <v>76</v>
      </c>
      <c r="K19" s="20" t="s">
        <v>76</v>
      </c>
      <c r="L19" s="20" t="s">
        <v>76</v>
      </c>
      <c r="M19" s="26" t="s">
        <v>76</v>
      </c>
      <c r="N19" s="20" t="s">
        <v>76</v>
      </c>
      <c r="O19" s="20" t="s">
        <v>76</v>
      </c>
      <c r="P19" s="26" t="s">
        <v>76</v>
      </c>
    </row>
    <row r="20" spans="1:16">
      <c r="A20" s="9" t="s">
        <v>179</v>
      </c>
      <c r="B20" s="15">
        <v>36</v>
      </c>
      <c r="C20" s="15">
        <v>36</v>
      </c>
      <c r="D20" s="26" t="s">
        <v>76</v>
      </c>
      <c r="E20" s="15">
        <v>42.857142857142897</v>
      </c>
      <c r="F20" s="15">
        <v>42.857142857142897</v>
      </c>
      <c r="G20" s="26" t="s">
        <v>76</v>
      </c>
      <c r="H20" s="15">
        <v>30.909090909090899</v>
      </c>
      <c r="I20" s="15">
        <v>30.909090909090899</v>
      </c>
      <c r="J20" s="26" t="s">
        <v>76</v>
      </c>
      <c r="K20" s="20" t="s">
        <v>76</v>
      </c>
      <c r="L20" s="20" t="s">
        <v>76</v>
      </c>
      <c r="M20" s="26" t="s">
        <v>76</v>
      </c>
      <c r="N20" s="20" t="s">
        <v>76</v>
      </c>
      <c r="O20" s="20" t="s">
        <v>76</v>
      </c>
      <c r="P20" s="26" t="s">
        <v>76</v>
      </c>
    </row>
    <row r="21" spans="1:16">
      <c r="A21" s="9" t="s">
        <v>180</v>
      </c>
      <c r="B21" s="15">
        <v>51.515151515151501</v>
      </c>
      <c r="C21" s="15">
        <v>51.515151515151501</v>
      </c>
      <c r="D21" s="26" t="s">
        <v>76</v>
      </c>
      <c r="E21" s="15">
        <v>64.705882352941202</v>
      </c>
      <c r="F21" s="15">
        <v>64.705882352941202</v>
      </c>
      <c r="G21" s="26" t="s">
        <v>76</v>
      </c>
      <c r="H21" s="15">
        <v>37.5</v>
      </c>
      <c r="I21" s="15">
        <v>37.5</v>
      </c>
      <c r="J21" s="26" t="s">
        <v>76</v>
      </c>
      <c r="K21" s="20" t="s">
        <v>76</v>
      </c>
      <c r="L21" s="20" t="s">
        <v>76</v>
      </c>
      <c r="M21" s="26" t="s">
        <v>76</v>
      </c>
      <c r="N21" s="20" t="s">
        <v>76</v>
      </c>
      <c r="O21" s="20" t="s">
        <v>76</v>
      </c>
      <c r="P21" s="26" t="s">
        <v>76</v>
      </c>
    </row>
    <row r="22" spans="1:16">
      <c r="A22" s="9" t="s">
        <v>181</v>
      </c>
      <c r="B22" s="15">
        <v>38.297872340425499</v>
      </c>
      <c r="C22" s="15">
        <v>38.297872340425499</v>
      </c>
      <c r="D22" s="26" t="s">
        <v>76</v>
      </c>
      <c r="E22" s="15">
        <v>37.5</v>
      </c>
      <c r="F22" s="15">
        <v>37.5</v>
      </c>
      <c r="G22" s="26" t="s">
        <v>76</v>
      </c>
      <c r="H22" s="15">
        <v>39.130434782608702</v>
      </c>
      <c r="I22" s="15">
        <v>39.130434782608702</v>
      </c>
      <c r="J22" s="26" t="s">
        <v>76</v>
      </c>
      <c r="K22" s="20" t="s">
        <v>76</v>
      </c>
      <c r="L22" s="20" t="s">
        <v>76</v>
      </c>
      <c r="M22" s="26" t="s">
        <v>76</v>
      </c>
      <c r="N22" s="20" t="s">
        <v>76</v>
      </c>
      <c r="O22" s="20" t="s">
        <v>76</v>
      </c>
      <c r="P22" s="26" t="s">
        <v>76</v>
      </c>
    </row>
    <row r="23" spans="1:16">
      <c r="A23" s="9" t="s">
        <v>182</v>
      </c>
      <c r="B23" s="15">
        <v>57.407407407407398</v>
      </c>
      <c r="C23" s="15">
        <v>57.407407407407398</v>
      </c>
      <c r="D23" s="26" t="s">
        <v>76</v>
      </c>
      <c r="E23" s="15">
        <v>77.7777777777778</v>
      </c>
      <c r="F23" s="15">
        <v>77.7777777777778</v>
      </c>
      <c r="G23" s="26" t="s">
        <v>76</v>
      </c>
      <c r="H23" s="15">
        <v>37.037037037037003</v>
      </c>
      <c r="I23" s="15">
        <v>37.037037037037003</v>
      </c>
      <c r="J23" s="26" t="s">
        <v>76</v>
      </c>
      <c r="K23" s="20" t="s">
        <v>76</v>
      </c>
      <c r="L23" s="20" t="s">
        <v>76</v>
      </c>
      <c r="M23" s="26" t="s">
        <v>76</v>
      </c>
      <c r="N23" s="20" t="s">
        <v>76</v>
      </c>
      <c r="O23" s="20" t="s">
        <v>76</v>
      </c>
      <c r="P23" s="26" t="s">
        <v>76</v>
      </c>
    </row>
    <row r="24" spans="1:16">
      <c r="A24" s="9" t="s">
        <v>183</v>
      </c>
      <c r="B24" s="15">
        <v>33.928571428571402</v>
      </c>
      <c r="C24" s="15">
        <v>33.928571428571402</v>
      </c>
      <c r="D24" s="26" t="s">
        <v>76</v>
      </c>
      <c r="E24" s="15">
        <v>42.857142857142897</v>
      </c>
      <c r="F24" s="15">
        <v>42.857142857142897</v>
      </c>
      <c r="G24" s="26" t="s">
        <v>76</v>
      </c>
      <c r="H24" s="15">
        <v>25</v>
      </c>
      <c r="I24" s="15">
        <v>25</v>
      </c>
      <c r="J24" s="26" t="s">
        <v>76</v>
      </c>
      <c r="K24" s="20" t="s">
        <v>76</v>
      </c>
      <c r="L24" s="20" t="s">
        <v>76</v>
      </c>
      <c r="M24" s="26" t="s">
        <v>76</v>
      </c>
      <c r="N24" s="20" t="s">
        <v>76</v>
      </c>
      <c r="O24" s="20" t="s">
        <v>76</v>
      </c>
      <c r="P24" s="26" t="s">
        <v>76</v>
      </c>
    </row>
    <row r="25" spans="1:16">
      <c r="A25" s="9" t="s">
        <v>184</v>
      </c>
      <c r="B25" s="15">
        <v>74.038461538461505</v>
      </c>
      <c r="C25" s="15">
        <v>74.038461538461505</v>
      </c>
      <c r="D25" s="26" t="s">
        <v>76</v>
      </c>
      <c r="E25" s="15">
        <v>81.632653061224502</v>
      </c>
      <c r="F25" s="15">
        <v>81.632653061224502</v>
      </c>
      <c r="G25" s="26" t="s">
        <v>76</v>
      </c>
      <c r="H25" s="15">
        <v>67.272727272727295</v>
      </c>
      <c r="I25" s="15">
        <v>67.272727272727295</v>
      </c>
      <c r="J25" s="26" t="s">
        <v>76</v>
      </c>
      <c r="K25" s="20" t="s">
        <v>76</v>
      </c>
      <c r="L25" s="20" t="s">
        <v>76</v>
      </c>
      <c r="M25" s="26" t="s">
        <v>76</v>
      </c>
      <c r="N25" s="20" t="s">
        <v>76</v>
      </c>
      <c r="O25" s="20" t="s">
        <v>76</v>
      </c>
      <c r="P25" s="26" t="s">
        <v>76</v>
      </c>
    </row>
    <row r="26" spans="1:16">
      <c r="A26" s="9" t="s">
        <v>185</v>
      </c>
      <c r="B26" s="15">
        <v>46.341463414634099</v>
      </c>
      <c r="C26" s="15">
        <v>46.341463414634099</v>
      </c>
      <c r="D26" s="26" t="s">
        <v>76</v>
      </c>
      <c r="E26" s="15">
        <v>64.705882352941202</v>
      </c>
      <c r="F26" s="15">
        <v>64.705882352941202</v>
      </c>
      <c r="G26" s="26" t="s">
        <v>76</v>
      </c>
      <c r="H26" s="15">
        <v>33.3333333333333</v>
      </c>
      <c r="I26" s="15">
        <v>33.3333333333333</v>
      </c>
      <c r="J26" s="26" t="s">
        <v>76</v>
      </c>
      <c r="K26" s="20" t="s">
        <v>76</v>
      </c>
      <c r="L26" s="20" t="s">
        <v>76</v>
      </c>
      <c r="M26" s="26" t="s">
        <v>76</v>
      </c>
      <c r="N26" s="20" t="s">
        <v>76</v>
      </c>
      <c r="O26" s="20" t="s">
        <v>76</v>
      </c>
      <c r="P26" s="26" t="s">
        <v>76</v>
      </c>
    </row>
    <row r="27" spans="1:16">
      <c r="A27" s="9" t="s">
        <v>186</v>
      </c>
      <c r="B27" s="15">
        <v>43.478260869565197</v>
      </c>
      <c r="C27" s="15">
        <v>43.478260869565197</v>
      </c>
      <c r="D27" s="26" t="s">
        <v>76</v>
      </c>
      <c r="E27" s="15">
        <v>46.153846153846203</v>
      </c>
      <c r="F27" s="15">
        <v>46.153846153846203</v>
      </c>
      <c r="G27" s="26" t="s">
        <v>76</v>
      </c>
      <c r="H27" s="15">
        <v>42.105263157894697</v>
      </c>
      <c r="I27" s="15">
        <v>42.105263157894697</v>
      </c>
      <c r="J27" s="26" t="s">
        <v>76</v>
      </c>
      <c r="K27" s="20" t="s">
        <v>76</v>
      </c>
      <c r="L27" s="20" t="s">
        <v>76</v>
      </c>
      <c r="M27" s="26" t="s">
        <v>76</v>
      </c>
      <c r="N27" s="20" t="s">
        <v>76</v>
      </c>
      <c r="O27" s="20" t="s">
        <v>76</v>
      </c>
      <c r="P27" s="26" t="s">
        <v>76</v>
      </c>
    </row>
    <row r="28" spans="1:16">
      <c r="A28" s="9" t="s">
        <v>187</v>
      </c>
      <c r="B28" s="15">
        <v>47.945205479452099</v>
      </c>
      <c r="C28" s="15">
        <v>47.945205479452099</v>
      </c>
      <c r="D28" s="26" t="s">
        <v>76</v>
      </c>
      <c r="E28" s="15">
        <v>40</v>
      </c>
      <c r="F28" s="15">
        <v>40</v>
      </c>
      <c r="G28" s="26" t="s">
        <v>76</v>
      </c>
      <c r="H28" s="15">
        <v>56.756756756756801</v>
      </c>
      <c r="I28" s="15">
        <v>56.756756756756801</v>
      </c>
      <c r="J28" s="26" t="s">
        <v>76</v>
      </c>
      <c r="K28" s="20" t="s">
        <v>76</v>
      </c>
      <c r="L28" s="20" t="s">
        <v>76</v>
      </c>
      <c r="M28" s="26" t="s">
        <v>76</v>
      </c>
      <c r="N28" s="20" t="s">
        <v>76</v>
      </c>
      <c r="O28" s="20" t="s">
        <v>76</v>
      </c>
      <c r="P28" s="26" t="s">
        <v>76</v>
      </c>
    </row>
    <row r="29" spans="1:16">
      <c r="A29" s="9" t="s">
        <v>188</v>
      </c>
      <c r="B29" s="15">
        <v>43.589743589743598</v>
      </c>
      <c r="C29" s="15">
        <v>43.589743589743598</v>
      </c>
      <c r="D29" s="26" t="s">
        <v>76</v>
      </c>
      <c r="E29" s="15">
        <v>50</v>
      </c>
      <c r="F29" s="15">
        <v>50</v>
      </c>
      <c r="G29" s="26" t="s">
        <v>76</v>
      </c>
      <c r="H29" s="15">
        <v>38.636363636363598</v>
      </c>
      <c r="I29" s="15">
        <v>38.636363636363598</v>
      </c>
      <c r="J29" s="26" t="s">
        <v>76</v>
      </c>
      <c r="K29" s="20" t="s">
        <v>76</v>
      </c>
      <c r="L29" s="20" t="s">
        <v>76</v>
      </c>
      <c r="M29" s="26" t="s">
        <v>76</v>
      </c>
      <c r="N29" s="20" t="s">
        <v>76</v>
      </c>
      <c r="O29" s="20" t="s">
        <v>76</v>
      </c>
      <c r="P29" s="26" t="s">
        <v>76</v>
      </c>
    </row>
    <row r="30" spans="1:16">
      <c r="A30" s="9" t="s">
        <v>189</v>
      </c>
      <c r="B30" s="15">
        <v>41.975308641975303</v>
      </c>
      <c r="C30" s="15">
        <v>41.975308641975303</v>
      </c>
      <c r="D30" s="26" t="s">
        <v>76</v>
      </c>
      <c r="E30" s="15">
        <v>56.097560975609802</v>
      </c>
      <c r="F30" s="15">
        <v>56.097560975609802</v>
      </c>
      <c r="G30" s="26" t="s">
        <v>76</v>
      </c>
      <c r="H30" s="15">
        <v>28.205128205128201</v>
      </c>
      <c r="I30" s="15">
        <v>28.205128205128201</v>
      </c>
      <c r="J30" s="26" t="s">
        <v>76</v>
      </c>
      <c r="K30" s="20" t="s">
        <v>76</v>
      </c>
      <c r="L30" s="20" t="s">
        <v>76</v>
      </c>
      <c r="M30" s="26" t="s">
        <v>76</v>
      </c>
      <c r="N30" s="20" t="s">
        <v>76</v>
      </c>
      <c r="O30" s="20" t="s">
        <v>76</v>
      </c>
      <c r="P30" s="26" t="s">
        <v>76</v>
      </c>
    </row>
    <row r="31" spans="1:16">
      <c r="A31" s="9" t="s">
        <v>190</v>
      </c>
      <c r="B31" s="15">
        <v>47.368421052631597</v>
      </c>
      <c r="C31" s="15">
        <v>47.368421052631597</v>
      </c>
      <c r="D31" s="26" t="s">
        <v>76</v>
      </c>
      <c r="E31" s="15">
        <v>53.061224489795897</v>
      </c>
      <c r="F31" s="15">
        <v>53.061224489795897</v>
      </c>
      <c r="G31" s="26" t="s">
        <v>76</v>
      </c>
      <c r="H31" s="15">
        <v>41.304347826087003</v>
      </c>
      <c r="I31" s="15">
        <v>41.304347826087003</v>
      </c>
      <c r="J31" s="26" t="s">
        <v>76</v>
      </c>
      <c r="K31" s="20" t="s">
        <v>76</v>
      </c>
      <c r="L31" s="20" t="s">
        <v>76</v>
      </c>
      <c r="M31" s="26" t="s">
        <v>76</v>
      </c>
      <c r="N31" s="20" t="s">
        <v>76</v>
      </c>
      <c r="O31" s="20" t="s">
        <v>76</v>
      </c>
      <c r="P31" s="26" t="s">
        <v>76</v>
      </c>
    </row>
    <row r="32" spans="1:16">
      <c r="A32" s="9" t="s">
        <v>191</v>
      </c>
      <c r="B32" s="15">
        <v>45.9016393442623</v>
      </c>
      <c r="C32" s="15">
        <v>45.9016393442623</v>
      </c>
      <c r="D32" s="26" t="s">
        <v>76</v>
      </c>
      <c r="E32" s="15">
        <v>67.741935483871003</v>
      </c>
      <c r="F32" s="15">
        <v>67.741935483871003</v>
      </c>
      <c r="G32" s="26" t="s">
        <v>76</v>
      </c>
      <c r="H32" s="15">
        <v>23.3333333333333</v>
      </c>
      <c r="I32" s="15">
        <v>23.3333333333333</v>
      </c>
      <c r="J32" s="26" t="s">
        <v>76</v>
      </c>
      <c r="K32" s="20" t="s">
        <v>76</v>
      </c>
      <c r="L32" s="20" t="s">
        <v>76</v>
      </c>
      <c r="M32" s="26" t="s">
        <v>76</v>
      </c>
      <c r="N32" s="20" t="s">
        <v>76</v>
      </c>
      <c r="O32" s="20" t="s">
        <v>76</v>
      </c>
      <c r="P32" s="26" t="s">
        <v>76</v>
      </c>
    </row>
    <row r="33" spans="1:16">
      <c r="A33" s="9" t="s">
        <v>192</v>
      </c>
      <c r="B33" s="15">
        <v>78.3783783783784</v>
      </c>
      <c r="C33" s="15">
        <v>78.3783783783784</v>
      </c>
      <c r="D33" s="26" t="s">
        <v>76</v>
      </c>
      <c r="E33" s="15">
        <v>88.235294117647101</v>
      </c>
      <c r="F33" s="15">
        <v>88.235294117647101</v>
      </c>
      <c r="G33" s="26" t="s">
        <v>76</v>
      </c>
      <c r="H33" s="15">
        <v>66.6666666666667</v>
      </c>
      <c r="I33" s="15">
        <v>66.6666666666667</v>
      </c>
      <c r="J33" s="26" t="s">
        <v>76</v>
      </c>
      <c r="K33" s="20" t="s">
        <v>76</v>
      </c>
      <c r="L33" s="20" t="s">
        <v>76</v>
      </c>
      <c r="M33" s="26" t="s">
        <v>76</v>
      </c>
      <c r="N33" s="20" t="s">
        <v>76</v>
      </c>
      <c r="O33" s="20" t="s">
        <v>76</v>
      </c>
      <c r="P33" s="26" t="s">
        <v>76</v>
      </c>
    </row>
    <row r="34" spans="1:16" ht="21.95" customHeight="1">
      <c r="A34" s="22" t="s">
        <v>193</v>
      </c>
      <c r="B34" s="15">
        <v>47.658975307866001</v>
      </c>
      <c r="C34" s="20" t="s">
        <v>76</v>
      </c>
      <c r="D34" s="24">
        <v>47.658975307866001</v>
      </c>
      <c r="E34" s="15">
        <v>51.861068795176301</v>
      </c>
      <c r="F34" s="20" t="s">
        <v>76</v>
      </c>
      <c r="G34" s="24">
        <v>51.861068795176301</v>
      </c>
      <c r="H34" s="15">
        <v>44.627022452988598</v>
      </c>
      <c r="I34" s="20" t="s">
        <v>76</v>
      </c>
      <c r="J34" s="24">
        <v>44.627022452988598</v>
      </c>
      <c r="K34" s="20" t="s">
        <v>76</v>
      </c>
      <c r="L34" s="20" t="s">
        <v>76</v>
      </c>
      <c r="M34" s="26" t="s">
        <v>76</v>
      </c>
      <c r="N34" s="20" t="s">
        <v>76</v>
      </c>
      <c r="O34" s="20" t="s">
        <v>76</v>
      </c>
      <c r="P34" s="26" t="s">
        <v>76</v>
      </c>
    </row>
    <row r="35" spans="1:16">
      <c r="A35" s="9" t="s">
        <v>194</v>
      </c>
      <c r="B35" s="15">
        <v>41.610738255033603</v>
      </c>
      <c r="C35" s="20" t="s">
        <v>76</v>
      </c>
      <c r="D35" s="24">
        <v>41.610738255033603</v>
      </c>
      <c r="E35" s="15">
        <v>52.941176470588204</v>
      </c>
      <c r="F35" s="20" t="s">
        <v>76</v>
      </c>
      <c r="G35" s="24">
        <v>52.941176470588204</v>
      </c>
      <c r="H35" s="15">
        <v>34.751773049645401</v>
      </c>
      <c r="I35" s="20" t="s">
        <v>76</v>
      </c>
      <c r="J35" s="24">
        <v>34.751773049645401</v>
      </c>
      <c r="K35" s="20" t="s">
        <v>76</v>
      </c>
      <c r="L35" s="20" t="s">
        <v>76</v>
      </c>
      <c r="M35" s="26" t="s">
        <v>76</v>
      </c>
      <c r="N35" s="20" t="s">
        <v>76</v>
      </c>
      <c r="O35" s="20" t="s">
        <v>76</v>
      </c>
      <c r="P35" s="26" t="s">
        <v>76</v>
      </c>
    </row>
    <row r="36" spans="1:16">
      <c r="A36" s="9" t="s">
        <v>195</v>
      </c>
      <c r="B36" s="15">
        <v>48.967551622418902</v>
      </c>
      <c r="C36" s="20" t="s">
        <v>76</v>
      </c>
      <c r="D36" s="24">
        <v>48.967551622418902</v>
      </c>
      <c r="E36" s="15">
        <v>50.259067357512997</v>
      </c>
      <c r="F36" s="20" t="s">
        <v>76</v>
      </c>
      <c r="G36" s="24">
        <v>50.259067357512997</v>
      </c>
      <c r="H36" s="15">
        <v>47.761194029850699</v>
      </c>
      <c r="I36" s="20" t="s">
        <v>76</v>
      </c>
      <c r="J36" s="24">
        <v>47.761194029850699</v>
      </c>
      <c r="K36" s="20" t="s">
        <v>76</v>
      </c>
      <c r="L36" s="20" t="s">
        <v>76</v>
      </c>
      <c r="M36" s="26" t="s">
        <v>76</v>
      </c>
      <c r="N36" s="15">
        <v>62.5</v>
      </c>
      <c r="O36" s="20" t="s">
        <v>76</v>
      </c>
      <c r="P36" s="24">
        <v>62.5</v>
      </c>
    </row>
    <row r="37" spans="1:16">
      <c r="A37" s="9" t="s">
        <v>196</v>
      </c>
      <c r="B37" s="15">
        <v>36.283185840708001</v>
      </c>
      <c r="C37" s="20" t="s">
        <v>76</v>
      </c>
      <c r="D37" s="24">
        <v>36.283185840708001</v>
      </c>
      <c r="E37" s="15">
        <v>35.928143712574901</v>
      </c>
      <c r="F37" s="20" t="s">
        <v>76</v>
      </c>
      <c r="G37" s="24">
        <v>35.928143712574901</v>
      </c>
      <c r="H37" s="15">
        <v>37.037037037037003</v>
      </c>
      <c r="I37" s="20" t="s">
        <v>76</v>
      </c>
      <c r="J37" s="24">
        <v>37.037037037037003</v>
      </c>
      <c r="K37" s="20" t="s">
        <v>76</v>
      </c>
      <c r="L37" s="20" t="s">
        <v>76</v>
      </c>
      <c r="M37" s="26" t="s">
        <v>76</v>
      </c>
      <c r="N37" s="20" t="s">
        <v>76</v>
      </c>
      <c r="O37" s="20" t="s">
        <v>76</v>
      </c>
      <c r="P37" s="26" t="s">
        <v>76</v>
      </c>
    </row>
    <row r="38" spans="1:16">
      <c r="A38" s="9" t="s">
        <v>197</v>
      </c>
      <c r="B38" s="15">
        <v>34.256055363321799</v>
      </c>
      <c r="C38" s="20" t="s">
        <v>76</v>
      </c>
      <c r="D38" s="24">
        <v>34.256055363321799</v>
      </c>
      <c r="E38" s="15">
        <v>36.734693877551003</v>
      </c>
      <c r="F38" s="20" t="s">
        <v>76</v>
      </c>
      <c r="G38" s="24">
        <v>36.734693877551003</v>
      </c>
      <c r="H38" s="15">
        <v>33.582089552238799</v>
      </c>
      <c r="I38" s="20" t="s">
        <v>76</v>
      </c>
      <c r="J38" s="24">
        <v>33.582089552238799</v>
      </c>
      <c r="K38" s="20" t="s">
        <v>76</v>
      </c>
      <c r="L38" s="20" t="s">
        <v>76</v>
      </c>
      <c r="M38" s="26" t="s">
        <v>76</v>
      </c>
      <c r="N38" s="20" t="s">
        <v>76</v>
      </c>
      <c r="O38" s="20" t="s">
        <v>76</v>
      </c>
      <c r="P38" s="26" t="s">
        <v>76</v>
      </c>
    </row>
    <row r="39" spans="1:16">
      <c r="A39" s="9" t="s">
        <v>198</v>
      </c>
      <c r="B39" s="15">
        <v>50.837988826815597</v>
      </c>
      <c r="C39" s="20" t="s">
        <v>76</v>
      </c>
      <c r="D39" s="24">
        <v>50.837988826815597</v>
      </c>
      <c r="E39" s="15">
        <v>48.8888888888889</v>
      </c>
      <c r="F39" s="20" t="s">
        <v>76</v>
      </c>
      <c r="G39" s="24">
        <v>48.8888888888889</v>
      </c>
      <c r="H39" s="15">
        <v>55.5555555555556</v>
      </c>
      <c r="I39" s="20" t="s">
        <v>76</v>
      </c>
      <c r="J39" s="24">
        <v>55.5555555555556</v>
      </c>
      <c r="K39" s="20" t="s">
        <v>76</v>
      </c>
      <c r="L39" s="20" t="s">
        <v>76</v>
      </c>
      <c r="M39" s="26" t="s">
        <v>76</v>
      </c>
      <c r="N39" s="20" t="s">
        <v>76</v>
      </c>
      <c r="O39" s="20" t="s">
        <v>76</v>
      </c>
      <c r="P39" s="26" t="s">
        <v>76</v>
      </c>
    </row>
    <row r="40" spans="1:16">
      <c r="A40" s="9" t="s">
        <v>199</v>
      </c>
      <c r="B40" s="15">
        <v>60</v>
      </c>
      <c r="C40" s="20" t="s">
        <v>76</v>
      </c>
      <c r="D40" s="24">
        <v>60</v>
      </c>
      <c r="E40" s="15">
        <v>67.105263157894697</v>
      </c>
      <c r="F40" s="20" t="s">
        <v>76</v>
      </c>
      <c r="G40" s="24">
        <v>67.105263157894697</v>
      </c>
      <c r="H40" s="15">
        <v>53.529411764705898</v>
      </c>
      <c r="I40" s="20" t="s">
        <v>76</v>
      </c>
      <c r="J40" s="24">
        <v>53.529411764705898</v>
      </c>
      <c r="K40" s="20" t="s">
        <v>76</v>
      </c>
      <c r="L40" s="20" t="s">
        <v>76</v>
      </c>
      <c r="M40" s="26" t="s">
        <v>76</v>
      </c>
      <c r="N40" s="20" t="s">
        <v>76</v>
      </c>
      <c r="O40" s="20" t="s">
        <v>76</v>
      </c>
      <c r="P40" s="26" t="s">
        <v>76</v>
      </c>
    </row>
    <row r="41" spans="1:16">
      <c r="A41" s="11" t="s">
        <v>200</v>
      </c>
      <c r="B41" s="16">
        <v>58.544303797468402</v>
      </c>
      <c r="C41" s="28" t="s">
        <v>76</v>
      </c>
      <c r="D41" s="25">
        <v>58.544303797468402</v>
      </c>
      <c r="E41" s="16">
        <v>58.974358974358999</v>
      </c>
      <c r="F41" s="28" t="s">
        <v>76</v>
      </c>
      <c r="G41" s="25">
        <v>58.974358974358999</v>
      </c>
      <c r="H41" s="16">
        <v>58.620689655172399</v>
      </c>
      <c r="I41" s="28" t="s">
        <v>76</v>
      </c>
      <c r="J41" s="25">
        <v>58.620689655172399</v>
      </c>
      <c r="K41" s="28" t="s">
        <v>76</v>
      </c>
      <c r="L41" s="28" t="s">
        <v>76</v>
      </c>
      <c r="M41" s="29" t="s">
        <v>76</v>
      </c>
      <c r="N41" s="28" t="s">
        <v>76</v>
      </c>
      <c r="O41" s="28" t="s">
        <v>76</v>
      </c>
      <c r="P41" s="29" t="s">
        <v>76</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8"/>
  <sheetViews>
    <sheetView zoomScale="70" workbookViewId="0"/>
  </sheetViews>
  <sheetFormatPr defaultColWidth="10.88671875" defaultRowHeight="15"/>
  <cols>
    <col min="1" max="1" width="51.6640625" customWidth="1"/>
    <col min="2" max="5" width="15.88671875" customWidth="1"/>
  </cols>
  <sheetData>
    <row r="1" spans="1:5" ht="39.950000000000003" customHeight="1">
      <c r="A1" s="10" t="s">
        <v>202</v>
      </c>
      <c r="B1" s="12"/>
      <c r="C1" s="12"/>
      <c r="D1" s="12"/>
      <c r="E1" s="12"/>
    </row>
    <row r="2" spans="1:5" ht="30">
      <c r="A2" s="7" t="s">
        <v>52</v>
      </c>
      <c r="B2" s="6" t="s">
        <v>149</v>
      </c>
      <c r="C2" s="6" t="s">
        <v>150</v>
      </c>
      <c r="D2" s="6" t="s">
        <v>151</v>
      </c>
      <c r="E2" s="8" t="s">
        <v>152</v>
      </c>
    </row>
    <row r="3" spans="1:5" ht="21.95" customHeight="1">
      <c r="A3" s="22" t="s">
        <v>68</v>
      </c>
      <c r="B3" s="15">
        <v>35.541075826307697</v>
      </c>
      <c r="C3" s="15">
        <v>11.8395129915867</v>
      </c>
      <c r="D3" s="15">
        <v>13.149297573829401</v>
      </c>
      <c r="E3" s="24">
        <v>39.470113608276201</v>
      </c>
    </row>
    <row r="4" spans="1:5" ht="21.95" customHeight="1">
      <c r="A4" s="22" t="s">
        <v>69</v>
      </c>
      <c r="B4" s="15">
        <v>33.854688614232302</v>
      </c>
      <c r="C4" s="15">
        <v>11.273237644932401</v>
      </c>
      <c r="D4" s="15">
        <v>12.870961824108701</v>
      </c>
      <c r="E4" s="24">
        <v>42.0011119167266</v>
      </c>
    </row>
    <row r="5" spans="1:5" ht="21.95" customHeight="1">
      <c r="A5" s="22" t="s">
        <v>70</v>
      </c>
      <c r="B5" s="15">
        <v>30.368015133766502</v>
      </c>
      <c r="C5" s="15">
        <v>10.275429705514799</v>
      </c>
      <c r="D5" s="15">
        <v>13.3288867890845</v>
      </c>
      <c r="E5" s="24">
        <v>46.027668371634199</v>
      </c>
    </row>
    <row r="6" spans="1:5" ht="21.95" customHeight="1">
      <c r="A6" s="22" t="s">
        <v>165</v>
      </c>
      <c r="B6" s="15">
        <v>28.369741543640199</v>
      </c>
      <c r="C6" s="15">
        <v>12.7798029932605</v>
      </c>
      <c r="D6" s="15">
        <v>14.9240914769806</v>
      </c>
      <c r="E6" s="24">
        <v>43.926363986118702</v>
      </c>
    </row>
    <row r="7" spans="1:5">
      <c r="A7" s="9" t="s">
        <v>166</v>
      </c>
      <c r="B7" s="15">
        <v>47.9166666666667</v>
      </c>
      <c r="C7" s="15">
        <v>18.75</v>
      </c>
      <c r="D7" s="15">
        <v>12.5</v>
      </c>
      <c r="E7" s="24">
        <v>20.8333333333333</v>
      </c>
    </row>
    <row r="8" spans="1:5">
      <c r="A8" s="9" t="s">
        <v>167</v>
      </c>
      <c r="B8" s="15">
        <v>23.880597014925399</v>
      </c>
      <c r="C8" s="15">
        <v>11.9402985074627</v>
      </c>
      <c r="D8" s="15">
        <v>14.9253731343284</v>
      </c>
      <c r="E8" s="24">
        <v>49.253731343283597</v>
      </c>
    </row>
    <row r="9" spans="1:5">
      <c r="A9" s="9" t="s">
        <v>168</v>
      </c>
      <c r="B9" s="15">
        <v>17.0731707317073</v>
      </c>
      <c r="C9" s="15">
        <v>12.1951219512195</v>
      </c>
      <c r="D9" s="15">
        <v>12.1951219512195</v>
      </c>
      <c r="E9" s="24">
        <v>58.536585365853703</v>
      </c>
    </row>
    <row r="10" spans="1:5">
      <c r="A10" s="9" t="s">
        <v>169</v>
      </c>
      <c r="B10" s="15">
        <v>12.5</v>
      </c>
      <c r="C10" s="20" t="s">
        <v>76</v>
      </c>
      <c r="D10" s="15">
        <v>20</v>
      </c>
      <c r="E10" s="24">
        <v>62.5</v>
      </c>
    </row>
    <row r="11" spans="1:5">
      <c r="A11" s="9" t="s">
        <v>170</v>
      </c>
      <c r="B11" s="15">
        <v>23.456790123456798</v>
      </c>
      <c r="C11" s="15">
        <v>12.3456790123457</v>
      </c>
      <c r="D11" s="15">
        <v>14.814814814814801</v>
      </c>
      <c r="E11" s="24">
        <v>49.382716049382701</v>
      </c>
    </row>
    <row r="12" spans="1:5">
      <c r="A12" s="9" t="s">
        <v>171</v>
      </c>
      <c r="B12" s="15">
        <v>16</v>
      </c>
      <c r="C12" s="15">
        <v>10</v>
      </c>
      <c r="D12" s="15">
        <v>36</v>
      </c>
      <c r="E12" s="24">
        <v>38</v>
      </c>
    </row>
    <row r="13" spans="1:5">
      <c r="A13" s="9" t="s">
        <v>172</v>
      </c>
      <c r="B13" s="15">
        <v>46.09375</v>
      </c>
      <c r="C13" s="15">
        <v>9.375</v>
      </c>
      <c r="D13" s="15">
        <v>12.5</v>
      </c>
      <c r="E13" s="24">
        <v>32.03125</v>
      </c>
    </row>
    <row r="14" spans="1:5">
      <c r="A14" s="9" t="s">
        <v>173</v>
      </c>
      <c r="B14" s="15">
        <v>42.647058823529399</v>
      </c>
      <c r="C14" s="15">
        <v>11.764705882352899</v>
      </c>
      <c r="D14" s="15">
        <v>16.176470588235301</v>
      </c>
      <c r="E14" s="24">
        <v>29.411764705882401</v>
      </c>
    </row>
    <row r="15" spans="1:5">
      <c r="A15" s="9" t="s">
        <v>174</v>
      </c>
      <c r="B15" s="15">
        <v>12.244897959183699</v>
      </c>
      <c r="C15" s="15">
        <v>12.244897959183699</v>
      </c>
      <c r="D15" s="15">
        <v>30.612244897959201</v>
      </c>
      <c r="E15" s="24">
        <v>44.8979591836735</v>
      </c>
    </row>
    <row r="16" spans="1:5">
      <c r="A16" s="9" t="s">
        <v>175</v>
      </c>
      <c r="B16" s="15">
        <v>33.3333333333333</v>
      </c>
      <c r="C16" s="15">
        <v>14.285714285714301</v>
      </c>
      <c r="D16" s="15">
        <v>11.9047619047619</v>
      </c>
      <c r="E16" s="24">
        <v>40.476190476190503</v>
      </c>
    </row>
    <row r="17" spans="1:5">
      <c r="A17" s="9" t="s">
        <v>176</v>
      </c>
      <c r="B17" s="15">
        <v>36.296296296296298</v>
      </c>
      <c r="C17" s="15">
        <v>17.037037037036999</v>
      </c>
      <c r="D17" s="15">
        <v>18.518518518518501</v>
      </c>
      <c r="E17" s="24">
        <v>28.148148148148099</v>
      </c>
    </row>
    <row r="18" spans="1:5">
      <c r="A18" s="9" t="s">
        <v>177</v>
      </c>
      <c r="B18" s="15">
        <v>13.3333333333333</v>
      </c>
      <c r="C18" s="15">
        <v>8.3333333333333304</v>
      </c>
      <c r="D18" s="15">
        <v>11.6666666666667</v>
      </c>
      <c r="E18" s="24">
        <v>66.6666666666667</v>
      </c>
    </row>
    <row r="19" spans="1:5">
      <c r="A19" s="9" t="s">
        <v>178</v>
      </c>
      <c r="B19" s="15">
        <v>34.065934065934101</v>
      </c>
      <c r="C19" s="15">
        <v>14.285714285714301</v>
      </c>
      <c r="D19" s="15">
        <v>15.384615384615399</v>
      </c>
      <c r="E19" s="24">
        <v>36.263736263736298</v>
      </c>
    </row>
    <row r="20" spans="1:5">
      <c r="A20" s="9" t="s">
        <v>179</v>
      </c>
      <c r="B20" s="15">
        <v>44</v>
      </c>
      <c r="C20" s="15">
        <v>13</v>
      </c>
      <c r="D20" s="15">
        <v>7</v>
      </c>
      <c r="E20" s="24">
        <v>36</v>
      </c>
    </row>
    <row r="21" spans="1:5">
      <c r="A21" s="9" t="s">
        <v>180</v>
      </c>
      <c r="B21" s="15">
        <v>21.2121212121212</v>
      </c>
      <c r="C21" s="15">
        <v>15.1515151515152</v>
      </c>
      <c r="D21" s="20" t="s">
        <v>76</v>
      </c>
      <c r="E21" s="24">
        <v>51.515151515151501</v>
      </c>
    </row>
    <row r="22" spans="1:5">
      <c r="A22" s="9" t="s">
        <v>181</v>
      </c>
      <c r="B22" s="15">
        <v>25.531914893617</v>
      </c>
      <c r="C22" s="15">
        <v>17.021276595744698</v>
      </c>
      <c r="D22" s="15">
        <v>19.148936170212799</v>
      </c>
      <c r="E22" s="24">
        <v>38.297872340425499</v>
      </c>
    </row>
    <row r="23" spans="1:5">
      <c r="A23" s="9" t="s">
        <v>182</v>
      </c>
      <c r="B23" s="15">
        <v>16.6666666666667</v>
      </c>
      <c r="C23" s="15">
        <v>11.1111111111111</v>
      </c>
      <c r="D23" s="15">
        <v>14.814814814814801</v>
      </c>
      <c r="E23" s="24">
        <v>57.407407407407398</v>
      </c>
    </row>
    <row r="24" spans="1:5">
      <c r="A24" s="9" t="s">
        <v>183</v>
      </c>
      <c r="B24" s="15">
        <v>21.428571428571399</v>
      </c>
      <c r="C24" s="15">
        <v>21.428571428571399</v>
      </c>
      <c r="D24" s="15">
        <v>23.214285714285701</v>
      </c>
      <c r="E24" s="24">
        <v>33.928571428571402</v>
      </c>
    </row>
    <row r="25" spans="1:5">
      <c r="A25" s="9" t="s">
        <v>184</v>
      </c>
      <c r="B25" s="15">
        <v>8.6538461538461497</v>
      </c>
      <c r="C25" s="15">
        <v>8.6538461538461497</v>
      </c>
      <c r="D25" s="15">
        <v>8.6538461538461497</v>
      </c>
      <c r="E25" s="24">
        <v>74.038461538461505</v>
      </c>
    </row>
    <row r="26" spans="1:5">
      <c r="A26" s="9" t="s">
        <v>185</v>
      </c>
      <c r="B26" s="15">
        <v>21.951219512195099</v>
      </c>
      <c r="C26" s="15">
        <v>19.512195121951201</v>
      </c>
      <c r="D26" s="15">
        <v>12.1951219512195</v>
      </c>
      <c r="E26" s="24">
        <v>46.341463414634099</v>
      </c>
    </row>
    <row r="27" spans="1:5">
      <c r="A27" s="9" t="s">
        <v>186</v>
      </c>
      <c r="B27" s="15">
        <v>36.956521739130402</v>
      </c>
      <c r="C27" s="15">
        <v>10.869565217391299</v>
      </c>
      <c r="D27" s="20" t="s">
        <v>76</v>
      </c>
      <c r="E27" s="24">
        <v>43.478260869565197</v>
      </c>
    </row>
    <row r="28" spans="1:5">
      <c r="A28" s="9" t="s">
        <v>187</v>
      </c>
      <c r="B28" s="15">
        <v>31.5068493150685</v>
      </c>
      <c r="C28" s="20" t="s">
        <v>76</v>
      </c>
      <c r="D28" s="15">
        <v>15.068493150684899</v>
      </c>
      <c r="E28" s="24">
        <v>47.945205479452099</v>
      </c>
    </row>
    <row r="29" spans="1:5">
      <c r="A29" s="9" t="s">
        <v>188</v>
      </c>
      <c r="B29" s="15">
        <v>21.794871794871799</v>
      </c>
      <c r="C29" s="15">
        <v>19.230769230769202</v>
      </c>
      <c r="D29" s="15">
        <v>15.384615384615399</v>
      </c>
      <c r="E29" s="24">
        <v>43.589743589743598</v>
      </c>
    </row>
    <row r="30" spans="1:5">
      <c r="A30" s="9" t="s">
        <v>189</v>
      </c>
      <c r="B30" s="15">
        <v>28.395061728395099</v>
      </c>
      <c r="C30" s="15">
        <v>11.1111111111111</v>
      </c>
      <c r="D30" s="15">
        <v>18.518518518518501</v>
      </c>
      <c r="E30" s="24">
        <v>41.975308641975303</v>
      </c>
    </row>
    <row r="31" spans="1:5">
      <c r="A31" s="9" t="s">
        <v>190</v>
      </c>
      <c r="B31" s="15">
        <v>18.947368421052602</v>
      </c>
      <c r="C31" s="15">
        <v>11.578947368421099</v>
      </c>
      <c r="D31" s="15">
        <v>22.105263157894701</v>
      </c>
      <c r="E31" s="24">
        <v>47.368421052631597</v>
      </c>
    </row>
    <row r="32" spans="1:5">
      <c r="A32" s="9" t="s">
        <v>191</v>
      </c>
      <c r="B32" s="15">
        <v>27.868852459016399</v>
      </c>
      <c r="C32" s="15">
        <v>21.311475409836099</v>
      </c>
      <c r="D32" s="20" t="s">
        <v>76</v>
      </c>
      <c r="E32" s="24">
        <v>45.9016393442623</v>
      </c>
    </row>
    <row r="33" spans="1:5">
      <c r="A33" s="9" t="s">
        <v>192</v>
      </c>
      <c r="B33" s="20" t="s">
        <v>76</v>
      </c>
      <c r="C33" s="20" t="s">
        <v>76</v>
      </c>
      <c r="D33" s="20" t="s">
        <v>76</v>
      </c>
      <c r="E33" s="24">
        <v>78.3783783783784</v>
      </c>
    </row>
    <row r="34" spans="1:5" ht="21.95" customHeight="1">
      <c r="A34" s="22" t="s">
        <v>193</v>
      </c>
      <c r="B34" s="15">
        <v>31.9193361087437</v>
      </c>
      <c r="C34" s="15">
        <v>8.3312080385473202</v>
      </c>
      <c r="D34" s="15">
        <v>12.090480544843</v>
      </c>
      <c r="E34" s="24">
        <v>47.658975307866001</v>
      </c>
    </row>
    <row r="35" spans="1:5">
      <c r="A35" s="9" t="s">
        <v>194</v>
      </c>
      <c r="B35" s="15">
        <v>35.906040268456401</v>
      </c>
      <c r="C35" s="15">
        <v>11.744966442953</v>
      </c>
      <c r="D35" s="15">
        <v>10.738255033557</v>
      </c>
      <c r="E35" s="24">
        <v>41.610738255033603</v>
      </c>
    </row>
    <row r="36" spans="1:5">
      <c r="A36" s="9" t="s">
        <v>195</v>
      </c>
      <c r="B36" s="15">
        <v>31.268436578171102</v>
      </c>
      <c r="C36" s="15">
        <v>7.9646017699114999</v>
      </c>
      <c r="D36" s="15">
        <v>11.7994100294985</v>
      </c>
      <c r="E36" s="24">
        <v>48.967551622418902</v>
      </c>
    </row>
    <row r="37" spans="1:5">
      <c r="A37" s="9" t="s">
        <v>196</v>
      </c>
      <c r="B37" s="15">
        <v>41.297935103244797</v>
      </c>
      <c r="C37" s="15">
        <v>7.0796460176991101</v>
      </c>
      <c r="D37" s="15">
        <v>15.3392330383481</v>
      </c>
      <c r="E37" s="24">
        <v>36.283185840708001</v>
      </c>
    </row>
    <row r="38" spans="1:5">
      <c r="A38" s="9" t="s">
        <v>197</v>
      </c>
      <c r="B38" s="15">
        <v>40.138408304498299</v>
      </c>
      <c r="C38" s="15">
        <v>13.4948096885813</v>
      </c>
      <c r="D38" s="15">
        <v>12.1107266435986</v>
      </c>
      <c r="E38" s="24">
        <v>34.256055363321799</v>
      </c>
    </row>
    <row r="39" spans="1:5">
      <c r="A39" s="9" t="s">
        <v>198</v>
      </c>
      <c r="B39" s="15">
        <v>26.815642458100601</v>
      </c>
      <c r="C39" s="15">
        <v>10.055865921787699</v>
      </c>
      <c r="D39" s="15">
        <v>12.290502793296101</v>
      </c>
      <c r="E39" s="24">
        <v>50.837988826815597</v>
      </c>
    </row>
    <row r="40" spans="1:5">
      <c r="A40" s="9" t="s">
        <v>199</v>
      </c>
      <c r="B40" s="15">
        <v>23.076923076923102</v>
      </c>
      <c r="C40" s="15">
        <v>6.4615384615384599</v>
      </c>
      <c r="D40" s="15">
        <v>10.461538461538501</v>
      </c>
      <c r="E40" s="24">
        <v>60</v>
      </c>
    </row>
    <row r="41" spans="1:5">
      <c r="A41" s="11" t="s">
        <v>200</v>
      </c>
      <c r="B41" s="16">
        <v>22.7848101265823</v>
      </c>
      <c r="C41" s="16">
        <v>6.0126582278480996</v>
      </c>
      <c r="D41" s="16">
        <v>12.6582278481013</v>
      </c>
      <c r="E41" s="25">
        <v>58.544303797468402</v>
      </c>
    </row>
    <row r="42" spans="1:5" ht="30" customHeight="1">
      <c r="A42" t="s">
        <v>201</v>
      </c>
    </row>
    <row r="43" spans="1:5">
      <c r="A43" t="s">
        <v>143</v>
      </c>
    </row>
    <row r="44" spans="1:5">
      <c r="A44" t="s">
        <v>144</v>
      </c>
    </row>
    <row r="45" spans="1:5">
      <c r="A45" t="s">
        <v>145</v>
      </c>
    </row>
    <row r="46" spans="1:5">
      <c r="A46" t="s">
        <v>146</v>
      </c>
    </row>
    <row r="47" spans="1:5">
      <c r="A47" t="s">
        <v>147</v>
      </c>
    </row>
    <row r="48" spans="1:5">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203</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5" customHeight="1">
      <c r="A4" s="22" t="s">
        <v>69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76</v>
      </c>
      <c r="M4" s="24">
        <v>25.362298037729101</v>
      </c>
      <c r="N4" s="15">
        <v>26.4082166518265</v>
      </c>
      <c r="O4" s="15">
        <v>29.034209237225198</v>
      </c>
      <c r="P4" s="24">
        <v>24.3514067839128</v>
      </c>
    </row>
    <row r="5" spans="1:16" ht="21.95" customHeight="1">
      <c r="A5" s="22" t="s">
        <v>70</v>
      </c>
      <c r="B5" s="15">
        <v>44.254600270180298</v>
      </c>
      <c r="C5" s="15">
        <v>47.738432976882301</v>
      </c>
      <c r="D5" s="24">
        <v>41.549994265315398</v>
      </c>
      <c r="E5" s="15">
        <v>44.018736666641097</v>
      </c>
      <c r="F5" s="15">
        <v>50.144049017967703</v>
      </c>
      <c r="G5" s="24">
        <v>39.069814022452498</v>
      </c>
      <c r="H5" s="15">
        <v>45.0482429692889</v>
      </c>
      <c r="I5" s="15">
        <v>45.681255555474898</v>
      </c>
      <c r="J5" s="24">
        <v>44.557418665345303</v>
      </c>
      <c r="K5" s="20" t="s">
        <v>76</v>
      </c>
      <c r="L5" s="20" t="s">
        <v>76</v>
      </c>
      <c r="M5" s="26" t="s">
        <v>76</v>
      </c>
      <c r="N5" s="20" t="s">
        <v>76</v>
      </c>
      <c r="O5" s="20" t="s">
        <v>76</v>
      </c>
      <c r="P5" s="26" t="s">
        <v>76</v>
      </c>
    </row>
    <row r="6" spans="1:16" ht="21.95" customHeight="1">
      <c r="A6" s="22" t="s">
        <v>165</v>
      </c>
      <c r="B6" s="15">
        <v>47.738432976882301</v>
      </c>
      <c r="C6" s="15">
        <v>47.738432976882301</v>
      </c>
      <c r="D6" s="26" t="s">
        <v>76</v>
      </c>
      <c r="E6" s="15">
        <v>50.144049017967703</v>
      </c>
      <c r="F6" s="15">
        <v>50.144049017967703</v>
      </c>
      <c r="G6" s="26" t="s">
        <v>76</v>
      </c>
      <c r="H6" s="15">
        <v>45.681255555474898</v>
      </c>
      <c r="I6" s="15">
        <v>45.681255555474898</v>
      </c>
      <c r="J6" s="26" t="s">
        <v>76</v>
      </c>
      <c r="K6" s="20" t="s">
        <v>76</v>
      </c>
      <c r="L6" s="20" t="s">
        <v>76</v>
      </c>
      <c r="M6" s="26" t="s">
        <v>76</v>
      </c>
      <c r="N6" s="20" t="s">
        <v>76</v>
      </c>
      <c r="O6" s="20" t="s">
        <v>76</v>
      </c>
      <c r="P6" s="26" t="s">
        <v>76</v>
      </c>
    </row>
    <row r="7" spans="1:16">
      <c r="A7" s="9" t="s">
        <v>166</v>
      </c>
      <c r="B7" s="15">
        <v>19.7916666666667</v>
      </c>
      <c r="C7" s="15">
        <v>19.7916666666667</v>
      </c>
      <c r="D7" s="26" t="s">
        <v>76</v>
      </c>
      <c r="E7" s="15">
        <v>22.9166666666667</v>
      </c>
      <c r="F7" s="15">
        <v>22.9166666666667</v>
      </c>
      <c r="G7" s="26" t="s">
        <v>76</v>
      </c>
      <c r="H7" s="15">
        <v>16.6666666666667</v>
      </c>
      <c r="I7" s="15">
        <v>16.6666666666667</v>
      </c>
      <c r="J7" s="26" t="s">
        <v>76</v>
      </c>
      <c r="K7" s="20" t="s">
        <v>76</v>
      </c>
      <c r="L7" s="20" t="s">
        <v>76</v>
      </c>
      <c r="M7" s="26" t="s">
        <v>76</v>
      </c>
      <c r="N7" s="20" t="s">
        <v>76</v>
      </c>
      <c r="O7" s="20" t="s">
        <v>76</v>
      </c>
      <c r="P7" s="26" t="s">
        <v>76</v>
      </c>
    </row>
    <row r="8" spans="1:16">
      <c r="A8" s="9" t="s">
        <v>167</v>
      </c>
      <c r="B8" s="15">
        <v>38.805970149253703</v>
      </c>
      <c r="C8" s="15">
        <v>38.805970149253703</v>
      </c>
      <c r="D8" s="26" t="s">
        <v>76</v>
      </c>
      <c r="E8" s="15">
        <v>41.379310344827601</v>
      </c>
      <c r="F8" s="15">
        <v>41.379310344827601</v>
      </c>
      <c r="G8" s="26" t="s">
        <v>76</v>
      </c>
      <c r="H8" s="15">
        <v>36.842105263157897</v>
      </c>
      <c r="I8" s="15">
        <v>36.842105263157897</v>
      </c>
      <c r="J8" s="26" t="s">
        <v>76</v>
      </c>
      <c r="K8" s="20" t="s">
        <v>76</v>
      </c>
      <c r="L8" s="20" t="s">
        <v>76</v>
      </c>
      <c r="M8" s="26" t="s">
        <v>76</v>
      </c>
      <c r="N8" s="20" t="s">
        <v>76</v>
      </c>
      <c r="O8" s="20" t="s">
        <v>76</v>
      </c>
      <c r="P8" s="26" t="s">
        <v>76</v>
      </c>
    </row>
    <row r="9" spans="1:16">
      <c r="A9" s="9" t="s">
        <v>168</v>
      </c>
      <c r="B9" s="15">
        <v>51.219512195122</v>
      </c>
      <c r="C9" s="15">
        <v>51.219512195122</v>
      </c>
      <c r="D9" s="26" t="s">
        <v>76</v>
      </c>
      <c r="E9" s="15">
        <v>55</v>
      </c>
      <c r="F9" s="15">
        <v>55</v>
      </c>
      <c r="G9" s="26" t="s">
        <v>76</v>
      </c>
      <c r="H9" s="15">
        <v>46.341463414634099</v>
      </c>
      <c r="I9" s="15">
        <v>46.341463414634099</v>
      </c>
      <c r="J9" s="26" t="s">
        <v>76</v>
      </c>
      <c r="K9" s="20" t="s">
        <v>76</v>
      </c>
      <c r="L9" s="20" t="s">
        <v>76</v>
      </c>
      <c r="M9" s="26" t="s">
        <v>76</v>
      </c>
      <c r="N9" s="20" t="s">
        <v>76</v>
      </c>
      <c r="O9" s="20" t="s">
        <v>76</v>
      </c>
      <c r="P9" s="26" t="s">
        <v>76</v>
      </c>
    </row>
    <row r="10" spans="1:16">
      <c r="A10" s="9" t="s">
        <v>169</v>
      </c>
      <c r="B10" s="15">
        <v>87.5</v>
      </c>
      <c r="C10" s="15">
        <v>87.5</v>
      </c>
      <c r="D10" s="26" t="s">
        <v>76</v>
      </c>
      <c r="E10" s="15">
        <v>88.235294117647101</v>
      </c>
      <c r="F10" s="15">
        <v>88.235294117647101</v>
      </c>
      <c r="G10" s="26" t="s">
        <v>76</v>
      </c>
      <c r="H10" s="15">
        <v>86.956521739130395</v>
      </c>
      <c r="I10" s="15">
        <v>86.956521739130395</v>
      </c>
      <c r="J10" s="26" t="s">
        <v>76</v>
      </c>
      <c r="K10" s="20" t="s">
        <v>76</v>
      </c>
      <c r="L10" s="20" t="s">
        <v>76</v>
      </c>
      <c r="M10" s="26" t="s">
        <v>76</v>
      </c>
      <c r="N10" s="20" t="s">
        <v>76</v>
      </c>
      <c r="O10" s="20" t="s">
        <v>76</v>
      </c>
      <c r="P10" s="26" t="s">
        <v>76</v>
      </c>
    </row>
    <row r="11" spans="1:16">
      <c r="A11" s="9" t="s">
        <v>170</v>
      </c>
      <c r="B11" s="15">
        <v>35.802469135802497</v>
      </c>
      <c r="C11" s="15">
        <v>35.802469135802497</v>
      </c>
      <c r="D11" s="26" t="s">
        <v>76</v>
      </c>
      <c r="E11" s="15">
        <v>26.829268292682901</v>
      </c>
      <c r="F11" s="15">
        <v>26.829268292682901</v>
      </c>
      <c r="G11" s="26" t="s">
        <v>76</v>
      </c>
      <c r="H11" s="15">
        <v>45.945945945945901</v>
      </c>
      <c r="I11" s="15">
        <v>45.945945945945901</v>
      </c>
      <c r="J11" s="26" t="s">
        <v>76</v>
      </c>
      <c r="K11" s="20" t="s">
        <v>76</v>
      </c>
      <c r="L11" s="20" t="s">
        <v>76</v>
      </c>
      <c r="M11" s="26" t="s">
        <v>76</v>
      </c>
      <c r="N11" s="20" t="s">
        <v>76</v>
      </c>
      <c r="O11" s="20" t="s">
        <v>76</v>
      </c>
      <c r="P11" s="26" t="s">
        <v>76</v>
      </c>
    </row>
    <row r="12" spans="1:16">
      <c r="A12" s="9" t="s">
        <v>171</v>
      </c>
      <c r="B12" s="15">
        <v>66</v>
      </c>
      <c r="C12" s="15">
        <v>66</v>
      </c>
      <c r="D12" s="26" t="s">
        <v>76</v>
      </c>
      <c r="E12" s="15">
        <v>54.1666666666667</v>
      </c>
      <c r="F12" s="15">
        <v>54.1666666666667</v>
      </c>
      <c r="G12" s="26" t="s">
        <v>76</v>
      </c>
      <c r="H12" s="15">
        <v>76.923076923076906</v>
      </c>
      <c r="I12" s="15">
        <v>76.923076923076906</v>
      </c>
      <c r="J12" s="26" t="s">
        <v>76</v>
      </c>
      <c r="K12" s="20" t="s">
        <v>76</v>
      </c>
      <c r="L12" s="20" t="s">
        <v>76</v>
      </c>
      <c r="M12" s="26" t="s">
        <v>76</v>
      </c>
      <c r="N12" s="20" t="s">
        <v>76</v>
      </c>
      <c r="O12" s="20" t="s">
        <v>76</v>
      </c>
      <c r="P12" s="26" t="s">
        <v>76</v>
      </c>
    </row>
    <row r="13" spans="1:16">
      <c r="A13" s="9" t="s">
        <v>172</v>
      </c>
      <c r="B13" s="15">
        <v>38.28125</v>
      </c>
      <c r="C13" s="15">
        <v>38.28125</v>
      </c>
      <c r="D13" s="26" t="s">
        <v>76</v>
      </c>
      <c r="E13" s="15">
        <v>40.625</v>
      </c>
      <c r="F13" s="15">
        <v>40.625</v>
      </c>
      <c r="G13" s="26" t="s">
        <v>76</v>
      </c>
      <c r="H13" s="15">
        <v>37.288135593220296</v>
      </c>
      <c r="I13" s="15">
        <v>37.288135593220296</v>
      </c>
      <c r="J13" s="26" t="s">
        <v>76</v>
      </c>
      <c r="K13" s="20" t="s">
        <v>76</v>
      </c>
      <c r="L13" s="20" t="s">
        <v>76</v>
      </c>
      <c r="M13" s="26" t="s">
        <v>76</v>
      </c>
      <c r="N13" s="20" t="s">
        <v>76</v>
      </c>
      <c r="O13" s="20" t="s">
        <v>76</v>
      </c>
      <c r="P13" s="26" t="s">
        <v>76</v>
      </c>
    </row>
    <row r="14" spans="1:16">
      <c r="A14" s="9" t="s">
        <v>173</v>
      </c>
      <c r="B14" s="15">
        <v>29.411764705882401</v>
      </c>
      <c r="C14" s="15">
        <v>29.411764705882401</v>
      </c>
      <c r="D14" s="26" t="s">
        <v>76</v>
      </c>
      <c r="E14" s="15">
        <v>32.352941176470601</v>
      </c>
      <c r="F14" s="15">
        <v>32.352941176470601</v>
      </c>
      <c r="G14" s="26" t="s">
        <v>76</v>
      </c>
      <c r="H14" s="15">
        <v>27.272727272727298</v>
      </c>
      <c r="I14" s="15">
        <v>27.272727272727298</v>
      </c>
      <c r="J14" s="26" t="s">
        <v>76</v>
      </c>
      <c r="K14" s="20" t="s">
        <v>76</v>
      </c>
      <c r="L14" s="20" t="s">
        <v>76</v>
      </c>
      <c r="M14" s="26" t="s">
        <v>76</v>
      </c>
      <c r="N14" s="20" t="s">
        <v>76</v>
      </c>
      <c r="O14" s="20" t="s">
        <v>76</v>
      </c>
      <c r="P14" s="26" t="s">
        <v>76</v>
      </c>
    </row>
    <row r="15" spans="1:16">
      <c r="A15" s="9" t="s">
        <v>174</v>
      </c>
      <c r="B15" s="15">
        <v>46.938775510204103</v>
      </c>
      <c r="C15" s="15">
        <v>46.938775510204103</v>
      </c>
      <c r="D15" s="26" t="s">
        <v>76</v>
      </c>
      <c r="E15" s="15">
        <v>48.148148148148103</v>
      </c>
      <c r="F15" s="15">
        <v>48.148148148148103</v>
      </c>
      <c r="G15" s="26" t="s">
        <v>76</v>
      </c>
      <c r="H15" s="15">
        <v>45.454545454545503</v>
      </c>
      <c r="I15" s="15">
        <v>45.454545454545503</v>
      </c>
      <c r="J15" s="26" t="s">
        <v>76</v>
      </c>
      <c r="K15" s="20" t="s">
        <v>76</v>
      </c>
      <c r="L15" s="20" t="s">
        <v>76</v>
      </c>
      <c r="M15" s="26" t="s">
        <v>76</v>
      </c>
      <c r="N15" s="20" t="s">
        <v>76</v>
      </c>
      <c r="O15" s="20" t="s">
        <v>76</v>
      </c>
      <c r="P15" s="26" t="s">
        <v>76</v>
      </c>
    </row>
    <row r="16" spans="1:16">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c r="A17" s="9" t="s">
        <v>176</v>
      </c>
      <c r="B17" s="15">
        <v>29.629629629629601</v>
      </c>
      <c r="C17" s="15">
        <v>29.629629629629601</v>
      </c>
      <c r="D17" s="26" t="s">
        <v>76</v>
      </c>
      <c r="E17" s="15">
        <v>35.294117647058798</v>
      </c>
      <c r="F17" s="15">
        <v>35.294117647058798</v>
      </c>
      <c r="G17" s="26" t="s">
        <v>76</v>
      </c>
      <c r="H17" s="15">
        <v>22.580645161290299</v>
      </c>
      <c r="I17" s="15">
        <v>22.580645161290299</v>
      </c>
      <c r="J17" s="26" t="s">
        <v>76</v>
      </c>
      <c r="K17" s="20" t="s">
        <v>76</v>
      </c>
      <c r="L17" s="20" t="s">
        <v>76</v>
      </c>
      <c r="M17" s="26" t="s">
        <v>76</v>
      </c>
      <c r="N17" s="20" t="s">
        <v>76</v>
      </c>
      <c r="O17" s="20" t="s">
        <v>76</v>
      </c>
      <c r="P17" s="26" t="s">
        <v>76</v>
      </c>
    </row>
    <row r="18" spans="1:16">
      <c r="A18" s="9" t="s">
        <v>177</v>
      </c>
      <c r="B18" s="15">
        <v>66.6666666666667</v>
      </c>
      <c r="C18" s="15">
        <v>66.6666666666667</v>
      </c>
      <c r="D18" s="26" t="s">
        <v>76</v>
      </c>
      <c r="E18" s="15">
        <v>65.625</v>
      </c>
      <c r="F18" s="15">
        <v>65.625</v>
      </c>
      <c r="G18" s="26" t="s">
        <v>76</v>
      </c>
      <c r="H18" s="15">
        <v>66.6666666666667</v>
      </c>
      <c r="I18" s="15">
        <v>66.6666666666667</v>
      </c>
      <c r="J18" s="26" t="s">
        <v>76</v>
      </c>
      <c r="K18" s="20" t="s">
        <v>76</v>
      </c>
      <c r="L18" s="20" t="s">
        <v>76</v>
      </c>
      <c r="M18" s="26" t="s">
        <v>76</v>
      </c>
      <c r="N18" s="20" t="s">
        <v>76</v>
      </c>
      <c r="O18" s="20" t="s">
        <v>76</v>
      </c>
      <c r="P18" s="26" t="s">
        <v>76</v>
      </c>
    </row>
    <row r="19" spans="1:16">
      <c r="A19" s="9" t="s">
        <v>178</v>
      </c>
      <c r="B19" s="15">
        <v>59.3406593406593</v>
      </c>
      <c r="C19" s="15">
        <v>59.3406593406593</v>
      </c>
      <c r="D19" s="26" t="s">
        <v>76</v>
      </c>
      <c r="E19" s="15">
        <v>61.363636363636402</v>
      </c>
      <c r="F19" s="15">
        <v>61.363636363636402</v>
      </c>
      <c r="G19" s="26" t="s">
        <v>76</v>
      </c>
      <c r="H19" s="15">
        <v>60</v>
      </c>
      <c r="I19" s="15">
        <v>60</v>
      </c>
      <c r="J19" s="26" t="s">
        <v>76</v>
      </c>
      <c r="K19" s="20" t="s">
        <v>76</v>
      </c>
      <c r="L19" s="20" t="s">
        <v>76</v>
      </c>
      <c r="M19" s="26" t="s">
        <v>76</v>
      </c>
      <c r="N19" s="20" t="s">
        <v>76</v>
      </c>
      <c r="O19" s="20" t="s">
        <v>76</v>
      </c>
      <c r="P19" s="26" t="s">
        <v>76</v>
      </c>
    </row>
    <row r="20" spans="1:16">
      <c r="A20" s="9" t="s">
        <v>179</v>
      </c>
      <c r="B20" s="15">
        <v>38</v>
      </c>
      <c r="C20" s="15">
        <v>38</v>
      </c>
      <c r="D20" s="26" t="s">
        <v>76</v>
      </c>
      <c r="E20" s="15">
        <v>40.476190476190503</v>
      </c>
      <c r="F20" s="15">
        <v>40.476190476190503</v>
      </c>
      <c r="G20" s="26" t="s">
        <v>76</v>
      </c>
      <c r="H20" s="15">
        <v>36.363636363636402</v>
      </c>
      <c r="I20" s="15">
        <v>36.363636363636402</v>
      </c>
      <c r="J20" s="26" t="s">
        <v>76</v>
      </c>
      <c r="K20" s="20" t="s">
        <v>76</v>
      </c>
      <c r="L20" s="20" t="s">
        <v>76</v>
      </c>
      <c r="M20" s="26" t="s">
        <v>76</v>
      </c>
      <c r="N20" s="20" t="s">
        <v>76</v>
      </c>
      <c r="O20" s="20" t="s">
        <v>76</v>
      </c>
      <c r="P20" s="26" t="s">
        <v>76</v>
      </c>
    </row>
    <row r="21" spans="1:16">
      <c r="A21" s="9" t="s">
        <v>180</v>
      </c>
      <c r="B21" s="15">
        <v>54.545454545454497</v>
      </c>
      <c r="C21" s="15">
        <v>54.545454545454497</v>
      </c>
      <c r="D21" s="26" t="s">
        <v>76</v>
      </c>
      <c r="E21" s="15">
        <v>58.823529411764703</v>
      </c>
      <c r="F21" s="15">
        <v>58.823529411764703</v>
      </c>
      <c r="G21" s="26" t="s">
        <v>76</v>
      </c>
      <c r="H21" s="15">
        <v>50</v>
      </c>
      <c r="I21" s="15">
        <v>50</v>
      </c>
      <c r="J21" s="26" t="s">
        <v>76</v>
      </c>
      <c r="K21" s="20" t="s">
        <v>76</v>
      </c>
      <c r="L21" s="20" t="s">
        <v>76</v>
      </c>
      <c r="M21" s="26" t="s">
        <v>76</v>
      </c>
      <c r="N21" s="20" t="s">
        <v>76</v>
      </c>
      <c r="O21" s="20" t="s">
        <v>76</v>
      </c>
      <c r="P21" s="26" t="s">
        <v>76</v>
      </c>
    </row>
    <row r="22" spans="1:16">
      <c r="A22" s="9" t="s">
        <v>181</v>
      </c>
      <c r="B22" s="15">
        <v>40.425531914893597</v>
      </c>
      <c r="C22" s="15">
        <v>40.425531914893597</v>
      </c>
      <c r="D22" s="26" t="s">
        <v>76</v>
      </c>
      <c r="E22" s="15">
        <v>37.5</v>
      </c>
      <c r="F22" s="15">
        <v>37.5</v>
      </c>
      <c r="G22" s="26" t="s">
        <v>76</v>
      </c>
      <c r="H22" s="15">
        <v>43.478260869565197</v>
      </c>
      <c r="I22" s="15">
        <v>43.478260869565197</v>
      </c>
      <c r="J22" s="26" t="s">
        <v>76</v>
      </c>
      <c r="K22" s="20" t="s">
        <v>76</v>
      </c>
      <c r="L22" s="20" t="s">
        <v>76</v>
      </c>
      <c r="M22" s="26" t="s">
        <v>76</v>
      </c>
      <c r="N22" s="20" t="s">
        <v>76</v>
      </c>
      <c r="O22" s="20" t="s">
        <v>76</v>
      </c>
      <c r="P22" s="26" t="s">
        <v>76</v>
      </c>
    </row>
    <row r="23" spans="1:16">
      <c r="A23" s="9" t="s">
        <v>182</v>
      </c>
      <c r="B23" s="15">
        <v>38.8888888888889</v>
      </c>
      <c r="C23" s="15">
        <v>38.8888888888889</v>
      </c>
      <c r="D23" s="26" t="s">
        <v>76</v>
      </c>
      <c r="E23" s="15">
        <v>48.148148148148103</v>
      </c>
      <c r="F23" s="15">
        <v>48.148148148148103</v>
      </c>
      <c r="G23" s="26" t="s">
        <v>76</v>
      </c>
      <c r="H23" s="15">
        <v>29.629629629629601</v>
      </c>
      <c r="I23" s="15">
        <v>29.629629629629601</v>
      </c>
      <c r="J23" s="26" t="s">
        <v>76</v>
      </c>
      <c r="K23" s="20" t="s">
        <v>76</v>
      </c>
      <c r="L23" s="20" t="s">
        <v>76</v>
      </c>
      <c r="M23" s="26" t="s">
        <v>76</v>
      </c>
      <c r="N23" s="20" t="s">
        <v>76</v>
      </c>
      <c r="O23" s="20" t="s">
        <v>76</v>
      </c>
      <c r="P23" s="26" t="s">
        <v>76</v>
      </c>
    </row>
    <row r="24" spans="1:16">
      <c r="A24" s="9" t="s">
        <v>183</v>
      </c>
      <c r="B24" s="15">
        <v>48.214285714285701</v>
      </c>
      <c r="C24" s="15">
        <v>48.214285714285701</v>
      </c>
      <c r="D24" s="26" t="s">
        <v>76</v>
      </c>
      <c r="E24" s="15">
        <v>46.428571428571402</v>
      </c>
      <c r="F24" s="15">
        <v>46.428571428571402</v>
      </c>
      <c r="G24" s="26" t="s">
        <v>76</v>
      </c>
      <c r="H24" s="15">
        <v>50</v>
      </c>
      <c r="I24" s="15">
        <v>50</v>
      </c>
      <c r="J24" s="26" t="s">
        <v>76</v>
      </c>
      <c r="K24" s="20" t="s">
        <v>76</v>
      </c>
      <c r="L24" s="20" t="s">
        <v>76</v>
      </c>
      <c r="M24" s="26" t="s">
        <v>76</v>
      </c>
      <c r="N24" s="20" t="s">
        <v>76</v>
      </c>
      <c r="O24" s="20" t="s">
        <v>76</v>
      </c>
      <c r="P24" s="26" t="s">
        <v>76</v>
      </c>
    </row>
    <row r="25" spans="1:16">
      <c r="A25" s="9" t="s">
        <v>184</v>
      </c>
      <c r="B25" s="15">
        <v>76.923076923076906</v>
      </c>
      <c r="C25" s="15">
        <v>76.923076923076906</v>
      </c>
      <c r="D25" s="26" t="s">
        <v>76</v>
      </c>
      <c r="E25" s="15">
        <v>79.591836734693899</v>
      </c>
      <c r="F25" s="15">
        <v>79.591836734693899</v>
      </c>
      <c r="G25" s="26" t="s">
        <v>76</v>
      </c>
      <c r="H25" s="15">
        <v>74.545454545454504</v>
      </c>
      <c r="I25" s="15">
        <v>74.545454545454504</v>
      </c>
      <c r="J25" s="26" t="s">
        <v>76</v>
      </c>
      <c r="K25" s="20" t="s">
        <v>76</v>
      </c>
      <c r="L25" s="20" t="s">
        <v>76</v>
      </c>
      <c r="M25" s="26" t="s">
        <v>76</v>
      </c>
      <c r="N25" s="20" t="s">
        <v>76</v>
      </c>
      <c r="O25" s="20" t="s">
        <v>76</v>
      </c>
      <c r="P25" s="26" t="s">
        <v>76</v>
      </c>
    </row>
    <row r="26" spans="1:16">
      <c r="A26" s="9" t="s">
        <v>185</v>
      </c>
      <c r="B26" s="15">
        <v>51.219512195122</v>
      </c>
      <c r="C26" s="15">
        <v>51.219512195122</v>
      </c>
      <c r="D26" s="26" t="s">
        <v>76</v>
      </c>
      <c r="E26" s="15">
        <v>58.823529411764703</v>
      </c>
      <c r="F26" s="15">
        <v>58.823529411764703</v>
      </c>
      <c r="G26" s="26" t="s">
        <v>76</v>
      </c>
      <c r="H26" s="15">
        <v>47.619047619047599</v>
      </c>
      <c r="I26" s="15">
        <v>47.619047619047599</v>
      </c>
      <c r="J26" s="26" t="s">
        <v>76</v>
      </c>
      <c r="K26" s="20" t="s">
        <v>76</v>
      </c>
      <c r="L26" s="20" t="s">
        <v>76</v>
      </c>
      <c r="M26" s="26" t="s">
        <v>76</v>
      </c>
      <c r="N26" s="20" t="s">
        <v>76</v>
      </c>
      <c r="O26" s="20" t="s">
        <v>76</v>
      </c>
      <c r="P26" s="26" t="s">
        <v>76</v>
      </c>
    </row>
    <row r="27" spans="1:16">
      <c r="A27" s="9" t="s">
        <v>186</v>
      </c>
      <c r="B27" s="15">
        <v>39.130434782608702</v>
      </c>
      <c r="C27" s="15">
        <v>39.130434782608702</v>
      </c>
      <c r="D27" s="26" t="s">
        <v>76</v>
      </c>
      <c r="E27" s="15">
        <v>34.615384615384599</v>
      </c>
      <c r="F27" s="15">
        <v>34.615384615384599</v>
      </c>
      <c r="G27" s="26" t="s">
        <v>76</v>
      </c>
      <c r="H27" s="15">
        <v>47.368421052631597</v>
      </c>
      <c r="I27" s="15">
        <v>47.368421052631597</v>
      </c>
      <c r="J27" s="26" t="s">
        <v>76</v>
      </c>
      <c r="K27" s="20" t="s">
        <v>76</v>
      </c>
      <c r="L27" s="20" t="s">
        <v>76</v>
      </c>
      <c r="M27" s="26" t="s">
        <v>76</v>
      </c>
      <c r="N27" s="20" t="s">
        <v>76</v>
      </c>
      <c r="O27" s="20" t="s">
        <v>76</v>
      </c>
      <c r="P27" s="26" t="s">
        <v>76</v>
      </c>
    </row>
    <row r="28" spans="1:16">
      <c r="A28" s="9" t="s">
        <v>187</v>
      </c>
      <c r="B28" s="15">
        <v>41.095890410958901</v>
      </c>
      <c r="C28" s="15">
        <v>41.095890410958901</v>
      </c>
      <c r="D28" s="26" t="s">
        <v>76</v>
      </c>
      <c r="E28" s="15">
        <v>37.142857142857103</v>
      </c>
      <c r="F28" s="15">
        <v>37.142857142857103</v>
      </c>
      <c r="G28" s="26" t="s">
        <v>76</v>
      </c>
      <c r="H28" s="15">
        <v>45.945945945945901</v>
      </c>
      <c r="I28" s="15">
        <v>45.945945945945901</v>
      </c>
      <c r="J28" s="26" t="s">
        <v>76</v>
      </c>
      <c r="K28" s="20" t="s">
        <v>76</v>
      </c>
      <c r="L28" s="20" t="s">
        <v>76</v>
      </c>
      <c r="M28" s="26" t="s">
        <v>76</v>
      </c>
      <c r="N28" s="20" t="s">
        <v>76</v>
      </c>
      <c r="O28" s="20" t="s">
        <v>76</v>
      </c>
      <c r="P28" s="26" t="s">
        <v>76</v>
      </c>
    </row>
    <row r="29" spans="1:16">
      <c r="A29" s="9" t="s">
        <v>188</v>
      </c>
      <c r="B29" s="15">
        <v>60.256410256410298</v>
      </c>
      <c r="C29" s="15">
        <v>60.256410256410298</v>
      </c>
      <c r="D29" s="26" t="s">
        <v>76</v>
      </c>
      <c r="E29" s="15">
        <v>70.588235294117595</v>
      </c>
      <c r="F29" s="15">
        <v>70.588235294117595</v>
      </c>
      <c r="G29" s="26" t="s">
        <v>76</v>
      </c>
      <c r="H29" s="15">
        <v>52.272727272727302</v>
      </c>
      <c r="I29" s="15">
        <v>52.272727272727302</v>
      </c>
      <c r="J29" s="26" t="s">
        <v>76</v>
      </c>
      <c r="K29" s="20" t="s">
        <v>76</v>
      </c>
      <c r="L29" s="20" t="s">
        <v>76</v>
      </c>
      <c r="M29" s="26" t="s">
        <v>76</v>
      </c>
      <c r="N29" s="20" t="s">
        <v>76</v>
      </c>
      <c r="O29" s="20" t="s">
        <v>76</v>
      </c>
      <c r="P29" s="26" t="s">
        <v>76</v>
      </c>
    </row>
    <row r="30" spans="1:16">
      <c r="A30" s="9" t="s">
        <v>189</v>
      </c>
      <c r="B30" s="15">
        <v>55.5555555555556</v>
      </c>
      <c r="C30" s="15">
        <v>55.5555555555556</v>
      </c>
      <c r="D30" s="26" t="s">
        <v>76</v>
      </c>
      <c r="E30" s="15">
        <v>58.536585365853703</v>
      </c>
      <c r="F30" s="15">
        <v>58.536585365853703</v>
      </c>
      <c r="G30" s="26" t="s">
        <v>76</v>
      </c>
      <c r="H30" s="15">
        <v>53.846153846153797</v>
      </c>
      <c r="I30" s="15">
        <v>53.846153846153797</v>
      </c>
      <c r="J30" s="26" t="s">
        <v>76</v>
      </c>
      <c r="K30" s="20" t="s">
        <v>76</v>
      </c>
      <c r="L30" s="20" t="s">
        <v>76</v>
      </c>
      <c r="M30" s="26" t="s">
        <v>76</v>
      </c>
      <c r="N30" s="20" t="s">
        <v>76</v>
      </c>
      <c r="O30" s="20" t="s">
        <v>76</v>
      </c>
      <c r="P30" s="26" t="s">
        <v>76</v>
      </c>
    </row>
    <row r="31" spans="1:16">
      <c r="A31" s="9" t="s">
        <v>190</v>
      </c>
      <c r="B31" s="15">
        <v>58.947368421052602</v>
      </c>
      <c r="C31" s="15">
        <v>58.947368421052602</v>
      </c>
      <c r="D31" s="26" t="s">
        <v>76</v>
      </c>
      <c r="E31" s="15">
        <v>61.224489795918402</v>
      </c>
      <c r="F31" s="15">
        <v>61.224489795918402</v>
      </c>
      <c r="G31" s="26" t="s">
        <v>76</v>
      </c>
      <c r="H31" s="15">
        <v>56.521739130434803</v>
      </c>
      <c r="I31" s="15">
        <v>56.521739130434803</v>
      </c>
      <c r="J31" s="26" t="s">
        <v>76</v>
      </c>
      <c r="K31" s="20" t="s">
        <v>76</v>
      </c>
      <c r="L31" s="20" t="s">
        <v>76</v>
      </c>
      <c r="M31" s="26" t="s">
        <v>76</v>
      </c>
      <c r="N31" s="20" t="s">
        <v>76</v>
      </c>
      <c r="O31" s="20" t="s">
        <v>76</v>
      </c>
      <c r="P31" s="26" t="s">
        <v>76</v>
      </c>
    </row>
    <row r="32" spans="1:16">
      <c r="A32" s="9" t="s">
        <v>191</v>
      </c>
      <c r="B32" s="15">
        <v>54.0983606557377</v>
      </c>
      <c r="C32" s="15">
        <v>54.0983606557377</v>
      </c>
      <c r="D32" s="26" t="s">
        <v>76</v>
      </c>
      <c r="E32" s="15">
        <v>70.9677419354839</v>
      </c>
      <c r="F32" s="15">
        <v>70.9677419354839</v>
      </c>
      <c r="G32" s="26" t="s">
        <v>76</v>
      </c>
      <c r="H32" s="15">
        <v>36.6666666666667</v>
      </c>
      <c r="I32" s="15">
        <v>36.6666666666667</v>
      </c>
      <c r="J32" s="26" t="s">
        <v>76</v>
      </c>
      <c r="K32" s="20" t="s">
        <v>76</v>
      </c>
      <c r="L32" s="20" t="s">
        <v>76</v>
      </c>
      <c r="M32" s="26" t="s">
        <v>76</v>
      </c>
      <c r="N32" s="20" t="s">
        <v>76</v>
      </c>
      <c r="O32" s="20" t="s">
        <v>76</v>
      </c>
      <c r="P32" s="26" t="s">
        <v>76</v>
      </c>
    </row>
    <row r="33" spans="1:16">
      <c r="A33" s="9" t="s">
        <v>192</v>
      </c>
      <c r="B33" s="15">
        <v>91.891891891891902</v>
      </c>
      <c r="C33" s="15">
        <v>91.891891891891902</v>
      </c>
      <c r="D33" s="26" t="s">
        <v>76</v>
      </c>
      <c r="E33" s="15">
        <v>94.117647058823493</v>
      </c>
      <c r="F33" s="15">
        <v>94.117647058823493</v>
      </c>
      <c r="G33" s="26" t="s">
        <v>76</v>
      </c>
      <c r="H33" s="15">
        <v>88.8888888888889</v>
      </c>
      <c r="I33" s="15">
        <v>88.8888888888889</v>
      </c>
      <c r="J33" s="26" t="s">
        <v>76</v>
      </c>
      <c r="K33" s="20" t="s">
        <v>76</v>
      </c>
      <c r="L33" s="20" t="s">
        <v>76</v>
      </c>
      <c r="M33" s="26" t="s">
        <v>76</v>
      </c>
      <c r="N33" s="20" t="s">
        <v>76</v>
      </c>
      <c r="O33" s="20" t="s">
        <v>76</v>
      </c>
      <c r="P33" s="26" t="s">
        <v>76</v>
      </c>
    </row>
    <row r="34" spans="1:16" ht="21.95" customHeight="1">
      <c r="A34" s="22" t="s">
        <v>193</v>
      </c>
      <c r="B34" s="15">
        <v>41.549994265315398</v>
      </c>
      <c r="C34" s="20" t="s">
        <v>76</v>
      </c>
      <c r="D34" s="24">
        <v>41.549994265315398</v>
      </c>
      <c r="E34" s="15">
        <v>39.069814022452498</v>
      </c>
      <c r="F34" s="20" t="s">
        <v>76</v>
      </c>
      <c r="G34" s="24">
        <v>39.069814022452498</v>
      </c>
      <c r="H34" s="15">
        <v>44.557418665345303</v>
      </c>
      <c r="I34" s="20" t="s">
        <v>76</v>
      </c>
      <c r="J34" s="24">
        <v>44.557418665345303</v>
      </c>
      <c r="K34" s="20" t="s">
        <v>76</v>
      </c>
      <c r="L34" s="20" t="s">
        <v>76</v>
      </c>
      <c r="M34" s="26" t="s">
        <v>76</v>
      </c>
      <c r="N34" s="20" t="s">
        <v>76</v>
      </c>
      <c r="O34" s="20" t="s">
        <v>76</v>
      </c>
      <c r="P34" s="26" t="s">
        <v>76</v>
      </c>
    </row>
    <row r="35" spans="1:16">
      <c r="A35" s="9" t="s">
        <v>194</v>
      </c>
      <c r="B35" s="15">
        <v>45.6375838926174</v>
      </c>
      <c r="C35" s="20" t="s">
        <v>76</v>
      </c>
      <c r="D35" s="24">
        <v>45.6375838926174</v>
      </c>
      <c r="E35" s="15">
        <v>47.794117647058798</v>
      </c>
      <c r="F35" s="20" t="s">
        <v>76</v>
      </c>
      <c r="G35" s="24">
        <v>47.794117647058798</v>
      </c>
      <c r="H35" s="15">
        <v>47.5177304964539</v>
      </c>
      <c r="I35" s="20" t="s">
        <v>76</v>
      </c>
      <c r="J35" s="24">
        <v>47.5177304964539</v>
      </c>
      <c r="K35" s="20" t="s">
        <v>76</v>
      </c>
      <c r="L35" s="20" t="s">
        <v>76</v>
      </c>
      <c r="M35" s="26" t="s">
        <v>76</v>
      </c>
      <c r="N35" s="20" t="s">
        <v>76</v>
      </c>
      <c r="O35" s="20" t="s">
        <v>76</v>
      </c>
      <c r="P35" s="26" t="s">
        <v>76</v>
      </c>
    </row>
    <row r="36" spans="1:16">
      <c r="A36" s="9" t="s">
        <v>195</v>
      </c>
      <c r="B36" s="15">
        <v>45.132743362831903</v>
      </c>
      <c r="C36" s="20" t="s">
        <v>76</v>
      </c>
      <c r="D36" s="24">
        <v>45.132743362831903</v>
      </c>
      <c r="E36" s="15">
        <v>44.559585492228003</v>
      </c>
      <c r="F36" s="20" t="s">
        <v>76</v>
      </c>
      <c r="G36" s="24">
        <v>44.559585492228003</v>
      </c>
      <c r="H36" s="15">
        <v>46.268656716417901</v>
      </c>
      <c r="I36" s="20" t="s">
        <v>76</v>
      </c>
      <c r="J36" s="24">
        <v>46.268656716417901</v>
      </c>
      <c r="K36" s="20" t="s">
        <v>76</v>
      </c>
      <c r="L36" s="20" t="s">
        <v>76</v>
      </c>
      <c r="M36" s="26" t="s">
        <v>76</v>
      </c>
      <c r="N36" s="15">
        <v>62.5</v>
      </c>
      <c r="O36" s="20" t="s">
        <v>76</v>
      </c>
      <c r="P36" s="24">
        <v>62.5</v>
      </c>
    </row>
    <row r="37" spans="1:16">
      <c r="A37" s="9" t="s">
        <v>196</v>
      </c>
      <c r="B37" s="15">
        <v>26.5486725663717</v>
      </c>
      <c r="C37" s="20" t="s">
        <v>76</v>
      </c>
      <c r="D37" s="24">
        <v>26.5486725663717</v>
      </c>
      <c r="E37" s="15">
        <v>22.754491017964099</v>
      </c>
      <c r="F37" s="20" t="s">
        <v>76</v>
      </c>
      <c r="G37" s="24">
        <v>22.754491017964099</v>
      </c>
      <c r="H37" s="15">
        <v>30.8641975308642</v>
      </c>
      <c r="I37" s="20" t="s">
        <v>76</v>
      </c>
      <c r="J37" s="24">
        <v>30.8641975308642</v>
      </c>
      <c r="K37" s="20" t="s">
        <v>76</v>
      </c>
      <c r="L37" s="20" t="s">
        <v>76</v>
      </c>
      <c r="M37" s="26" t="s">
        <v>76</v>
      </c>
      <c r="N37" s="20" t="s">
        <v>76</v>
      </c>
      <c r="O37" s="20" t="s">
        <v>76</v>
      </c>
      <c r="P37" s="26" t="s">
        <v>76</v>
      </c>
    </row>
    <row r="38" spans="1:16">
      <c r="A38" s="9" t="s">
        <v>197</v>
      </c>
      <c r="B38" s="15">
        <v>28.027681660899699</v>
      </c>
      <c r="C38" s="20" t="s">
        <v>76</v>
      </c>
      <c r="D38" s="24">
        <v>28.027681660899699</v>
      </c>
      <c r="E38" s="15">
        <v>24.4897959183673</v>
      </c>
      <c r="F38" s="20" t="s">
        <v>76</v>
      </c>
      <c r="G38" s="24">
        <v>24.4897959183673</v>
      </c>
      <c r="H38" s="15">
        <v>32.089552238806</v>
      </c>
      <c r="I38" s="20" t="s">
        <v>76</v>
      </c>
      <c r="J38" s="24">
        <v>32.089552238806</v>
      </c>
      <c r="K38" s="20" t="s">
        <v>76</v>
      </c>
      <c r="L38" s="20" t="s">
        <v>76</v>
      </c>
      <c r="M38" s="26" t="s">
        <v>76</v>
      </c>
      <c r="N38" s="20" t="s">
        <v>76</v>
      </c>
      <c r="O38" s="20" t="s">
        <v>76</v>
      </c>
      <c r="P38" s="26" t="s">
        <v>76</v>
      </c>
    </row>
    <row r="39" spans="1:16">
      <c r="A39" s="9" t="s">
        <v>198</v>
      </c>
      <c r="B39" s="15">
        <v>49.162011173184403</v>
      </c>
      <c r="C39" s="20" t="s">
        <v>76</v>
      </c>
      <c r="D39" s="24">
        <v>49.162011173184403</v>
      </c>
      <c r="E39" s="15">
        <v>40</v>
      </c>
      <c r="F39" s="20" t="s">
        <v>76</v>
      </c>
      <c r="G39" s="24">
        <v>40</v>
      </c>
      <c r="H39" s="15">
        <v>58.024691358024697</v>
      </c>
      <c r="I39" s="20" t="s">
        <v>76</v>
      </c>
      <c r="J39" s="24">
        <v>58.024691358024697</v>
      </c>
      <c r="K39" s="20" t="s">
        <v>76</v>
      </c>
      <c r="L39" s="20" t="s">
        <v>76</v>
      </c>
      <c r="M39" s="26" t="s">
        <v>76</v>
      </c>
      <c r="N39" s="20" t="s">
        <v>76</v>
      </c>
      <c r="O39" s="20" t="s">
        <v>76</v>
      </c>
      <c r="P39" s="26" t="s">
        <v>76</v>
      </c>
    </row>
    <row r="40" spans="1:16">
      <c r="A40" s="9" t="s">
        <v>199</v>
      </c>
      <c r="B40" s="15">
        <v>49.538461538461497</v>
      </c>
      <c r="C40" s="20" t="s">
        <v>76</v>
      </c>
      <c r="D40" s="24">
        <v>49.538461538461497</v>
      </c>
      <c r="E40" s="15">
        <v>42.105263157894697</v>
      </c>
      <c r="F40" s="20" t="s">
        <v>76</v>
      </c>
      <c r="G40" s="24">
        <v>42.105263157894697</v>
      </c>
      <c r="H40" s="15">
        <v>55.882352941176499</v>
      </c>
      <c r="I40" s="20" t="s">
        <v>76</v>
      </c>
      <c r="J40" s="24">
        <v>55.882352941176499</v>
      </c>
      <c r="K40" s="20" t="s">
        <v>76</v>
      </c>
      <c r="L40" s="20" t="s">
        <v>76</v>
      </c>
      <c r="M40" s="26" t="s">
        <v>76</v>
      </c>
      <c r="N40" s="20" t="s">
        <v>76</v>
      </c>
      <c r="O40" s="20" t="s">
        <v>76</v>
      </c>
      <c r="P40" s="26" t="s">
        <v>76</v>
      </c>
    </row>
    <row r="41" spans="1:16">
      <c r="A41" s="11" t="s">
        <v>200</v>
      </c>
      <c r="B41" s="16">
        <v>61.3924050632911</v>
      </c>
      <c r="C41" s="28" t="s">
        <v>76</v>
      </c>
      <c r="D41" s="25">
        <v>61.3924050632911</v>
      </c>
      <c r="E41" s="16">
        <v>58.974358974358999</v>
      </c>
      <c r="F41" s="28" t="s">
        <v>76</v>
      </c>
      <c r="G41" s="25">
        <v>58.974358974358999</v>
      </c>
      <c r="H41" s="16">
        <v>64.827586206896598</v>
      </c>
      <c r="I41" s="28" t="s">
        <v>76</v>
      </c>
      <c r="J41" s="25">
        <v>64.827586206896598</v>
      </c>
      <c r="K41" s="28" t="s">
        <v>76</v>
      </c>
      <c r="L41" s="28" t="s">
        <v>76</v>
      </c>
      <c r="M41" s="29" t="s">
        <v>76</v>
      </c>
      <c r="N41" s="28" t="s">
        <v>76</v>
      </c>
      <c r="O41" s="28" t="s">
        <v>76</v>
      </c>
      <c r="P41" s="29" t="s">
        <v>76</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204</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5" customHeight="1">
      <c r="A4" s="22" t="s">
        <v>69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5" customHeight="1">
      <c r="A5" s="22" t="s">
        <v>70</v>
      </c>
      <c r="B5" s="15">
        <v>62.337466501034299</v>
      </c>
      <c r="C5" s="15">
        <v>62.7632056440642</v>
      </c>
      <c r="D5" s="24">
        <v>62.006952168204997</v>
      </c>
      <c r="E5" s="15">
        <v>65.687826576806998</v>
      </c>
      <c r="F5" s="15">
        <v>65.813282860667599</v>
      </c>
      <c r="G5" s="24">
        <v>65.586464652966598</v>
      </c>
      <c r="H5" s="15">
        <v>60.237575300581298</v>
      </c>
      <c r="I5" s="15">
        <v>60.2646538418633</v>
      </c>
      <c r="J5" s="24">
        <v>60.216579183811</v>
      </c>
      <c r="K5" s="20" t="s">
        <v>76</v>
      </c>
      <c r="L5" s="20" t="s">
        <v>76</v>
      </c>
      <c r="M5" s="26" t="s">
        <v>76</v>
      </c>
      <c r="N5" s="15">
        <v>33.590916375620601</v>
      </c>
      <c r="O5" s="20" t="s">
        <v>76</v>
      </c>
      <c r="P5" s="26" t="s">
        <v>76</v>
      </c>
    </row>
    <row r="6" spans="1:16" ht="21.95" customHeight="1">
      <c r="A6" s="22" t="s">
        <v>165</v>
      </c>
      <c r="B6" s="15">
        <v>62.7632056440642</v>
      </c>
      <c r="C6" s="15">
        <v>62.7632056440642</v>
      </c>
      <c r="D6" s="26" t="s">
        <v>76</v>
      </c>
      <c r="E6" s="15">
        <v>65.813282860667599</v>
      </c>
      <c r="F6" s="15">
        <v>65.813282860667599</v>
      </c>
      <c r="G6" s="26" t="s">
        <v>76</v>
      </c>
      <c r="H6" s="15">
        <v>60.2646538418633</v>
      </c>
      <c r="I6" s="15">
        <v>60.2646538418633</v>
      </c>
      <c r="J6" s="26" t="s">
        <v>76</v>
      </c>
      <c r="K6" s="20" t="s">
        <v>76</v>
      </c>
      <c r="L6" s="20" t="s">
        <v>76</v>
      </c>
      <c r="M6" s="26" t="s">
        <v>76</v>
      </c>
      <c r="N6" s="20" t="s">
        <v>76</v>
      </c>
      <c r="O6" s="20" t="s">
        <v>76</v>
      </c>
      <c r="P6" s="26" t="s">
        <v>76</v>
      </c>
    </row>
    <row r="7" spans="1:16">
      <c r="A7" s="9" t="s">
        <v>166</v>
      </c>
      <c r="B7" s="15">
        <v>45.8333333333333</v>
      </c>
      <c r="C7" s="15">
        <v>45.8333333333333</v>
      </c>
      <c r="D7" s="26" t="s">
        <v>76</v>
      </c>
      <c r="E7" s="15">
        <v>39.5833333333333</v>
      </c>
      <c r="F7" s="15">
        <v>39.5833333333333</v>
      </c>
      <c r="G7" s="26" t="s">
        <v>76</v>
      </c>
      <c r="H7" s="15">
        <v>52.0833333333333</v>
      </c>
      <c r="I7" s="15">
        <v>52.0833333333333</v>
      </c>
      <c r="J7" s="26" t="s">
        <v>76</v>
      </c>
      <c r="K7" s="20" t="s">
        <v>76</v>
      </c>
      <c r="L7" s="20" t="s">
        <v>76</v>
      </c>
      <c r="M7" s="26" t="s">
        <v>76</v>
      </c>
      <c r="N7" s="20" t="s">
        <v>76</v>
      </c>
      <c r="O7" s="20" t="s">
        <v>76</v>
      </c>
      <c r="P7" s="26" t="s">
        <v>76</v>
      </c>
    </row>
    <row r="8" spans="1:16">
      <c r="A8" s="9" t="s">
        <v>167</v>
      </c>
      <c r="B8" s="15">
        <v>71.641791044776099</v>
      </c>
      <c r="C8" s="15">
        <v>71.641791044776099</v>
      </c>
      <c r="D8" s="26" t="s">
        <v>76</v>
      </c>
      <c r="E8" s="15">
        <v>75.862068965517295</v>
      </c>
      <c r="F8" s="15">
        <v>75.862068965517295</v>
      </c>
      <c r="G8" s="26" t="s">
        <v>76</v>
      </c>
      <c r="H8" s="15">
        <v>68.421052631578902</v>
      </c>
      <c r="I8" s="15">
        <v>68.421052631578902</v>
      </c>
      <c r="J8" s="26" t="s">
        <v>76</v>
      </c>
      <c r="K8" s="20" t="s">
        <v>76</v>
      </c>
      <c r="L8" s="20" t="s">
        <v>76</v>
      </c>
      <c r="M8" s="26" t="s">
        <v>76</v>
      </c>
      <c r="N8" s="20" t="s">
        <v>76</v>
      </c>
      <c r="O8" s="20" t="s">
        <v>76</v>
      </c>
      <c r="P8" s="26" t="s">
        <v>76</v>
      </c>
    </row>
    <row r="9" spans="1:16">
      <c r="A9" s="9" t="s">
        <v>168</v>
      </c>
      <c r="B9" s="15">
        <v>76.829268292682897</v>
      </c>
      <c r="C9" s="15">
        <v>76.829268292682897</v>
      </c>
      <c r="D9" s="26" t="s">
        <v>76</v>
      </c>
      <c r="E9" s="15">
        <v>85</v>
      </c>
      <c r="F9" s="15">
        <v>85</v>
      </c>
      <c r="G9" s="26" t="s">
        <v>76</v>
      </c>
      <c r="H9" s="15">
        <v>68.292682926829301</v>
      </c>
      <c r="I9" s="15">
        <v>68.292682926829301</v>
      </c>
      <c r="J9" s="26" t="s">
        <v>76</v>
      </c>
      <c r="K9" s="20" t="s">
        <v>76</v>
      </c>
      <c r="L9" s="20" t="s">
        <v>76</v>
      </c>
      <c r="M9" s="26" t="s">
        <v>76</v>
      </c>
      <c r="N9" s="20" t="s">
        <v>76</v>
      </c>
      <c r="O9" s="20" t="s">
        <v>76</v>
      </c>
      <c r="P9" s="26" t="s">
        <v>76</v>
      </c>
    </row>
    <row r="10" spans="1:16">
      <c r="A10" s="9" t="s">
        <v>169</v>
      </c>
      <c r="B10" s="15">
        <v>82.5</v>
      </c>
      <c r="C10" s="15">
        <v>82.5</v>
      </c>
      <c r="D10" s="26" t="s">
        <v>76</v>
      </c>
      <c r="E10" s="15">
        <v>88.235294117647101</v>
      </c>
      <c r="F10" s="15">
        <v>88.235294117647101</v>
      </c>
      <c r="G10" s="26" t="s">
        <v>76</v>
      </c>
      <c r="H10" s="15">
        <v>78.260869565217405</v>
      </c>
      <c r="I10" s="15">
        <v>78.260869565217405</v>
      </c>
      <c r="J10" s="26" t="s">
        <v>76</v>
      </c>
      <c r="K10" s="20" t="s">
        <v>76</v>
      </c>
      <c r="L10" s="20" t="s">
        <v>76</v>
      </c>
      <c r="M10" s="26" t="s">
        <v>76</v>
      </c>
      <c r="N10" s="20" t="s">
        <v>76</v>
      </c>
      <c r="O10" s="20" t="s">
        <v>76</v>
      </c>
      <c r="P10" s="26" t="s">
        <v>76</v>
      </c>
    </row>
    <row r="11" spans="1:16">
      <c r="A11" s="9" t="s">
        <v>170</v>
      </c>
      <c r="B11" s="15">
        <v>67.901234567901199</v>
      </c>
      <c r="C11" s="15">
        <v>67.901234567901199</v>
      </c>
      <c r="D11" s="26" t="s">
        <v>76</v>
      </c>
      <c r="E11" s="15">
        <v>70.731707317073202</v>
      </c>
      <c r="F11" s="15">
        <v>70.731707317073202</v>
      </c>
      <c r="G11" s="26" t="s">
        <v>76</v>
      </c>
      <c r="H11" s="15">
        <v>67.567567567567593</v>
      </c>
      <c r="I11" s="15">
        <v>67.567567567567593</v>
      </c>
      <c r="J11" s="26" t="s">
        <v>76</v>
      </c>
      <c r="K11" s="20" t="s">
        <v>76</v>
      </c>
      <c r="L11" s="20" t="s">
        <v>76</v>
      </c>
      <c r="M11" s="26" t="s">
        <v>76</v>
      </c>
      <c r="N11" s="20" t="s">
        <v>76</v>
      </c>
      <c r="O11" s="20" t="s">
        <v>76</v>
      </c>
      <c r="P11" s="26" t="s">
        <v>76</v>
      </c>
    </row>
    <row r="12" spans="1:16">
      <c r="A12" s="9" t="s">
        <v>171</v>
      </c>
      <c r="B12" s="15">
        <v>82</v>
      </c>
      <c r="C12" s="15">
        <v>82</v>
      </c>
      <c r="D12" s="26" t="s">
        <v>76</v>
      </c>
      <c r="E12" s="15">
        <v>75</v>
      </c>
      <c r="F12" s="15">
        <v>75</v>
      </c>
      <c r="G12" s="26" t="s">
        <v>76</v>
      </c>
      <c r="H12" s="15">
        <v>88.461538461538495</v>
      </c>
      <c r="I12" s="15">
        <v>88.461538461538495</v>
      </c>
      <c r="J12" s="26" t="s">
        <v>76</v>
      </c>
      <c r="K12" s="20" t="s">
        <v>76</v>
      </c>
      <c r="L12" s="20" t="s">
        <v>76</v>
      </c>
      <c r="M12" s="26" t="s">
        <v>76</v>
      </c>
      <c r="N12" s="20" t="s">
        <v>76</v>
      </c>
      <c r="O12" s="20" t="s">
        <v>76</v>
      </c>
      <c r="P12" s="26" t="s">
        <v>76</v>
      </c>
    </row>
    <row r="13" spans="1:16">
      <c r="A13" s="9" t="s">
        <v>172</v>
      </c>
      <c r="B13" s="15">
        <v>49.21875</v>
      </c>
      <c r="C13" s="15">
        <v>49.21875</v>
      </c>
      <c r="D13" s="26" t="s">
        <v>76</v>
      </c>
      <c r="E13" s="15">
        <v>54.6875</v>
      </c>
      <c r="F13" s="15">
        <v>54.6875</v>
      </c>
      <c r="G13" s="26" t="s">
        <v>76</v>
      </c>
      <c r="H13" s="15">
        <v>44.067796610169502</v>
      </c>
      <c r="I13" s="15">
        <v>44.067796610169502</v>
      </c>
      <c r="J13" s="26" t="s">
        <v>76</v>
      </c>
      <c r="K13" s="20" t="s">
        <v>76</v>
      </c>
      <c r="L13" s="20" t="s">
        <v>76</v>
      </c>
      <c r="M13" s="26" t="s">
        <v>76</v>
      </c>
      <c r="N13" s="20" t="s">
        <v>76</v>
      </c>
      <c r="O13" s="20" t="s">
        <v>76</v>
      </c>
      <c r="P13" s="26" t="s">
        <v>76</v>
      </c>
    </row>
    <row r="14" spans="1:16">
      <c r="A14" s="9" t="s">
        <v>173</v>
      </c>
      <c r="B14" s="15">
        <v>52.941176470588204</v>
      </c>
      <c r="C14" s="15">
        <v>52.941176470588204</v>
      </c>
      <c r="D14" s="26" t="s">
        <v>76</v>
      </c>
      <c r="E14" s="15">
        <v>58.823529411764703</v>
      </c>
      <c r="F14" s="15">
        <v>58.823529411764703</v>
      </c>
      <c r="G14" s="26" t="s">
        <v>76</v>
      </c>
      <c r="H14" s="15">
        <v>48.484848484848499</v>
      </c>
      <c r="I14" s="15">
        <v>48.484848484848499</v>
      </c>
      <c r="J14" s="26" t="s">
        <v>76</v>
      </c>
      <c r="K14" s="20" t="s">
        <v>76</v>
      </c>
      <c r="L14" s="20" t="s">
        <v>76</v>
      </c>
      <c r="M14" s="26" t="s">
        <v>76</v>
      </c>
      <c r="N14" s="20" t="s">
        <v>76</v>
      </c>
      <c r="O14" s="20" t="s">
        <v>76</v>
      </c>
      <c r="P14" s="26" t="s">
        <v>76</v>
      </c>
    </row>
    <row r="15" spans="1:16">
      <c r="A15" s="9" t="s">
        <v>174</v>
      </c>
      <c r="B15" s="15">
        <v>79.591836734693899</v>
      </c>
      <c r="C15" s="15">
        <v>79.591836734693899</v>
      </c>
      <c r="D15" s="26" t="s">
        <v>76</v>
      </c>
      <c r="E15" s="15">
        <v>81.481481481481495</v>
      </c>
      <c r="F15" s="15">
        <v>81.481481481481495</v>
      </c>
      <c r="G15" s="26" t="s">
        <v>76</v>
      </c>
      <c r="H15" s="15">
        <v>77.272727272727295</v>
      </c>
      <c r="I15" s="15">
        <v>77.272727272727295</v>
      </c>
      <c r="J15" s="26" t="s">
        <v>76</v>
      </c>
      <c r="K15" s="20" t="s">
        <v>76</v>
      </c>
      <c r="L15" s="20" t="s">
        <v>76</v>
      </c>
      <c r="M15" s="26" t="s">
        <v>76</v>
      </c>
      <c r="N15" s="20" t="s">
        <v>76</v>
      </c>
      <c r="O15" s="20" t="s">
        <v>76</v>
      </c>
      <c r="P15" s="26" t="s">
        <v>76</v>
      </c>
    </row>
    <row r="16" spans="1:16">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c r="A17" s="9" t="s">
        <v>176</v>
      </c>
      <c r="B17" s="15">
        <v>55.5555555555556</v>
      </c>
      <c r="C17" s="15">
        <v>55.5555555555556</v>
      </c>
      <c r="D17" s="26" t="s">
        <v>76</v>
      </c>
      <c r="E17" s="15">
        <v>61.764705882352899</v>
      </c>
      <c r="F17" s="15">
        <v>61.764705882352899</v>
      </c>
      <c r="G17" s="26" t="s">
        <v>76</v>
      </c>
      <c r="H17" s="15">
        <v>50</v>
      </c>
      <c r="I17" s="15">
        <v>50</v>
      </c>
      <c r="J17" s="26" t="s">
        <v>76</v>
      </c>
      <c r="K17" s="20" t="s">
        <v>76</v>
      </c>
      <c r="L17" s="20" t="s">
        <v>76</v>
      </c>
      <c r="M17" s="26" t="s">
        <v>76</v>
      </c>
      <c r="N17" s="20" t="s">
        <v>76</v>
      </c>
      <c r="O17" s="20" t="s">
        <v>76</v>
      </c>
      <c r="P17" s="26" t="s">
        <v>76</v>
      </c>
    </row>
    <row r="18" spans="1:16">
      <c r="A18" s="9" t="s">
        <v>177</v>
      </c>
      <c r="B18" s="15">
        <v>75</v>
      </c>
      <c r="C18" s="15">
        <v>75</v>
      </c>
      <c r="D18" s="26" t="s">
        <v>76</v>
      </c>
      <c r="E18" s="15">
        <v>75</v>
      </c>
      <c r="F18" s="15">
        <v>75</v>
      </c>
      <c r="G18" s="26" t="s">
        <v>76</v>
      </c>
      <c r="H18" s="15">
        <v>74.074074074074105</v>
      </c>
      <c r="I18" s="15">
        <v>74.074074074074105</v>
      </c>
      <c r="J18" s="26" t="s">
        <v>76</v>
      </c>
      <c r="K18" s="20" t="s">
        <v>76</v>
      </c>
      <c r="L18" s="20" t="s">
        <v>76</v>
      </c>
      <c r="M18" s="26" t="s">
        <v>76</v>
      </c>
      <c r="N18" s="20" t="s">
        <v>76</v>
      </c>
      <c r="O18" s="20" t="s">
        <v>76</v>
      </c>
      <c r="P18" s="26" t="s">
        <v>76</v>
      </c>
    </row>
    <row r="19" spans="1:16">
      <c r="A19" s="9" t="s">
        <v>178</v>
      </c>
      <c r="B19" s="15">
        <v>45.054945054945101</v>
      </c>
      <c r="C19" s="15">
        <v>45.054945054945101</v>
      </c>
      <c r="D19" s="26" t="s">
        <v>76</v>
      </c>
      <c r="E19" s="15">
        <v>45.454545454545503</v>
      </c>
      <c r="F19" s="15">
        <v>45.454545454545503</v>
      </c>
      <c r="G19" s="26" t="s">
        <v>76</v>
      </c>
      <c r="H19" s="15">
        <v>46.6666666666667</v>
      </c>
      <c r="I19" s="15">
        <v>46.6666666666667</v>
      </c>
      <c r="J19" s="26" t="s">
        <v>76</v>
      </c>
      <c r="K19" s="20" t="s">
        <v>76</v>
      </c>
      <c r="L19" s="20" t="s">
        <v>76</v>
      </c>
      <c r="M19" s="26" t="s">
        <v>76</v>
      </c>
      <c r="N19" s="20" t="s">
        <v>76</v>
      </c>
      <c r="O19" s="20" t="s">
        <v>76</v>
      </c>
      <c r="P19" s="26" t="s">
        <v>76</v>
      </c>
    </row>
    <row r="20" spans="1:16">
      <c r="A20" s="9" t="s">
        <v>179</v>
      </c>
      <c r="B20" s="15">
        <v>37</v>
      </c>
      <c r="C20" s="15">
        <v>37</v>
      </c>
      <c r="D20" s="26" t="s">
        <v>76</v>
      </c>
      <c r="E20" s="15">
        <v>47.619047619047599</v>
      </c>
      <c r="F20" s="15">
        <v>47.619047619047599</v>
      </c>
      <c r="G20" s="26" t="s">
        <v>76</v>
      </c>
      <c r="H20" s="15">
        <v>27.272727272727298</v>
      </c>
      <c r="I20" s="15">
        <v>27.272727272727298</v>
      </c>
      <c r="J20" s="26" t="s">
        <v>76</v>
      </c>
      <c r="K20" s="20" t="s">
        <v>76</v>
      </c>
      <c r="L20" s="20" t="s">
        <v>76</v>
      </c>
      <c r="M20" s="26" t="s">
        <v>76</v>
      </c>
      <c r="N20" s="20" t="s">
        <v>76</v>
      </c>
      <c r="O20" s="20" t="s">
        <v>76</v>
      </c>
      <c r="P20" s="26" t="s">
        <v>76</v>
      </c>
    </row>
    <row r="21" spans="1:16">
      <c r="A21" s="9" t="s">
        <v>180</v>
      </c>
      <c r="B21" s="15">
        <v>60.606060606060602</v>
      </c>
      <c r="C21" s="15">
        <v>60.606060606060602</v>
      </c>
      <c r="D21" s="26" t="s">
        <v>76</v>
      </c>
      <c r="E21" s="15">
        <v>58.823529411764703</v>
      </c>
      <c r="F21" s="15">
        <v>58.823529411764703</v>
      </c>
      <c r="G21" s="26" t="s">
        <v>76</v>
      </c>
      <c r="H21" s="15">
        <v>62.5</v>
      </c>
      <c r="I21" s="15">
        <v>62.5</v>
      </c>
      <c r="J21" s="26" t="s">
        <v>76</v>
      </c>
      <c r="K21" s="20" t="s">
        <v>76</v>
      </c>
      <c r="L21" s="20" t="s">
        <v>76</v>
      </c>
      <c r="M21" s="26" t="s">
        <v>76</v>
      </c>
      <c r="N21" s="20" t="s">
        <v>76</v>
      </c>
      <c r="O21" s="20" t="s">
        <v>76</v>
      </c>
      <c r="P21" s="26" t="s">
        <v>76</v>
      </c>
    </row>
    <row r="22" spans="1:16">
      <c r="A22" s="9" t="s">
        <v>181</v>
      </c>
      <c r="B22" s="15">
        <v>70.212765957446805</v>
      </c>
      <c r="C22" s="15">
        <v>70.212765957446805</v>
      </c>
      <c r="D22" s="26" t="s">
        <v>76</v>
      </c>
      <c r="E22" s="15">
        <v>79.1666666666667</v>
      </c>
      <c r="F22" s="15">
        <v>79.1666666666667</v>
      </c>
      <c r="G22" s="26" t="s">
        <v>76</v>
      </c>
      <c r="H22" s="15">
        <v>60.869565217391298</v>
      </c>
      <c r="I22" s="15">
        <v>60.869565217391298</v>
      </c>
      <c r="J22" s="26" t="s">
        <v>76</v>
      </c>
      <c r="K22" s="20" t="s">
        <v>76</v>
      </c>
      <c r="L22" s="20" t="s">
        <v>76</v>
      </c>
      <c r="M22" s="26" t="s">
        <v>76</v>
      </c>
      <c r="N22" s="20" t="s">
        <v>76</v>
      </c>
      <c r="O22" s="20" t="s">
        <v>76</v>
      </c>
      <c r="P22" s="26" t="s">
        <v>76</v>
      </c>
    </row>
    <row r="23" spans="1:16">
      <c r="A23" s="9" t="s">
        <v>182</v>
      </c>
      <c r="B23" s="15">
        <v>83.3333333333333</v>
      </c>
      <c r="C23" s="15">
        <v>83.3333333333333</v>
      </c>
      <c r="D23" s="26" t="s">
        <v>76</v>
      </c>
      <c r="E23" s="15">
        <v>92.592592592592595</v>
      </c>
      <c r="F23" s="15">
        <v>92.592592592592595</v>
      </c>
      <c r="G23" s="26" t="s">
        <v>76</v>
      </c>
      <c r="H23" s="15">
        <v>74.074074074074105</v>
      </c>
      <c r="I23" s="15">
        <v>74.074074074074105</v>
      </c>
      <c r="J23" s="26" t="s">
        <v>76</v>
      </c>
      <c r="K23" s="20" t="s">
        <v>76</v>
      </c>
      <c r="L23" s="20" t="s">
        <v>76</v>
      </c>
      <c r="M23" s="26" t="s">
        <v>76</v>
      </c>
      <c r="N23" s="20" t="s">
        <v>76</v>
      </c>
      <c r="O23" s="20" t="s">
        <v>76</v>
      </c>
      <c r="P23" s="26" t="s">
        <v>76</v>
      </c>
    </row>
    <row r="24" spans="1:16">
      <c r="A24" s="9" t="s">
        <v>183</v>
      </c>
      <c r="B24" s="15">
        <v>73.214285714285694</v>
      </c>
      <c r="C24" s="15">
        <v>73.214285714285694</v>
      </c>
      <c r="D24" s="26" t="s">
        <v>76</v>
      </c>
      <c r="E24" s="15">
        <v>78.571428571428598</v>
      </c>
      <c r="F24" s="15">
        <v>78.571428571428598</v>
      </c>
      <c r="G24" s="26" t="s">
        <v>76</v>
      </c>
      <c r="H24" s="15">
        <v>67.857142857142804</v>
      </c>
      <c r="I24" s="15">
        <v>67.857142857142804</v>
      </c>
      <c r="J24" s="26" t="s">
        <v>76</v>
      </c>
      <c r="K24" s="20" t="s">
        <v>76</v>
      </c>
      <c r="L24" s="20" t="s">
        <v>76</v>
      </c>
      <c r="M24" s="26" t="s">
        <v>76</v>
      </c>
      <c r="N24" s="20" t="s">
        <v>76</v>
      </c>
      <c r="O24" s="20" t="s">
        <v>76</v>
      </c>
      <c r="P24" s="26" t="s">
        <v>76</v>
      </c>
    </row>
    <row r="25" spans="1:16">
      <c r="A25" s="9" t="s">
        <v>184</v>
      </c>
      <c r="B25" s="15">
        <v>81.730769230769198</v>
      </c>
      <c r="C25" s="15">
        <v>81.730769230769198</v>
      </c>
      <c r="D25" s="26" t="s">
        <v>76</v>
      </c>
      <c r="E25" s="15">
        <v>85.714285714285694</v>
      </c>
      <c r="F25" s="15">
        <v>85.714285714285694</v>
      </c>
      <c r="G25" s="26" t="s">
        <v>76</v>
      </c>
      <c r="H25" s="15">
        <v>78.181818181818201</v>
      </c>
      <c r="I25" s="15">
        <v>78.181818181818201</v>
      </c>
      <c r="J25" s="26" t="s">
        <v>76</v>
      </c>
      <c r="K25" s="20" t="s">
        <v>76</v>
      </c>
      <c r="L25" s="20" t="s">
        <v>76</v>
      </c>
      <c r="M25" s="26" t="s">
        <v>76</v>
      </c>
      <c r="N25" s="20" t="s">
        <v>76</v>
      </c>
      <c r="O25" s="20" t="s">
        <v>76</v>
      </c>
      <c r="P25" s="26" t="s">
        <v>76</v>
      </c>
    </row>
    <row r="26" spans="1:16">
      <c r="A26" s="9" t="s">
        <v>185</v>
      </c>
      <c r="B26" s="15">
        <v>65.853658536585399</v>
      </c>
      <c r="C26" s="15">
        <v>65.853658536585399</v>
      </c>
      <c r="D26" s="26" t="s">
        <v>76</v>
      </c>
      <c r="E26" s="15">
        <v>64.705882352941202</v>
      </c>
      <c r="F26" s="15">
        <v>64.705882352941202</v>
      </c>
      <c r="G26" s="26" t="s">
        <v>76</v>
      </c>
      <c r="H26" s="15">
        <v>71.428571428571402</v>
      </c>
      <c r="I26" s="15">
        <v>71.428571428571402</v>
      </c>
      <c r="J26" s="26" t="s">
        <v>76</v>
      </c>
      <c r="K26" s="20" t="s">
        <v>76</v>
      </c>
      <c r="L26" s="20" t="s">
        <v>76</v>
      </c>
      <c r="M26" s="26" t="s">
        <v>76</v>
      </c>
      <c r="N26" s="20" t="s">
        <v>76</v>
      </c>
      <c r="O26" s="20" t="s">
        <v>76</v>
      </c>
      <c r="P26" s="26" t="s">
        <v>76</v>
      </c>
    </row>
    <row r="27" spans="1:16">
      <c r="A27" s="9" t="s">
        <v>186</v>
      </c>
      <c r="B27" s="15">
        <v>58.695652173912997</v>
      </c>
      <c r="C27" s="15">
        <v>58.695652173912997</v>
      </c>
      <c r="D27" s="26" t="s">
        <v>76</v>
      </c>
      <c r="E27" s="15">
        <v>57.692307692307701</v>
      </c>
      <c r="F27" s="15">
        <v>57.692307692307701</v>
      </c>
      <c r="G27" s="26" t="s">
        <v>76</v>
      </c>
      <c r="H27" s="15">
        <v>63.157894736842103</v>
      </c>
      <c r="I27" s="15">
        <v>63.157894736842103</v>
      </c>
      <c r="J27" s="26" t="s">
        <v>76</v>
      </c>
      <c r="K27" s="20" t="s">
        <v>76</v>
      </c>
      <c r="L27" s="20" t="s">
        <v>76</v>
      </c>
      <c r="M27" s="26" t="s">
        <v>76</v>
      </c>
      <c r="N27" s="20" t="s">
        <v>76</v>
      </c>
      <c r="O27" s="20" t="s">
        <v>76</v>
      </c>
      <c r="P27" s="26" t="s">
        <v>76</v>
      </c>
    </row>
    <row r="28" spans="1:16">
      <c r="A28" s="9" t="s">
        <v>187</v>
      </c>
      <c r="B28" s="15">
        <v>61.643835616438402</v>
      </c>
      <c r="C28" s="15">
        <v>61.643835616438402</v>
      </c>
      <c r="D28" s="26" t="s">
        <v>76</v>
      </c>
      <c r="E28" s="15">
        <v>48.571428571428598</v>
      </c>
      <c r="F28" s="15">
        <v>48.571428571428598</v>
      </c>
      <c r="G28" s="26" t="s">
        <v>76</v>
      </c>
      <c r="H28" s="15">
        <v>75.675675675675706</v>
      </c>
      <c r="I28" s="15">
        <v>75.675675675675706</v>
      </c>
      <c r="J28" s="26" t="s">
        <v>76</v>
      </c>
      <c r="K28" s="20" t="s">
        <v>76</v>
      </c>
      <c r="L28" s="20" t="s">
        <v>76</v>
      </c>
      <c r="M28" s="26" t="s">
        <v>76</v>
      </c>
      <c r="N28" s="20" t="s">
        <v>76</v>
      </c>
      <c r="O28" s="20" t="s">
        <v>76</v>
      </c>
      <c r="P28" s="26" t="s">
        <v>76</v>
      </c>
    </row>
    <row r="29" spans="1:16">
      <c r="A29" s="9" t="s">
        <v>188</v>
      </c>
      <c r="B29" s="15">
        <v>64.102564102564102</v>
      </c>
      <c r="C29" s="15">
        <v>64.102564102564102</v>
      </c>
      <c r="D29" s="26" t="s">
        <v>76</v>
      </c>
      <c r="E29" s="15">
        <v>61.764705882352899</v>
      </c>
      <c r="F29" s="15">
        <v>61.764705882352899</v>
      </c>
      <c r="G29" s="26" t="s">
        <v>76</v>
      </c>
      <c r="H29" s="15">
        <v>65.909090909090907</v>
      </c>
      <c r="I29" s="15">
        <v>65.909090909090907</v>
      </c>
      <c r="J29" s="26" t="s">
        <v>76</v>
      </c>
      <c r="K29" s="20" t="s">
        <v>76</v>
      </c>
      <c r="L29" s="20" t="s">
        <v>76</v>
      </c>
      <c r="M29" s="26" t="s">
        <v>76</v>
      </c>
      <c r="N29" s="20" t="s">
        <v>76</v>
      </c>
      <c r="O29" s="20" t="s">
        <v>76</v>
      </c>
      <c r="P29" s="26" t="s">
        <v>76</v>
      </c>
    </row>
    <row r="30" spans="1:16">
      <c r="A30" s="9" t="s">
        <v>189</v>
      </c>
      <c r="B30" s="15">
        <v>61.728395061728399</v>
      </c>
      <c r="C30" s="15">
        <v>61.728395061728399</v>
      </c>
      <c r="D30" s="26" t="s">
        <v>76</v>
      </c>
      <c r="E30" s="15">
        <v>65.853658536585399</v>
      </c>
      <c r="F30" s="15">
        <v>65.853658536585399</v>
      </c>
      <c r="G30" s="26" t="s">
        <v>76</v>
      </c>
      <c r="H30" s="15">
        <v>58.974358974358999</v>
      </c>
      <c r="I30" s="15">
        <v>58.974358974358999</v>
      </c>
      <c r="J30" s="26" t="s">
        <v>76</v>
      </c>
      <c r="K30" s="20" t="s">
        <v>76</v>
      </c>
      <c r="L30" s="20" t="s">
        <v>76</v>
      </c>
      <c r="M30" s="26" t="s">
        <v>76</v>
      </c>
      <c r="N30" s="20" t="s">
        <v>76</v>
      </c>
      <c r="O30" s="20" t="s">
        <v>76</v>
      </c>
      <c r="P30" s="26" t="s">
        <v>76</v>
      </c>
    </row>
    <row r="31" spans="1:16">
      <c r="A31" s="9" t="s">
        <v>190</v>
      </c>
      <c r="B31" s="15">
        <v>73.684210526315795</v>
      </c>
      <c r="C31" s="15">
        <v>73.684210526315795</v>
      </c>
      <c r="D31" s="26" t="s">
        <v>76</v>
      </c>
      <c r="E31" s="15">
        <v>71.428571428571402</v>
      </c>
      <c r="F31" s="15">
        <v>71.428571428571402</v>
      </c>
      <c r="G31" s="26" t="s">
        <v>76</v>
      </c>
      <c r="H31" s="15">
        <v>76.086956521739097</v>
      </c>
      <c r="I31" s="15">
        <v>76.086956521739097</v>
      </c>
      <c r="J31" s="26" t="s">
        <v>76</v>
      </c>
      <c r="K31" s="20" t="s">
        <v>76</v>
      </c>
      <c r="L31" s="20" t="s">
        <v>76</v>
      </c>
      <c r="M31" s="26" t="s">
        <v>76</v>
      </c>
      <c r="N31" s="20" t="s">
        <v>76</v>
      </c>
      <c r="O31" s="20" t="s">
        <v>76</v>
      </c>
      <c r="P31" s="26" t="s">
        <v>76</v>
      </c>
    </row>
    <row r="32" spans="1:16">
      <c r="A32" s="9" t="s">
        <v>191</v>
      </c>
      <c r="B32" s="15">
        <v>62.2950819672131</v>
      </c>
      <c r="C32" s="15">
        <v>62.2950819672131</v>
      </c>
      <c r="D32" s="26" t="s">
        <v>76</v>
      </c>
      <c r="E32" s="15">
        <v>70.9677419354839</v>
      </c>
      <c r="F32" s="15">
        <v>70.9677419354839</v>
      </c>
      <c r="G32" s="26" t="s">
        <v>76</v>
      </c>
      <c r="H32" s="15">
        <v>53.3333333333333</v>
      </c>
      <c r="I32" s="15">
        <v>53.3333333333333</v>
      </c>
      <c r="J32" s="26" t="s">
        <v>76</v>
      </c>
      <c r="K32" s="20" t="s">
        <v>76</v>
      </c>
      <c r="L32" s="20" t="s">
        <v>76</v>
      </c>
      <c r="M32" s="26" t="s">
        <v>76</v>
      </c>
      <c r="N32" s="20" t="s">
        <v>76</v>
      </c>
      <c r="O32" s="20" t="s">
        <v>76</v>
      </c>
      <c r="P32" s="26" t="s">
        <v>76</v>
      </c>
    </row>
    <row r="33" spans="1:16">
      <c r="A33" s="9" t="s">
        <v>192</v>
      </c>
      <c r="B33" s="15">
        <v>81.081081081081095</v>
      </c>
      <c r="C33" s="15">
        <v>81.081081081081095</v>
      </c>
      <c r="D33" s="26" t="s">
        <v>76</v>
      </c>
      <c r="E33" s="15">
        <v>88.235294117647101</v>
      </c>
      <c r="F33" s="15">
        <v>88.235294117647101</v>
      </c>
      <c r="G33" s="26" t="s">
        <v>76</v>
      </c>
      <c r="H33" s="15">
        <v>72.2222222222222</v>
      </c>
      <c r="I33" s="15">
        <v>72.2222222222222</v>
      </c>
      <c r="J33" s="26" t="s">
        <v>76</v>
      </c>
      <c r="K33" s="20" t="s">
        <v>76</v>
      </c>
      <c r="L33" s="20" t="s">
        <v>76</v>
      </c>
      <c r="M33" s="26" t="s">
        <v>76</v>
      </c>
      <c r="N33" s="20" t="s">
        <v>76</v>
      </c>
      <c r="O33" s="20" t="s">
        <v>76</v>
      </c>
      <c r="P33" s="26" t="s">
        <v>76</v>
      </c>
    </row>
    <row r="34" spans="1:16" ht="21.95" customHeight="1">
      <c r="A34" s="22" t="s">
        <v>193</v>
      </c>
      <c r="B34" s="15">
        <v>62.006952168204997</v>
      </c>
      <c r="C34" s="20" t="s">
        <v>76</v>
      </c>
      <c r="D34" s="24">
        <v>62.006952168204997</v>
      </c>
      <c r="E34" s="15">
        <v>65.586464652966598</v>
      </c>
      <c r="F34" s="20" t="s">
        <v>76</v>
      </c>
      <c r="G34" s="24">
        <v>65.586464652966598</v>
      </c>
      <c r="H34" s="15">
        <v>60.216579183811</v>
      </c>
      <c r="I34" s="20" t="s">
        <v>76</v>
      </c>
      <c r="J34" s="24">
        <v>60.216579183811</v>
      </c>
      <c r="K34" s="20" t="s">
        <v>76</v>
      </c>
      <c r="L34" s="20" t="s">
        <v>76</v>
      </c>
      <c r="M34" s="26" t="s">
        <v>76</v>
      </c>
      <c r="N34" s="20" t="s">
        <v>76</v>
      </c>
      <c r="O34" s="20" t="s">
        <v>76</v>
      </c>
      <c r="P34" s="26" t="s">
        <v>76</v>
      </c>
    </row>
    <row r="35" spans="1:16">
      <c r="A35" s="9" t="s">
        <v>194</v>
      </c>
      <c r="B35" s="15">
        <v>51.342281879194601</v>
      </c>
      <c r="C35" s="20" t="s">
        <v>76</v>
      </c>
      <c r="D35" s="24">
        <v>51.342281879194601</v>
      </c>
      <c r="E35" s="15">
        <v>60.294117647058798</v>
      </c>
      <c r="F35" s="20" t="s">
        <v>76</v>
      </c>
      <c r="G35" s="24">
        <v>60.294117647058798</v>
      </c>
      <c r="H35" s="15">
        <v>45.390070921985803</v>
      </c>
      <c r="I35" s="20" t="s">
        <v>76</v>
      </c>
      <c r="J35" s="24">
        <v>45.390070921985803</v>
      </c>
      <c r="K35" s="20" t="s">
        <v>76</v>
      </c>
      <c r="L35" s="20" t="s">
        <v>76</v>
      </c>
      <c r="M35" s="26" t="s">
        <v>76</v>
      </c>
      <c r="N35" s="15">
        <v>35.714285714285701</v>
      </c>
      <c r="O35" s="20" t="s">
        <v>76</v>
      </c>
      <c r="P35" s="24">
        <v>35.714285714285701</v>
      </c>
    </row>
    <row r="36" spans="1:16">
      <c r="A36" s="9" t="s">
        <v>195</v>
      </c>
      <c r="B36" s="15">
        <v>62.831858407079601</v>
      </c>
      <c r="C36" s="20" t="s">
        <v>76</v>
      </c>
      <c r="D36" s="24">
        <v>62.831858407079601</v>
      </c>
      <c r="E36" s="15">
        <v>64.248704663212393</v>
      </c>
      <c r="F36" s="20" t="s">
        <v>76</v>
      </c>
      <c r="G36" s="24">
        <v>64.248704663212393</v>
      </c>
      <c r="H36" s="15">
        <v>61.194029850746297</v>
      </c>
      <c r="I36" s="20" t="s">
        <v>76</v>
      </c>
      <c r="J36" s="24">
        <v>61.194029850746297</v>
      </c>
      <c r="K36" s="20" t="s">
        <v>76</v>
      </c>
      <c r="L36" s="20" t="s">
        <v>76</v>
      </c>
      <c r="M36" s="26" t="s">
        <v>76</v>
      </c>
      <c r="N36" s="15">
        <v>62.5</v>
      </c>
      <c r="O36" s="20" t="s">
        <v>76</v>
      </c>
      <c r="P36" s="24">
        <v>62.5</v>
      </c>
    </row>
    <row r="37" spans="1:16">
      <c r="A37" s="9" t="s">
        <v>196</v>
      </c>
      <c r="B37" s="15">
        <v>55.162241887905601</v>
      </c>
      <c r="C37" s="20" t="s">
        <v>76</v>
      </c>
      <c r="D37" s="24">
        <v>55.162241887905601</v>
      </c>
      <c r="E37" s="15">
        <v>56.287425149700603</v>
      </c>
      <c r="F37" s="20" t="s">
        <v>76</v>
      </c>
      <c r="G37" s="24">
        <v>56.287425149700603</v>
      </c>
      <c r="H37" s="15">
        <v>56.172839506172799</v>
      </c>
      <c r="I37" s="20" t="s">
        <v>76</v>
      </c>
      <c r="J37" s="24">
        <v>56.172839506172799</v>
      </c>
      <c r="K37" s="20" t="s">
        <v>76</v>
      </c>
      <c r="L37" s="20" t="s">
        <v>76</v>
      </c>
      <c r="M37" s="26" t="s">
        <v>76</v>
      </c>
      <c r="N37" s="20" t="s">
        <v>76</v>
      </c>
      <c r="O37" s="20" t="s">
        <v>76</v>
      </c>
      <c r="P37" s="26" t="s">
        <v>76</v>
      </c>
    </row>
    <row r="38" spans="1:16">
      <c r="A38" s="9" t="s">
        <v>197</v>
      </c>
      <c r="B38" s="15">
        <v>51.211072664359897</v>
      </c>
      <c r="C38" s="20" t="s">
        <v>76</v>
      </c>
      <c r="D38" s="24">
        <v>51.211072664359897</v>
      </c>
      <c r="E38" s="15">
        <v>52.380952380952401</v>
      </c>
      <c r="F38" s="20" t="s">
        <v>76</v>
      </c>
      <c r="G38" s="24">
        <v>52.380952380952401</v>
      </c>
      <c r="H38" s="15">
        <v>52.985074626865703</v>
      </c>
      <c r="I38" s="20" t="s">
        <v>76</v>
      </c>
      <c r="J38" s="24">
        <v>52.985074626865703</v>
      </c>
      <c r="K38" s="20" t="s">
        <v>76</v>
      </c>
      <c r="L38" s="20" t="s">
        <v>76</v>
      </c>
      <c r="M38" s="26" t="s">
        <v>76</v>
      </c>
      <c r="N38" s="20" t="s">
        <v>76</v>
      </c>
      <c r="O38" s="20" t="s">
        <v>76</v>
      </c>
      <c r="P38" s="26" t="s">
        <v>76</v>
      </c>
    </row>
    <row r="39" spans="1:16">
      <c r="A39" s="9" t="s">
        <v>198</v>
      </c>
      <c r="B39" s="15">
        <v>64.804469273742995</v>
      </c>
      <c r="C39" s="20" t="s">
        <v>76</v>
      </c>
      <c r="D39" s="24">
        <v>64.804469273742995</v>
      </c>
      <c r="E39" s="15">
        <v>65.5555555555556</v>
      </c>
      <c r="F39" s="20" t="s">
        <v>76</v>
      </c>
      <c r="G39" s="24">
        <v>65.5555555555556</v>
      </c>
      <c r="H39" s="15">
        <v>69.135802469135797</v>
      </c>
      <c r="I39" s="20" t="s">
        <v>76</v>
      </c>
      <c r="J39" s="24">
        <v>69.135802469135797</v>
      </c>
      <c r="K39" s="20" t="s">
        <v>76</v>
      </c>
      <c r="L39" s="20" t="s">
        <v>76</v>
      </c>
      <c r="M39" s="26" t="s">
        <v>76</v>
      </c>
      <c r="N39" s="20" t="s">
        <v>76</v>
      </c>
      <c r="O39" s="20" t="s">
        <v>76</v>
      </c>
      <c r="P39" s="26" t="s">
        <v>76</v>
      </c>
    </row>
    <row r="40" spans="1:16">
      <c r="A40" s="9" t="s">
        <v>199</v>
      </c>
      <c r="B40" s="15">
        <v>73.230769230769198</v>
      </c>
      <c r="C40" s="20" t="s">
        <v>76</v>
      </c>
      <c r="D40" s="24">
        <v>73.230769230769198</v>
      </c>
      <c r="E40" s="15">
        <v>75</v>
      </c>
      <c r="F40" s="20" t="s">
        <v>76</v>
      </c>
      <c r="G40" s="24">
        <v>75</v>
      </c>
      <c r="H40" s="15">
        <v>71.764705882352899</v>
      </c>
      <c r="I40" s="20" t="s">
        <v>76</v>
      </c>
      <c r="J40" s="24">
        <v>71.764705882352899</v>
      </c>
      <c r="K40" s="20" t="s">
        <v>76</v>
      </c>
      <c r="L40" s="20" t="s">
        <v>76</v>
      </c>
      <c r="M40" s="26" t="s">
        <v>76</v>
      </c>
      <c r="N40" s="20" t="s">
        <v>76</v>
      </c>
      <c r="O40" s="20" t="s">
        <v>76</v>
      </c>
      <c r="P40" s="26" t="s">
        <v>76</v>
      </c>
    </row>
    <row r="41" spans="1:16">
      <c r="A41" s="11" t="s">
        <v>200</v>
      </c>
      <c r="B41" s="16">
        <v>69.620253164556999</v>
      </c>
      <c r="C41" s="28" t="s">
        <v>76</v>
      </c>
      <c r="D41" s="25">
        <v>69.620253164556999</v>
      </c>
      <c r="E41" s="16">
        <v>69.230769230769198</v>
      </c>
      <c r="F41" s="28" t="s">
        <v>76</v>
      </c>
      <c r="G41" s="25">
        <v>69.230769230769198</v>
      </c>
      <c r="H41" s="16">
        <v>70.344827586206904</v>
      </c>
      <c r="I41" s="28" t="s">
        <v>76</v>
      </c>
      <c r="J41" s="25">
        <v>70.344827586206904</v>
      </c>
      <c r="K41" s="28" t="s">
        <v>76</v>
      </c>
      <c r="L41" s="28" t="s">
        <v>76</v>
      </c>
      <c r="M41" s="29" t="s">
        <v>76</v>
      </c>
      <c r="N41" s="16">
        <v>60</v>
      </c>
      <c r="O41" s="28" t="s">
        <v>76</v>
      </c>
      <c r="P41" s="25">
        <v>60</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205</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5" customHeight="1">
      <c r="A4" s="22" t="s">
        <v>69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5" customHeight="1">
      <c r="A5" s="22" t="s">
        <v>70</v>
      </c>
      <c r="B5" s="15">
        <v>96.618501573640302</v>
      </c>
      <c r="C5" s="15">
        <v>96.682732044661194</v>
      </c>
      <c r="D5" s="24">
        <v>96.568637492255405</v>
      </c>
      <c r="E5" s="15">
        <v>97.389431579405894</v>
      </c>
      <c r="F5" s="15">
        <v>97.277220134938204</v>
      </c>
      <c r="G5" s="24">
        <v>97.480092386008295</v>
      </c>
      <c r="H5" s="15">
        <v>95.891327889344197</v>
      </c>
      <c r="I5" s="15">
        <v>96.046769915681097</v>
      </c>
      <c r="J5" s="24">
        <v>95.770801495327206</v>
      </c>
      <c r="K5" s="15">
        <v>98.188106835589593</v>
      </c>
      <c r="L5" s="20" t="s">
        <v>76</v>
      </c>
      <c r="M5" s="24">
        <v>97.789370970841006</v>
      </c>
      <c r="N5" s="15">
        <v>93.688578008191001</v>
      </c>
      <c r="O5" s="20" t="s">
        <v>76</v>
      </c>
      <c r="P5" s="24">
        <v>92.879886405235595</v>
      </c>
    </row>
    <row r="6" spans="1:16" ht="21.95" customHeight="1">
      <c r="A6" s="22" t="s">
        <v>165</v>
      </c>
      <c r="B6" s="15">
        <v>96.682732044661194</v>
      </c>
      <c r="C6" s="15">
        <v>96.682732044661194</v>
      </c>
      <c r="D6" s="26" t="s">
        <v>76</v>
      </c>
      <c r="E6" s="15">
        <v>97.277220134938204</v>
      </c>
      <c r="F6" s="15">
        <v>97.277220134938204</v>
      </c>
      <c r="G6" s="26" t="s">
        <v>76</v>
      </c>
      <c r="H6" s="15">
        <v>96.046769915681097</v>
      </c>
      <c r="I6" s="15">
        <v>96.046769915681097</v>
      </c>
      <c r="J6" s="26" t="s">
        <v>76</v>
      </c>
      <c r="K6" s="20" t="s">
        <v>76</v>
      </c>
      <c r="L6" s="20" t="s">
        <v>76</v>
      </c>
      <c r="M6" s="26" t="s">
        <v>76</v>
      </c>
      <c r="N6" s="20" t="s">
        <v>76</v>
      </c>
      <c r="O6" s="20" t="s">
        <v>76</v>
      </c>
      <c r="P6" s="26" t="s">
        <v>76</v>
      </c>
    </row>
    <row r="7" spans="1:16">
      <c r="A7" s="9" t="s">
        <v>166</v>
      </c>
      <c r="B7" s="15">
        <v>97.9166666666667</v>
      </c>
      <c r="C7" s="15">
        <v>97.9166666666667</v>
      </c>
      <c r="D7" s="26" t="s">
        <v>76</v>
      </c>
      <c r="E7" s="15">
        <v>100</v>
      </c>
      <c r="F7" s="15">
        <v>100</v>
      </c>
      <c r="G7" s="26" t="s">
        <v>76</v>
      </c>
      <c r="H7" s="15">
        <v>95.8333333333333</v>
      </c>
      <c r="I7" s="15">
        <v>95.8333333333333</v>
      </c>
      <c r="J7" s="26" t="s">
        <v>76</v>
      </c>
      <c r="K7" s="20" t="s">
        <v>76</v>
      </c>
      <c r="L7" s="20" t="s">
        <v>76</v>
      </c>
      <c r="M7" s="26" t="s">
        <v>76</v>
      </c>
      <c r="N7" s="20" t="s">
        <v>76</v>
      </c>
      <c r="O7" s="20" t="s">
        <v>76</v>
      </c>
      <c r="P7" s="26" t="s">
        <v>76</v>
      </c>
    </row>
    <row r="8" spans="1:16">
      <c r="A8" s="9" t="s">
        <v>167</v>
      </c>
      <c r="B8" s="15">
        <v>98.507462686567195</v>
      </c>
      <c r="C8" s="15">
        <v>98.507462686567195</v>
      </c>
      <c r="D8" s="26" t="s">
        <v>76</v>
      </c>
      <c r="E8" s="15">
        <v>96.551724137931004</v>
      </c>
      <c r="F8" s="15">
        <v>96.551724137931004</v>
      </c>
      <c r="G8" s="26" t="s">
        <v>76</v>
      </c>
      <c r="H8" s="15">
        <v>100</v>
      </c>
      <c r="I8" s="15">
        <v>100</v>
      </c>
      <c r="J8" s="26" t="s">
        <v>76</v>
      </c>
      <c r="K8" s="20" t="s">
        <v>76</v>
      </c>
      <c r="L8" s="20" t="s">
        <v>76</v>
      </c>
      <c r="M8" s="26" t="s">
        <v>76</v>
      </c>
      <c r="N8" s="20" t="s">
        <v>76</v>
      </c>
      <c r="O8" s="20" t="s">
        <v>76</v>
      </c>
      <c r="P8" s="26" t="s">
        <v>76</v>
      </c>
    </row>
    <row r="9" spans="1:16">
      <c r="A9" s="9" t="s">
        <v>168</v>
      </c>
      <c r="B9" s="15">
        <v>97.560975609756099</v>
      </c>
      <c r="C9" s="15">
        <v>97.560975609756099</v>
      </c>
      <c r="D9" s="26" t="s">
        <v>76</v>
      </c>
      <c r="E9" s="15">
        <v>100</v>
      </c>
      <c r="F9" s="15">
        <v>100</v>
      </c>
      <c r="G9" s="26" t="s">
        <v>76</v>
      </c>
      <c r="H9" s="15">
        <v>95.121951219512198</v>
      </c>
      <c r="I9" s="15">
        <v>95.121951219512198</v>
      </c>
      <c r="J9" s="26" t="s">
        <v>76</v>
      </c>
      <c r="K9" s="20" t="s">
        <v>76</v>
      </c>
      <c r="L9" s="20" t="s">
        <v>76</v>
      </c>
      <c r="M9" s="26" t="s">
        <v>76</v>
      </c>
      <c r="N9" s="20" t="s">
        <v>76</v>
      </c>
      <c r="O9" s="20" t="s">
        <v>76</v>
      </c>
      <c r="P9" s="26" t="s">
        <v>76</v>
      </c>
    </row>
    <row r="10" spans="1:16">
      <c r="A10" s="9" t="s">
        <v>169</v>
      </c>
      <c r="B10" s="15">
        <v>95</v>
      </c>
      <c r="C10" s="15">
        <v>95</v>
      </c>
      <c r="D10" s="26" t="s">
        <v>76</v>
      </c>
      <c r="E10" s="15">
        <v>88.235294117647101</v>
      </c>
      <c r="F10" s="15">
        <v>88.235294117647101</v>
      </c>
      <c r="G10" s="26" t="s">
        <v>76</v>
      </c>
      <c r="H10" s="15">
        <v>100</v>
      </c>
      <c r="I10" s="15">
        <v>100</v>
      </c>
      <c r="J10" s="26" t="s">
        <v>76</v>
      </c>
      <c r="K10" s="20" t="s">
        <v>76</v>
      </c>
      <c r="L10" s="20" t="s">
        <v>76</v>
      </c>
      <c r="M10" s="26" t="s">
        <v>76</v>
      </c>
      <c r="N10" s="20" t="s">
        <v>76</v>
      </c>
      <c r="O10" s="20" t="s">
        <v>76</v>
      </c>
      <c r="P10" s="26" t="s">
        <v>76</v>
      </c>
    </row>
    <row r="11" spans="1:16">
      <c r="A11" s="9" t="s">
        <v>170</v>
      </c>
      <c r="B11" s="15">
        <v>100</v>
      </c>
      <c r="C11" s="15">
        <v>100</v>
      </c>
      <c r="D11" s="26" t="s">
        <v>76</v>
      </c>
      <c r="E11" s="15">
        <v>100</v>
      </c>
      <c r="F11" s="15">
        <v>100</v>
      </c>
      <c r="G11" s="26" t="s">
        <v>76</v>
      </c>
      <c r="H11" s="15">
        <v>100</v>
      </c>
      <c r="I11" s="15">
        <v>100</v>
      </c>
      <c r="J11" s="26" t="s">
        <v>76</v>
      </c>
      <c r="K11" s="20" t="s">
        <v>76</v>
      </c>
      <c r="L11" s="20" t="s">
        <v>76</v>
      </c>
      <c r="M11" s="26" t="s">
        <v>76</v>
      </c>
      <c r="N11" s="20" t="s">
        <v>76</v>
      </c>
      <c r="O11" s="20" t="s">
        <v>76</v>
      </c>
      <c r="P11" s="26" t="s">
        <v>76</v>
      </c>
    </row>
    <row r="12" spans="1:16">
      <c r="A12" s="9" t="s">
        <v>171</v>
      </c>
      <c r="B12" s="15">
        <v>100</v>
      </c>
      <c r="C12" s="15">
        <v>100</v>
      </c>
      <c r="D12" s="26" t="s">
        <v>76</v>
      </c>
      <c r="E12" s="15">
        <v>100</v>
      </c>
      <c r="F12" s="15">
        <v>100</v>
      </c>
      <c r="G12" s="26" t="s">
        <v>76</v>
      </c>
      <c r="H12" s="15">
        <v>100</v>
      </c>
      <c r="I12" s="15">
        <v>100</v>
      </c>
      <c r="J12" s="26" t="s">
        <v>76</v>
      </c>
      <c r="K12" s="20" t="s">
        <v>76</v>
      </c>
      <c r="L12" s="20" t="s">
        <v>76</v>
      </c>
      <c r="M12" s="26" t="s">
        <v>76</v>
      </c>
      <c r="N12" s="20" t="s">
        <v>76</v>
      </c>
      <c r="O12" s="20" t="s">
        <v>76</v>
      </c>
      <c r="P12" s="26" t="s">
        <v>76</v>
      </c>
    </row>
    <row r="13" spans="1:16">
      <c r="A13" s="9" t="s">
        <v>172</v>
      </c>
      <c r="B13" s="15">
        <v>96.09375</v>
      </c>
      <c r="C13" s="15">
        <v>96.09375</v>
      </c>
      <c r="D13" s="26" t="s">
        <v>76</v>
      </c>
      <c r="E13" s="15">
        <v>98.4375</v>
      </c>
      <c r="F13" s="15">
        <v>98.4375</v>
      </c>
      <c r="G13" s="26" t="s">
        <v>76</v>
      </c>
      <c r="H13" s="15">
        <v>94.915254237288096</v>
      </c>
      <c r="I13" s="15">
        <v>94.915254237288096</v>
      </c>
      <c r="J13" s="26" t="s">
        <v>76</v>
      </c>
      <c r="K13" s="20" t="s">
        <v>76</v>
      </c>
      <c r="L13" s="20" t="s">
        <v>76</v>
      </c>
      <c r="M13" s="26" t="s">
        <v>76</v>
      </c>
      <c r="N13" s="20" t="s">
        <v>76</v>
      </c>
      <c r="O13" s="20" t="s">
        <v>76</v>
      </c>
      <c r="P13" s="26" t="s">
        <v>76</v>
      </c>
    </row>
    <row r="14" spans="1:16">
      <c r="A14" s="9" t="s">
        <v>173</v>
      </c>
      <c r="B14" s="15">
        <v>98.529411764705898</v>
      </c>
      <c r="C14" s="15">
        <v>98.529411764705898</v>
      </c>
      <c r="D14" s="26" t="s">
        <v>76</v>
      </c>
      <c r="E14" s="15">
        <v>100</v>
      </c>
      <c r="F14" s="15">
        <v>100</v>
      </c>
      <c r="G14" s="26" t="s">
        <v>76</v>
      </c>
      <c r="H14" s="15">
        <v>96.969696969696997</v>
      </c>
      <c r="I14" s="15">
        <v>96.969696969696997</v>
      </c>
      <c r="J14" s="26" t="s">
        <v>76</v>
      </c>
      <c r="K14" s="20" t="s">
        <v>76</v>
      </c>
      <c r="L14" s="20" t="s">
        <v>76</v>
      </c>
      <c r="M14" s="26" t="s">
        <v>76</v>
      </c>
      <c r="N14" s="20" t="s">
        <v>76</v>
      </c>
      <c r="O14" s="20" t="s">
        <v>76</v>
      </c>
      <c r="P14" s="26" t="s">
        <v>76</v>
      </c>
    </row>
    <row r="15" spans="1:16">
      <c r="A15" s="9" t="s">
        <v>174</v>
      </c>
      <c r="B15" s="15">
        <v>95.918367346938794</v>
      </c>
      <c r="C15" s="15">
        <v>95.918367346938794</v>
      </c>
      <c r="D15" s="26" t="s">
        <v>76</v>
      </c>
      <c r="E15" s="15">
        <v>92.592592592592595</v>
      </c>
      <c r="F15" s="15">
        <v>92.592592592592595</v>
      </c>
      <c r="G15" s="26" t="s">
        <v>76</v>
      </c>
      <c r="H15" s="15">
        <v>100</v>
      </c>
      <c r="I15" s="15">
        <v>100</v>
      </c>
      <c r="J15" s="26" t="s">
        <v>76</v>
      </c>
      <c r="K15" s="20" t="s">
        <v>76</v>
      </c>
      <c r="L15" s="20" t="s">
        <v>76</v>
      </c>
      <c r="M15" s="26" t="s">
        <v>76</v>
      </c>
      <c r="N15" s="20" t="s">
        <v>76</v>
      </c>
      <c r="O15" s="20" t="s">
        <v>76</v>
      </c>
      <c r="P15" s="26" t="s">
        <v>76</v>
      </c>
    </row>
    <row r="16" spans="1:16">
      <c r="A16" s="9" t="s">
        <v>175</v>
      </c>
      <c r="B16" s="15">
        <v>95.238095238095198</v>
      </c>
      <c r="C16" s="15">
        <v>95.238095238095198</v>
      </c>
      <c r="D16" s="26" t="s">
        <v>76</v>
      </c>
      <c r="E16" s="15">
        <v>95.238095238095198</v>
      </c>
      <c r="F16" s="15">
        <v>95.238095238095198</v>
      </c>
      <c r="G16" s="26" t="s">
        <v>76</v>
      </c>
      <c r="H16" s="15">
        <v>95.238095238095198</v>
      </c>
      <c r="I16" s="15">
        <v>95.238095238095198</v>
      </c>
      <c r="J16" s="26" t="s">
        <v>76</v>
      </c>
      <c r="K16" s="20" t="s">
        <v>76</v>
      </c>
      <c r="L16" s="20" t="s">
        <v>76</v>
      </c>
      <c r="M16" s="26" t="s">
        <v>76</v>
      </c>
      <c r="N16" s="20" t="s">
        <v>76</v>
      </c>
      <c r="O16" s="20" t="s">
        <v>76</v>
      </c>
      <c r="P16" s="26" t="s">
        <v>76</v>
      </c>
    </row>
    <row r="17" spans="1:16">
      <c r="A17" s="9" t="s">
        <v>176</v>
      </c>
      <c r="B17" s="15">
        <v>96.296296296296305</v>
      </c>
      <c r="C17" s="15">
        <v>96.296296296296305</v>
      </c>
      <c r="D17" s="26" t="s">
        <v>76</v>
      </c>
      <c r="E17" s="15">
        <v>95.588235294117595</v>
      </c>
      <c r="F17" s="15">
        <v>95.588235294117595</v>
      </c>
      <c r="G17" s="26" t="s">
        <v>76</v>
      </c>
      <c r="H17" s="15">
        <v>96.774193548387103</v>
      </c>
      <c r="I17" s="15">
        <v>96.774193548387103</v>
      </c>
      <c r="J17" s="26" t="s">
        <v>76</v>
      </c>
      <c r="K17" s="20" t="s">
        <v>76</v>
      </c>
      <c r="L17" s="20" t="s">
        <v>76</v>
      </c>
      <c r="M17" s="26" t="s">
        <v>76</v>
      </c>
      <c r="N17" s="20" t="s">
        <v>76</v>
      </c>
      <c r="O17" s="20" t="s">
        <v>76</v>
      </c>
      <c r="P17" s="26" t="s">
        <v>76</v>
      </c>
    </row>
    <row r="18" spans="1:16">
      <c r="A18" s="9" t="s">
        <v>177</v>
      </c>
      <c r="B18" s="15">
        <v>100</v>
      </c>
      <c r="C18" s="15">
        <v>100</v>
      </c>
      <c r="D18" s="26" t="s">
        <v>76</v>
      </c>
      <c r="E18" s="15">
        <v>100</v>
      </c>
      <c r="F18" s="15">
        <v>100</v>
      </c>
      <c r="G18" s="26" t="s">
        <v>76</v>
      </c>
      <c r="H18" s="15">
        <v>100</v>
      </c>
      <c r="I18" s="15">
        <v>100</v>
      </c>
      <c r="J18" s="26" t="s">
        <v>76</v>
      </c>
      <c r="K18" s="20" t="s">
        <v>76</v>
      </c>
      <c r="L18" s="20" t="s">
        <v>76</v>
      </c>
      <c r="M18" s="26" t="s">
        <v>76</v>
      </c>
      <c r="N18" s="20" t="s">
        <v>76</v>
      </c>
      <c r="O18" s="20" t="s">
        <v>76</v>
      </c>
      <c r="P18" s="26" t="s">
        <v>76</v>
      </c>
    </row>
    <row r="19" spans="1:16">
      <c r="A19" s="9" t="s">
        <v>178</v>
      </c>
      <c r="B19" s="15">
        <v>100</v>
      </c>
      <c r="C19" s="15">
        <v>100</v>
      </c>
      <c r="D19" s="26" t="s">
        <v>76</v>
      </c>
      <c r="E19" s="15">
        <v>100</v>
      </c>
      <c r="F19" s="15">
        <v>100</v>
      </c>
      <c r="G19" s="26" t="s">
        <v>76</v>
      </c>
      <c r="H19" s="15">
        <v>100</v>
      </c>
      <c r="I19" s="15">
        <v>100</v>
      </c>
      <c r="J19" s="26" t="s">
        <v>76</v>
      </c>
      <c r="K19" s="20" t="s">
        <v>76</v>
      </c>
      <c r="L19" s="20" t="s">
        <v>76</v>
      </c>
      <c r="M19" s="26" t="s">
        <v>76</v>
      </c>
      <c r="N19" s="20" t="s">
        <v>76</v>
      </c>
      <c r="O19" s="20" t="s">
        <v>76</v>
      </c>
      <c r="P19" s="26" t="s">
        <v>76</v>
      </c>
    </row>
    <row r="20" spans="1:16">
      <c r="A20" s="9" t="s">
        <v>179</v>
      </c>
      <c r="B20" s="15">
        <v>98</v>
      </c>
      <c r="C20" s="15">
        <v>98</v>
      </c>
      <c r="D20" s="26" t="s">
        <v>76</v>
      </c>
      <c r="E20" s="15">
        <v>100</v>
      </c>
      <c r="F20" s="15">
        <v>100</v>
      </c>
      <c r="G20" s="26" t="s">
        <v>76</v>
      </c>
      <c r="H20" s="15">
        <v>96.363636363636402</v>
      </c>
      <c r="I20" s="15">
        <v>96.363636363636402</v>
      </c>
      <c r="J20" s="26" t="s">
        <v>76</v>
      </c>
      <c r="K20" s="20" t="s">
        <v>76</v>
      </c>
      <c r="L20" s="20" t="s">
        <v>76</v>
      </c>
      <c r="M20" s="26" t="s">
        <v>76</v>
      </c>
      <c r="N20" s="20" t="s">
        <v>76</v>
      </c>
      <c r="O20" s="20" t="s">
        <v>76</v>
      </c>
      <c r="P20" s="26" t="s">
        <v>76</v>
      </c>
    </row>
    <row r="21" spans="1:16">
      <c r="A21" s="9" t="s">
        <v>180</v>
      </c>
      <c r="B21" s="15">
        <v>96.969696969696997</v>
      </c>
      <c r="C21" s="15">
        <v>96.969696969696997</v>
      </c>
      <c r="D21" s="26" t="s">
        <v>76</v>
      </c>
      <c r="E21" s="15">
        <v>100</v>
      </c>
      <c r="F21" s="15">
        <v>100</v>
      </c>
      <c r="G21" s="26" t="s">
        <v>76</v>
      </c>
      <c r="H21" s="15">
        <v>93.75</v>
      </c>
      <c r="I21" s="15">
        <v>93.75</v>
      </c>
      <c r="J21" s="26" t="s">
        <v>76</v>
      </c>
      <c r="K21" s="20" t="s">
        <v>76</v>
      </c>
      <c r="L21" s="20" t="s">
        <v>76</v>
      </c>
      <c r="M21" s="26" t="s">
        <v>76</v>
      </c>
      <c r="N21" s="20" t="s">
        <v>76</v>
      </c>
      <c r="O21" s="20" t="s">
        <v>76</v>
      </c>
      <c r="P21" s="26" t="s">
        <v>76</v>
      </c>
    </row>
    <row r="22" spans="1:16">
      <c r="A22" s="9" t="s">
        <v>181</v>
      </c>
      <c r="B22" s="15">
        <v>100</v>
      </c>
      <c r="C22" s="15">
        <v>100</v>
      </c>
      <c r="D22" s="26" t="s">
        <v>76</v>
      </c>
      <c r="E22" s="15">
        <v>100</v>
      </c>
      <c r="F22" s="15">
        <v>100</v>
      </c>
      <c r="G22" s="26" t="s">
        <v>76</v>
      </c>
      <c r="H22" s="15">
        <v>100</v>
      </c>
      <c r="I22" s="15">
        <v>100</v>
      </c>
      <c r="J22" s="26" t="s">
        <v>76</v>
      </c>
      <c r="K22" s="20" t="s">
        <v>76</v>
      </c>
      <c r="L22" s="20" t="s">
        <v>76</v>
      </c>
      <c r="M22" s="26" t="s">
        <v>76</v>
      </c>
      <c r="N22" s="20" t="s">
        <v>76</v>
      </c>
      <c r="O22" s="20" t="s">
        <v>76</v>
      </c>
      <c r="P22" s="26" t="s">
        <v>76</v>
      </c>
    </row>
    <row r="23" spans="1:16">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c r="A24" s="9" t="s">
        <v>183</v>
      </c>
      <c r="B24" s="15">
        <v>98.214285714285694</v>
      </c>
      <c r="C24" s="15">
        <v>98.214285714285694</v>
      </c>
      <c r="D24" s="26" t="s">
        <v>76</v>
      </c>
      <c r="E24" s="15">
        <v>100</v>
      </c>
      <c r="F24" s="15">
        <v>100</v>
      </c>
      <c r="G24" s="26" t="s">
        <v>76</v>
      </c>
      <c r="H24" s="15">
        <v>96.428571428571402</v>
      </c>
      <c r="I24" s="15">
        <v>96.428571428571402</v>
      </c>
      <c r="J24" s="26" t="s">
        <v>76</v>
      </c>
      <c r="K24" s="20" t="s">
        <v>76</v>
      </c>
      <c r="L24" s="20" t="s">
        <v>76</v>
      </c>
      <c r="M24" s="26" t="s">
        <v>76</v>
      </c>
      <c r="N24" s="20" t="s">
        <v>76</v>
      </c>
      <c r="O24" s="20" t="s">
        <v>76</v>
      </c>
      <c r="P24" s="26" t="s">
        <v>76</v>
      </c>
    </row>
    <row r="25" spans="1:16">
      <c r="A25" s="9" t="s">
        <v>184</v>
      </c>
      <c r="B25" s="15">
        <v>99.038461538461505</v>
      </c>
      <c r="C25" s="15">
        <v>99.038461538461505</v>
      </c>
      <c r="D25" s="26" t="s">
        <v>76</v>
      </c>
      <c r="E25" s="15">
        <v>100</v>
      </c>
      <c r="F25" s="15">
        <v>100</v>
      </c>
      <c r="G25" s="26" t="s">
        <v>76</v>
      </c>
      <c r="H25" s="15">
        <v>98.181818181818201</v>
      </c>
      <c r="I25" s="15">
        <v>98.181818181818201</v>
      </c>
      <c r="J25" s="26" t="s">
        <v>76</v>
      </c>
      <c r="K25" s="20" t="s">
        <v>76</v>
      </c>
      <c r="L25" s="20" t="s">
        <v>76</v>
      </c>
      <c r="M25" s="26" t="s">
        <v>76</v>
      </c>
      <c r="N25" s="20" t="s">
        <v>76</v>
      </c>
      <c r="O25" s="20" t="s">
        <v>76</v>
      </c>
      <c r="P25" s="26" t="s">
        <v>76</v>
      </c>
    </row>
    <row r="26" spans="1:16">
      <c r="A26" s="9" t="s">
        <v>185</v>
      </c>
      <c r="B26" s="15">
        <v>100</v>
      </c>
      <c r="C26" s="15">
        <v>100</v>
      </c>
      <c r="D26" s="26" t="s">
        <v>76</v>
      </c>
      <c r="E26" s="15">
        <v>100</v>
      </c>
      <c r="F26" s="15">
        <v>100</v>
      </c>
      <c r="G26" s="26" t="s">
        <v>76</v>
      </c>
      <c r="H26" s="15">
        <v>100</v>
      </c>
      <c r="I26" s="15">
        <v>100</v>
      </c>
      <c r="J26" s="26" t="s">
        <v>76</v>
      </c>
      <c r="K26" s="20" t="s">
        <v>76</v>
      </c>
      <c r="L26" s="20" t="s">
        <v>76</v>
      </c>
      <c r="M26" s="26" t="s">
        <v>76</v>
      </c>
      <c r="N26" s="20" t="s">
        <v>76</v>
      </c>
      <c r="O26" s="20" t="s">
        <v>76</v>
      </c>
      <c r="P26" s="26" t="s">
        <v>76</v>
      </c>
    </row>
    <row r="27" spans="1:16">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c r="A28" s="9" t="s">
        <v>187</v>
      </c>
      <c r="B28" s="15">
        <v>100</v>
      </c>
      <c r="C28" s="15">
        <v>100</v>
      </c>
      <c r="D28" s="26" t="s">
        <v>76</v>
      </c>
      <c r="E28" s="15">
        <v>100</v>
      </c>
      <c r="F28" s="15">
        <v>100</v>
      </c>
      <c r="G28" s="26" t="s">
        <v>76</v>
      </c>
      <c r="H28" s="15">
        <v>100</v>
      </c>
      <c r="I28" s="15">
        <v>100</v>
      </c>
      <c r="J28" s="26" t="s">
        <v>76</v>
      </c>
      <c r="K28" s="20" t="s">
        <v>76</v>
      </c>
      <c r="L28" s="20" t="s">
        <v>76</v>
      </c>
      <c r="M28" s="26" t="s">
        <v>76</v>
      </c>
      <c r="N28" s="20" t="s">
        <v>76</v>
      </c>
      <c r="O28" s="20" t="s">
        <v>76</v>
      </c>
      <c r="P28" s="26" t="s">
        <v>76</v>
      </c>
    </row>
    <row r="29" spans="1:16">
      <c r="A29" s="9" t="s">
        <v>188</v>
      </c>
      <c r="B29" s="15">
        <v>100</v>
      </c>
      <c r="C29" s="15">
        <v>100</v>
      </c>
      <c r="D29" s="26" t="s">
        <v>76</v>
      </c>
      <c r="E29" s="15">
        <v>100</v>
      </c>
      <c r="F29" s="15">
        <v>100</v>
      </c>
      <c r="G29" s="26" t="s">
        <v>76</v>
      </c>
      <c r="H29" s="15">
        <v>100</v>
      </c>
      <c r="I29" s="15">
        <v>100</v>
      </c>
      <c r="J29" s="26" t="s">
        <v>76</v>
      </c>
      <c r="K29" s="20" t="s">
        <v>76</v>
      </c>
      <c r="L29" s="20" t="s">
        <v>76</v>
      </c>
      <c r="M29" s="26" t="s">
        <v>76</v>
      </c>
      <c r="N29" s="20" t="s">
        <v>76</v>
      </c>
      <c r="O29" s="20" t="s">
        <v>76</v>
      </c>
      <c r="P29" s="26" t="s">
        <v>76</v>
      </c>
    </row>
    <row r="30" spans="1:16">
      <c r="A30" s="9" t="s">
        <v>189</v>
      </c>
      <c r="B30" s="15">
        <v>90.123456790123498</v>
      </c>
      <c r="C30" s="15">
        <v>90.123456790123498</v>
      </c>
      <c r="D30" s="26" t="s">
        <v>76</v>
      </c>
      <c r="E30" s="15">
        <v>90.243902439024396</v>
      </c>
      <c r="F30" s="15">
        <v>90.243902439024396</v>
      </c>
      <c r="G30" s="26" t="s">
        <v>76</v>
      </c>
      <c r="H30" s="15">
        <v>89.743589743589695</v>
      </c>
      <c r="I30" s="15">
        <v>89.743589743589695</v>
      </c>
      <c r="J30" s="26" t="s">
        <v>76</v>
      </c>
      <c r="K30" s="20" t="s">
        <v>76</v>
      </c>
      <c r="L30" s="20" t="s">
        <v>76</v>
      </c>
      <c r="M30" s="26" t="s">
        <v>76</v>
      </c>
      <c r="N30" s="20" t="s">
        <v>76</v>
      </c>
      <c r="O30" s="20" t="s">
        <v>76</v>
      </c>
      <c r="P30" s="26" t="s">
        <v>76</v>
      </c>
    </row>
    <row r="31" spans="1:16">
      <c r="A31" s="9" t="s">
        <v>190</v>
      </c>
      <c r="B31" s="15">
        <v>90.526315789473699</v>
      </c>
      <c r="C31" s="15">
        <v>90.526315789473699</v>
      </c>
      <c r="D31" s="26" t="s">
        <v>76</v>
      </c>
      <c r="E31" s="15">
        <v>87.755102040816297</v>
      </c>
      <c r="F31" s="15">
        <v>87.755102040816297</v>
      </c>
      <c r="G31" s="26" t="s">
        <v>76</v>
      </c>
      <c r="H31" s="15">
        <v>93.478260869565204</v>
      </c>
      <c r="I31" s="15">
        <v>93.478260869565204</v>
      </c>
      <c r="J31" s="26" t="s">
        <v>76</v>
      </c>
      <c r="K31" s="20" t="s">
        <v>76</v>
      </c>
      <c r="L31" s="20" t="s">
        <v>76</v>
      </c>
      <c r="M31" s="26" t="s">
        <v>76</v>
      </c>
      <c r="N31" s="20" t="s">
        <v>76</v>
      </c>
      <c r="O31" s="20" t="s">
        <v>76</v>
      </c>
      <c r="P31" s="26" t="s">
        <v>76</v>
      </c>
    </row>
    <row r="32" spans="1:16">
      <c r="A32" s="9" t="s">
        <v>191</v>
      </c>
      <c r="B32" s="15">
        <v>91.8032786885246</v>
      </c>
      <c r="C32" s="15">
        <v>91.8032786885246</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c r="A33" s="9" t="s">
        <v>192</v>
      </c>
      <c r="B33" s="15">
        <v>100</v>
      </c>
      <c r="C33" s="15">
        <v>100</v>
      </c>
      <c r="D33" s="26" t="s">
        <v>76</v>
      </c>
      <c r="E33" s="15">
        <v>100</v>
      </c>
      <c r="F33" s="15">
        <v>100</v>
      </c>
      <c r="G33" s="26" t="s">
        <v>76</v>
      </c>
      <c r="H33" s="15">
        <v>100</v>
      </c>
      <c r="I33" s="15">
        <v>100</v>
      </c>
      <c r="J33" s="26" t="s">
        <v>76</v>
      </c>
      <c r="K33" s="20" t="s">
        <v>76</v>
      </c>
      <c r="L33" s="20" t="s">
        <v>76</v>
      </c>
      <c r="M33" s="26" t="s">
        <v>76</v>
      </c>
      <c r="N33" s="20" t="s">
        <v>76</v>
      </c>
      <c r="O33" s="20" t="s">
        <v>76</v>
      </c>
      <c r="P33" s="26" t="s">
        <v>76</v>
      </c>
    </row>
    <row r="34" spans="1:16" ht="21.95" customHeight="1">
      <c r="A34" s="22" t="s">
        <v>193</v>
      </c>
      <c r="B34" s="15">
        <v>96.568637492255405</v>
      </c>
      <c r="C34" s="20" t="s">
        <v>76</v>
      </c>
      <c r="D34" s="24">
        <v>96.568637492255405</v>
      </c>
      <c r="E34" s="15">
        <v>97.480092386008295</v>
      </c>
      <c r="F34" s="20" t="s">
        <v>76</v>
      </c>
      <c r="G34" s="24">
        <v>97.480092386008295</v>
      </c>
      <c r="H34" s="15">
        <v>95.770801495327206</v>
      </c>
      <c r="I34" s="20" t="s">
        <v>76</v>
      </c>
      <c r="J34" s="24">
        <v>95.770801495327206</v>
      </c>
      <c r="K34" s="15">
        <v>97.789370970841006</v>
      </c>
      <c r="L34" s="20" t="s">
        <v>76</v>
      </c>
      <c r="M34" s="24">
        <v>97.789370970841006</v>
      </c>
      <c r="N34" s="15">
        <v>92.879886405235595</v>
      </c>
      <c r="O34" s="20" t="s">
        <v>76</v>
      </c>
      <c r="P34" s="24">
        <v>92.879886405235595</v>
      </c>
    </row>
    <row r="35" spans="1:16">
      <c r="A35" s="9" t="s">
        <v>194</v>
      </c>
      <c r="B35" s="15">
        <v>91.946308724832207</v>
      </c>
      <c r="C35" s="20" t="s">
        <v>76</v>
      </c>
      <c r="D35" s="24">
        <v>91.946308724832207</v>
      </c>
      <c r="E35" s="15">
        <v>93.382352941176507</v>
      </c>
      <c r="F35" s="20" t="s">
        <v>76</v>
      </c>
      <c r="G35" s="24">
        <v>93.382352941176507</v>
      </c>
      <c r="H35" s="15">
        <v>90.070921985815602</v>
      </c>
      <c r="I35" s="20" t="s">
        <v>76</v>
      </c>
      <c r="J35" s="24">
        <v>90.070921985815602</v>
      </c>
      <c r="K35" s="15">
        <v>100</v>
      </c>
      <c r="L35" s="20" t="s">
        <v>76</v>
      </c>
      <c r="M35" s="24">
        <v>100</v>
      </c>
      <c r="N35" s="15">
        <v>92.857142857142804</v>
      </c>
      <c r="O35" s="20" t="s">
        <v>76</v>
      </c>
      <c r="P35" s="24">
        <v>92.857142857142804</v>
      </c>
    </row>
    <row r="36" spans="1:16">
      <c r="A36" s="9" t="s">
        <v>195</v>
      </c>
      <c r="B36" s="15">
        <v>98.820058997050097</v>
      </c>
      <c r="C36" s="20" t="s">
        <v>76</v>
      </c>
      <c r="D36" s="24">
        <v>98.820058997050097</v>
      </c>
      <c r="E36" s="15">
        <v>98.445595854922303</v>
      </c>
      <c r="F36" s="20" t="s">
        <v>76</v>
      </c>
      <c r="G36" s="24">
        <v>98.445595854922303</v>
      </c>
      <c r="H36" s="15">
        <v>99.253731343283604</v>
      </c>
      <c r="I36" s="20" t="s">
        <v>76</v>
      </c>
      <c r="J36" s="24">
        <v>99.253731343283604</v>
      </c>
      <c r="K36" s="20" t="s">
        <v>76</v>
      </c>
      <c r="L36" s="20" t="s">
        <v>76</v>
      </c>
      <c r="M36" s="26" t="s">
        <v>76</v>
      </c>
      <c r="N36" s="15">
        <v>100</v>
      </c>
      <c r="O36" s="20" t="s">
        <v>76</v>
      </c>
      <c r="P36" s="24">
        <v>100</v>
      </c>
    </row>
    <row r="37" spans="1:16">
      <c r="A37" s="9" t="s">
        <v>196</v>
      </c>
      <c r="B37" s="15">
        <v>95.870206489675496</v>
      </c>
      <c r="C37" s="20" t="s">
        <v>76</v>
      </c>
      <c r="D37" s="24">
        <v>95.870206489675496</v>
      </c>
      <c r="E37" s="15">
        <v>97.005988023952099</v>
      </c>
      <c r="F37" s="20" t="s">
        <v>76</v>
      </c>
      <c r="G37" s="24">
        <v>97.005988023952099</v>
      </c>
      <c r="H37" s="15">
        <v>95.061728395061706</v>
      </c>
      <c r="I37" s="20" t="s">
        <v>76</v>
      </c>
      <c r="J37" s="24">
        <v>95.061728395061706</v>
      </c>
      <c r="K37" s="20" t="s">
        <v>76</v>
      </c>
      <c r="L37" s="20" t="s">
        <v>76</v>
      </c>
      <c r="M37" s="26" t="s">
        <v>76</v>
      </c>
      <c r="N37" s="15">
        <v>100</v>
      </c>
      <c r="O37" s="20" t="s">
        <v>76</v>
      </c>
      <c r="P37" s="24">
        <v>100</v>
      </c>
    </row>
    <row r="38" spans="1:16">
      <c r="A38" s="9" t="s">
        <v>197</v>
      </c>
      <c r="B38" s="15">
        <v>93.079584775086502</v>
      </c>
      <c r="C38" s="20" t="s">
        <v>76</v>
      </c>
      <c r="D38" s="24">
        <v>93.079584775086502</v>
      </c>
      <c r="E38" s="15">
        <v>96.598639455782305</v>
      </c>
      <c r="F38" s="20" t="s">
        <v>76</v>
      </c>
      <c r="G38" s="24">
        <v>96.598639455782305</v>
      </c>
      <c r="H38" s="15">
        <v>90.298507462686601</v>
      </c>
      <c r="I38" s="20" t="s">
        <v>76</v>
      </c>
      <c r="J38" s="24">
        <v>90.298507462686601</v>
      </c>
      <c r="K38" s="20" t="s">
        <v>76</v>
      </c>
      <c r="L38" s="20" t="s">
        <v>76</v>
      </c>
      <c r="M38" s="26" t="s">
        <v>76</v>
      </c>
      <c r="N38" s="20" t="s">
        <v>76</v>
      </c>
      <c r="O38" s="20" t="s">
        <v>76</v>
      </c>
      <c r="P38" s="26" t="s">
        <v>76</v>
      </c>
    </row>
    <row r="39" spans="1:16">
      <c r="A39" s="9" t="s">
        <v>198</v>
      </c>
      <c r="B39" s="15">
        <v>98.8826815642458</v>
      </c>
      <c r="C39" s="20" t="s">
        <v>76</v>
      </c>
      <c r="D39" s="24">
        <v>98.8826815642458</v>
      </c>
      <c r="E39" s="15">
        <v>97.7777777777778</v>
      </c>
      <c r="F39" s="20" t="s">
        <v>76</v>
      </c>
      <c r="G39" s="24">
        <v>97.7777777777778</v>
      </c>
      <c r="H39" s="15">
        <v>100</v>
      </c>
      <c r="I39" s="20" t="s">
        <v>76</v>
      </c>
      <c r="J39" s="24">
        <v>100</v>
      </c>
      <c r="K39" s="20" t="s">
        <v>76</v>
      </c>
      <c r="L39" s="20" t="s">
        <v>76</v>
      </c>
      <c r="M39" s="26" t="s">
        <v>76</v>
      </c>
      <c r="N39" s="15">
        <v>100</v>
      </c>
      <c r="O39" s="20" t="s">
        <v>76</v>
      </c>
      <c r="P39" s="24">
        <v>100</v>
      </c>
    </row>
    <row r="40" spans="1:16">
      <c r="A40" s="9" t="s">
        <v>199</v>
      </c>
      <c r="B40" s="15">
        <v>99.692307692307693</v>
      </c>
      <c r="C40" s="20" t="s">
        <v>76</v>
      </c>
      <c r="D40" s="24">
        <v>99.692307692307693</v>
      </c>
      <c r="E40" s="15">
        <v>99.342105263157904</v>
      </c>
      <c r="F40" s="20" t="s">
        <v>76</v>
      </c>
      <c r="G40" s="24">
        <v>99.342105263157904</v>
      </c>
      <c r="H40" s="15">
        <v>100</v>
      </c>
      <c r="I40" s="20" t="s">
        <v>76</v>
      </c>
      <c r="J40" s="24">
        <v>100</v>
      </c>
      <c r="K40" s="20" t="s">
        <v>76</v>
      </c>
      <c r="L40" s="20" t="s">
        <v>76</v>
      </c>
      <c r="M40" s="26" t="s">
        <v>76</v>
      </c>
      <c r="N40" s="20" t="s">
        <v>76</v>
      </c>
      <c r="O40" s="20" t="s">
        <v>76</v>
      </c>
      <c r="P40" s="26" t="s">
        <v>76</v>
      </c>
    </row>
    <row r="41" spans="1:16">
      <c r="A41" s="11" t="s">
        <v>200</v>
      </c>
      <c r="B41" s="16">
        <v>97.7848101265823</v>
      </c>
      <c r="C41" s="28" t="s">
        <v>76</v>
      </c>
      <c r="D41" s="25">
        <v>97.7848101265823</v>
      </c>
      <c r="E41" s="16">
        <v>98.076923076923094</v>
      </c>
      <c r="F41" s="28" t="s">
        <v>76</v>
      </c>
      <c r="G41" s="25">
        <v>98.076923076923094</v>
      </c>
      <c r="H41" s="16">
        <v>97.241379310344797</v>
      </c>
      <c r="I41" s="28" t="s">
        <v>76</v>
      </c>
      <c r="J41" s="25">
        <v>97.241379310344797</v>
      </c>
      <c r="K41" s="16">
        <v>100</v>
      </c>
      <c r="L41" s="28" t="s">
        <v>76</v>
      </c>
      <c r="M41" s="25">
        <v>100</v>
      </c>
      <c r="N41" s="16">
        <v>100</v>
      </c>
      <c r="O41" s="28" t="s">
        <v>76</v>
      </c>
      <c r="P41" s="25">
        <v>100</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206</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19.2051201912629</v>
      </c>
      <c r="C3" s="15">
        <v>20.306348737658201</v>
      </c>
      <c r="D3" s="24">
        <v>18.350202751174599</v>
      </c>
      <c r="E3" s="15">
        <v>19.251253043409701</v>
      </c>
      <c r="F3" s="15">
        <v>22.869658036157599</v>
      </c>
      <c r="G3" s="24">
        <v>16.327776593987998</v>
      </c>
      <c r="H3" s="15">
        <v>18.848357258707999</v>
      </c>
      <c r="I3" s="15">
        <v>17.5459546561863</v>
      </c>
      <c r="J3" s="24">
        <v>19.8582121411972</v>
      </c>
      <c r="K3" s="20" t="s">
        <v>76</v>
      </c>
      <c r="L3" s="20" t="s">
        <v>76</v>
      </c>
      <c r="M3" s="26" t="s">
        <v>76</v>
      </c>
      <c r="N3" s="20" t="s">
        <v>76</v>
      </c>
      <c r="O3" s="20" t="s">
        <v>76</v>
      </c>
      <c r="P3" s="26" t="s">
        <v>76</v>
      </c>
    </row>
    <row r="4" spans="1:16">
      <c r="A4" s="9" t="s">
        <v>208</v>
      </c>
      <c r="B4" s="15">
        <v>24.3841199566344</v>
      </c>
      <c r="C4" s="15">
        <v>22.0028501850617</v>
      </c>
      <c r="D4" s="24">
        <v>26.232772594578002</v>
      </c>
      <c r="E4" s="15">
        <v>24.572658602225001</v>
      </c>
      <c r="F4" s="15">
        <v>22.282017667585801</v>
      </c>
      <c r="G4" s="24">
        <v>26.423373168427599</v>
      </c>
      <c r="H4" s="15">
        <v>24.439635714888301</v>
      </c>
      <c r="I4" s="15">
        <v>21.9924304516049</v>
      </c>
      <c r="J4" s="24">
        <v>26.337145884781499</v>
      </c>
      <c r="K4" s="20" t="s">
        <v>76</v>
      </c>
      <c r="L4" s="20" t="s">
        <v>76</v>
      </c>
      <c r="M4" s="26" t="s">
        <v>76</v>
      </c>
      <c r="N4" s="20" t="s">
        <v>76</v>
      </c>
      <c r="O4" s="20" t="s">
        <v>76</v>
      </c>
      <c r="P4" s="26" t="s">
        <v>76</v>
      </c>
    </row>
    <row r="5" spans="1:16">
      <c r="A5" s="9" t="s">
        <v>209</v>
      </c>
      <c r="B5" s="15">
        <v>26.370643559866899</v>
      </c>
      <c r="C5" s="15">
        <v>17.0038071489329</v>
      </c>
      <c r="D5" s="24">
        <v>33.642405477384699</v>
      </c>
      <c r="E5" s="15">
        <v>23.8158959652785</v>
      </c>
      <c r="F5" s="15">
        <v>17.701807634872299</v>
      </c>
      <c r="G5" s="24">
        <v>28.755750204771001</v>
      </c>
      <c r="H5" s="15">
        <v>28.5553188497517</v>
      </c>
      <c r="I5" s="15">
        <v>16.202189671231999</v>
      </c>
      <c r="J5" s="24">
        <v>38.133668732341803</v>
      </c>
      <c r="K5" s="20" t="s">
        <v>76</v>
      </c>
      <c r="L5" s="20" t="s">
        <v>76</v>
      </c>
      <c r="M5" s="26" t="s">
        <v>76</v>
      </c>
      <c r="N5" s="20" t="s">
        <v>76</v>
      </c>
      <c r="O5" s="20" t="s">
        <v>76</v>
      </c>
      <c r="P5" s="26" t="s">
        <v>76</v>
      </c>
    </row>
    <row r="6" spans="1:16">
      <c r="A6" s="9" t="s">
        <v>210</v>
      </c>
      <c r="B6" s="15">
        <v>43.4664834340157</v>
      </c>
      <c r="C6" s="15">
        <v>43.444165953716201</v>
      </c>
      <c r="D6" s="24">
        <v>43.483809177331501</v>
      </c>
      <c r="E6" s="15">
        <v>52.493308733954301</v>
      </c>
      <c r="F6" s="15">
        <v>50.582051416594801</v>
      </c>
      <c r="G6" s="24">
        <v>54.037501760241703</v>
      </c>
      <c r="H6" s="15">
        <v>34.2394509186608</v>
      </c>
      <c r="I6" s="15">
        <v>35.8027848002151</v>
      </c>
      <c r="J6" s="24">
        <v>33.027275551234602</v>
      </c>
      <c r="K6" s="20" t="s">
        <v>76</v>
      </c>
      <c r="L6" s="20" t="s">
        <v>76</v>
      </c>
      <c r="M6" s="26" t="s">
        <v>76</v>
      </c>
      <c r="N6" s="15">
        <v>39.427829291413097</v>
      </c>
      <c r="O6" s="20" t="s">
        <v>76</v>
      </c>
      <c r="P6" s="26" t="s">
        <v>76</v>
      </c>
    </row>
    <row r="7" spans="1:16">
      <c r="A7" s="9" t="s">
        <v>211</v>
      </c>
      <c r="B7" s="15">
        <v>20.7599290854183</v>
      </c>
      <c r="C7" s="15">
        <v>28.444828352656799</v>
      </c>
      <c r="D7" s="24">
        <v>14.793906473319201</v>
      </c>
      <c r="E7" s="15">
        <v>26.177789550499799</v>
      </c>
      <c r="F7" s="15">
        <v>34.375205849790397</v>
      </c>
      <c r="G7" s="24">
        <v>19.554718461135199</v>
      </c>
      <c r="H7" s="15">
        <v>14.944677612702799</v>
      </c>
      <c r="I7" s="15">
        <v>21.8983813012971</v>
      </c>
      <c r="J7" s="24">
        <v>9.5529257782744406</v>
      </c>
      <c r="K7" s="20" t="s">
        <v>76</v>
      </c>
      <c r="L7" s="20" t="s">
        <v>76</v>
      </c>
      <c r="M7" s="26" t="s">
        <v>76</v>
      </c>
      <c r="N7" s="20" t="s">
        <v>76</v>
      </c>
      <c r="O7" s="20" t="s">
        <v>76</v>
      </c>
      <c r="P7" s="26" t="s">
        <v>76</v>
      </c>
    </row>
    <row r="8" spans="1:16">
      <c r="A8" s="9" t="s">
        <v>212</v>
      </c>
      <c r="B8" s="15">
        <v>1.60660308042637</v>
      </c>
      <c r="C8" s="15">
        <v>2.1510619228834398</v>
      </c>
      <c r="D8" s="24">
        <v>1.18392300974493</v>
      </c>
      <c r="E8" s="15">
        <v>1.97560819544252</v>
      </c>
      <c r="F8" s="20" t="s">
        <v>76</v>
      </c>
      <c r="G8" s="26" t="s">
        <v>76</v>
      </c>
      <c r="H8" s="15">
        <v>1.23788783930877</v>
      </c>
      <c r="I8" s="20" t="s">
        <v>76</v>
      </c>
      <c r="J8" s="26" t="s">
        <v>76</v>
      </c>
      <c r="K8" s="20" t="s">
        <v>76</v>
      </c>
      <c r="L8" s="20" t="s">
        <v>76</v>
      </c>
      <c r="M8" s="26" t="s">
        <v>76</v>
      </c>
      <c r="N8" s="20" t="s">
        <v>76</v>
      </c>
      <c r="O8" s="20" t="s">
        <v>76</v>
      </c>
      <c r="P8" s="26" t="s">
        <v>76</v>
      </c>
    </row>
    <row r="9" spans="1:16">
      <c r="A9" s="9" t="s">
        <v>213</v>
      </c>
      <c r="B9" s="15">
        <v>13.117498278594701</v>
      </c>
      <c r="C9" s="15">
        <v>16.155015335854799</v>
      </c>
      <c r="D9" s="24">
        <v>10.759380778537601</v>
      </c>
      <c r="E9" s="15">
        <v>13.838838593010101</v>
      </c>
      <c r="F9" s="15">
        <v>16.642431434495499</v>
      </c>
      <c r="G9" s="24">
        <v>11.5736864991242</v>
      </c>
      <c r="H9" s="15">
        <v>12.2295386451685</v>
      </c>
      <c r="I9" s="15">
        <v>15.315803539174601</v>
      </c>
      <c r="J9" s="24">
        <v>9.8365154234452508</v>
      </c>
      <c r="K9" s="20" t="s">
        <v>76</v>
      </c>
      <c r="L9" s="20" t="s">
        <v>76</v>
      </c>
      <c r="M9" s="26" t="s">
        <v>76</v>
      </c>
      <c r="N9" s="20" t="s">
        <v>76</v>
      </c>
      <c r="O9" s="20" t="s">
        <v>76</v>
      </c>
      <c r="P9" s="26" t="s">
        <v>76</v>
      </c>
    </row>
    <row r="10" spans="1:16">
      <c r="A10" s="9" t="s">
        <v>214</v>
      </c>
      <c r="B10" s="15">
        <v>19.004108053154599</v>
      </c>
      <c r="C10" s="15">
        <v>17.651756087147</v>
      </c>
      <c r="D10" s="24">
        <v>20.0539802932649</v>
      </c>
      <c r="E10" s="15">
        <v>25.710414770212299</v>
      </c>
      <c r="F10" s="15">
        <v>24.198471592272099</v>
      </c>
      <c r="G10" s="24">
        <v>26.9319834675889</v>
      </c>
      <c r="H10" s="15">
        <v>12.132937627076</v>
      </c>
      <c r="I10" s="15">
        <v>10.907313067309399</v>
      </c>
      <c r="J10" s="24">
        <v>13.0832604714734</v>
      </c>
      <c r="K10" s="20" t="s">
        <v>76</v>
      </c>
      <c r="L10" s="20" t="s">
        <v>76</v>
      </c>
      <c r="M10" s="26" t="s">
        <v>76</v>
      </c>
      <c r="N10" s="20" t="s">
        <v>76</v>
      </c>
      <c r="O10" s="20" t="s">
        <v>76</v>
      </c>
      <c r="P10" s="26" t="s">
        <v>76</v>
      </c>
    </row>
    <row r="11" spans="1:16">
      <c r="A11" s="9" t="s">
        <v>215</v>
      </c>
      <c r="B11" s="15">
        <v>17.351116740353401</v>
      </c>
      <c r="C11" s="15">
        <v>16.361106103388298</v>
      </c>
      <c r="D11" s="24">
        <v>18.119692311868299</v>
      </c>
      <c r="E11" s="15">
        <v>16.681198529785899</v>
      </c>
      <c r="F11" s="15">
        <v>15.757310431338301</v>
      </c>
      <c r="G11" s="24">
        <v>17.427650378909</v>
      </c>
      <c r="H11" s="15">
        <v>17.974676232397002</v>
      </c>
      <c r="I11" s="15">
        <v>17.052704919156401</v>
      </c>
      <c r="J11" s="24">
        <v>18.689552899864001</v>
      </c>
      <c r="K11" s="20" t="s">
        <v>76</v>
      </c>
      <c r="L11" s="20" t="s">
        <v>76</v>
      </c>
      <c r="M11" s="26" t="s">
        <v>76</v>
      </c>
      <c r="N11" s="20" t="s">
        <v>76</v>
      </c>
      <c r="O11" s="20" t="s">
        <v>76</v>
      </c>
      <c r="P11" s="26" t="s">
        <v>76</v>
      </c>
    </row>
    <row r="12" spans="1:16">
      <c r="A12" s="9" t="s">
        <v>216</v>
      </c>
      <c r="B12" s="15">
        <v>5.4315906150316797</v>
      </c>
      <c r="C12" s="15">
        <v>5.2880027944059798</v>
      </c>
      <c r="D12" s="24">
        <v>5.5430622368298899</v>
      </c>
      <c r="E12" s="15">
        <v>6.0590812256312203</v>
      </c>
      <c r="F12" s="15">
        <v>5.9509553968813096</v>
      </c>
      <c r="G12" s="24">
        <v>6.1464410746691396</v>
      </c>
      <c r="H12" s="15">
        <v>4.5971818231268404</v>
      </c>
      <c r="I12" s="15">
        <v>4.52484165802431</v>
      </c>
      <c r="J12" s="24">
        <v>4.6532728266210199</v>
      </c>
      <c r="K12" s="20" t="s">
        <v>76</v>
      </c>
      <c r="L12" s="20" t="s">
        <v>76</v>
      </c>
      <c r="M12" s="26" t="s">
        <v>76</v>
      </c>
      <c r="N12" s="20" t="s">
        <v>76</v>
      </c>
      <c r="O12" s="20" t="s">
        <v>76</v>
      </c>
      <c r="P12" s="26" t="s">
        <v>76</v>
      </c>
    </row>
    <row r="13" spans="1:16">
      <c r="A13" s="9" t="s">
        <v>217</v>
      </c>
      <c r="B13" s="15">
        <v>4.8664160650751001</v>
      </c>
      <c r="C13" s="15">
        <v>5.4766322450559697</v>
      </c>
      <c r="D13" s="24">
        <v>4.39268655979002</v>
      </c>
      <c r="E13" s="20" t="s">
        <v>76</v>
      </c>
      <c r="F13" s="20" t="s">
        <v>76</v>
      </c>
      <c r="G13" s="26" t="s">
        <v>76</v>
      </c>
      <c r="H13" s="15">
        <v>8.3798542565290699</v>
      </c>
      <c r="I13" s="15">
        <v>9.6624174756551504</v>
      </c>
      <c r="J13" s="24">
        <v>7.3853824039484</v>
      </c>
      <c r="K13" s="20" t="s">
        <v>76</v>
      </c>
      <c r="L13" s="20" t="s">
        <v>76</v>
      </c>
      <c r="M13" s="26" t="s">
        <v>76</v>
      </c>
      <c r="N13" s="20" t="s">
        <v>76</v>
      </c>
      <c r="O13" s="20" t="s">
        <v>76</v>
      </c>
      <c r="P13" s="26" t="s">
        <v>76</v>
      </c>
    </row>
    <row r="14" spans="1:16">
      <c r="A14" s="9" t="s">
        <v>218</v>
      </c>
      <c r="B14" s="15">
        <v>26.432129204848199</v>
      </c>
      <c r="C14" s="15">
        <v>30.1128145675913</v>
      </c>
      <c r="D14" s="24">
        <v>23.574700455487601</v>
      </c>
      <c r="E14" s="15">
        <v>27.144438590946301</v>
      </c>
      <c r="F14" s="15">
        <v>31.006015516581101</v>
      </c>
      <c r="G14" s="24">
        <v>24.0244923100989</v>
      </c>
      <c r="H14" s="15">
        <v>25.433660337414299</v>
      </c>
      <c r="I14" s="15">
        <v>29.432898836613901</v>
      </c>
      <c r="J14" s="24">
        <v>22.332737076944699</v>
      </c>
      <c r="K14" s="20" t="s">
        <v>76</v>
      </c>
      <c r="L14" s="20" t="s">
        <v>76</v>
      </c>
      <c r="M14" s="26" t="s">
        <v>76</v>
      </c>
      <c r="N14" s="20" t="s">
        <v>76</v>
      </c>
      <c r="O14" s="20" t="s">
        <v>76</v>
      </c>
      <c r="P14" s="26" t="s">
        <v>76</v>
      </c>
    </row>
    <row r="15" spans="1:16">
      <c r="A15" s="9" t="s">
        <v>219</v>
      </c>
      <c r="B15" s="15">
        <v>33.5430316903159</v>
      </c>
      <c r="C15" s="15">
        <v>35.415547487407899</v>
      </c>
      <c r="D15" s="24">
        <v>32.089340340763897</v>
      </c>
      <c r="E15" s="15">
        <v>39.829062317941698</v>
      </c>
      <c r="F15" s="15">
        <v>41.695738670688399</v>
      </c>
      <c r="G15" s="24">
        <v>38.320888311194302</v>
      </c>
      <c r="H15" s="15">
        <v>27.074839125889799</v>
      </c>
      <c r="I15" s="15">
        <v>28.776350120846601</v>
      </c>
      <c r="J15" s="24">
        <v>25.755524205496201</v>
      </c>
      <c r="K15" s="20" t="s">
        <v>76</v>
      </c>
      <c r="L15" s="20" t="s">
        <v>76</v>
      </c>
      <c r="M15" s="26" t="s">
        <v>76</v>
      </c>
      <c r="N15" s="20" t="s">
        <v>76</v>
      </c>
      <c r="O15" s="20" t="s">
        <v>76</v>
      </c>
      <c r="P15" s="26" t="s">
        <v>76</v>
      </c>
    </row>
    <row r="16" spans="1:16">
      <c r="A16" s="9" t="s">
        <v>220</v>
      </c>
      <c r="B16" s="15">
        <v>1.87668118270899</v>
      </c>
      <c r="C16" s="15">
        <v>2.7372548465218598</v>
      </c>
      <c r="D16" s="24">
        <v>1.2085914968009099</v>
      </c>
      <c r="E16" s="15">
        <v>2.2918530181677101</v>
      </c>
      <c r="F16" s="15">
        <v>3.2297795168371901</v>
      </c>
      <c r="G16" s="26" t="s">
        <v>76</v>
      </c>
      <c r="H16" s="15">
        <v>1.4158043517825001</v>
      </c>
      <c r="I16" s="20" t="s">
        <v>76</v>
      </c>
      <c r="J16" s="26" t="s">
        <v>76</v>
      </c>
      <c r="K16" s="20" t="s">
        <v>76</v>
      </c>
      <c r="L16" s="20" t="s">
        <v>76</v>
      </c>
      <c r="M16" s="26" t="s">
        <v>76</v>
      </c>
      <c r="N16" s="20" t="s">
        <v>76</v>
      </c>
      <c r="O16" s="20" t="s">
        <v>76</v>
      </c>
      <c r="P16" s="26" t="s">
        <v>76</v>
      </c>
    </row>
    <row r="17" spans="1:16">
      <c r="A17" s="9" t="s">
        <v>221</v>
      </c>
      <c r="B17" s="15">
        <v>58.869995184725802</v>
      </c>
      <c r="C17" s="15">
        <v>58.1747066363952</v>
      </c>
      <c r="D17" s="24">
        <v>59.409768974469401</v>
      </c>
      <c r="E17" s="15">
        <v>62.213591597447</v>
      </c>
      <c r="F17" s="15">
        <v>59.8823489794325</v>
      </c>
      <c r="G17" s="24">
        <v>64.097110138161199</v>
      </c>
      <c r="H17" s="15">
        <v>55.619029127817697</v>
      </c>
      <c r="I17" s="15">
        <v>56.533165138362399</v>
      </c>
      <c r="J17" s="24">
        <v>54.910227785037399</v>
      </c>
      <c r="K17" s="20" t="s">
        <v>76</v>
      </c>
      <c r="L17" s="20" t="s">
        <v>76</v>
      </c>
      <c r="M17" s="26" t="s">
        <v>76</v>
      </c>
      <c r="N17" s="15">
        <v>51.560083129921999</v>
      </c>
      <c r="O17" s="20" t="s">
        <v>76</v>
      </c>
      <c r="P17" s="24">
        <v>51.248710204015403</v>
      </c>
    </row>
    <row r="18" spans="1:16">
      <c r="A18" s="9" t="s">
        <v>222</v>
      </c>
      <c r="B18" s="15">
        <v>34.116218917835802</v>
      </c>
      <c r="C18" s="15">
        <v>40.674251308922898</v>
      </c>
      <c r="D18" s="24">
        <v>29.0250175662581</v>
      </c>
      <c r="E18" s="15">
        <v>17.3802129034137</v>
      </c>
      <c r="F18" s="15">
        <v>26.1340125568553</v>
      </c>
      <c r="G18" s="24">
        <v>10.3076140149302</v>
      </c>
      <c r="H18" s="15">
        <v>51.0284711525414</v>
      </c>
      <c r="I18" s="15">
        <v>55.940894707829401</v>
      </c>
      <c r="J18" s="24">
        <v>47.219483898862997</v>
      </c>
      <c r="K18" s="20" t="s">
        <v>76</v>
      </c>
      <c r="L18" s="20" t="s">
        <v>76</v>
      </c>
      <c r="M18" s="26" t="s">
        <v>76</v>
      </c>
      <c r="N18" s="15">
        <v>42.908730277108099</v>
      </c>
      <c r="O18" s="20" t="s">
        <v>76</v>
      </c>
      <c r="P18" s="26" t="s">
        <v>76</v>
      </c>
    </row>
    <row r="19" spans="1:16">
      <c r="A19" s="9" t="s">
        <v>223</v>
      </c>
      <c r="B19" s="15">
        <v>39.058397226908802</v>
      </c>
      <c r="C19" s="15">
        <v>47.856157090607802</v>
      </c>
      <c r="D19" s="24">
        <v>32.228426858083502</v>
      </c>
      <c r="E19" s="15">
        <v>39.713355125216502</v>
      </c>
      <c r="F19" s="15">
        <v>49.343373376804202</v>
      </c>
      <c r="G19" s="24">
        <v>31.9328187777257</v>
      </c>
      <c r="H19" s="15">
        <v>38.1883333068035</v>
      </c>
      <c r="I19" s="15">
        <v>46.079064767089697</v>
      </c>
      <c r="J19" s="24">
        <v>32.070030351823803</v>
      </c>
      <c r="K19" s="20" t="s">
        <v>76</v>
      </c>
      <c r="L19" s="20" t="s">
        <v>76</v>
      </c>
      <c r="M19" s="26" t="s">
        <v>76</v>
      </c>
      <c r="N19" s="15">
        <v>44.4872578198596</v>
      </c>
      <c r="O19" s="20" t="s">
        <v>76</v>
      </c>
      <c r="P19" s="26" t="s">
        <v>76</v>
      </c>
    </row>
    <row r="20" spans="1:16">
      <c r="A20" s="9" t="s">
        <v>224</v>
      </c>
      <c r="B20" s="15">
        <v>2.7206083269299302</v>
      </c>
      <c r="C20" s="15">
        <v>3.4824348769092501</v>
      </c>
      <c r="D20" s="24">
        <v>2.1291790491188198</v>
      </c>
      <c r="E20" s="15">
        <v>3.50806723529807</v>
      </c>
      <c r="F20" s="15">
        <v>4.2808674337680204</v>
      </c>
      <c r="G20" s="24">
        <v>2.88368627604576</v>
      </c>
      <c r="H20" s="15">
        <v>1.7990323533064201</v>
      </c>
      <c r="I20" s="20" t="s">
        <v>76</v>
      </c>
      <c r="J20" s="26" t="s">
        <v>76</v>
      </c>
      <c r="K20" s="20" t="s">
        <v>76</v>
      </c>
      <c r="L20" s="20" t="s">
        <v>76</v>
      </c>
      <c r="M20" s="26" t="s">
        <v>76</v>
      </c>
      <c r="N20" s="20" t="s">
        <v>76</v>
      </c>
      <c r="O20" s="20" t="s">
        <v>76</v>
      </c>
      <c r="P20" s="26" t="s">
        <v>76</v>
      </c>
    </row>
    <row r="21" spans="1:16">
      <c r="A21" s="9" t="s">
        <v>225</v>
      </c>
      <c r="B21" s="15">
        <v>8.8564700244399805</v>
      </c>
      <c r="C21" s="15">
        <v>8.9368820165344793</v>
      </c>
      <c r="D21" s="24">
        <v>8.7940437327688805</v>
      </c>
      <c r="E21" s="15">
        <v>7.9536802015831496</v>
      </c>
      <c r="F21" s="15">
        <v>9.4371364901220804</v>
      </c>
      <c r="G21" s="24">
        <v>6.7551273773464802</v>
      </c>
      <c r="H21" s="15">
        <v>9.8524868140437505</v>
      </c>
      <c r="I21" s="15">
        <v>8.6097225892527707</v>
      </c>
      <c r="J21" s="24">
        <v>10.8160993849632</v>
      </c>
      <c r="K21" s="20" t="s">
        <v>76</v>
      </c>
      <c r="L21" s="20" t="s">
        <v>76</v>
      </c>
      <c r="M21" s="26" t="s">
        <v>76</v>
      </c>
      <c r="N21" s="20" t="s">
        <v>76</v>
      </c>
      <c r="O21" s="20" t="s">
        <v>76</v>
      </c>
      <c r="P21" s="26" t="s">
        <v>76</v>
      </c>
    </row>
    <row r="22" spans="1:16">
      <c r="A22" s="9" t="s">
        <v>226</v>
      </c>
      <c r="B22" s="15">
        <v>14.8461917348762</v>
      </c>
      <c r="C22" s="15">
        <v>14.965456036066</v>
      </c>
      <c r="D22" s="24">
        <v>14.753603206000101</v>
      </c>
      <c r="E22" s="15">
        <v>20.474335303099199</v>
      </c>
      <c r="F22" s="15">
        <v>19.930620582923499</v>
      </c>
      <c r="G22" s="24">
        <v>20.9136275279395</v>
      </c>
      <c r="H22" s="15">
        <v>8.5349004686823502</v>
      </c>
      <c r="I22" s="15">
        <v>9.6892989890744907</v>
      </c>
      <c r="J22" s="24">
        <v>7.6398047587235096</v>
      </c>
      <c r="K22" s="20" t="s">
        <v>76</v>
      </c>
      <c r="L22" s="20" t="s">
        <v>76</v>
      </c>
      <c r="M22" s="26" t="s">
        <v>76</v>
      </c>
      <c r="N22" s="20" t="s">
        <v>76</v>
      </c>
      <c r="O22" s="20" t="s">
        <v>76</v>
      </c>
      <c r="P22" s="26" t="s">
        <v>76</v>
      </c>
    </row>
    <row r="23" spans="1:16">
      <c r="A23" s="9" t="s">
        <v>227</v>
      </c>
      <c r="B23" s="15">
        <v>23.656541178610102</v>
      </c>
      <c r="C23" s="15">
        <v>20.5935820620019</v>
      </c>
      <c r="D23" s="24">
        <v>26.034410128372699</v>
      </c>
      <c r="E23" s="15">
        <v>17.391600572858199</v>
      </c>
      <c r="F23" s="15">
        <v>17.476336446767899</v>
      </c>
      <c r="G23" s="24">
        <v>17.323138548211201</v>
      </c>
      <c r="H23" s="15">
        <v>30.128517115547101</v>
      </c>
      <c r="I23" s="15">
        <v>23.882835466389601</v>
      </c>
      <c r="J23" s="24">
        <v>34.971283934089598</v>
      </c>
      <c r="K23" s="20" t="s">
        <v>76</v>
      </c>
      <c r="L23" s="20" t="s">
        <v>76</v>
      </c>
      <c r="M23" s="26" t="s">
        <v>76</v>
      </c>
      <c r="N23" s="20" t="s">
        <v>76</v>
      </c>
      <c r="O23" s="20" t="s">
        <v>76</v>
      </c>
      <c r="P23" s="26" t="s">
        <v>76</v>
      </c>
    </row>
    <row r="24" spans="1:16">
      <c r="A24" s="9" t="s">
        <v>228</v>
      </c>
      <c r="B24" s="15">
        <v>63.057201087387099</v>
      </c>
      <c r="C24" s="15">
        <v>65.442737780189404</v>
      </c>
      <c r="D24" s="24">
        <v>61.205235907840297</v>
      </c>
      <c r="E24" s="15">
        <v>75.925192338093893</v>
      </c>
      <c r="F24" s="15">
        <v>78.832361773660807</v>
      </c>
      <c r="G24" s="24">
        <v>73.576355931889395</v>
      </c>
      <c r="H24" s="15">
        <v>50.223150669477803</v>
      </c>
      <c r="I24" s="15">
        <v>51.436507467558101</v>
      </c>
      <c r="J24" s="24">
        <v>49.282339982850999</v>
      </c>
      <c r="K24" s="20" t="s">
        <v>76</v>
      </c>
      <c r="L24" s="20" t="s">
        <v>76</v>
      </c>
      <c r="M24" s="26" t="s">
        <v>76</v>
      </c>
      <c r="N24" s="15">
        <v>50.3378651796668</v>
      </c>
      <c r="O24" s="20" t="s">
        <v>76</v>
      </c>
      <c r="P24" s="26" t="s">
        <v>76</v>
      </c>
    </row>
    <row r="25" spans="1:16">
      <c r="A25" s="9" t="s">
        <v>229</v>
      </c>
      <c r="B25" s="15">
        <v>1.6186636990383101</v>
      </c>
      <c r="C25" s="15">
        <v>2.4784494233093302</v>
      </c>
      <c r="D25" s="26" t="s">
        <v>76</v>
      </c>
      <c r="E25" s="15">
        <v>2.0707765280386599</v>
      </c>
      <c r="F25" s="20" t="s">
        <v>76</v>
      </c>
      <c r="G25" s="26" t="s">
        <v>76</v>
      </c>
      <c r="H25" s="20" t="s">
        <v>76</v>
      </c>
      <c r="I25" s="20" t="s">
        <v>76</v>
      </c>
      <c r="J25" s="26" t="s">
        <v>76</v>
      </c>
      <c r="K25" s="20" t="s">
        <v>76</v>
      </c>
      <c r="L25" s="20" t="s">
        <v>76</v>
      </c>
      <c r="M25" s="26" t="s">
        <v>76</v>
      </c>
      <c r="N25" s="20" t="s">
        <v>76</v>
      </c>
      <c r="O25" s="20" t="s">
        <v>76</v>
      </c>
      <c r="P25" s="26" t="s">
        <v>76</v>
      </c>
    </row>
    <row r="26" spans="1:16">
      <c r="A26" s="9" t="s">
        <v>230</v>
      </c>
      <c r="B26" s="15">
        <v>30.840403177141798</v>
      </c>
      <c r="C26" s="15">
        <v>32.018914443434397</v>
      </c>
      <c r="D26" s="24">
        <v>29.925488795207201</v>
      </c>
      <c r="E26" s="15">
        <v>35.496987141128798</v>
      </c>
      <c r="F26" s="15">
        <v>36.515684097963003</v>
      </c>
      <c r="G26" s="24">
        <v>34.673934838146998</v>
      </c>
      <c r="H26" s="15">
        <v>26.0649371933815</v>
      </c>
      <c r="I26" s="15">
        <v>27.185642058655599</v>
      </c>
      <c r="J26" s="24">
        <v>25.1959668167597</v>
      </c>
      <c r="K26" s="20" t="s">
        <v>76</v>
      </c>
      <c r="L26" s="20" t="s">
        <v>76</v>
      </c>
      <c r="M26" s="26" t="s">
        <v>76</v>
      </c>
      <c r="N26" s="20" t="s">
        <v>76</v>
      </c>
      <c r="O26" s="20" t="s">
        <v>76</v>
      </c>
      <c r="P26" s="26" t="s">
        <v>76</v>
      </c>
    </row>
    <row r="27" spans="1:16">
      <c r="A27" s="9" t="s">
        <v>231</v>
      </c>
      <c r="B27" s="15">
        <v>17.8047616747847</v>
      </c>
      <c r="C27" s="15">
        <v>23.583827361142198</v>
      </c>
      <c r="D27" s="24">
        <v>13.318296027980701</v>
      </c>
      <c r="E27" s="15">
        <v>6.9092744529112204</v>
      </c>
      <c r="F27" s="15">
        <v>10.289976038623101</v>
      </c>
      <c r="G27" s="24">
        <v>4.1778495604075196</v>
      </c>
      <c r="H27" s="15">
        <v>29.116938970522799</v>
      </c>
      <c r="I27" s="15">
        <v>37.8026629445582</v>
      </c>
      <c r="J27" s="24">
        <v>22.3822159700076</v>
      </c>
      <c r="K27" s="20" t="s">
        <v>76</v>
      </c>
      <c r="L27" s="20" t="s">
        <v>76</v>
      </c>
      <c r="M27" s="26" t="s">
        <v>76</v>
      </c>
      <c r="N27" s="20" t="s">
        <v>76</v>
      </c>
      <c r="O27" s="20" t="s">
        <v>76</v>
      </c>
      <c r="P27" s="26" t="s">
        <v>76</v>
      </c>
    </row>
    <row r="28" spans="1:16">
      <c r="A28" s="9" t="s">
        <v>232</v>
      </c>
      <c r="B28" s="15">
        <v>15.1667024703954</v>
      </c>
      <c r="C28" s="15">
        <v>17.941448546779299</v>
      </c>
      <c r="D28" s="24">
        <v>13.0125821288169</v>
      </c>
      <c r="E28" s="15">
        <v>7.1875718536891497</v>
      </c>
      <c r="F28" s="15">
        <v>9.4076160100360298</v>
      </c>
      <c r="G28" s="24">
        <v>5.3938956840054804</v>
      </c>
      <c r="H28" s="15">
        <v>23.6139562946484</v>
      </c>
      <c r="I28" s="15">
        <v>27.241222755081001</v>
      </c>
      <c r="J28" s="24">
        <v>20.801452128835798</v>
      </c>
      <c r="K28" s="20" t="s">
        <v>76</v>
      </c>
      <c r="L28" s="20" t="s">
        <v>76</v>
      </c>
      <c r="M28" s="26" t="s">
        <v>76</v>
      </c>
      <c r="N28" s="20" t="s">
        <v>76</v>
      </c>
      <c r="O28" s="20" t="s">
        <v>76</v>
      </c>
      <c r="P28" s="26" t="s">
        <v>76</v>
      </c>
    </row>
    <row r="29" spans="1:16">
      <c r="A29" s="9" t="s">
        <v>233</v>
      </c>
      <c r="B29" s="15">
        <v>1.8907434251108299</v>
      </c>
      <c r="C29" s="15">
        <v>2.5693940928906498</v>
      </c>
      <c r="D29" s="24">
        <v>1.3638861314894</v>
      </c>
      <c r="E29" s="15">
        <v>2.6479414401794599</v>
      </c>
      <c r="F29" s="15">
        <v>3.5250792467243399</v>
      </c>
      <c r="G29" s="26" t="s">
        <v>76</v>
      </c>
      <c r="H29" s="20" t="s">
        <v>76</v>
      </c>
      <c r="I29" s="20" t="s">
        <v>76</v>
      </c>
      <c r="J29" s="26" t="s">
        <v>76</v>
      </c>
      <c r="K29" s="20" t="s">
        <v>76</v>
      </c>
      <c r="L29" s="20" t="s">
        <v>76</v>
      </c>
      <c r="M29" s="26" t="s">
        <v>76</v>
      </c>
      <c r="N29" s="20" t="s">
        <v>76</v>
      </c>
      <c r="O29" s="20" t="s">
        <v>76</v>
      </c>
      <c r="P29" s="26" t="s">
        <v>76</v>
      </c>
    </row>
    <row r="30" spans="1:16">
      <c r="A30" s="9" t="s">
        <v>234</v>
      </c>
      <c r="B30" s="15">
        <v>6.6041370952314997</v>
      </c>
      <c r="C30" s="15">
        <v>6.3071861748382796</v>
      </c>
      <c r="D30" s="24">
        <v>6.8346691873439198</v>
      </c>
      <c r="E30" s="15">
        <v>8.2060161612116396</v>
      </c>
      <c r="F30" s="15">
        <v>7.7661305338539002</v>
      </c>
      <c r="G30" s="24">
        <v>8.5614200683466493</v>
      </c>
      <c r="H30" s="15">
        <v>4.9437458743653098</v>
      </c>
      <c r="I30" s="15">
        <v>4.7357038394911601</v>
      </c>
      <c r="J30" s="24">
        <v>5.10505718031163</v>
      </c>
      <c r="K30" s="20" t="s">
        <v>76</v>
      </c>
      <c r="L30" s="20" t="s">
        <v>76</v>
      </c>
      <c r="M30" s="26" t="s">
        <v>76</v>
      </c>
      <c r="N30" s="20" t="s">
        <v>76</v>
      </c>
      <c r="O30" s="20" t="s">
        <v>76</v>
      </c>
      <c r="P30" s="26" t="s">
        <v>76</v>
      </c>
    </row>
    <row r="31" spans="1:16">
      <c r="A31" s="9" t="s">
        <v>235</v>
      </c>
      <c r="B31" s="15">
        <v>14.0025743909732</v>
      </c>
      <c r="C31" s="15">
        <v>17.480838567219902</v>
      </c>
      <c r="D31" s="24">
        <v>11.3022914068088</v>
      </c>
      <c r="E31" s="15">
        <v>15.9167291380889</v>
      </c>
      <c r="F31" s="15">
        <v>21.9321380365603</v>
      </c>
      <c r="G31" s="24">
        <v>11.0566025675229</v>
      </c>
      <c r="H31" s="15">
        <v>11.9293808941091</v>
      </c>
      <c r="I31" s="15">
        <v>12.9266380275015</v>
      </c>
      <c r="J31" s="24">
        <v>11.1561292257666</v>
      </c>
      <c r="K31" s="20" t="s">
        <v>76</v>
      </c>
      <c r="L31" s="20" t="s">
        <v>76</v>
      </c>
      <c r="M31" s="26" t="s">
        <v>76</v>
      </c>
      <c r="N31" s="20" t="s">
        <v>76</v>
      </c>
      <c r="O31" s="20" t="s">
        <v>76</v>
      </c>
      <c r="P31" s="26" t="s">
        <v>76</v>
      </c>
    </row>
    <row r="32" spans="1:16">
      <c r="A32" s="9" t="s">
        <v>236</v>
      </c>
      <c r="B32" s="15">
        <v>0.79536415551625195</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237</v>
      </c>
      <c r="B33" s="15">
        <v>8.7875420365064905</v>
      </c>
      <c r="C33" s="15">
        <v>10.612844803379</v>
      </c>
      <c r="D33" s="24">
        <v>7.3705036079726298</v>
      </c>
      <c r="E33" s="15">
        <v>7.4943720503466196</v>
      </c>
      <c r="F33" s="15">
        <v>9.7208514207605905</v>
      </c>
      <c r="G33" s="24">
        <v>5.6954965741149604</v>
      </c>
      <c r="H33" s="15">
        <v>9.8313449837317695</v>
      </c>
      <c r="I33" s="15">
        <v>11.5900450366704</v>
      </c>
      <c r="J33" s="24">
        <v>8.4676869014648002</v>
      </c>
      <c r="K33" s="20" t="s">
        <v>76</v>
      </c>
      <c r="L33" s="20" t="s">
        <v>76</v>
      </c>
      <c r="M33" s="26" t="s">
        <v>76</v>
      </c>
      <c r="N33" s="20" t="s">
        <v>76</v>
      </c>
      <c r="O33" s="20" t="s">
        <v>76</v>
      </c>
      <c r="P33" s="26" t="s">
        <v>76</v>
      </c>
    </row>
    <row r="34" spans="1:16">
      <c r="A34" s="9" t="s">
        <v>238</v>
      </c>
      <c r="B34" s="15">
        <v>18.232770167437899</v>
      </c>
      <c r="C34" s="15">
        <v>15.5818515599675</v>
      </c>
      <c r="D34" s="24">
        <v>20.290759453312599</v>
      </c>
      <c r="E34" s="15">
        <v>23.556647261609399</v>
      </c>
      <c r="F34" s="15">
        <v>20.9816501860569</v>
      </c>
      <c r="G34" s="24">
        <v>25.637106282309201</v>
      </c>
      <c r="H34" s="15">
        <v>12.585405458842899</v>
      </c>
      <c r="I34" s="15">
        <v>10.0759392091989</v>
      </c>
      <c r="J34" s="24">
        <v>14.5311914544623</v>
      </c>
      <c r="K34" s="20" t="s">
        <v>76</v>
      </c>
      <c r="L34" s="20" t="s">
        <v>76</v>
      </c>
      <c r="M34" s="26" t="s">
        <v>76</v>
      </c>
      <c r="N34" s="20" t="s">
        <v>76</v>
      </c>
      <c r="O34" s="20" t="s">
        <v>76</v>
      </c>
      <c r="P34" s="26" t="s">
        <v>76</v>
      </c>
    </row>
    <row r="35" spans="1:16">
      <c r="A35" s="9" t="s">
        <v>239</v>
      </c>
      <c r="B35" s="15">
        <v>27.1040881363087</v>
      </c>
      <c r="C35" s="15">
        <v>23.327678096909001</v>
      </c>
      <c r="D35" s="24">
        <v>30.035830883239001</v>
      </c>
      <c r="E35" s="15">
        <v>36.260743567359</v>
      </c>
      <c r="F35" s="15">
        <v>29.357360302022801</v>
      </c>
      <c r="G35" s="24">
        <v>41.8383056252245</v>
      </c>
      <c r="H35" s="15">
        <v>17.525261347153499</v>
      </c>
      <c r="I35" s="15">
        <v>17.2098092915001</v>
      </c>
      <c r="J35" s="24">
        <v>17.769856066156699</v>
      </c>
      <c r="K35" s="20" t="s">
        <v>76</v>
      </c>
      <c r="L35" s="20" t="s">
        <v>76</v>
      </c>
      <c r="M35" s="26" t="s">
        <v>76</v>
      </c>
      <c r="N35" s="20" t="s">
        <v>76</v>
      </c>
      <c r="O35" s="20" t="s">
        <v>76</v>
      </c>
      <c r="P35" s="26" t="s">
        <v>76</v>
      </c>
    </row>
    <row r="36" spans="1:16">
      <c r="A36" s="9" t="s">
        <v>240</v>
      </c>
      <c r="B36" s="15">
        <v>30.945789109653699</v>
      </c>
      <c r="C36" s="15">
        <v>30.6356337986584</v>
      </c>
      <c r="D36" s="24">
        <v>31.186572174507798</v>
      </c>
      <c r="E36" s="15">
        <v>12.101215842819199</v>
      </c>
      <c r="F36" s="15">
        <v>19.1656386011325</v>
      </c>
      <c r="G36" s="24">
        <v>6.3935425436500504</v>
      </c>
      <c r="H36" s="15">
        <v>50.735137516068399</v>
      </c>
      <c r="I36" s="15">
        <v>43.023074058225298</v>
      </c>
      <c r="J36" s="24">
        <v>56.714905156190298</v>
      </c>
      <c r="K36" s="20" t="s">
        <v>76</v>
      </c>
      <c r="L36" s="20" t="s">
        <v>76</v>
      </c>
      <c r="M36" s="26" t="s">
        <v>76</v>
      </c>
      <c r="N36" s="20" t="s">
        <v>76</v>
      </c>
      <c r="O36" s="20" t="s">
        <v>76</v>
      </c>
      <c r="P36" s="26" t="s">
        <v>76</v>
      </c>
    </row>
    <row r="37" spans="1:16">
      <c r="A37" s="9" t="s">
        <v>241</v>
      </c>
      <c r="B37" s="15">
        <v>20.2651521447733</v>
      </c>
      <c r="C37" s="15">
        <v>16.5561992180738</v>
      </c>
      <c r="D37" s="24">
        <v>23.144525869583699</v>
      </c>
      <c r="E37" s="15">
        <v>17.579714040559701</v>
      </c>
      <c r="F37" s="15">
        <v>16.2682884260518</v>
      </c>
      <c r="G37" s="24">
        <v>18.6392753408748</v>
      </c>
      <c r="H37" s="15">
        <v>23.490215321462799</v>
      </c>
      <c r="I37" s="15">
        <v>17.1036164631908</v>
      </c>
      <c r="J37" s="24">
        <v>28.4422463040782</v>
      </c>
      <c r="K37" s="20" t="s">
        <v>76</v>
      </c>
      <c r="L37" s="20" t="s">
        <v>76</v>
      </c>
      <c r="M37" s="26" t="s">
        <v>76</v>
      </c>
      <c r="N37" s="20" t="s">
        <v>76</v>
      </c>
      <c r="O37" s="20" t="s">
        <v>76</v>
      </c>
      <c r="P37" s="26" t="s">
        <v>76</v>
      </c>
    </row>
    <row r="38" spans="1:16">
      <c r="A38" s="9" t="s">
        <v>242</v>
      </c>
      <c r="B38" s="15">
        <v>20.882058684093199</v>
      </c>
      <c r="C38" s="15">
        <v>29.157164730686901</v>
      </c>
      <c r="D38" s="24">
        <v>14.4578404771009</v>
      </c>
      <c r="E38" s="15">
        <v>27.077209641734299</v>
      </c>
      <c r="F38" s="15">
        <v>36.496225741424503</v>
      </c>
      <c r="G38" s="24">
        <v>19.467151674382301</v>
      </c>
      <c r="H38" s="15">
        <v>13.9242069328957</v>
      </c>
      <c r="I38" s="15">
        <v>21.331212879309799</v>
      </c>
      <c r="J38" s="24">
        <v>8.1809743064170206</v>
      </c>
      <c r="K38" s="20" t="s">
        <v>76</v>
      </c>
      <c r="L38" s="20" t="s">
        <v>76</v>
      </c>
      <c r="M38" s="26" t="s">
        <v>76</v>
      </c>
      <c r="N38" s="20" t="s">
        <v>76</v>
      </c>
      <c r="O38" s="20" t="s">
        <v>76</v>
      </c>
      <c r="P38" s="26" t="s">
        <v>76</v>
      </c>
    </row>
    <row r="39" spans="1:16">
      <c r="A39" s="9" t="s">
        <v>243</v>
      </c>
      <c r="B39" s="15">
        <v>39.817767066186299</v>
      </c>
      <c r="C39" s="15">
        <v>32.113917576514403</v>
      </c>
      <c r="D39" s="24">
        <v>45.798501316214598</v>
      </c>
      <c r="E39" s="15">
        <v>47.657673224380702</v>
      </c>
      <c r="F39" s="15">
        <v>41.11285807406</v>
      </c>
      <c r="G39" s="24">
        <v>52.945531547627802</v>
      </c>
      <c r="H39" s="15">
        <v>31.441076017469701</v>
      </c>
      <c r="I39" s="15">
        <v>22.2752331639335</v>
      </c>
      <c r="J39" s="24">
        <v>38.548072839996998</v>
      </c>
      <c r="K39" s="20" t="s">
        <v>76</v>
      </c>
      <c r="L39" s="20" t="s">
        <v>76</v>
      </c>
      <c r="M39" s="26" t="s">
        <v>76</v>
      </c>
      <c r="N39" s="15">
        <v>39.5560546202369</v>
      </c>
      <c r="O39" s="20" t="s">
        <v>76</v>
      </c>
      <c r="P39" s="26" t="s">
        <v>76</v>
      </c>
    </row>
    <row r="40" spans="1:16">
      <c r="A40" s="9" t="s">
        <v>244</v>
      </c>
      <c r="B40" s="15">
        <v>13.0347315417107</v>
      </c>
      <c r="C40" s="15">
        <v>15.9865202166307</v>
      </c>
      <c r="D40" s="24">
        <v>10.7431676098598</v>
      </c>
      <c r="E40" s="15">
        <v>5.8391712058515797</v>
      </c>
      <c r="F40" s="15">
        <v>8.5432323021035899</v>
      </c>
      <c r="G40" s="24">
        <v>3.65443540415608</v>
      </c>
      <c r="H40" s="15">
        <v>19.864617296420501</v>
      </c>
      <c r="I40" s="15">
        <v>23.590759000096099</v>
      </c>
      <c r="J40" s="24">
        <v>16.975447399939899</v>
      </c>
      <c r="K40" s="20" t="s">
        <v>76</v>
      </c>
      <c r="L40" s="20" t="s">
        <v>76</v>
      </c>
      <c r="M40" s="26" t="s">
        <v>76</v>
      </c>
      <c r="N40" s="20" t="s">
        <v>76</v>
      </c>
      <c r="O40" s="20" t="s">
        <v>76</v>
      </c>
      <c r="P40" s="26" t="s">
        <v>76</v>
      </c>
    </row>
    <row r="41" spans="1:16">
      <c r="A41" s="9" t="s">
        <v>245</v>
      </c>
      <c r="B41" s="15">
        <v>32.9608343677113</v>
      </c>
      <c r="C41" s="15">
        <v>31.385982612568501</v>
      </c>
      <c r="D41" s="24">
        <v>34.183440007051303</v>
      </c>
      <c r="E41" s="15">
        <v>33.038956599460903</v>
      </c>
      <c r="F41" s="15">
        <v>33.060667194050502</v>
      </c>
      <c r="G41" s="24">
        <v>33.021415607749702</v>
      </c>
      <c r="H41" s="15">
        <v>32.828078120599301</v>
      </c>
      <c r="I41" s="15">
        <v>29.463949476615301</v>
      </c>
      <c r="J41" s="24">
        <v>35.436550899962299</v>
      </c>
      <c r="K41" s="20" t="s">
        <v>76</v>
      </c>
      <c r="L41" s="20" t="s">
        <v>76</v>
      </c>
      <c r="M41" s="26" t="s">
        <v>76</v>
      </c>
      <c r="N41" s="20" t="s">
        <v>76</v>
      </c>
      <c r="O41" s="20" t="s">
        <v>76</v>
      </c>
      <c r="P41" s="26" t="s">
        <v>76</v>
      </c>
    </row>
    <row r="42" spans="1:16">
      <c r="A42" s="9" t="s">
        <v>246</v>
      </c>
      <c r="B42" s="15">
        <v>5.3800437603988902</v>
      </c>
      <c r="C42" s="15">
        <v>6.6870440386623002</v>
      </c>
      <c r="D42" s="24">
        <v>4.3653794241490598</v>
      </c>
      <c r="E42" s="15">
        <v>5.6092310134031296</v>
      </c>
      <c r="F42" s="15">
        <v>6.9184299490979404</v>
      </c>
      <c r="G42" s="24">
        <v>4.5514687497033197</v>
      </c>
      <c r="H42" s="15">
        <v>5.1665627652291501</v>
      </c>
      <c r="I42" s="15">
        <v>6.4812265717386204</v>
      </c>
      <c r="J42" s="24">
        <v>4.1472008096671802</v>
      </c>
      <c r="K42" s="20" t="s">
        <v>76</v>
      </c>
      <c r="L42" s="20" t="s">
        <v>76</v>
      </c>
      <c r="M42" s="26" t="s">
        <v>76</v>
      </c>
      <c r="N42" s="20" t="s">
        <v>76</v>
      </c>
      <c r="O42" s="20" t="s">
        <v>76</v>
      </c>
      <c r="P42" s="26" t="s">
        <v>76</v>
      </c>
    </row>
    <row r="43" spans="1:16">
      <c r="A43" s="9" t="s">
        <v>247</v>
      </c>
      <c r="B43" s="15">
        <v>42.066856579389203</v>
      </c>
      <c r="C43" s="15">
        <v>40.424404212737102</v>
      </c>
      <c r="D43" s="24">
        <v>43.341942643368697</v>
      </c>
      <c r="E43" s="15">
        <v>56.451521571752899</v>
      </c>
      <c r="F43" s="15">
        <v>54.5720765362138</v>
      </c>
      <c r="G43" s="24">
        <v>57.9700119868372</v>
      </c>
      <c r="H43" s="15">
        <v>27.331118238261599</v>
      </c>
      <c r="I43" s="15">
        <v>25.3055240072662</v>
      </c>
      <c r="J43" s="24">
        <v>28.901720308736799</v>
      </c>
      <c r="K43" s="20" t="s">
        <v>76</v>
      </c>
      <c r="L43" s="20" t="s">
        <v>76</v>
      </c>
      <c r="M43" s="26" t="s">
        <v>76</v>
      </c>
      <c r="N43" s="15">
        <v>38.114234047677698</v>
      </c>
      <c r="O43" s="20" t="s">
        <v>76</v>
      </c>
      <c r="P43" s="26" t="s">
        <v>76</v>
      </c>
    </row>
    <row r="44" spans="1:16">
      <c r="A44" s="9" t="s">
        <v>248</v>
      </c>
      <c r="B44" s="15">
        <v>67.887307032202301</v>
      </c>
      <c r="C44" s="15">
        <v>64.317985844173407</v>
      </c>
      <c r="D44" s="24">
        <v>70.658280362770995</v>
      </c>
      <c r="E44" s="15">
        <v>70.183137915647507</v>
      </c>
      <c r="F44" s="15">
        <v>68.042368217524697</v>
      </c>
      <c r="G44" s="24">
        <v>71.912764590561196</v>
      </c>
      <c r="H44" s="15">
        <v>65.729009834323804</v>
      </c>
      <c r="I44" s="15">
        <v>60.189410543855502</v>
      </c>
      <c r="J44" s="24">
        <v>70.024295623589097</v>
      </c>
      <c r="K44" s="20" t="s">
        <v>76</v>
      </c>
      <c r="L44" s="20" t="s">
        <v>76</v>
      </c>
      <c r="M44" s="26" t="s">
        <v>76</v>
      </c>
      <c r="N44" s="15">
        <v>65.474012902280805</v>
      </c>
      <c r="O44" s="20" t="s">
        <v>76</v>
      </c>
      <c r="P44" s="24">
        <v>63.799082528138698</v>
      </c>
    </row>
    <row r="45" spans="1:16">
      <c r="A45" s="9" t="s">
        <v>249</v>
      </c>
      <c r="B45" s="15">
        <v>4.1249061537626197</v>
      </c>
      <c r="C45" s="15">
        <v>4.6587648243203699</v>
      </c>
      <c r="D45" s="24">
        <v>3.7104553211029501</v>
      </c>
      <c r="E45" s="15">
        <v>4.1911507372696004</v>
      </c>
      <c r="F45" s="15">
        <v>5.1410562199788901</v>
      </c>
      <c r="G45" s="24">
        <v>3.4236782422219401</v>
      </c>
      <c r="H45" s="15">
        <v>4.0260852738242203</v>
      </c>
      <c r="I45" s="15">
        <v>4.2852270205498604</v>
      </c>
      <c r="J45" s="24">
        <v>3.8251523536342602</v>
      </c>
      <c r="K45" s="20" t="s">
        <v>76</v>
      </c>
      <c r="L45" s="20" t="s">
        <v>76</v>
      </c>
      <c r="M45" s="26" t="s">
        <v>76</v>
      </c>
      <c r="N45" s="20" t="s">
        <v>76</v>
      </c>
      <c r="O45" s="20" t="s">
        <v>76</v>
      </c>
      <c r="P45" s="26" t="s">
        <v>76</v>
      </c>
    </row>
    <row r="46" spans="1:16">
      <c r="A46" s="9" t="s">
        <v>250</v>
      </c>
      <c r="B46" s="15">
        <v>19.4588861314949</v>
      </c>
      <c r="C46" s="15">
        <v>23.176985377054599</v>
      </c>
      <c r="D46" s="24">
        <v>16.572411839293899</v>
      </c>
      <c r="E46" s="15">
        <v>16.662763418865101</v>
      </c>
      <c r="F46" s="15">
        <v>22.021884704559699</v>
      </c>
      <c r="G46" s="24">
        <v>12.3328819103764</v>
      </c>
      <c r="H46" s="15">
        <v>22.261832655191998</v>
      </c>
      <c r="I46" s="15">
        <v>24.755847573443901</v>
      </c>
      <c r="J46" s="24">
        <v>20.328027288617001</v>
      </c>
      <c r="K46" s="20" t="s">
        <v>76</v>
      </c>
      <c r="L46" s="20" t="s">
        <v>76</v>
      </c>
      <c r="M46" s="26" t="s">
        <v>76</v>
      </c>
      <c r="N46" s="20" t="s">
        <v>76</v>
      </c>
      <c r="O46" s="20" t="s">
        <v>76</v>
      </c>
      <c r="P46" s="26" t="s">
        <v>76</v>
      </c>
    </row>
    <row r="47" spans="1:16">
      <c r="A47" s="9" t="s">
        <v>251</v>
      </c>
      <c r="B47" s="15">
        <v>6.5603177507978696</v>
      </c>
      <c r="C47" s="15">
        <v>5.6350768767458197</v>
      </c>
      <c r="D47" s="24">
        <v>7.2786105721189198</v>
      </c>
      <c r="E47" s="15">
        <v>7.0464157463658603</v>
      </c>
      <c r="F47" s="15">
        <v>6.3982909236398298</v>
      </c>
      <c r="G47" s="24">
        <v>7.5700657134985398</v>
      </c>
      <c r="H47" s="15">
        <v>6.1657748517556499</v>
      </c>
      <c r="I47" s="15">
        <v>4.9916223773555499</v>
      </c>
      <c r="J47" s="24">
        <v>7.0761873515187803</v>
      </c>
      <c r="K47" s="20" t="s">
        <v>76</v>
      </c>
      <c r="L47" s="20" t="s">
        <v>76</v>
      </c>
      <c r="M47" s="26" t="s">
        <v>76</v>
      </c>
      <c r="N47" s="20" t="s">
        <v>76</v>
      </c>
      <c r="O47" s="20" t="s">
        <v>76</v>
      </c>
      <c r="P47" s="26" t="s">
        <v>76</v>
      </c>
    </row>
    <row r="48" spans="1:16">
      <c r="A48" s="9" t="s">
        <v>252</v>
      </c>
      <c r="B48" s="15">
        <v>5.48186904815151</v>
      </c>
      <c r="C48" s="15">
        <v>5.75974525901505</v>
      </c>
      <c r="D48" s="24">
        <v>5.26614523711293</v>
      </c>
      <c r="E48" s="15">
        <v>5.9975933033678803</v>
      </c>
      <c r="F48" s="15">
        <v>5.9706319113554098</v>
      </c>
      <c r="G48" s="24">
        <v>6.0193766567376796</v>
      </c>
      <c r="H48" s="15">
        <v>5.1239868924136402</v>
      </c>
      <c r="I48" s="15">
        <v>5.5971208516748403</v>
      </c>
      <c r="J48" s="24">
        <v>4.7571290268762798</v>
      </c>
      <c r="K48" s="20" t="s">
        <v>76</v>
      </c>
      <c r="L48" s="20" t="s">
        <v>76</v>
      </c>
      <c r="M48" s="26" t="s">
        <v>76</v>
      </c>
      <c r="N48" s="20" t="s">
        <v>76</v>
      </c>
      <c r="O48" s="20" t="s">
        <v>76</v>
      </c>
      <c r="P48" s="26" t="s">
        <v>76</v>
      </c>
    </row>
    <row r="49" spans="1:16">
      <c r="A49" s="9" t="s">
        <v>253</v>
      </c>
      <c r="B49" s="15">
        <v>16.5062038668238</v>
      </c>
      <c r="C49" s="15">
        <v>15.09525130506</v>
      </c>
      <c r="D49" s="24">
        <v>17.6015695437648</v>
      </c>
      <c r="E49" s="15">
        <v>15.8790171611309</v>
      </c>
      <c r="F49" s="15">
        <v>15.5765992857418</v>
      </c>
      <c r="G49" s="24">
        <v>16.123354524791502</v>
      </c>
      <c r="H49" s="15">
        <v>17.1930625420989</v>
      </c>
      <c r="I49" s="15">
        <v>14.6850010379972</v>
      </c>
      <c r="J49" s="24">
        <v>19.137759328328201</v>
      </c>
      <c r="K49" s="20" t="s">
        <v>76</v>
      </c>
      <c r="L49" s="20" t="s">
        <v>76</v>
      </c>
      <c r="M49" s="26" t="s">
        <v>76</v>
      </c>
      <c r="N49" s="20" t="s">
        <v>76</v>
      </c>
      <c r="O49" s="20" t="s">
        <v>76</v>
      </c>
      <c r="P49" s="26" t="s">
        <v>76</v>
      </c>
    </row>
    <row r="50" spans="1:16">
      <c r="A50" s="9" t="s">
        <v>254</v>
      </c>
      <c r="B50" s="15">
        <v>58.313761712843998</v>
      </c>
      <c r="C50" s="15">
        <v>64.775576833040802</v>
      </c>
      <c r="D50" s="24">
        <v>53.297256774822699</v>
      </c>
      <c r="E50" s="15">
        <v>55.087595097203597</v>
      </c>
      <c r="F50" s="15">
        <v>60.601205158213197</v>
      </c>
      <c r="G50" s="24">
        <v>50.632894974646298</v>
      </c>
      <c r="H50" s="15">
        <v>61.774695959503703</v>
      </c>
      <c r="I50" s="15">
        <v>68.984376799787995</v>
      </c>
      <c r="J50" s="24">
        <v>56.184464963609202</v>
      </c>
      <c r="K50" s="20" t="s">
        <v>76</v>
      </c>
      <c r="L50" s="20" t="s">
        <v>76</v>
      </c>
      <c r="M50" s="26" t="s">
        <v>76</v>
      </c>
      <c r="N50" s="15">
        <v>57.965045562846498</v>
      </c>
      <c r="O50" s="20" t="s">
        <v>76</v>
      </c>
      <c r="P50" s="26" t="s">
        <v>76</v>
      </c>
    </row>
    <row r="51" spans="1:16">
      <c r="A51" s="9" t="s">
        <v>255</v>
      </c>
      <c r="B51" s="15">
        <v>31.8205826708217</v>
      </c>
      <c r="C51" s="15">
        <v>25.749872105527601</v>
      </c>
      <c r="D51" s="24">
        <v>36.533461167284798</v>
      </c>
      <c r="E51" s="15">
        <v>35.504575013332897</v>
      </c>
      <c r="F51" s="15">
        <v>30.629665826728399</v>
      </c>
      <c r="G51" s="24">
        <v>39.443239211694099</v>
      </c>
      <c r="H51" s="15">
        <v>28.137389126891598</v>
      </c>
      <c r="I51" s="15">
        <v>20.549198713465501</v>
      </c>
      <c r="J51" s="24">
        <v>34.021108280569301</v>
      </c>
      <c r="K51" s="20" t="s">
        <v>76</v>
      </c>
      <c r="L51" s="20" t="s">
        <v>76</v>
      </c>
      <c r="M51" s="26" t="s">
        <v>76</v>
      </c>
      <c r="N51" s="20" t="s">
        <v>76</v>
      </c>
      <c r="O51" s="20" t="s">
        <v>76</v>
      </c>
      <c r="P51" s="26" t="s">
        <v>76</v>
      </c>
    </row>
    <row r="52" spans="1:16">
      <c r="A52" s="9" t="s">
        <v>256</v>
      </c>
      <c r="B52" s="15">
        <v>13.594943618211101</v>
      </c>
      <c r="C52" s="15">
        <v>12.914665735732999</v>
      </c>
      <c r="D52" s="24">
        <v>14.1230641684279</v>
      </c>
      <c r="E52" s="15">
        <v>17.201394623676801</v>
      </c>
      <c r="F52" s="15">
        <v>17.061569157767799</v>
      </c>
      <c r="G52" s="24">
        <v>17.3143660730954</v>
      </c>
      <c r="H52" s="15">
        <v>9.5321522066111903</v>
      </c>
      <c r="I52" s="15">
        <v>8.4427659558542505</v>
      </c>
      <c r="J52" s="24">
        <v>10.3768388051434</v>
      </c>
      <c r="K52" s="20" t="s">
        <v>76</v>
      </c>
      <c r="L52" s="20" t="s">
        <v>76</v>
      </c>
      <c r="M52" s="26" t="s">
        <v>76</v>
      </c>
      <c r="N52" s="20" t="s">
        <v>76</v>
      </c>
      <c r="O52" s="20" t="s">
        <v>76</v>
      </c>
      <c r="P52" s="26" t="s">
        <v>76</v>
      </c>
    </row>
    <row r="53" spans="1:16">
      <c r="A53" s="9" t="s">
        <v>257</v>
      </c>
      <c r="B53" s="15">
        <v>32.3669356929353</v>
      </c>
      <c r="C53" s="15">
        <v>29.284354916525299</v>
      </c>
      <c r="D53" s="24">
        <v>34.760037538015602</v>
      </c>
      <c r="E53" s="15">
        <v>32.828771303866702</v>
      </c>
      <c r="F53" s="15">
        <v>31.547758702304201</v>
      </c>
      <c r="G53" s="24">
        <v>33.8637605269045</v>
      </c>
      <c r="H53" s="15">
        <v>32.0161703635507</v>
      </c>
      <c r="I53" s="15">
        <v>27.2523718297988</v>
      </c>
      <c r="J53" s="24">
        <v>35.7099169816778</v>
      </c>
      <c r="K53" s="20" t="s">
        <v>76</v>
      </c>
      <c r="L53" s="20" t="s">
        <v>76</v>
      </c>
      <c r="M53" s="26" t="s">
        <v>76</v>
      </c>
      <c r="N53" s="20" t="s">
        <v>76</v>
      </c>
      <c r="O53" s="20" t="s">
        <v>76</v>
      </c>
      <c r="P53" s="26" t="s">
        <v>76</v>
      </c>
    </row>
    <row r="54" spans="1:16">
      <c r="A54" s="9" t="s">
        <v>258</v>
      </c>
      <c r="B54" s="15">
        <v>35.733294274723903</v>
      </c>
      <c r="C54" s="15">
        <v>42.689505539547604</v>
      </c>
      <c r="D54" s="24">
        <v>30.332974471262201</v>
      </c>
      <c r="E54" s="15">
        <v>34.175842543745098</v>
      </c>
      <c r="F54" s="15">
        <v>42.751067856153902</v>
      </c>
      <c r="G54" s="24">
        <v>27.247522109864398</v>
      </c>
      <c r="H54" s="15">
        <v>37.176769002105203</v>
      </c>
      <c r="I54" s="15">
        <v>42.492410562784599</v>
      </c>
      <c r="J54" s="24">
        <v>33.055135205288899</v>
      </c>
      <c r="K54" s="20" t="s">
        <v>76</v>
      </c>
      <c r="L54" s="20" t="s">
        <v>76</v>
      </c>
      <c r="M54" s="26" t="s">
        <v>76</v>
      </c>
      <c r="N54" s="15">
        <v>41.449775742404299</v>
      </c>
      <c r="O54" s="20" t="s">
        <v>76</v>
      </c>
      <c r="P54" s="26" t="s">
        <v>76</v>
      </c>
    </row>
    <row r="55" spans="1:16">
      <c r="A55" s="9" t="s">
        <v>259</v>
      </c>
      <c r="B55" s="15">
        <v>3.6053664788680702</v>
      </c>
      <c r="C55" s="15">
        <v>4.4626805991667498</v>
      </c>
      <c r="D55" s="24">
        <v>2.939807276397</v>
      </c>
      <c r="E55" s="15">
        <v>4.0283959252827799</v>
      </c>
      <c r="F55" s="15">
        <v>5.2091049042354198</v>
      </c>
      <c r="G55" s="24">
        <v>3.0744466298040098</v>
      </c>
      <c r="H55" s="15">
        <v>3.1242093468367398</v>
      </c>
      <c r="I55" s="15">
        <v>3.7043739677871499</v>
      </c>
      <c r="J55" s="24">
        <v>2.6743622150973598</v>
      </c>
      <c r="K55" s="20" t="s">
        <v>76</v>
      </c>
      <c r="L55" s="20" t="s">
        <v>76</v>
      </c>
      <c r="M55" s="26" t="s">
        <v>76</v>
      </c>
      <c r="N55" s="20" t="s">
        <v>76</v>
      </c>
      <c r="O55" s="20" t="s">
        <v>76</v>
      </c>
      <c r="P55" s="26" t="s">
        <v>76</v>
      </c>
    </row>
    <row r="56" spans="1:16">
      <c r="A56" s="9" t="s">
        <v>260</v>
      </c>
      <c r="B56" s="15">
        <v>12.2039484419714</v>
      </c>
      <c r="C56" s="15">
        <v>12.447283568722399</v>
      </c>
      <c r="D56" s="24">
        <v>12.0150399321743</v>
      </c>
      <c r="E56" s="15">
        <v>10.0579582538324</v>
      </c>
      <c r="F56" s="15">
        <v>13.1064794432383</v>
      </c>
      <c r="G56" s="24">
        <v>7.5949172397245004</v>
      </c>
      <c r="H56" s="15">
        <v>14.6979134240819</v>
      </c>
      <c r="I56" s="15">
        <v>11.912938852020099</v>
      </c>
      <c r="J56" s="24">
        <v>16.8573226296222</v>
      </c>
      <c r="K56" s="20" t="s">
        <v>76</v>
      </c>
      <c r="L56" s="20" t="s">
        <v>76</v>
      </c>
      <c r="M56" s="26" t="s">
        <v>76</v>
      </c>
      <c r="N56" s="20" t="s">
        <v>76</v>
      </c>
      <c r="O56" s="20" t="s">
        <v>76</v>
      </c>
      <c r="P56" s="26" t="s">
        <v>76</v>
      </c>
    </row>
    <row r="57" spans="1:16">
      <c r="A57" s="9" t="s">
        <v>261</v>
      </c>
      <c r="B57" s="15">
        <v>8.3237814968177606</v>
      </c>
      <c r="C57" s="15">
        <v>10.086679702303201</v>
      </c>
      <c r="D57" s="24">
        <v>6.9551896401108904</v>
      </c>
      <c r="E57" s="15">
        <v>8.2682480322772705</v>
      </c>
      <c r="F57" s="15">
        <v>10.337173136998899</v>
      </c>
      <c r="G57" s="24">
        <v>6.5966679213186099</v>
      </c>
      <c r="H57" s="15">
        <v>8.4654899539955295</v>
      </c>
      <c r="I57" s="15">
        <v>9.5606930489879893</v>
      </c>
      <c r="J57" s="24">
        <v>7.6162930999243796</v>
      </c>
      <c r="K57" s="20" t="s">
        <v>76</v>
      </c>
      <c r="L57" s="20" t="s">
        <v>76</v>
      </c>
      <c r="M57" s="26" t="s">
        <v>76</v>
      </c>
      <c r="N57" s="20" t="s">
        <v>76</v>
      </c>
      <c r="O57" s="20" t="s">
        <v>76</v>
      </c>
      <c r="P57" s="26" t="s">
        <v>76</v>
      </c>
    </row>
    <row r="58" spans="1:16">
      <c r="A58" s="9" t="s">
        <v>262</v>
      </c>
      <c r="B58" s="15">
        <v>23.919850113743401</v>
      </c>
      <c r="C58" s="15">
        <v>15.8542043814836</v>
      </c>
      <c r="D58" s="24">
        <v>30.181457865061901</v>
      </c>
      <c r="E58" s="15">
        <v>33.5126527073879</v>
      </c>
      <c r="F58" s="15">
        <v>21.9181896497197</v>
      </c>
      <c r="G58" s="24">
        <v>42.8803547088824</v>
      </c>
      <c r="H58" s="15">
        <v>13.507863699705799</v>
      </c>
      <c r="I58" s="15">
        <v>9.1709735156456897</v>
      </c>
      <c r="J58" s="24">
        <v>16.870594792774298</v>
      </c>
      <c r="K58" s="20" t="s">
        <v>76</v>
      </c>
      <c r="L58" s="20" t="s">
        <v>76</v>
      </c>
      <c r="M58" s="26" t="s">
        <v>76</v>
      </c>
      <c r="N58" s="20" t="s">
        <v>76</v>
      </c>
      <c r="O58" s="20" t="s">
        <v>76</v>
      </c>
      <c r="P58" s="26" t="s">
        <v>76</v>
      </c>
    </row>
    <row r="59" spans="1:16">
      <c r="A59" s="9" t="s">
        <v>263</v>
      </c>
      <c r="B59" s="15">
        <v>0.868946071990089</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264</v>
      </c>
      <c r="B60" s="15">
        <v>0.78739163743053897</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265</v>
      </c>
      <c r="B61" s="15">
        <v>0.81951086371290205</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266</v>
      </c>
      <c r="B62" s="15">
        <v>2.07192106175519</v>
      </c>
      <c r="C62" s="15">
        <v>2.0971320906700801</v>
      </c>
      <c r="D62" s="24">
        <v>2.0523489680490701</v>
      </c>
      <c r="E62" s="15">
        <v>2.3241644537506501</v>
      </c>
      <c r="F62" s="20" t="s">
        <v>76</v>
      </c>
      <c r="G62" s="26" t="s">
        <v>76</v>
      </c>
      <c r="H62" s="15">
        <v>1.64556897211335</v>
      </c>
      <c r="I62" s="20" t="s">
        <v>76</v>
      </c>
      <c r="J62" s="26" t="s">
        <v>76</v>
      </c>
      <c r="K62" s="20" t="s">
        <v>76</v>
      </c>
      <c r="L62" s="20" t="s">
        <v>76</v>
      </c>
      <c r="M62" s="26" t="s">
        <v>76</v>
      </c>
      <c r="N62" s="20" t="s">
        <v>76</v>
      </c>
      <c r="O62" s="20" t="s">
        <v>76</v>
      </c>
      <c r="P62" s="26" t="s">
        <v>76</v>
      </c>
    </row>
    <row r="63" spans="1:16">
      <c r="A63" s="9" t="s">
        <v>267</v>
      </c>
      <c r="B63" s="15">
        <v>8.5070054548239895</v>
      </c>
      <c r="C63" s="15">
        <v>10.5541633906839</v>
      </c>
      <c r="D63" s="24">
        <v>6.9177340654194301</v>
      </c>
      <c r="E63" s="15">
        <v>11.201256458666</v>
      </c>
      <c r="F63" s="15">
        <v>14.019121207904499</v>
      </c>
      <c r="G63" s="24">
        <v>8.9245734315961691</v>
      </c>
      <c r="H63" s="15">
        <v>5.55184447939493</v>
      </c>
      <c r="I63" s="15">
        <v>6.6574662265275801</v>
      </c>
      <c r="J63" s="24">
        <v>4.6945692272060704</v>
      </c>
      <c r="K63" s="20" t="s">
        <v>76</v>
      </c>
      <c r="L63" s="20" t="s">
        <v>76</v>
      </c>
      <c r="M63" s="26" t="s">
        <v>76</v>
      </c>
      <c r="N63" s="20" t="s">
        <v>76</v>
      </c>
      <c r="O63" s="20" t="s">
        <v>76</v>
      </c>
      <c r="P63" s="26" t="s">
        <v>76</v>
      </c>
    </row>
    <row r="64" spans="1:16">
      <c r="A64" s="11" t="s">
        <v>268</v>
      </c>
      <c r="B64" s="16">
        <v>8.0936620522279306</v>
      </c>
      <c r="C64" s="16">
        <v>8.4009627147105093</v>
      </c>
      <c r="D64" s="25">
        <v>7.8550951384233496</v>
      </c>
      <c r="E64" s="16">
        <v>8.2872710703220793</v>
      </c>
      <c r="F64" s="16">
        <v>8.3397982372937705</v>
      </c>
      <c r="G64" s="25">
        <v>8.2448319470331395</v>
      </c>
      <c r="H64" s="16">
        <v>8.0315346365010303</v>
      </c>
      <c r="I64" s="16">
        <v>8.6045717027509792</v>
      </c>
      <c r="J64" s="25">
        <v>7.5872140569203497</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269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21.217485631714499</v>
      </c>
      <c r="C3" s="32">
        <v>22.286434371547401</v>
      </c>
      <c r="D3" s="32">
        <v>19.2051201912629</v>
      </c>
      <c r="E3" s="32">
        <v>20.306348737658201</v>
      </c>
      <c r="F3" s="15">
        <v>17.7083333333333</v>
      </c>
      <c r="G3" s="15">
        <v>20.8955223880597</v>
      </c>
      <c r="H3" s="15">
        <v>6.0975609756097597</v>
      </c>
      <c r="I3" s="15">
        <v>32.5</v>
      </c>
      <c r="J3" s="15">
        <v>23.456790123456798</v>
      </c>
      <c r="K3" s="15">
        <v>24</v>
      </c>
      <c r="L3" s="15">
        <v>14.84375</v>
      </c>
      <c r="M3" s="15">
        <v>14.705882352941201</v>
      </c>
      <c r="N3" s="15">
        <v>22.4489795918367</v>
      </c>
      <c r="O3" s="15">
        <v>16.6666666666667</v>
      </c>
      <c r="P3" s="15">
        <v>17.037037037036999</v>
      </c>
      <c r="Q3" s="15">
        <v>26.6666666666667</v>
      </c>
      <c r="R3" s="15">
        <v>29.6703296703297</v>
      </c>
      <c r="S3" s="15">
        <v>6</v>
      </c>
      <c r="T3" s="20" t="s">
        <v>76</v>
      </c>
      <c r="U3" s="15">
        <v>31.914893617021299</v>
      </c>
      <c r="V3" s="15">
        <v>27.7777777777778</v>
      </c>
      <c r="W3" s="15">
        <v>23.214285714285701</v>
      </c>
      <c r="X3" s="15">
        <v>13.461538461538501</v>
      </c>
      <c r="Y3" s="20" t="s">
        <v>76</v>
      </c>
      <c r="Z3" s="15">
        <v>34.7826086956522</v>
      </c>
      <c r="AA3" s="15">
        <v>49.315068493150697</v>
      </c>
      <c r="AB3" s="15">
        <v>26.923076923076898</v>
      </c>
      <c r="AC3" s="15">
        <v>9.8765432098765409</v>
      </c>
      <c r="AD3" s="15">
        <v>11.578947368421099</v>
      </c>
      <c r="AE3" s="15">
        <v>22.9508196721311</v>
      </c>
      <c r="AF3" s="15">
        <v>32.4324324324324</v>
      </c>
      <c r="AG3" s="32">
        <v>18.350202751174599</v>
      </c>
      <c r="AH3" s="15">
        <v>23.489932885906001</v>
      </c>
      <c r="AI3" s="15">
        <v>20.0589970501475</v>
      </c>
      <c r="AJ3" s="15">
        <v>18.5840707964602</v>
      </c>
      <c r="AK3" s="15">
        <v>20.761245674740501</v>
      </c>
      <c r="AL3" s="15">
        <v>23.463687150837998</v>
      </c>
      <c r="AM3" s="15">
        <v>15.0769230769231</v>
      </c>
      <c r="AN3" s="24">
        <v>23.734177215189899</v>
      </c>
      <c r="AO3" s="38"/>
    </row>
    <row r="4" spans="1:41">
      <c r="A4" s="9" t="s">
        <v>208</v>
      </c>
      <c r="B4" s="36">
        <v>26.533706300681299</v>
      </c>
      <c r="C4" s="32">
        <v>27.310554912596199</v>
      </c>
      <c r="D4" s="32">
        <v>24.3841199566344</v>
      </c>
      <c r="E4" s="32">
        <v>22.0028501850617</v>
      </c>
      <c r="F4" s="15">
        <v>18.75</v>
      </c>
      <c r="G4" s="15">
        <v>22.388059701492502</v>
      </c>
      <c r="H4" s="15">
        <v>13.4146341463415</v>
      </c>
      <c r="I4" s="15">
        <v>15</v>
      </c>
      <c r="J4" s="15">
        <v>29.629629629629601</v>
      </c>
      <c r="K4" s="15">
        <v>36</v>
      </c>
      <c r="L4" s="15">
        <v>14.84375</v>
      </c>
      <c r="M4" s="15">
        <v>11.764705882352899</v>
      </c>
      <c r="N4" s="15">
        <v>18.367346938775501</v>
      </c>
      <c r="O4" s="15">
        <v>26.1904761904762</v>
      </c>
      <c r="P4" s="15">
        <v>13.3333333333333</v>
      </c>
      <c r="Q4" s="15">
        <v>16.6666666666667</v>
      </c>
      <c r="R4" s="15">
        <v>26.373626373626401</v>
      </c>
      <c r="S4" s="15">
        <v>20</v>
      </c>
      <c r="T4" s="15">
        <v>15.1515151515152</v>
      </c>
      <c r="U4" s="15">
        <v>10.6382978723404</v>
      </c>
      <c r="V4" s="15">
        <v>31.481481481481499</v>
      </c>
      <c r="W4" s="15">
        <v>23.214285714285701</v>
      </c>
      <c r="X4" s="15">
        <v>60.576923076923102</v>
      </c>
      <c r="Y4" s="20" t="s">
        <v>76</v>
      </c>
      <c r="Z4" s="15">
        <v>28.260869565217401</v>
      </c>
      <c r="AA4" s="15">
        <v>27.397260273972599</v>
      </c>
      <c r="AB4" s="15">
        <v>32.051282051282101</v>
      </c>
      <c r="AC4" s="15">
        <v>12.3456790123457</v>
      </c>
      <c r="AD4" s="15">
        <v>13.6842105263158</v>
      </c>
      <c r="AE4" s="15">
        <v>27.868852459016399</v>
      </c>
      <c r="AF4" s="15">
        <v>13.5135135135135</v>
      </c>
      <c r="AG4" s="32">
        <v>26.232772594578002</v>
      </c>
      <c r="AH4" s="15">
        <v>13.4228187919463</v>
      </c>
      <c r="AI4" s="15">
        <v>28.613569321533902</v>
      </c>
      <c r="AJ4" s="15">
        <v>31.268436578171102</v>
      </c>
      <c r="AK4" s="15">
        <v>20.0692041522491</v>
      </c>
      <c r="AL4" s="15">
        <v>32.402234636871498</v>
      </c>
      <c r="AM4" s="15">
        <v>19.692307692307701</v>
      </c>
      <c r="AN4" s="24">
        <v>31.962025316455701</v>
      </c>
      <c r="AO4" s="38"/>
    </row>
    <row r="5" spans="1:41">
      <c r="A5" s="9" t="s">
        <v>209</v>
      </c>
      <c r="B5" s="36">
        <v>29.899315277971098</v>
      </c>
      <c r="C5" s="32">
        <v>28.8249327386117</v>
      </c>
      <c r="D5" s="32">
        <v>26.370643559866899</v>
      </c>
      <c r="E5" s="32">
        <v>17.0038071489329</v>
      </c>
      <c r="F5" s="15">
        <v>22.9166666666667</v>
      </c>
      <c r="G5" s="15">
        <v>23.880597014925399</v>
      </c>
      <c r="H5" s="15">
        <v>6.0975609756097597</v>
      </c>
      <c r="I5" s="15">
        <v>30</v>
      </c>
      <c r="J5" s="15">
        <v>22.2222222222222</v>
      </c>
      <c r="K5" s="15">
        <v>20</v>
      </c>
      <c r="L5" s="15">
        <v>17.1875</v>
      </c>
      <c r="M5" s="15">
        <v>16.176470588235301</v>
      </c>
      <c r="N5" s="15">
        <v>12.244897959183699</v>
      </c>
      <c r="O5" s="15">
        <v>16.6666666666667</v>
      </c>
      <c r="P5" s="15">
        <v>19.259259259259299</v>
      </c>
      <c r="Q5" s="15">
        <v>21.6666666666667</v>
      </c>
      <c r="R5" s="15">
        <v>14.285714285714301</v>
      </c>
      <c r="S5" s="15">
        <v>5</v>
      </c>
      <c r="T5" s="20" t="s">
        <v>76</v>
      </c>
      <c r="U5" s="15">
        <v>19.148936170212799</v>
      </c>
      <c r="V5" s="20" t="s">
        <v>76</v>
      </c>
      <c r="W5" s="15">
        <v>30.3571428571429</v>
      </c>
      <c r="X5" s="15">
        <v>6.7307692307692299</v>
      </c>
      <c r="Y5" s="15">
        <v>24.390243902439</v>
      </c>
      <c r="Z5" s="15">
        <v>28.260869565217401</v>
      </c>
      <c r="AA5" s="15">
        <v>38.356164383561598</v>
      </c>
      <c r="AB5" s="15">
        <v>21.794871794871799</v>
      </c>
      <c r="AC5" s="15">
        <v>9.8765432098765409</v>
      </c>
      <c r="AD5" s="15">
        <v>7.3684210526315796</v>
      </c>
      <c r="AE5" s="15">
        <v>21.311475409836099</v>
      </c>
      <c r="AF5" s="15">
        <v>43.243243243243199</v>
      </c>
      <c r="AG5" s="32">
        <v>33.642405477384699</v>
      </c>
      <c r="AH5" s="15">
        <v>32.885906040268502</v>
      </c>
      <c r="AI5" s="15">
        <v>37.463126843657797</v>
      </c>
      <c r="AJ5" s="15">
        <v>39.233038348082601</v>
      </c>
      <c r="AK5" s="15">
        <v>15.5709342560554</v>
      </c>
      <c r="AL5" s="15">
        <v>51.955307262569796</v>
      </c>
      <c r="AM5" s="15">
        <v>18.769230769230798</v>
      </c>
      <c r="AN5" s="24">
        <v>39.873417721518997</v>
      </c>
      <c r="AO5" s="38"/>
    </row>
    <row r="6" spans="1:41">
      <c r="A6" s="9" t="s">
        <v>210</v>
      </c>
      <c r="B6" s="36">
        <v>49.690768888244598</v>
      </c>
      <c r="C6" s="32">
        <v>47.865414928880298</v>
      </c>
      <c r="D6" s="32">
        <v>43.4664834340157</v>
      </c>
      <c r="E6" s="32">
        <v>43.444165953716201</v>
      </c>
      <c r="F6" s="15">
        <v>54.1666666666667</v>
      </c>
      <c r="G6" s="15">
        <v>31.343283582089601</v>
      </c>
      <c r="H6" s="15">
        <v>19.512195121951201</v>
      </c>
      <c r="I6" s="15">
        <v>45</v>
      </c>
      <c r="J6" s="15">
        <v>54.320987654321002</v>
      </c>
      <c r="K6" s="15">
        <v>36</v>
      </c>
      <c r="L6" s="15">
        <v>33.59375</v>
      </c>
      <c r="M6" s="15">
        <v>23.529411764705898</v>
      </c>
      <c r="N6" s="15">
        <v>40.816326530612201</v>
      </c>
      <c r="O6" s="15">
        <v>73.809523809523796</v>
      </c>
      <c r="P6" s="15">
        <v>38.518518518518498</v>
      </c>
      <c r="Q6" s="15">
        <v>61.6666666666667</v>
      </c>
      <c r="R6" s="15">
        <v>56.043956043956001</v>
      </c>
      <c r="S6" s="15">
        <v>37</v>
      </c>
      <c r="T6" s="15">
        <v>63.636363636363598</v>
      </c>
      <c r="U6" s="15">
        <v>68.085106382978694</v>
      </c>
      <c r="V6" s="15">
        <v>42.592592592592602</v>
      </c>
      <c r="W6" s="15">
        <v>64.285714285714306</v>
      </c>
      <c r="X6" s="15">
        <v>24.038461538461501</v>
      </c>
      <c r="Y6" s="15">
        <v>39.024390243902403</v>
      </c>
      <c r="Z6" s="15">
        <v>54.347826086956502</v>
      </c>
      <c r="AA6" s="15">
        <v>49.315068493150697</v>
      </c>
      <c r="AB6" s="15">
        <v>34.615384615384599</v>
      </c>
      <c r="AC6" s="15">
        <v>29.629629629629601</v>
      </c>
      <c r="AD6" s="15">
        <v>48.421052631579002</v>
      </c>
      <c r="AE6" s="15">
        <v>50.819672131147499</v>
      </c>
      <c r="AF6" s="15">
        <v>43.243243243243199</v>
      </c>
      <c r="AG6" s="32">
        <v>43.483809177331501</v>
      </c>
      <c r="AH6" s="15">
        <v>34.228187919463103</v>
      </c>
      <c r="AI6" s="15">
        <v>49.2625368731563</v>
      </c>
      <c r="AJ6" s="15">
        <v>43.362831858407098</v>
      </c>
      <c r="AK6" s="15">
        <v>40.138408304498299</v>
      </c>
      <c r="AL6" s="15">
        <v>53.072625698324003</v>
      </c>
      <c r="AM6" s="15">
        <v>44.923076923076898</v>
      </c>
      <c r="AN6" s="24">
        <v>57.5949367088608</v>
      </c>
      <c r="AO6" s="38"/>
    </row>
    <row r="7" spans="1:41">
      <c r="A7" s="9" t="s">
        <v>211</v>
      </c>
      <c r="B7" s="36">
        <v>22.491410851983201</v>
      </c>
      <c r="C7" s="32">
        <v>22.5838320654596</v>
      </c>
      <c r="D7" s="32">
        <v>20.7599290854183</v>
      </c>
      <c r="E7" s="32">
        <v>28.444828352656799</v>
      </c>
      <c r="F7" s="15">
        <v>29.1666666666667</v>
      </c>
      <c r="G7" s="15">
        <v>25.373134328358201</v>
      </c>
      <c r="H7" s="15">
        <v>25.609756097561</v>
      </c>
      <c r="I7" s="15">
        <v>35</v>
      </c>
      <c r="J7" s="15">
        <v>29.629629629629601</v>
      </c>
      <c r="K7" s="15">
        <v>36</v>
      </c>
      <c r="L7" s="15">
        <v>23.4375</v>
      </c>
      <c r="M7" s="15">
        <v>26.470588235294102</v>
      </c>
      <c r="N7" s="15">
        <v>34.6938775510204</v>
      </c>
      <c r="O7" s="15">
        <v>40.476190476190503</v>
      </c>
      <c r="P7" s="15">
        <v>27.407407407407401</v>
      </c>
      <c r="Q7" s="15">
        <v>43.3333333333333</v>
      </c>
      <c r="R7" s="15">
        <v>23.076923076923102</v>
      </c>
      <c r="S7" s="15">
        <v>24</v>
      </c>
      <c r="T7" s="15">
        <v>48.484848484848499</v>
      </c>
      <c r="U7" s="15">
        <v>19.148936170212799</v>
      </c>
      <c r="V7" s="15">
        <v>35.185185185185198</v>
      </c>
      <c r="W7" s="15">
        <v>30.3571428571429</v>
      </c>
      <c r="X7" s="15">
        <v>17.307692307692299</v>
      </c>
      <c r="Y7" s="15">
        <v>26.829268292682901</v>
      </c>
      <c r="Z7" s="15">
        <v>32.6086956521739</v>
      </c>
      <c r="AA7" s="15">
        <v>31.5068493150685</v>
      </c>
      <c r="AB7" s="15">
        <v>33.3333333333333</v>
      </c>
      <c r="AC7" s="15">
        <v>18.518518518518501</v>
      </c>
      <c r="AD7" s="15">
        <v>30.526315789473699</v>
      </c>
      <c r="AE7" s="15">
        <v>36.065573770491802</v>
      </c>
      <c r="AF7" s="15">
        <v>24.324324324324301</v>
      </c>
      <c r="AG7" s="32">
        <v>14.793906473319201</v>
      </c>
      <c r="AH7" s="15">
        <v>12.0805369127517</v>
      </c>
      <c r="AI7" s="15">
        <v>17.109144542772899</v>
      </c>
      <c r="AJ7" s="15">
        <v>15.929203539823</v>
      </c>
      <c r="AK7" s="15">
        <v>20.761245674740501</v>
      </c>
      <c r="AL7" s="15">
        <v>24.581005586592202</v>
      </c>
      <c r="AM7" s="15">
        <v>12.615384615384601</v>
      </c>
      <c r="AN7" s="24">
        <v>21.5189873417721</v>
      </c>
      <c r="AO7" s="38"/>
    </row>
    <row r="8" spans="1:41">
      <c r="A8" s="9" t="s">
        <v>212</v>
      </c>
      <c r="B8" s="36">
        <v>2.1136856943529101</v>
      </c>
      <c r="C8" s="32">
        <v>1.6358085040268</v>
      </c>
      <c r="D8" s="32">
        <v>1.60660308042637</v>
      </c>
      <c r="E8" s="32">
        <v>2.1510619228834398</v>
      </c>
      <c r="F8" s="20" t="s">
        <v>76</v>
      </c>
      <c r="G8" s="20" t="s">
        <v>76</v>
      </c>
      <c r="H8" s="20" t="s">
        <v>76</v>
      </c>
      <c r="I8" s="20" t="s">
        <v>76</v>
      </c>
      <c r="J8" s="20" t="s">
        <v>76</v>
      </c>
      <c r="K8" s="20" t="s">
        <v>76</v>
      </c>
      <c r="L8" s="20" t="s">
        <v>76</v>
      </c>
      <c r="M8" s="20" t="s">
        <v>76</v>
      </c>
      <c r="N8" s="20" t="s">
        <v>76</v>
      </c>
      <c r="O8" s="20" t="s">
        <v>76</v>
      </c>
      <c r="P8" s="15">
        <v>3.7037037037037002</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2">
        <v>1.18392300974493</v>
      </c>
      <c r="AH8" s="20" t="s">
        <v>76</v>
      </c>
      <c r="AI8" s="15">
        <v>1.76991150442478</v>
      </c>
      <c r="AJ8" s="20" t="s">
        <v>76</v>
      </c>
      <c r="AK8" s="20" t="s">
        <v>76</v>
      </c>
      <c r="AL8" s="20" t="s">
        <v>76</v>
      </c>
      <c r="AM8" s="20" t="s">
        <v>76</v>
      </c>
      <c r="AN8" s="24">
        <v>5.6962025316455698</v>
      </c>
      <c r="AO8" s="38"/>
    </row>
    <row r="9" spans="1:41">
      <c r="A9" s="9" t="s">
        <v>213</v>
      </c>
      <c r="B9" s="36">
        <v>15.2798288185312</v>
      </c>
      <c r="C9" s="32">
        <v>14.647177031035801</v>
      </c>
      <c r="D9" s="32">
        <v>13.117498278594701</v>
      </c>
      <c r="E9" s="32">
        <v>16.155015335854799</v>
      </c>
      <c r="F9" s="15">
        <v>21.875</v>
      </c>
      <c r="G9" s="15">
        <v>17.910447761194</v>
      </c>
      <c r="H9" s="15">
        <v>9.7560975609756095</v>
      </c>
      <c r="I9" s="15">
        <v>17.5</v>
      </c>
      <c r="J9" s="15">
        <v>25.925925925925899</v>
      </c>
      <c r="K9" s="15">
        <v>20</v>
      </c>
      <c r="L9" s="15">
        <v>8.59375</v>
      </c>
      <c r="M9" s="15">
        <v>7.3529411764705896</v>
      </c>
      <c r="N9" s="20" t="s">
        <v>76</v>
      </c>
      <c r="O9" s="15">
        <v>28.571428571428601</v>
      </c>
      <c r="P9" s="15">
        <v>16.296296296296301</v>
      </c>
      <c r="Q9" s="15">
        <v>26.6666666666667</v>
      </c>
      <c r="R9" s="15">
        <v>15.384615384615399</v>
      </c>
      <c r="S9" s="15">
        <v>18</v>
      </c>
      <c r="T9" s="20" t="s">
        <v>76</v>
      </c>
      <c r="U9" s="15">
        <v>17.021276595744698</v>
      </c>
      <c r="V9" s="15">
        <v>16.6666666666667</v>
      </c>
      <c r="W9" s="15">
        <v>21.428571428571399</v>
      </c>
      <c r="X9" s="15">
        <v>9.6153846153846096</v>
      </c>
      <c r="Y9" s="15">
        <v>19.512195121951201</v>
      </c>
      <c r="Z9" s="15">
        <v>30.434782608695699</v>
      </c>
      <c r="AA9" s="15">
        <v>20.5479452054795</v>
      </c>
      <c r="AB9" s="15">
        <v>20.5128205128205</v>
      </c>
      <c r="AC9" s="15">
        <v>8.6419753086419693</v>
      </c>
      <c r="AD9" s="15">
        <v>8.4210526315789505</v>
      </c>
      <c r="AE9" s="15">
        <v>29.508196721311499</v>
      </c>
      <c r="AF9" s="15">
        <v>16.2162162162162</v>
      </c>
      <c r="AG9" s="32">
        <v>10.759380778537601</v>
      </c>
      <c r="AH9" s="15">
        <v>10.067114093959701</v>
      </c>
      <c r="AI9" s="15">
        <v>9.1445427728613602</v>
      </c>
      <c r="AJ9" s="15">
        <v>11.5044247787611</v>
      </c>
      <c r="AK9" s="15">
        <v>13.840830449826999</v>
      </c>
      <c r="AL9" s="15">
        <v>16.201117318435799</v>
      </c>
      <c r="AM9" s="15">
        <v>9.8461538461538503</v>
      </c>
      <c r="AN9" s="24">
        <v>17.4050632911392</v>
      </c>
      <c r="AO9" s="38"/>
    </row>
    <row r="10" spans="1:41">
      <c r="A10" s="9" t="s">
        <v>214</v>
      </c>
      <c r="B10" s="36">
        <v>18.488186301768401</v>
      </c>
      <c r="C10" s="32">
        <v>18.1548826663157</v>
      </c>
      <c r="D10" s="32">
        <v>19.004108053154599</v>
      </c>
      <c r="E10" s="32">
        <v>17.651756087147</v>
      </c>
      <c r="F10" s="15">
        <v>18.75</v>
      </c>
      <c r="G10" s="15">
        <v>7.4626865671641802</v>
      </c>
      <c r="H10" s="15">
        <v>17.0731707317073</v>
      </c>
      <c r="I10" s="15">
        <v>15</v>
      </c>
      <c r="J10" s="15">
        <v>9.8765432098765409</v>
      </c>
      <c r="K10" s="15">
        <v>10</v>
      </c>
      <c r="L10" s="15">
        <v>14.0625</v>
      </c>
      <c r="M10" s="15">
        <v>7.3529411764705896</v>
      </c>
      <c r="N10" s="15">
        <v>16.326530612244898</v>
      </c>
      <c r="O10" s="15">
        <v>42.857142857142897</v>
      </c>
      <c r="P10" s="15">
        <v>10.3703703703704</v>
      </c>
      <c r="Q10" s="15">
        <v>31.6666666666667</v>
      </c>
      <c r="R10" s="15">
        <v>12.0879120879121</v>
      </c>
      <c r="S10" s="15">
        <v>10</v>
      </c>
      <c r="T10" s="15">
        <v>60.606060606060602</v>
      </c>
      <c r="U10" s="15">
        <v>17.021276595744698</v>
      </c>
      <c r="V10" s="15">
        <v>25.925925925925899</v>
      </c>
      <c r="W10" s="15">
        <v>16.071428571428601</v>
      </c>
      <c r="X10" s="15">
        <v>26.923076923076898</v>
      </c>
      <c r="Y10" s="20" t="s">
        <v>76</v>
      </c>
      <c r="Z10" s="15">
        <v>19.565217391304301</v>
      </c>
      <c r="AA10" s="15">
        <v>8.2191780821917799</v>
      </c>
      <c r="AB10" s="15">
        <v>20.5128205128205</v>
      </c>
      <c r="AC10" s="15">
        <v>14.814814814814801</v>
      </c>
      <c r="AD10" s="15">
        <v>18.947368421052602</v>
      </c>
      <c r="AE10" s="15">
        <v>21.311475409836099</v>
      </c>
      <c r="AF10" s="20" t="s">
        <v>76</v>
      </c>
      <c r="AG10" s="32">
        <v>20.0539802932649</v>
      </c>
      <c r="AH10" s="15">
        <v>14.429530201342301</v>
      </c>
      <c r="AI10" s="15">
        <v>21.533923303834801</v>
      </c>
      <c r="AJ10" s="15">
        <v>20.353982300885001</v>
      </c>
      <c r="AK10" s="15">
        <v>18.3391003460208</v>
      </c>
      <c r="AL10" s="15">
        <v>30.167597765363102</v>
      </c>
      <c r="AM10" s="15">
        <v>27.076923076923102</v>
      </c>
      <c r="AN10" s="24">
        <v>18.354430379746798</v>
      </c>
      <c r="AO10" s="38"/>
    </row>
    <row r="11" spans="1:41">
      <c r="A11" s="9" t="s">
        <v>215</v>
      </c>
      <c r="B11" s="36">
        <v>20.745590360779499</v>
      </c>
      <c r="C11" s="32">
        <v>20.257252706663198</v>
      </c>
      <c r="D11" s="32">
        <v>17.351116740353401</v>
      </c>
      <c r="E11" s="32">
        <v>16.361106103388298</v>
      </c>
      <c r="F11" s="15">
        <v>11.4583333333333</v>
      </c>
      <c r="G11" s="15">
        <v>19.402985074626901</v>
      </c>
      <c r="H11" s="15">
        <v>6.0975609756097597</v>
      </c>
      <c r="I11" s="15">
        <v>15</v>
      </c>
      <c r="J11" s="15">
        <v>34.567901234567898</v>
      </c>
      <c r="K11" s="15">
        <v>24</v>
      </c>
      <c r="L11" s="15">
        <v>10.15625</v>
      </c>
      <c r="M11" s="15">
        <v>7.3529411764705896</v>
      </c>
      <c r="N11" s="20" t="s">
        <v>76</v>
      </c>
      <c r="O11" s="20" t="s">
        <v>76</v>
      </c>
      <c r="P11" s="15">
        <v>10.3703703703704</v>
      </c>
      <c r="Q11" s="15">
        <v>15</v>
      </c>
      <c r="R11" s="15">
        <v>27.472527472527499</v>
      </c>
      <c r="S11" s="15">
        <v>9</v>
      </c>
      <c r="T11" s="20" t="s">
        <v>76</v>
      </c>
      <c r="U11" s="15">
        <v>23.404255319148898</v>
      </c>
      <c r="V11" s="15">
        <v>29.629629629629601</v>
      </c>
      <c r="W11" s="15">
        <v>19.6428571428571</v>
      </c>
      <c r="X11" s="15">
        <v>12.5</v>
      </c>
      <c r="Y11" s="15">
        <v>12.1951219512195</v>
      </c>
      <c r="Z11" s="15">
        <v>41.304347826087003</v>
      </c>
      <c r="AA11" s="15">
        <v>50.684931506849303</v>
      </c>
      <c r="AB11" s="15">
        <v>23.076923076923102</v>
      </c>
      <c r="AC11" s="15">
        <v>6.1728395061728403</v>
      </c>
      <c r="AD11" s="15">
        <v>6.3157894736842097</v>
      </c>
      <c r="AE11" s="15">
        <v>8.1967213114754092</v>
      </c>
      <c r="AF11" s="15">
        <v>29.729729729729701</v>
      </c>
      <c r="AG11" s="32">
        <v>18.119692311868299</v>
      </c>
      <c r="AH11" s="15">
        <v>14.7651006711409</v>
      </c>
      <c r="AI11" s="15">
        <v>19.469026548672598</v>
      </c>
      <c r="AJ11" s="15">
        <v>15.634218289085499</v>
      </c>
      <c r="AK11" s="15">
        <v>18.685121107266401</v>
      </c>
      <c r="AL11" s="15">
        <v>13.966480446927401</v>
      </c>
      <c r="AM11" s="15">
        <v>22.153846153846199</v>
      </c>
      <c r="AN11" s="24">
        <v>31.0126582278481</v>
      </c>
      <c r="AO11" s="38"/>
    </row>
    <row r="12" spans="1:41">
      <c r="A12" s="9" t="s">
        <v>216</v>
      </c>
      <c r="B12" s="36">
        <v>8.1130620297486509</v>
      </c>
      <c r="C12" s="32">
        <v>6.5288449645193598</v>
      </c>
      <c r="D12" s="32">
        <v>5.4315906150316797</v>
      </c>
      <c r="E12" s="32">
        <v>5.2880027944059798</v>
      </c>
      <c r="F12" s="15">
        <v>6.25</v>
      </c>
      <c r="G12" s="15">
        <v>7.4626865671641802</v>
      </c>
      <c r="H12" s="20" t="s">
        <v>76</v>
      </c>
      <c r="I12" s="20" t="s">
        <v>76</v>
      </c>
      <c r="J12" s="20" t="s">
        <v>76</v>
      </c>
      <c r="K12" s="20" t="s">
        <v>76</v>
      </c>
      <c r="L12" s="20" t="s">
        <v>76</v>
      </c>
      <c r="M12" s="20" t="s">
        <v>76</v>
      </c>
      <c r="N12" s="20" t="s">
        <v>76</v>
      </c>
      <c r="O12" s="15">
        <v>14.285714285714301</v>
      </c>
      <c r="P12" s="20" t="s">
        <v>76</v>
      </c>
      <c r="Q12" s="15">
        <v>8.3333333333333304</v>
      </c>
      <c r="R12" s="15">
        <v>7.6923076923076898</v>
      </c>
      <c r="S12" s="15">
        <v>15</v>
      </c>
      <c r="T12" s="20" t="s">
        <v>76</v>
      </c>
      <c r="U12" s="20" t="s">
        <v>76</v>
      </c>
      <c r="V12" s="20" t="s">
        <v>76</v>
      </c>
      <c r="W12" s="20" t="s">
        <v>76</v>
      </c>
      <c r="X12" s="20" t="s">
        <v>76</v>
      </c>
      <c r="Y12" s="20" t="s">
        <v>76</v>
      </c>
      <c r="Z12" s="20" t="s">
        <v>76</v>
      </c>
      <c r="AA12" s="15">
        <v>13.698630136986299</v>
      </c>
      <c r="AB12" s="20" t="s">
        <v>76</v>
      </c>
      <c r="AC12" s="20" t="s">
        <v>76</v>
      </c>
      <c r="AD12" s="15">
        <v>6.3157894736842097</v>
      </c>
      <c r="AE12" s="20" t="s">
        <v>76</v>
      </c>
      <c r="AF12" s="20" t="s">
        <v>76</v>
      </c>
      <c r="AG12" s="32">
        <v>5.5430622368298899</v>
      </c>
      <c r="AH12" s="15">
        <v>4.6979865771812097</v>
      </c>
      <c r="AI12" s="15">
        <v>6.4896755162241897</v>
      </c>
      <c r="AJ12" s="15">
        <v>6.4896755162241897</v>
      </c>
      <c r="AK12" s="15">
        <v>7.9584775086505202</v>
      </c>
      <c r="AL12" s="15">
        <v>3.3519553072625698</v>
      </c>
      <c r="AM12" s="15">
        <v>5.5384615384615401</v>
      </c>
      <c r="AN12" s="24">
        <v>11.075949367088599</v>
      </c>
      <c r="AO12" s="38"/>
    </row>
    <row r="13" spans="1:41">
      <c r="A13" s="9" t="s">
        <v>217</v>
      </c>
      <c r="B13" s="36">
        <v>5.9726095368724703</v>
      </c>
      <c r="C13" s="32">
        <v>4.9850666864461104</v>
      </c>
      <c r="D13" s="32">
        <v>4.8664160650751001</v>
      </c>
      <c r="E13" s="32">
        <v>5.4766322450559697</v>
      </c>
      <c r="F13" s="20" t="s">
        <v>76</v>
      </c>
      <c r="G13" s="20" t="s">
        <v>76</v>
      </c>
      <c r="H13" s="20" t="s">
        <v>76</v>
      </c>
      <c r="I13" s="20" t="s">
        <v>76</v>
      </c>
      <c r="J13" s="15">
        <v>8.6419753086419693</v>
      </c>
      <c r="K13" s="20" t="s">
        <v>76</v>
      </c>
      <c r="L13" s="20" t="s">
        <v>76</v>
      </c>
      <c r="M13" s="20" t="s">
        <v>76</v>
      </c>
      <c r="N13" s="20" t="s">
        <v>76</v>
      </c>
      <c r="O13" s="20" t="s">
        <v>76</v>
      </c>
      <c r="P13" s="15">
        <v>8.8888888888888893</v>
      </c>
      <c r="Q13" s="20" t="s">
        <v>76</v>
      </c>
      <c r="R13" s="15">
        <v>10.989010989011</v>
      </c>
      <c r="S13" s="15">
        <v>8</v>
      </c>
      <c r="T13" s="20" t="s">
        <v>76</v>
      </c>
      <c r="U13" s="20" t="s">
        <v>76</v>
      </c>
      <c r="V13" s="20" t="s">
        <v>76</v>
      </c>
      <c r="W13" s="15">
        <v>8.9285714285714306</v>
      </c>
      <c r="X13" s="15">
        <v>17.307692307692299</v>
      </c>
      <c r="Y13" s="20" t="s">
        <v>76</v>
      </c>
      <c r="Z13" s="20" t="s">
        <v>76</v>
      </c>
      <c r="AA13" s="20" t="s">
        <v>76</v>
      </c>
      <c r="AB13" s="20" t="s">
        <v>76</v>
      </c>
      <c r="AC13" s="20" t="s">
        <v>76</v>
      </c>
      <c r="AD13" s="20" t="s">
        <v>76</v>
      </c>
      <c r="AE13" s="20" t="s">
        <v>76</v>
      </c>
      <c r="AF13" s="20" t="s">
        <v>76</v>
      </c>
      <c r="AG13" s="32">
        <v>4.39268655979002</v>
      </c>
      <c r="AH13" s="15">
        <v>5.0335570469798698</v>
      </c>
      <c r="AI13" s="15">
        <v>6.7846607669616503</v>
      </c>
      <c r="AJ13" s="15">
        <v>5.0147492625368697</v>
      </c>
      <c r="AK13" s="15">
        <v>3.4602076124567498</v>
      </c>
      <c r="AL13" s="15">
        <v>6.7039106145251397</v>
      </c>
      <c r="AM13" s="15">
        <v>4</v>
      </c>
      <c r="AN13" s="24">
        <v>7.2784810126582302</v>
      </c>
      <c r="AO13" s="38"/>
    </row>
    <row r="14" spans="1:41">
      <c r="A14" s="9" t="s">
        <v>218</v>
      </c>
      <c r="B14" s="36">
        <v>29.814034739107701</v>
      </c>
      <c r="C14" s="32">
        <v>30.044468339938</v>
      </c>
      <c r="D14" s="32">
        <v>26.432129204848199</v>
      </c>
      <c r="E14" s="32">
        <v>30.1128145675913</v>
      </c>
      <c r="F14" s="15">
        <v>30.2083333333333</v>
      </c>
      <c r="G14" s="15">
        <v>26.865671641791</v>
      </c>
      <c r="H14" s="15">
        <v>20.731707317073202</v>
      </c>
      <c r="I14" s="15">
        <v>37.5</v>
      </c>
      <c r="J14" s="15">
        <v>49.382716049382701</v>
      </c>
      <c r="K14" s="15">
        <v>34</v>
      </c>
      <c r="L14" s="15">
        <v>27.34375</v>
      </c>
      <c r="M14" s="15">
        <v>23.529411764705898</v>
      </c>
      <c r="N14" s="15">
        <v>32.653061224489797</v>
      </c>
      <c r="O14" s="15">
        <v>30.952380952380999</v>
      </c>
      <c r="P14" s="15">
        <v>16.296296296296301</v>
      </c>
      <c r="Q14" s="15">
        <v>36.6666666666667</v>
      </c>
      <c r="R14" s="15">
        <v>27.472527472527499</v>
      </c>
      <c r="S14" s="15">
        <v>22</v>
      </c>
      <c r="T14" s="15">
        <v>21.2121212121212</v>
      </c>
      <c r="U14" s="15">
        <v>23.404255319148898</v>
      </c>
      <c r="V14" s="15">
        <v>37.037037037037003</v>
      </c>
      <c r="W14" s="15">
        <v>46.428571428571402</v>
      </c>
      <c r="X14" s="15">
        <v>41.346153846153797</v>
      </c>
      <c r="Y14" s="15">
        <v>17.0731707317073</v>
      </c>
      <c r="Z14" s="15">
        <v>56.521739130434803</v>
      </c>
      <c r="AA14" s="15">
        <v>56.164383561643803</v>
      </c>
      <c r="AB14" s="15">
        <v>30.769230769230798</v>
      </c>
      <c r="AC14" s="15">
        <v>23.456790123456798</v>
      </c>
      <c r="AD14" s="15">
        <v>21.052631578947398</v>
      </c>
      <c r="AE14" s="15">
        <v>31.1475409836066</v>
      </c>
      <c r="AF14" s="15">
        <v>29.729729729729701</v>
      </c>
      <c r="AG14" s="32">
        <v>23.574700455487601</v>
      </c>
      <c r="AH14" s="15">
        <v>22.147651006711399</v>
      </c>
      <c r="AI14" s="15">
        <v>25.073746312684399</v>
      </c>
      <c r="AJ14" s="15">
        <v>23.598820058996999</v>
      </c>
      <c r="AK14" s="15">
        <v>25.259515570934301</v>
      </c>
      <c r="AL14" s="15">
        <v>27.932960893854698</v>
      </c>
      <c r="AM14" s="15">
        <v>20.307692307692299</v>
      </c>
      <c r="AN14" s="24">
        <v>37.341772151898702</v>
      </c>
      <c r="AO14" s="38"/>
    </row>
    <row r="15" spans="1:41">
      <c r="A15" s="9" t="s">
        <v>219</v>
      </c>
      <c r="B15" s="36">
        <v>30.695360370803499</v>
      </c>
      <c r="C15" s="32">
        <v>34.489291940069499</v>
      </c>
      <c r="D15" s="32">
        <v>33.5430316903159</v>
      </c>
      <c r="E15" s="32">
        <v>35.415547487407899</v>
      </c>
      <c r="F15" s="15">
        <v>26.0416666666667</v>
      </c>
      <c r="G15" s="15">
        <v>62.686567164179102</v>
      </c>
      <c r="H15" s="15">
        <v>15.853658536585399</v>
      </c>
      <c r="I15" s="15">
        <v>30</v>
      </c>
      <c r="J15" s="15">
        <v>67.901234567901199</v>
      </c>
      <c r="K15" s="15">
        <v>58</v>
      </c>
      <c r="L15" s="15">
        <v>19.53125</v>
      </c>
      <c r="M15" s="15">
        <v>39.705882352941202</v>
      </c>
      <c r="N15" s="15">
        <v>24.4897959183673</v>
      </c>
      <c r="O15" s="15">
        <v>57.142857142857103</v>
      </c>
      <c r="P15" s="15">
        <v>27.407407407407401</v>
      </c>
      <c r="Q15" s="15">
        <v>31.6666666666667</v>
      </c>
      <c r="R15" s="15">
        <v>25.274725274725299</v>
      </c>
      <c r="S15" s="15">
        <v>32</v>
      </c>
      <c r="T15" s="15">
        <v>54.545454545454497</v>
      </c>
      <c r="U15" s="15">
        <v>46.808510638297903</v>
      </c>
      <c r="V15" s="15">
        <v>38.8888888888889</v>
      </c>
      <c r="W15" s="15">
        <v>60.714285714285701</v>
      </c>
      <c r="X15" s="15">
        <v>50.961538461538503</v>
      </c>
      <c r="Y15" s="15">
        <v>48.780487804878</v>
      </c>
      <c r="Z15" s="15">
        <v>45.652173913043498</v>
      </c>
      <c r="AA15" s="15">
        <v>60.273972602739697</v>
      </c>
      <c r="AB15" s="15">
        <v>32.051282051282101</v>
      </c>
      <c r="AC15" s="15">
        <v>11.1111111111111</v>
      </c>
      <c r="AD15" s="15">
        <v>29.473684210526301</v>
      </c>
      <c r="AE15" s="15">
        <v>27.868852459016399</v>
      </c>
      <c r="AF15" s="15">
        <v>40.540540540540498</v>
      </c>
      <c r="AG15" s="32">
        <v>32.089340340763897</v>
      </c>
      <c r="AH15" s="15">
        <v>24.161073825503401</v>
      </c>
      <c r="AI15" s="15">
        <v>39.233038348082601</v>
      </c>
      <c r="AJ15" s="15">
        <v>30.088495575221199</v>
      </c>
      <c r="AK15" s="15">
        <v>27.335640138408301</v>
      </c>
      <c r="AL15" s="15">
        <v>36.312849162011197</v>
      </c>
      <c r="AM15" s="15">
        <v>28.307692307692299</v>
      </c>
      <c r="AN15" s="24">
        <v>44.936708860759502</v>
      </c>
      <c r="AO15" s="38"/>
    </row>
    <row r="16" spans="1:41">
      <c r="A16" s="9" t="s">
        <v>220</v>
      </c>
      <c r="B16" s="36">
        <v>2.2770707556957102</v>
      </c>
      <c r="C16" s="32">
        <v>2.8456044704146701</v>
      </c>
      <c r="D16" s="32">
        <v>1.87668118270899</v>
      </c>
      <c r="E16" s="32">
        <v>2.7372548465218598</v>
      </c>
      <c r="F16" s="20" t="s">
        <v>76</v>
      </c>
      <c r="G16" s="20" t="s">
        <v>76</v>
      </c>
      <c r="H16" s="20" t="s">
        <v>76</v>
      </c>
      <c r="I16" s="15">
        <v>12.5</v>
      </c>
      <c r="J16" s="20" t="s">
        <v>76</v>
      </c>
      <c r="K16" s="20" t="s">
        <v>76</v>
      </c>
      <c r="L16" s="20" t="s">
        <v>76</v>
      </c>
      <c r="M16" s="20" t="s">
        <v>76</v>
      </c>
      <c r="N16" s="20" t="s">
        <v>76</v>
      </c>
      <c r="O16" s="15">
        <v>11.9047619047619</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15">
        <v>13.1147540983607</v>
      </c>
      <c r="AF16" s="20" t="s">
        <v>76</v>
      </c>
      <c r="AG16" s="32">
        <v>1.2085914968009099</v>
      </c>
      <c r="AH16" s="20" t="s">
        <v>76</v>
      </c>
      <c r="AI16" s="15">
        <v>2.0648967551622399</v>
      </c>
      <c r="AJ16" s="15">
        <v>2.0648967551622399</v>
      </c>
      <c r="AK16" s="20" t="s">
        <v>76</v>
      </c>
      <c r="AL16" s="15">
        <v>2.7932960893854699</v>
      </c>
      <c r="AM16" s="20" t="s">
        <v>76</v>
      </c>
      <c r="AN16" s="26" t="s">
        <v>76</v>
      </c>
      <c r="AO16" s="38"/>
    </row>
    <row r="17" spans="1:41">
      <c r="A17" s="9" t="s">
        <v>221</v>
      </c>
      <c r="B17" s="36">
        <v>58.634008539294001</v>
      </c>
      <c r="C17" s="32">
        <v>61.846946436538701</v>
      </c>
      <c r="D17" s="32">
        <v>58.869995184725802</v>
      </c>
      <c r="E17" s="32">
        <v>58.1747066363952</v>
      </c>
      <c r="F17" s="15">
        <v>60.4166666666667</v>
      </c>
      <c r="G17" s="15">
        <v>58.208955223880601</v>
      </c>
      <c r="H17" s="15">
        <v>67.073170731707293</v>
      </c>
      <c r="I17" s="15">
        <v>67.5</v>
      </c>
      <c r="J17" s="15">
        <v>64.197530864197503</v>
      </c>
      <c r="K17" s="15">
        <v>68</v>
      </c>
      <c r="L17" s="15">
        <v>50</v>
      </c>
      <c r="M17" s="15">
        <v>51.470588235294102</v>
      </c>
      <c r="N17" s="15">
        <v>65.306122448979593</v>
      </c>
      <c r="O17" s="15">
        <v>69.047619047619094</v>
      </c>
      <c r="P17" s="15">
        <v>45.925925925925903</v>
      </c>
      <c r="Q17" s="15">
        <v>73.3333333333333</v>
      </c>
      <c r="R17" s="15">
        <v>43.956043956043999</v>
      </c>
      <c r="S17" s="15">
        <v>46</v>
      </c>
      <c r="T17" s="15">
        <v>66.6666666666667</v>
      </c>
      <c r="U17" s="15">
        <v>63.829787234042598</v>
      </c>
      <c r="V17" s="15">
        <v>74.074074074074105</v>
      </c>
      <c r="W17" s="15">
        <v>75</v>
      </c>
      <c r="X17" s="15">
        <v>54.807692307692299</v>
      </c>
      <c r="Y17" s="15">
        <v>53.658536585365901</v>
      </c>
      <c r="Z17" s="15">
        <v>67.391304347826093</v>
      </c>
      <c r="AA17" s="15">
        <v>76.712328767123296</v>
      </c>
      <c r="AB17" s="15">
        <v>64.102564102564102</v>
      </c>
      <c r="AC17" s="15">
        <v>45.679012345678998</v>
      </c>
      <c r="AD17" s="15">
        <v>55.789473684210499</v>
      </c>
      <c r="AE17" s="15">
        <v>62.2950819672131</v>
      </c>
      <c r="AF17" s="15">
        <v>78.3783783783784</v>
      </c>
      <c r="AG17" s="32">
        <v>59.409768974469401</v>
      </c>
      <c r="AH17" s="15">
        <v>46.644295302013397</v>
      </c>
      <c r="AI17" s="15">
        <v>58.997050147492601</v>
      </c>
      <c r="AJ17" s="15">
        <v>56.637168141592902</v>
      </c>
      <c r="AK17" s="15">
        <v>61.245674740484397</v>
      </c>
      <c r="AL17" s="15">
        <v>73.184357541899402</v>
      </c>
      <c r="AM17" s="15">
        <v>63.384615384615401</v>
      </c>
      <c r="AN17" s="24">
        <v>68.670886075949397</v>
      </c>
      <c r="AO17" s="38"/>
    </row>
    <row r="18" spans="1:41">
      <c r="A18" s="9" t="s">
        <v>222</v>
      </c>
      <c r="B18" s="36">
        <v>38.110463785732698</v>
      </c>
      <c r="C18" s="32">
        <v>36.338113442537001</v>
      </c>
      <c r="D18" s="32">
        <v>34.116218917835802</v>
      </c>
      <c r="E18" s="32">
        <v>40.674251308922898</v>
      </c>
      <c r="F18" s="15">
        <v>50</v>
      </c>
      <c r="G18" s="15">
        <v>37.313432835820898</v>
      </c>
      <c r="H18" s="15">
        <v>20.731707317073202</v>
      </c>
      <c r="I18" s="15">
        <v>52.5</v>
      </c>
      <c r="J18" s="15">
        <v>49.382716049382701</v>
      </c>
      <c r="K18" s="15">
        <v>42</v>
      </c>
      <c r="L18" s="15">
        <v>39.0625</v>
      </c>
      <c r="M18" s="15">
        <v>38.235294117647101</v>
      </c>
      <c r="N18" s="15">
        <v>30.612244897959201</v>
      </c>
      <c r="O18" s="15">
        <v>42.857142857142897</v>
      </c>
      <c r="P18" s="15">
        <v>37.7777777777778</v>
      </c>
      <c r="Q18" s="15">
        <v>36.6666666666667</v>
      </c>
      <c r="R18" s="15">
        <v>49.450549450549403</v>
      </c>
      <c r="S18" s="15">
        <v>54</v>
      </c>
      <c r="T18" s="15">
        <v>57.575757575757599</v>
      </c>
      <c r="U18" s="15">
        <v>53.191489361702097</v>
      </c>
      <c r="V18" s="15">
        <v>33.3333333333333</v>
      </c>
      <c r="W18" s="15">
        <v>50</v>
      </c>
      <c r="X18" s="15">
        <v>40.384615384615401</v>
      </c>
      <c r="Y18" s="15">
        <v>39.024390243902403</v>
      </c>
      <c r="Z18" s="15">
        <v>69.565217391304301</v>
      </c>
      <c r="AA18" s="15">
        <v>42.4657534246575</v>
      </c>
      <c r="AB18" s="15">
        <v>44.871794871794897</v>
      </c>
      <c r="AC18" s="15">
        <v>33.3333333333333</v>
      </c>
      <c r="AD18" s="15">
        <v>24.210526315789501</v>
      </c>
      <c r="AE18" s="15">
        <v>39.344262295081997</v>
      </c>
      <c r="AF18" s="15">
        <v>43.243243243243199</v>
      </c>
      <c r="AG18" s="32">
        <v>29.0250175662581</v>
      </c>
      <c r="AH18" s="15">
        <v>24.496644295302001</v>
      </c>
      <c r="AI18" s="15">
        <v>25.663716814159301</v>
      </c>
      <c r="AJ18" s="15">
        <v>29.793510324483801</v>
      </c>
      <c r="AK18" s="15">
        <v>27.335640138408301</v>
      </c>
      <c r="AL18" s="15">
        <v>39.106145251396597</v>
      </c>
      <c r="AM18" s="15">
        <v>24.615384615384599</v>
      </c>
      <c r="AN18" s="24">
        <v>37.974683544303801</v>
      </c>
      <c r="AO18" s="38"/>
    </row>
    <row r="19" spans="1:41">
      <c r="A19" s="9" t="s">
        <v>223</v>
      </c>
      <c r="B19" s="36">
        <v>39.874566855450901</v>
      </c>
      <c r="C19" s="32">
        <v>39.818951070321802</v>
      </c>
      <c r="D19" s="32">
        <v>39.058397226908802</v>
      </c>
      <c r="E19" s="32">
        <v>47.856157090607802</v>
      </c>
      <c r="F19" s="15">
        <v>64.5833333333333</v>
      </c>
      <c r="G19" s="15">
        <v>52.238805970149301</v>
      </c>
      <c r="H19" s="15">
        <v>28.048780487804901</v>
      </c>
      <c r="I19" s="15">
        <v>52.5</v>
      </c>
      <c r="J19" s="15">
        <v>56.790123456790099</v>
      </c>
      <c r="K19" s="15">
        <v>36</v>
      </c>
      <c r="L19" s="15">
        <v>45.3125</v>
      </c>
      <c r="M19" s="15">
        <v>41.176470588235297</v>
      </c>
      <c r="N19" s="15">
        <v>44.8979591836735</v>
      </c>
      <c r="O19" s="15">
        <v>76.190476190476204</v>
      </c>
      <c r="P19" s="15">
        <v>41.481481481481502</v>
      </c>
      <c r="Q19" s="15">
        <v>40</v>
      </c>
      <c r="R19" s="15">
        <v>45.054945054945101</v>
      </c>
      <c r="S19" s="15">
        <v>43</v>
      </c>
      <c r="T19" s="15">
        <v>81.818181818181799</v>
      </c>
      <c r="U19" s="15">
        <v>55.319148936170201</v>
      </c>
      <c r="V19" s="15">
        <v>44.4444444444444</v>
      </c>
      <c r="W19" s="15">
        <v>46.428571428571402</v>
      </c>
      <c r="X19" s="15">
        <v>32.692307692307701</v>
      </c>
      <c r="Y19" s="15">
        <v>60.975609756097597</v>
      </c>
      <c r="Z19" s="15">
        <v>63.043478260869598</v>
      </c>
      <c r="AA19" s="15">
        <v>63.013698630137</v>
      </c>
      <c r="AB19" s="15">
        <v>65.384615384615401</v>
      </c>
      <c r="AC19" s="15">
        <v>35.802469135802497</v>
      </c>
      <c r="AD19" s="15">
        <v>41.052631578947398</v>
      </c>
      <c r="AE19" s="15">
        <v>60.655737704918003</v>
      </c>
      <c r="AF19" s="15">
        <v>45.945945945945901</v>
      </c>
      <c r="AG19" s="32">
        <v>32.228426858083502</v>
      </c>
      <c r="AH19" s="15">
        <v>26.174496644295299</v>
      </c>
      <c r="AI19" s="15">
        <v>28.613569321533902</v>
      </c>
      <c r="AJ19" s="15">
        <v>37.758112094395301</v>
      </c>
      <c r="AK19" s="15">
        <v>26.989619377162601</v>
      </c>
      <c r="AL19" s="15">
        <v>49.162011173184403</v>
      </c>
      <c r="AM19" s="15">
        <v>33.846153846153797</v>
      </c>
      <c r="AN19" s="24">
        <v>40.506329113923996</v>
      </c>
      <c r="AO19" s="38"/>
    </row>
    <row r="20" spans="1:41">
      <c r="A20" s="9" t="s">
        <v>224</v>
      </c>
      <c r="B20" s="36">
        <v>3.8033916003541299</v>
      </c>
      <c r="C20" s="32">
        <v>3.28869045326981</v>
      </c>
      <c r="D20" s="32">
        <v>2.7206083269299302</v>
      </c>
      <c r="E20" s="32">
        <v>3.4824348769092501</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15">
        <v>11</v>
      </c>
      <c r="T20" s="20" t="s">
        <v>76</v>
      </c>
      <c r="U20" s="20" t="s">
        <v>76</v>
      </c>
      <c r="V20" s="15">
        <v>12.962962962962999</v>
      </c>
      <c r="W20" s="15">
        <v>14.285714285714301</v>
      </c>
      <c r="X20" s="20" t="s">
        <v>76</v>
      </c>
      <c r="Y20" s="20" t="s">
        <v>76</v>
      </c>
      <c r="Z20" s="20" t="s">
        <v>76</v>
      </c>
      <c r="AA20" s="20" t="s">
        <v>76</v>
      </c>
      <c r="AB20" s="15">
        <v>6.4102564102564097</v>
      </c>
      <c r="AC20" s="20" t="s">
        <v>76</v>
      </c>
      <c r="AD20" s="20" t="s">
        <v>76</v>
      </c>
      <c r="AE20" s="20" t="s">
        <v>76</v>
      </c>
      <c r="AF20" s="20" t="s">
        <v>76</v>
      </c>
      <c r="AG20" s="32">
        <v>2.1291790491188198</v>
      </c>
      <c r="AH20" s="20" t="s">
        <v>76</v>
      </c>
      <c r="AI20" s="15">
        <v>4.71976401179941</v>
      </c>
      <c r="AJ20" s="15">
        <v>3.24483775811209</v>
      </c>
      <c r="AK20" s="15">
        <v>3.4602076124567498</v>
      </c>
      <c r="AL20" s="20" t="s">
        <v>76</v>
      </c>
      <c r="AM20" s="20" t="s">
        <v>76</v>
      </c>
      <c r="AN20" s="24">
        <v>1.89873417721519</v>
      </c>
      <c r="AO20" s="38"/>
    </row>
    <row r="21" spans="1:41">
      <c r="A21" s="9" t="s">
        <v>225</v>
      </c>
      <c r="B21" s="36">
        <v>12.1003665596907</v>
      </c>
      <c r="C21" s="32">
        <v>11.8449351642236</v>
      </c>
      <c r="D21" s="32">
        <v>8.8564700244399805</v>
      </c>
      <c r="E21" s="32">
        <v>8.9368820165344793</v>
      </c>
      <c r="F21" s="20" t="s">
        <v>76</v>
      </c>
      <c r="G21" s="15">
        <v>10.4477611940298</v>
      </c>
      <c r="H21" s="20" t="s">
        <v>76</v>
      </c>
      <c r="I21" s="20" t="s">
        <v>76</v>
      </c>
      <c r="J21" s="20" t="s">
        <v>76</v>
      </c>
      <c r="K21" s="15">
        <v>18</v>
      </c>
      <c r="L21" s="15">
        <v>3.90625</v>
      </c>
      <c r="M21" s="15">
        <v>10.294117647058799</v>
      </c>
      <c r="N21" s="20" t="s">
        <v>76</v>
      </c>
      <c r="O21" s="15">
        <v>33.3333333333333</v>
      </c>
      <c r="P21" s="15">
        <v>6.6666666666666696</v>
      </c>
      <c r="Q21" s="15">
        <v>25</v>
      </c>
      <c r="R21" s="15">
        <v>6.5934065934065904</v>
      </c>
      <c r="S21" s="20" t="s">
        <v>76</v>
      </c>
      <c r="T21" s="20" t="s">
        <v>76</v>
      </c>
      <c r="U21" s="20" t="s">
        <v>76</v>
      </c>
      <c r="V21" s="20" t="s">
        <v>76</v>
      </c>
      <c r="W21" s="20" t="s">
        <v>76</v>
      </c>
      <c r="X21" s="20" t="s">
        <v>76</v>
      </c>
      <c r="Y21" s="15">
        <v>17.0731707317073</v>
      </c>
      <c r="Z21" s="15">
        <v>13.0434782608696</v>
      </c>
      <c r="AA21" s="15">
        <v>12.328767123287699</v>
      </c>
      <c r="AB21" s="15">
        <v>35.897435897435898</v>
      </c>
      <c r="AC21" s="15">
        <v>6.1728395061728403</v>
      </c>
      <c r="AD21" s="15">
        <v>8.4210526315789505</v>
      </c>
      <c r="AE21" s="15">
        <v>11.4754098360656</v>
      </c>
      <c r="AF21" s="15">
        <v>32.4324324324324</v>
      </c>
      <c r="AG21" s="32">
        <v>8.7940437327688805</v>
      </c>
      <c r="AH21" s="15">
        <v>2.6845637583892601</v>
      </c>
      <c r="AI21" s="15">
        <v>2.9498525073746298</v>
      </c>
      <c r="AJ21" s="15">
        <v>2.3598820058997001</v>
      </c>
      <c r="AK21" s="15">
        <v>9.6885813148788902</v>
      </c>
      <c r="AL21" s="15">
        <v>4.4692737430167604</v>
      </c>
      <c r="AM21" s="15">
        <v>16.923076923076898</v>
      </c>
      <c r="AN21" s="24">
        <v>25.632911392405099</v>
      </c>
      <c r="AO21" s="38"/>
    </row>
    <row r="22" spans="1:41">
      <c r="A22" s="9" t="s">
        <v>226</v>
      </c>
      <c r="B22" s="36">
        <v>15.225174874297901</v>
      </c>
      <c r="C22" s="32">
        <v>16.387817779793401</v>
      </c>
      <c r="D22" s="32">
        <v>14.8461917348762</v>
      </c>
      <c r="E22" s="32">
        <v>14.965456036066</v>
      </c>
      <c r="F22" s="15">
        <v>11.4583333333333</v>
      </c>
      <c r="G22" s="15">
        <v>13.4328358208955</v>
      </c>
      <c r="H22" s="15">
        <v>12.1951219512195</v>
      </c>
      <c r="I22" s="15">
        <v>17.5</v>
      </c>
      <c r="J22" s="15">
        <v>11.1111111111111</v>
      </c>
      <c r="K22" s="15">
        <v>16</v>
      </c>
      <c r="L22" s="15">
        <v>11.71875</v>
      </c>
      <c r="M22" s="15">
        <v>13.235294117647101</v>
      </c>
      <c r="N22" s="15">
        <v>10.2040816326531</v>
      </c>
      <c r="O22" s="20" t="s">
        <v>76</v>
      </c>
      <c r="P22" s="15">
        <v>8.1481481481481506</v>
      </c>
      <c r="Q22" s="15">
        <v>23.3333333333333</v>
      </c>
      <c r="R22" s="15">
        <v>15.384615384615399</v>
      </c>
      <c r="S22" s="15">
        <v>14</v>
      </c>
      <c r="T22" s="15">
        <v>18.181818181818201</v>
      </c>
      <c r="U22" s="15">
        <v>12.7659574468085</v>
      </c>
      <c r="V22" s="15">
        <v>22.2222222222222</v>
      </c>
      <c r="W22" s="15">
        <v>16.071428571428601</v>
      </c>
      <c r="X22" s="15">
        <v>23.076923076923102</v>
      </c>
      <c r="Y22" s="15">
        <v>19.512195121951201</v>
      </c>
      <c r="Z22" s="15">
        <v>23.913043478260899</v>
      </c>
      <c r="AA22" s="15">
        <v>13.698630136986299</v>
      </c>
      <c r="AB22" s="15">
        <v>14.1025641025641</v>
      </c>
      <c r="AC22" s="15">
        <v>12.3456790123457</v>
      </c>
      <c r="AD22" s="15">
        <v>14.7368421052632</v>
      </c>
      <c r="AE22" s="15">
        <v>14.7540983606557</v>
      </c>
      <c r="AF22" s="15">
        <v>13.5135135135135</v>
      </c>
      <c r="AG22" s="32">
        <v>14.753603206000101</v>
      </c>
      <c r="AH22" s="15">
        <v>11.0738255033557</v>
      </c>
      <c r="AI22" s="15">
        <v>16.2241887905605</v>
      </c>
      <c r="AJ22" s="15">
        <v>13.864306784660799</v>
      </c>
      <c r="AK22" s="15">
        <v>15.2249134948097</v>
      </c>
      <c r="AL22" s="15">
        <v>16.201117318435799</v>
      </c>
      <c r="AM22" s="15">
        <v>18.769230769230798</v>
      </c>
      <c r="AN22" s="24">
        <v>19.3037974683544</v>
      </c>
      <c r="AO22" s="38"/>
    </row>
    <row r="23" spans="1:41">
      <c r="A23" s="9" t="s">
        <v>227</v>
      </c>
      <c r="B23" s="36">
        <v>24.639004850458001</v>
      </c>
      <c r="C23" s="32">
        <v>25.060820451014401</v>
      </c>
      <c r="D23" s="32">
        <v>23.656541178610102</v>
      </c>
      <c r="E23" s="32">
        <v>20.5935820620019</v>
      </c>
      <c r="F23" s="15">
        <v>14.5833333333333</v>
      </c>
      <c r="G23" s="15">
        <v>11.9402985074627</v>
      </c>
      <c r="H23" s="15">
        <v>8.5365853658536608</v>
      </c>
      <c r="I23" s="15">
        <v>30</v>
      </c>
      <c r="J23" s="15">
        <v>30.8641975308642</v>
      </c>
      <c r="K23" s="15">
        <v>22</v>
      </c>
      <c r="L23" s="15">
        <v>17.96875</v>
      </c>
      <c r="M23" s="15">
        <v>10.294117647058799</v>
      </c>
      <c r="N23" s="20" t="s">
        <v>76</v>
      </c>
      <c r="O23" s="15">
        <v>28.571428571428601</v>
      </c>
      <c r="P23" s="15">
        <v>13.3333333333333</v>
      </c>
      <c r="Q23" s="15">
        <v>20</v>
      </c>
      <c r="R23" s="15">
        <v>18.6813186813187</v>
      </c>
      <c r="S23" s="15">
        <v>21</v>
      </c>
      <c r="T23" s="15">
        <v>21.2121212121212</v>
      </c>
      <c r="U23" s="15">
        <v>38.297872340425499</v>
      </c>
      <c r="V23" s="15">
        <v>20.370370370370399</v>
      </c>
      <c r="W23" s="15">
        <v>19.6428571428571</v>
      </c>
      <c r="X23" s="15">
        <v>63.461538461538503</v>
      </c>
      <c r="Y23" s="15">
        <v>19.512195121951201</v>
      </c>
      <c r="Z23" s="15">
        <v>26.086956521739101</v>
      </c>
      <c r="AA23" s="15">
        <v>35.616438356164402</v>
      </c>
      <c r="AB23" s="15">
        <v>25.6410256410256</v>
      </c>
      <c r="AC23" s="15">
        <v>6.1728395061728403</v>
      </c>
      <c r="AD23" s="15">
        <v>11.578947368421099</v>
      </c>
      <c r="AE23" s="15">
        <v>16.393442622950801</v>
      </c>
      <c r="AF23" s="15">
        <v>16.2162162162162</v>
      </c>
      <c r="AG23" s="32">
        <v>26.034410128372699</v>
      </c>
      <c r="AH23" s="15">
        <v>17.114093959731498</v>
      </c>
      <c r="AI23" s="15">
        <v>25.073746312684399</v>
      </c>
      <c r="AJ23" s="15">
        <v>19.76401179941</v>
      </c>
      <c r="AK23" s="15">
        <v>22.837370242214501</v>
      </c>
      <c r="AL23" s="15">
        <v>30.726256983240201</v>
      </c>
      <c r="AM23" s="15">
        <v>24.307692307692299</v>
      </c>
      <c r="AN23" s="24">
        <v>32.911392405063303</v>
      </c>
      <c r="AO23" s="38"/>
    </row>
    <row r="24" spans="1:41">
      <c r="A24" s="9" t="s">
        <v>228</v>
      </c>
      <c r="B24" s="36">
        <v>64.290106979300305</v>
      </c>
      <c r="C24" s="32">
        <v>64.147493138509304</v>
      </c>
      <c r="D24" s="32">
        <v>63.057201087387099</v>
      </c>
      <c r="E24" s="32">
        <v>65.442737780189404</v>
      </c>
      <c r="F24" s="15">
        <v>64.5833333333333</v>
      </c>
      <c r="G24" s="15">
        <v>62.686567164179102</v>
      </c>
      <c r="H24" s="15">
        <v>48.780487804878</v>
      </c>
      <c r="I24" s="15">
        <v>60</v>
      </c>
      <c r="J24" s="15">
        <v>82.716049382716093</v>
      </c>
      <c r="K24" s="15">
        <v>58</v>
      </c>
      <c r="L24" s="15">
        <v>57.8125</v>
      </c>
      <c r="M24" s="15">
        <v>57.352941176470601</v>
      </c>
      <c r="N24" s="15">
        <v>63.265306122448997</v>
      </c>
      <c r="O24" s="15">
        <v>80.952380952380906</v>
      </c>
      <c r="P24" s="15">
        <v>54.074074074074097</v>
      </c>
      <c r="Q24" s="15">
        <v>63.3333333333333</v>
      </c>
      <c r="R24" s="15">
        <v>76.923076923076906</v>
      </c>
      <c r="S24" s="15">
        <v>62</v>
      </c>
      <c r="T24" s="15">
        <v>84.848484848484802</v>
      </c>
      <c r="U24" s="15">
        <v>80.851063829787194</v>
      </c>
      <c r="V24" s="15">
        <v>85.185185185185205</v>
      </c>
      <c r="W24" s="15">
        <v>69.642857142857096</v>
      </c>
      <c r="X24" s="15">
        <v>77.884615384615401</v>
      </c>
      <c r="Y24" s="15">
        <v>56.097560975609802</v>
      </c>
      <c r="Z24" s="15">
        <v>76.086956521739097</v>
      </c>
      <c r="AA24" s="15">
        <v>73.972602739726</v>
      </c>
      <c r="AB24" s="15">
        <v>69.230769230769198</v>
      </c>
      <c r="AC24" s="15">
        <v>55.5555555555556</v>
      </c>
      <c r="AD24" s="15">
        <v>61.052631578947398</v>
      </c>
      <c r="AE24" s="15">
        <v>63.934426229508198</v>
      </c>
      <c r="AF24" s="15">
        <v>70.270270270270302</v>
      </c>
      <c r="AG24" s="32">
        <v>61.205235907840297</v>
      </c>
      <c r="AH24" s="15">
        <v>44.295302013422798</v>
      </c>
      <c r="AI24" s="15">
        <v>66.076696165191706</v>
      </c>
      <c r="AJ24" s="15">
        <v>55.457227138643098</v>
      </c>
      <c r="AK24" s="15">
        <v>57.093425605536297</v>
      </c>
      <c r="AL24" s="15">
        <v>76.536312849162002</v>
      </c>
      <c r="AM24" s="15">
        <v>64.615384615384599</v>
      </c>
      <c r="AN24" s="24">
        <v>67.721518987341796</v>
      </c>
      <c r="AO24" s="38"/>
    </row>
    <row r="25" spans="1:41">
      <c r="A25" s="9" t="s">
        <v>229</v>
      </c>
      <c r="B25" s="36">
        <v>2.2834625439291401</v>
      </c>
      <c r="C25" s="32">
        <v>2.0007170920420299</v>
      </c>
      <c r="D25" s="32">
        <v>1.6186636990383101</v>
      </c>
      <c r="E25" s="32">
        <v>2.4784494233093302</v>
      </c>
      <c r="F25" s="20" t="s">
        <v>76</v>
      </c>
      <c r="G25" s="20" t="s">
        <v>76</v>
      </c>
      <c r="H25" s="20" t="s">
        <v>76</v>
      </c>
      <c r="I25" s="20" t="s">
        <v>76</v>
      </c>
      <c r="J25" s="20" t="s">
        <v>76</v>
      </c>
      <c r="K25" s="20" t="s">
        <v>76</v>
      </c>
      <c r="L25" s="20" t="s">
        <v>76</v>
      </c>
      <c r="M25" s="20" t="s">
        <v>76</v>
      </c>
      <c r="N25" s="20" t="s">
        <v>76</v>
      </c>
      <c r="O25" s="20" t="s">
        <v>76</v>
      </c>
      <c r="P25" s="15">
        <v>5.92592592592593</v>
      </c>
      <c r="Q25" s="20" t="s">
        <v>76</v>
      </c>
      <c r="R25" s="20" t="s">
        <v>76</v>
      </c>
      <c r="S25" s="20" t="s">
        <v>76</v>
      </c>
      <c r="T25" s="20" t="s">
        <v>76</v>
      </c>
      <c r="U25" s="20" t="s">
        <v>76</v>
      </c>
      <c r="V25" s="20" t="s">
        <v>76</v>
      </c>
      <c r="W25" s="20" t="s">
        <v>76</v>
      </c>
      <c r="X25" s="15">
        <v>4.8076923076923102</v>
      </c>
      <c r="Y25" s="20" t="s">
        <v>76</v>
      </c>
      <c r="Z25" s="20" t="s">
        <v>76</v>
      </c>
      <c r="AA25" s="20" t="s">
        <v>76</v>
      </c>
      <c r="AB25" s="15">
        <v>6.4102564102564097</v>
      </c>
      <c r="AC25" s="20" t="s">
        <v>76</v>
      </c>
      <c r="AD25" s="20" t="s">
        <v>76</v>
      </c>
      <c r="AE25" s="20" t="s">
        <v>76</v>
      </c>
      <c r="AF25" s="20" t="s">
        <v>76</v>
      </c>
      <c r="AG25" s="34" t="s">
        <v>76</v>
      </c>
      <c r="AH25" s="20" t="s">
        <v>76</v>
      </c>
      <c r="AI25" s="20" t="s">
        <v>76</v>
      </c>
      <c r="AJ25" s="15">
        <v>1.76991150442478</v>
      </c>
      <c r="AK25" s="15">
        <v>1.73010380622837</v>
      </c>
      <c r="AL25" s="20" t="s">
        <v>76</v>
      </c>
      <c r="AM25" s="20" t="s">
        <v>76</v>
      </c>
      <c r="AN25" s="26" t="s">
        <v>76</v>
      </c>
      <c r="AO25" s="38"/>
    </row>
    <row r="26" spans="1:41">
      <c r="A26" s="9" t="s">
        <v>230</v>
      </c>
      <c r="B26" s="36">
        <v>30.478778849706501</v>
      </c>
      <c r="C26" s="32">
        <v>31.0577847516738</v>
      </c>
      <c r="D26" s="32">
        <v>30.840403177141798</v>
      </c>
      <c r="E26" s="32">
        <v>32.018914443434397</v>
      </c>
      <c r="F26" s="15">
        <v>42.7083333333333</v>
      </c>
      <c r="G26" s="15">
        <v>28.358208955223901</v>
      </c>
      <c r="H26" s="15">
        <v>10.975609756097599</v>
      </c>
      <c r="I26" s="15">
        <v>45</v>
      </c>
      <c r="J26" s="15">
        <v>41.975308641975303</v>
      </c>
      <c r="K26" s="15">
        <v>34</v>
      </c>
      <c r="L26" s="15">
        <v>25</v>
      </c>
      <c r="M26" s="15">
        <v>35.294117647058798</v>
      </c>
      <c r="N26" s="15">
        <v>26.530612244897998</v>
      </c>
      <c r="O26" s="15">
        <v>33.3333333333333</v>
      </c>
      <c r="P26" s="15">
        <v>30.370370370370399</v>
      </c>
      <c r="Q26" s="15">
        <v>36.6666666666667</v>
      </c>
      <c r="R26" s="15">
        <v>30.769230769230798</v>
      </c>
      <c r="S26" s="15">
        <v>25</v>
      </c>
      <c r="T26" s="15">
        <v>24.2424242424242</v>
      </c>
      <c r="U26" s="15">
        <v>51.063829787233999</v>
      </c>
      <c r="V26" s="15">
        <v>29.629629629629601</v>
      </c>
      <c r="W26" s="15">
        <v>44.642857142857103</v>
      </c>
      <c r="X26" s="15">
        <v>21.153846153846199</v>
      </c>
      <c r="Y26" s="15">
        <v>46.341463414634099</v>
      </c>
      <c r="Z26" s="15">
        <v>32.6086956521739</v>
      </c>
      <c r="AA26" s="15">
        <v>38.356164383561598</v>
      </c>
      <c r="AB26" s="15">
        <v>33.3333333333333</v>
      </c>
      <c r="AC26" s="15">
        <v>29.629629629629601</v>
      </c>
      <c r="AD26" s="15">
        <v>30.526315789473699</v>
      </c>
      <c r="AE26" s="15">
        <v>47.540983606557397</v>
      </c>
      <c r="AF26" s="15">
        <v>32.4324324324324</v>
      </c>
      <c r="AG26" s="32">
        <v>29.925488795207201</v>
      </c>
      <c r="AH26" s="15">
        <v>28.187919463087201</v>
      </c>
      <c r="AI26" s="15">
        <v>27.433628318584098</v>
      </c>
      <c r="AJ26" s="15">
        <v>31.563421828908599</v>
      </c>
      <c r="AK26" s="15">
        <v>26.989619377162601</v>
      </c>
      <c r="AL26" s="15">
        <v>42.458100558659197</v>
      </c>
      <c r="AM26" s="15">
        <v>28.615384615384599</v>
      </c>
      <c r="AN26" s="24">
        <v>35.759493670886101</v>
      </c>
      <c r="AO26" s="38"/>
    </row>
    <row r="27" spans="1:41">
      <c r="A27" s="9" t="s">
        <v>231</v>
      </c>
      <c r="B27" s="36">
        <v>19.413708247396499</v>
      </c>
      <c r="C27" s="32">
        <v>18.118465021806202</v>
      </c>
      <c r="D27" s="32">
        <v>17.8047616747847</v>
      </c>
      <c r="E27" s="32">
        <v>23.583827361142198</v>
      </c>
      <c r="F27" s="15">
        <v>21.875</v>
      </c>
      <c r="G27" s="15">
        <v>19.402985074626901</v>
      </c>
      <c r="H27" s="15">
        <v>18.292682926829301</v>
      </c>
      <c r="I27" s="15">
        <v>20</v>
      </c>
      <c r="J27" s="15">
        <v>23.456790123456798</v>
      </c>
      <c r="K27" s="15">
        <v>42</v>
      </c>
      <c r="L27" s="15">
        <v>13.28125</v>
      </c>
      <c r="M27" s="15">
        <v>14.705882352941201</v>
      </c>
      <c r="N27" s="15">
        <v>22.4489795918367</v>
      </c>
      <c r="O27" s="15">
        <v>16.6666666666667</v>
      </c>
      <c r="P27" s="15">
        <v>27.407407407407401</v>
      </c>
      <c r="Q27" s="15">
        <v>18.3333333333333</v>
      </c>
      <c r="R27" s="15">
        <v>27.472527472527499</v>
      </c>
      <c r="S27" s="15">
        <v>21</v>
      </c>
      <c r="T27" s="15">
        <v>21.2121212121212</v>
      </c>
      <c r="U27" s="15">
        <v>21.2765957446809</v>
      </c>
      <c r="V27" s="15">
        <v>27.7777777777778</v>
      </c>
      <c r="W27" s="15">
        <v>32.142857142857103</v>
      </c>
      <c r="X27" s="15">
        <v>50.961538461538503</v>
      </c>
      <c r="Y27" s="15">
        <v>12.1951219512195</v>
      </c>
      <c r="Z27" s="15">
        <v>19.565217391304301</v>
      </c>
      <c r="AA27" s="15">
        <v>23.287671232876701</v>
      </c>
      <c r="AB27" s="15">
        <v>43.589743589743598</v>
      </c>
      <c r="AC27" s="15">
        <v>19.7530864197531</v>
      </c>
      <c r="AD27" s="15">
        <v>20</v>
      </c>
      <c r="AE27" s="15">
        <v>27.868852459016399</v>
      </c>
      <c r="AF27" s="15">
        <v>21.6216216216216</v>
      </c>
      <c r="AG27" s="32">
        <v>13.318296027980701</v>
      </c>
      <c r="AH27" s="15">
        <v>8.3892617449664399</v>
      </c>
      <c r="AI27" s="15">
        <v>12.094395280236</v>
      </c>
      <c r="AJ27" s="15">
        <v>11.7994100294985</v>
      </c>
      <c r="AK27" s="15">
        <v>16.955017301038101</v>
      </c>
      <c r="AL27" s="15">
        <v>22.905027932960898</v>
      </c>
      <c r="AM27" s="15">
        <v>13.846153846153801</v>
      </c>
      <c r="AN27" s="24">
        <v>12.974683544303801</v>
      </c>
      <c r="AO27" s="38"/>
    </row>
    <row r="28" spans="1:41">
      <c r="A28" s="9" t="s">
        <v>232</v>
      </c>
      <c r="B28" s="36">
        <v>16.6712787974203</v>
      </c>
      <c r="C28" s="32">
        <v>16.428954964728199</v>
      </c>
      <c r="D28" s="32">
        <v>15.1667024703954</v>
      </c>
      <c r="E28" s="32">
        <v>17.941448546779299</v>
      </c>
      <c r="F28" s="15">
        <v>23.9583333333333</v>
      </c>
      <c r="G28" s="15">
        <v>19.402985074626901</v>
      </c>
      <c r="H28" s="15">
        <v>6.0975609756097597</v>
      </c>
      <c r="I28" s="15">
        <v>22.5</v>
      </c>
      <c r="J28" s="15">
        <v>19.7530864197531</v>
      </c>
      <c r="K28" s="15">
        <v>36</v>
      </c>
      <c r="L28" s="15">
        <v>13.28125</v>
      </c>
      <c r="M28" s="15">
        <v>11.764705882352899</v>
      </c>
      <c r="N28" s="15">
        <v>30.612244897959201</v>
      </c>
      <c r="O28" s="15">
        <v>21.428571428571399</v>
      </c>
      <c r="P28" s="15">
        <v>13.3333333333333</v>
      </c>
      <c r="Q28" s="15">
        <v>25</v>
      </c>
      <c r="R28" s="15">
        <v>26.373626373626401</v>
      </c>
      <c r="S28" s="15">
        <v>8</v>
      </c>
      <c r="T28" s="15">
        <v>21.2121212121212</v>
      </c>
      <c r="U28" s="15">
        <v>27.659574468085101</v>
      </c>
      <c r="V28" s="15">
        <v>20.370370370370399</v>
      </c>
      <c r="W28" s="15">
        <v>21.428571428571399</v>
      </c>
      <c r="X28" s="15">
        <v>16.346153846153801</v>
      </c>
      <c r="Y28" s="15">
        <v>21.951219512195099</v>
      </c>
      <c r="Z28" s="15">
        <v>17.3913043478261</v>
      </c>
      <c r="AA28" s="15">
        <v>23.287671232876701</v>
      </c>
      <c r="AB28" s="15">
        <v>24.3589743589744</v>
      </c>
      <c r="AC28" s="15">
        <v>18.518518518518501</v>
      </c>
      <c r="AD28" s="15">
        <v>7.3684210526315796</v>
      </c>
      <c r="AE28" s="15">
        <v>22.9508196721311</v>
      </c>
      <c r="AF28" s="15">
        <v>18.918918918918902</v>
      </c>
      <c r="AG28" s="32">
        <v>13.0125821288169</v>
      </c>
      <c r="AH28" s="15">
        <v>10.402684563758401</v>
      </c>
      <c r="AI28" s="15">
        <v>13.569321533923301</v>
      </c>
      <c r="AJ28" s="15">
        <v>11.7994100294985</v>
      </c>
      <c r="AK28" s="15">
        <v>15.5709342560554</v>
      </c>
      <c r="AL28" s="15">
        <v>21.787709497206698</v>
      </c>
      <c r="AM28" s="15">
        <v>12.615384615384601</v>
      </c>
      <c r="AN28" s="24">
        <v>15.822784810126601</v>
      </c>
      <c r="AO28" s="38"/>
    </row>
    <row r="29" spans="1:41">
      <c r="A29" s="9" t="s">
        <v>233</v>
      </c>
      <c r="B29" s="36">
        <v>2.7685570728450699</v>
      </c>
      <c r="C29" s="32">
        <v>2.2941349550922601</v>
      </c>
      <c r="D29" s="32">
        <v>1.8907434251108299</v>
      </c>
      <c r="E29" s="32">
        <v>2.5693940928906498</v>
      </c>
      <c r="F29" s="20" t="s">
        <v>76</v>
      </c>
      <c r="G29" s="20" t="s">
        <v>76</v>
      </c>
      <c r="H29" s="20" t="s">
        <v>76</v>
      </c>
      <c r="I29" s="20" t="s">
        <v>76</v>
      </c>
      <c r="J29" s="20" t="s">
        <v>76</v>
      </c>
      <c r="K29" s="20" t="s">
        <v>76</v>
      </c>
      <c r="L29" s="20" t="s">
        <v>76</v>
      </c>
      <c r="M29" s="20" t="s">
        <v>76</v>
      </c>
      <c r="N29" s="20" t="s">
        <v>76</v>
      </c>
      <c r="O29" s="20" t="s">
        <v>76</v>
      </c>
      <c r="P29" s="15">
        <v>3.7037037037037002</v>
      </c>
      <c r="Q29" s="20" t="s">
        <v>76</v>
      </c>
      <c r="R29" s="15">
        <v>5.4945054945054901</v>
      </c>
      <c r="S29" s="20" t="s">
        <v>76</v>
      </c>
      <c r="T29" s="20" t="s">
        <v>76</v>
      </c>
      <c r="U29" s="20" t="s">
        <v>76</v>
      </c>
      <c r="V29" s="20" t="s">
        <v>76</v>
      </c>
      <c r="W29" s="20" t="s">
        <v>76</v>
      </c>
      <c r="X29" s="20" t="s">
        <v>76</v>
      </c>
      <c r="Y29" s="20" t="s">
        <v>76</v>
      </c>
      <c r="Z29" s="20" t="s">
        <v>76</v>
      </c>
      <c r="AA29" s="20" t="s">
        <v>76</v>
      </c>
      <c r="AB29" s="15">
        <v>7.6923076923076898</v>
      </c>
      <c r="AC29" s="20" t="s">
        <v>76</v>
      </c>
      <c r="AD29" s="20" t="s">
        <v>76</v>
      </c>
      <c r="AE29" s="20" t="s">
        <v>76</v>
      </c>
      <c r="AF29" s="20" t="s">
        <v>76</v>
      </c>
      <c r="AG29" s="32">
        <v>1.3638861314894</v>
      </c>
      <c r="AH29" s="20" t="s">
        <v>76</v>
      </c>
      <c r="AI29" s="15">
        <v>2.65486725663717</v>
      </c>
      <c r="AJ29" s="15">
        <v>1.76991150442478</v>
      </c>
      <c r="AK29" s="20" t="s">
        <v>76</v>
      </c>
      <c r="AL29" s="20" t="s">
        <v>76</v>
      </c>
      <c r="AM29" s="15">
        <v>1.84615384615385</v>
      </c>
      <c r="AN29" s="24">
        <v>1.58227848101266</v>
      </c>
      <c r="AO29" s="38"/>
    </row>
    <row r="30" spans="1:41">
      <c r="A30" s="9" t="s">
        <v>234</v>
      </c>
      <c r="B30" s="36">
        <v>6.2012673054194103</v>
      </c>
      <c r="C30" s="32">
        <v>6.9990662736900902</v>
      </c>
      <c r="D30" s="32">
        <v>6.6041370952314997</v>
      </c>
      <c r="E30" s="32">
        <v>6.3071861748382796</v>
      </c>
      <c r="F30" s="15">
        <v>8.3333333333333304</v>
      </c>
      <c r="G30" s="15">
        <v>11.9402985074627</v>
      </c>
      <c r="H30" s="20" t="s">
        <v>76</v>
      </c>
      <c r="I30" s="15">
        <v>17.5</v>
      </c>
      <c r="J30" s="15">
        <v>14.814814814814801</v>
      </c>
      <c r="K30" s="20" t="s">
        <v>76</v>
      </c>
      <c r="L30" s="15">
        <v>3.90625</v>
      </c>
      <c r="M30" s="20" t="s">
        <v>76</v>
      </c>
      <c r="N30" s="20" t="s">
        <v>76</v>
      </c>
      <c r="O30" s="20" t="s">
        <v>76</v>
      </c>
      <c r="P30" s="15">
        <v>8.8888888888888893</v>
      </c>
      <c r="Q30" s="15">
        <v>8.3333333333333304</v>
      </c>
      <c r="R30" s="15">
        <v>12.0879120879121</v>
      </c>
      <c r="S30" s="20" t="s">
        <v>76</v>
      </c>
      <c r="T30" s="20" t="s">
        <v>76</v>
      </c>
      <c r="U30" s="20" t="s">
        <v>76</v>
      </c>
      <c r="V30" s="20" t="s">
        <v>76</v>
      </c>
      <c r="W30" s="20" t="s">
        <v>76</v>
      </c>
      <c r="X30" s="20" t="s">
        <v>76</v>
      </c>
      <c r="Y30" s="20" t="s">
        <v>76</v>
      </c>
      <c r="Z30" s="20" t="s">
        <v>76</v>
      </c>
      <c r="AA30" s="20" t="s">
        <v>76</v>
      </c>
      <c r="AB30" s="15">
        <v>8.9743589743589691</v>
      </c>
      <c r="AC30" s="20" t="s">
        <v>76</v>
      </c>
      <c r="AD30" s="20" t="s">
        <v>76</v>
      </c>
      <c r="AE30" s="20" t="s">
        <v>76</v>
      </c>
      <c r="AF30" s="20" t="s">
        <v>76</v>
      </c>
      <c r="AG30" s="32">
        <v>6.8346691873439198</v>
      </c>
      <c r="AH30" s="15">
        <v>8.0536912751677896</v>
      </c>
      <c r="AI30" s="15">
        <v>11.5044247787611</v>
      </c>
      <c r="AJ30" s="15">
        <v>6.7846607669616503</v>
      </c>
      <c r="AK30" s="15">
        <v>4.8442906574394504</v>
      </c>
      <c r="AL30" s="15">
        <v>9.4972067039106101</v>
      </c>
      <c r="AM30" s="15">
        <v>7.0769230769230802</v>
      </c>
      <c r="AN30" s="24">
        <v>4.1139240506329102</v>
      </c>
      <c r="AO30" s="38"/>
    </row>
    <row r="31" spans="1:41">
      <c r="A31" s="9" t="s">
        <v>235</v>
      </c>
      <c r="B31" s="36">
        <v>13.063229381163101</v>
      </c>
      <c r="C31" s="32">
        <v>12.293477646570199</v>
      </c>
      <c r="D31" s="32">
        <v>14.0025743909732</v>
      </c>
      <c r="E31" s="32">
        <v>17.480838567219902</v>
      </c>
      <c r="F31" s="15">
        <v>17.7083333333333</v>
      </c>
      <c r="G31" s="15">
        <v>8.9552238805970106</v>
      </c>
      <c r="H31" s="15">
        <v>13.4146341463415</v>
      </c>
      <c r="I31" s="20" t="s">
        <v>76</v>
      </c>
      <c r="J31" s="15">
        <v>20.987654320987701</v>
      </c>
      <c r="K31" s="15">
        <v>24</v>
      </c>
      <c r="L31" s="15">
        <v>11.71875</v>
      </c>
      <c r="M31" s="15">
        <v>11.764705882352899</v>
      </c>
      <c r="N31" s="15">
        <v>36.734693877551003</v>
      </c>
      <c r="O31" s="15">
        <v>14.285714285714301</v>
      </c>
      <c r="P31" s="15">
        <v>9.6296296296296298</v>
      </c>
      <c r="Q31" s="15">
        <v>21.6666666666667</v>
      </c>
      <c r="R31" s="15">
        <v>27.472527472527499</v>
      </c>
      <c r="S31" s="15">
        <v>15</v>
      </c>
      <c r="T31" s="15">
        <v>21.2121212121212</v>
      </c>
      <c r="U31" s="15">
        <v>25.531914893617</v>
      </c>
      <c r="V31" s="15">
        <v>29.629629629629601</v>
      </c>
      <c r="W31" s="15">
        <v>12.5</v>
      </c>
      <c r="X31" s="15">
        <v>24.038461538461501</v>
      </c>
      <c r="Y31" s="15">
        <v>17.0731707317073</v>
      </c>
      <c r="Z31" s="15">
        <v>17.3913043478261</v>
      </c>
      <c r="AA31" s="15">
        <v>12.328767123287699</v>
      </c>
      <c r="AB31" s="15">
        <v>15.384615384615399</v>
      </c>
      <c r="AC31" s="15">
        <v>17.283950617283899</v>
      </c>
      <c r="AD31" s="15">
        <v>14.7368421052632</v>
      </c>
      <c r="AE31" s="15">
        <v>36.065573770491802</v>
      </c>
      <c r="AF31" s="15">
        <v>13.5135135135135</v>
      </c>
      <c r="AG31" s="32">
        <v>11.3022914068088</v>
      </c>
      <c r="AH31" s="15">
        <v>10.067114093959701</v>
      </c>
      <c r="AI31" s="15">
        <v>12.6843657817109</v>
      </c>
      <c r="AJ31" s="15">
        <v>13.569321533923301</v>
      </c>
      <c r="AK31" s="15">
        <v>10.0346020761246</v>
      </c>
      <c r="AL31" s="15">
        <v>22.346368715083798</v>
      </c>
      <c r="AM31" s="15">
        <v>9.2307692307692299</v>
      </c>
      <c r="AN31" s="24">
        <v>6.64556962025316</v>
      </c>
      <c r="AO31" s="38"/>
    </row>
    <row r="32" spans="1:41">
      <c r="A32" s="9" t="s">
        <v>236</v>
      </c>
      <c r="B32" s="36">
        <v>1.5640941952337599</v>
      </c>
      <c r="C32" s="32">
        <v>1.3933752058950399</v>
      </c>
      <c r="D32" s="32">
        <v>0.79536415551625195</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c r="A33" s="9" t="s">
        <v>237</v>
      </c>
      <c r="B33" s="36">
        <v>10.204029429267701</v>
      </c>
      <c r="C33" s="32">
        <v>10.0535297460863</v>
      </c>
      <c r="D33" s="32">
        <v>8.7875420365064905</v>
      </c>
      <c r="E33" s="32">
        <v>10.612844803379</v>
      </c>
      <c r="F33" s="15">
        <v>5.2083333333333304</v>
      </c>
      <c r="G33" s="15">
        <v>8.9552238805970106</v>
      </c>
      <c r="H33" s="20" t="s">
        <v>76</v>
      </c>
      <c r="I33" s="20" t="s">
        <v>76</v>
      </c>
      <c r="J33" s="15">
        <v>13.580246913580201</v>
      </c>
      <c r="K33" s="15">
        <v>32</v>
      </c>
      <c r="L33" s="15">
        <v>14.0625</v>
      </c>
      <c r="M33" s="15">
        <v>7.3529411764705896</v>
      </c>
      <c r="N33" s="20" t="s">
        <v>76</v>
      </c>
      <c r="O33" s="15">
        <v>14.285714285714301</v>
      </c>
      <c r="P33" s="15">
        <v>5.1851851851851896</v>
      </c>
      <c r="Q33" s="15">
        <v>13.3333333333333</v>
      </c>
      <c r="R33" s="15">
        <v>7.6923076923076898</v>
      </c>
      <c r="S33" s="20" t="s">
        <v>76</v>
      </c>
      <c r="T33" s="20" t="s">
        <v>76</v>
      </c>
      <c r="U33" s="15">
        <v>10.6382978723404</v>
      </c>
      <c r="V33" s="15">
        <v>29.629629629629601</v>
      </c>
      <c r="W33" s="15">
        <v>12.5</v>
      </c>
      <c r="X33" s="15">
        <v>16.346153846153801</v>
      </c>
      <c r="Y33" s="20" t="s">
        <v>76</v>
      </c>
      <c r="Z33" s="15">
        <v>13.0434782608696</v>
      </c>
      <c r="AA33" s="15">
        <v>35.616438356164402</v>
      </c>
      <c r="AB33" s="15">
        <v>16.6666666666667</v>
      </c>
      <c r="AC33" s="20" t="s">
        <v>76</v>
      </c>
      <c r="AD33" s="15">
        <v>7.3684210526315796</v>
      </c>
      <c r="AE33" s="15">
        <v>9.8360655737704903</v>
      </c>
      <c r="AF33" s="20" t="s">
        <v>76</v>
      </c>
      <c r="AG33" s="32">
        <v>7.3705036079726298</v>
      </c>
      <c r="AH33" s="15">
        <v>7.0469798657718101</v>
      </c>
      <c r="AI33" s="15">
        <v>6.7846607669616503</v>
      </c>
      <c r="AJ33" s="15">
        <v>8.8495575221238898</v>
      </c>
      <c r="AK33" s="15">
        <v>5.5363321799307998</v>
      </c>
      <c r="AL33" s="15">
        <v>7.8212290502793298</v>
      </c>
      <c r="AM33" s="15">
        <v>6.7692307692307701</v>
      </c>
      <c r="AN33" s="24">
        <v>7.9113924050632898</v>
      </c>
      <c r="AO33" s="38"/>
    </row>
    <row r="34" spans="1:41">
      <c r="A34" s="9" t="s">
        <v>238</v>
      </c>
      <c r="B34" s="36">
        <v>19.108161025738799</v>
      </c>
      <c r="C34" s="32">
        <v>21.599468302654401</v>
      </c>
      <c r="D34" s="32">
        <v>18.232770167437899</v>
      </c>
      <c r="E34" s="32">
        <v>15.5818515599675</v>
      </c>
      <c r="F34" s="15">
        <v>18.75</v>
      </c>
      <c r="G34" s="15">
        <v>14.9253731343284</v>
      </c>
      <c r="H34" s="15">
        <v>12.1951219512195</v>
      </c>
      <c r="I34" s="20" t="s">
        <v>76</v>
      </c>
      <c r="J34" s="15">
        <v>20.987654320987701</v>
      </c>
      <c r="K34" s="15">
        <v>14</v>
      </c>
      <c r="L34" s="15">
        <v>12.5</v>
      </c>
      <c r="M34" s="15">
        <v>11.764705882352899</v>
      </c>
      <c r="N34" s="15">
        <v>32.653061224489797</v>
      </c>
      <c r="O34" s="15">
        <v>21.428571428571399</v>
      </c>
      <c r="P34" s="15">
        <v>11.1111111111111</v>
      </c>
      <c r="Q34" s="15">
        <v>20</v>
      </c>
      <c r="R34" s="15">
        <v>15.384615384615399</v>
      </c>
      <c r="S34" s="15">
        <v>10</v>
      </c>
      <c r="T34" s="15">
        <v>27.272727272727298</v>
      </c>
      <c r="U34" s="15">
        <v>17.021276595744698</v>
      </c>
      <c r="V34" s="15">
        <v>9.2592592592592595</v>
      </c>
      <c r="W34" s="15">
        <v>28.571428571428601</v>
      </c>
      <c r="X34" s="15">
        <v>11.538461538461499</v>
      </c>
      <c r="Y34" s="20" t="s">
        <v>76</v>
      </c>
      <c r="Z34" s="15">
        <v>26.086956521739101</v>
      </c>
      <c r="AA34" s="15">
        <v>15.068493150684899</v>
      </c>
      <c r="AB34" s="15">
        <v>12.8205128205128</v>
      </c>
      <c r="AC34" s="15">
        <v>16.049382716049401</v>
      </c>
      <c r="AD34" s="15">
        <v>15.789473684210501</v>
      </c>
      <c r="AE34" s="15">
        <v>16.393442622950801</v>
      </c>
      <c r="AF34" s="20" t="s">
        <v>76</v>
      </c>
      <c r="AG34" s="32">
        <v>20.290759453312599</v>
      </c>
      <c r="AH34" s="15">
        <v>24.832214765100701</v>
      </c>
      <c r="AI34" s="15">
        <v>21.533923303834801</v>
      </c>
      <c r="AJ34" s="15">
        <v>20.353982300885001</v>
      </c>
      <c r="AK34" s="15">
        <v>15.916955017300999</v>
      </c>
      <c r="AL34" s="15">
        <v>28.491620111731802</v>
      </c>
      <c r="AM34" s="15">
        <v>20.923076923076898</v>
      </c>
      <c r="AN34" s="24">
        <v>25.3164556962025</v>
      </c>
      <c r="AO34" s="38"/>
    </row>
    <row r="35" spans="1:41">
      <c r="A35" s="9" t="s">
        <v>239</v>
      </c>
      <c r="B35" s="36">
        <v>24.166626986424799</v>
      </c>
      <c r="C35" s="32">
        <v>24.3803638047238</v>
      </c>
      <c r="D35" s="32">
        <v>27.1040881363087</v>
      </c>
      <c r="E35" s="32">
        <v>23.327678096909001</v>
      </c>
      <c r="F35" s="15">
        <v>17.7083333333333</v>
      </c>
      <c r="G35" s="15">
        <v>20.8955223880597</v>
      </c>
      <c r="H35" s="15">
        <v>28.048780487804901</v>
      </c>
      <c r="I35" s="15">
        <v>25</v>
      </c>
      <c r="J35" s="15">
        <v>29.629629629629601</v>
      </c>
      <c r="K35" s="15">
        <v>24</v>
      </c>
      <c r="L35" s="15">
        <v>20.3125</v>
      </c>
      <c r="M35" s="15">
        <v>22.0588235294118</v>
      </c>
      <c r="N35" s="15">
        <v>30.612244897959201</v>
      </c>
      <c r="O35" s="15">
        <v>30.952380952380999</v>
      </c>
      <c r="P35" s="15">
        <v>20</v>
      </c>
      <c r="Q35" s="15">
        <v>41.6666666666667</v>
      </c>
      <c r="R35" s="15">
        <v>15.384615384615399</v>
      </c>
      <c r="S35" s="15">
        <v>16</v>
      </c>
      <c r="T35" s="15">
        <v>24.2424242424242</v>
      </c>
      <c r="U35" s="15">
        <v>19.148936170212799</v>
      </c>
      <c r="V35" s="15">
        <v>31.481481481481499</v>
      </c>
      <c r="W35" s="15">
        <v>33.928571428571402</v>
      </c>
      <c r="X35" s="15">
        <v>17.307692307692299</v>
      </c>
      <c r="Y35" s="15">
        <v>17.0731707317073</v>
      </c>
      <c r="Z35" s="15">
        <v>34.7826086956522</v>
      </c>
      <c r="AA35" s="15">
        <v>30.136986301369902</v>
      </c>
      <c r="AB35" s="15">
        <v>29.4871794871795</v>
      </c>
      <c r="AC35" s="15">
        <v>17.283950617283899</v>
      </c>
      <c r="AD35" s="15">
        <v>24.210526315789501</v>
      </c>
      <c r="AE35" s="15">
        <v>24.590163934426201</v>
      </c>
      <c r="AF35" s="20" t="s">
        <v>76</v>
      </c>
      <c r="AG35" s="32">
        <v>30.035830883239001</v>
      </c>
      <c r="AH35" s="15">
        <v>21.140939597315398</v>
      </c>
      <c r="AI35" s="15">
        <v>30.6784660766962</v>
      </c>
      <c r="AJ35" s="15">
        <v>23.008849557522101</v>
      </c>
      <c r="AK35" s="15">
        <v>27.335640138408301</v>
      </c>
      <c r="AL35" s="15">
        <v>38.547486033519597</v>
      </c>
      <c r="AM35" s="15">
        <v>34.769230769230802</v>
      </c>
      <c r="AN35" s="24">
        <v>42.088607594936697</v>
      </c>
      <c r="AO35" s="38"/>
    </row>
    <row r="36" spans="1:41">
      <c r="A36" s="9" t="s">
        <v>240</v>
      </c>
      <c r="B36" s="36">
        <v>27.145113418200999</v>
      </c>
      <c r="C36" s="32">
        <v>29.272112624152101</v>
      </c>
      <c r="D36" s="32">
        <v>30.945789109653699</v>
      </c>
      <c r="E36" s="32">
        <v>30.6356337986584</v>
      </c>
      <c r="F36" s="15">
        <v>35.4166666666667</v>
      </c>
      <c r="G36" s="15">
        <v>49.253731343283597</v>
      </c>
      <c r="H36" s="15">
        <v>12.1951219512195</v>
      </c>
      <c r="I36" s="15">
        <v>47.5</v>
      </c>
      <c r="J36" s="15">
        <v>28.395061728395099</v>
      </c>
      <c r="K36" s="15">
        <v>32</v>
      </c>
      <c r="L36" s="15">
        <v>14.0625</v>
      </c>
      <c r="M36" s="15">
        <v>42.647058823529399</v>
      </c>
      <c r="N36" s="15">
        <v>40.816326530612201</v>
      </c>
      <c r="O36" s="15">
        <v>35.714285714285701</v>
      </c>
      <c r="P36" s="15">
        <v>15.5555555555556</v>
      </c>
      <c r="Q36" s="15">
        <v>50</v>
      </c>
      <c r="R36" s="15">
        <v>36.263736263736298</v>
      </c>
      <c r="S36" s="15">
        <v>10</v>
      </c>
      <c r="T36" s="15">
        <v>54.545454545454497</v>
      </c>
      <c r="U36" s="15">
        <v>19.148936170212799</v>
      </c>
      <c r="V36" s="15">
        <v>18.518518518518501</v>
      </c>
      <c r="W36" s="15">
        <v>41.071428571428598</v>
      </c>
      <c r="X36" s="15">
        <v>63.461538461538503</v>
      </c>
      <c r="Y36" s="15">
        <v>46.341463414634099</v>
      </c>
      <c r="Z36" s="15">
        <v>34.7826086956522</v>
      </c>
      <c r="AA36" s="15">
        <v>43.835616438356197</v>
      </c>
      <c r="AB36" s="15">
        <v>28.205128205128201</v>
      </c>
      <c r="AC36" s="15">
        <v>20.987654320987701</v>
      </c>
      <c r="AD36" s="15">
        <v>30.526315789473699</v>
      </c>
      <c r="AE36" s="15">
        <v>32.786885245901601</v>
      </c>
      <c r="AF36" s="15">
        <v>59.459459459459502</v>
      </c>
      <c r="AG36" s="32">
        <v>31.186572174507798</v>
      </c>
      <c r="AH36" s="15">
        <v>27.1812080536913</v>
      </c>
      <c r="AI36" s="15">
        <v>23.598820058996999</v>
      </c>
      <c r="AJ36" s="15">
        <v>25.958702064896801</v>
      </c>
      <c r="AK36" s="15">
        <v>27.681660899653998</v>
      </c>
      <c r="AL36" s="15">
        <v>38.547486033519597</v>
      </c>
      <c r="AM36" s="15">
        <v>34.153846153846203</v>
      </c>
      <c r="AN36" s="24">
        <v>42.088607594936697</v>
      </c>
      <c r="AO36" s="38"/>
    </row>
    <row r="37" spans="1:41">
      <c r="A37" s="9" t="s">
        <v>241</v>
      </c>
      <c r="B37" s="36">
        <v>19.825448733027901</v>
      </c>
      <c r="C37" s="32">
        <v>23.696768664742098</v>
      </c>
      <c r="D37" s="32">
        <v>20.2651521447733</v>
      </c>
      <c r="E37" s="32">
        <v>16.5561992180738</v>
      </c>
      <c r="F37" s="15">
        <v>18.75</v>
      </c>
      <c r="G37" s="15">
        <v>23.880597014925399</v>
      </c>
      <c r="H37" s="15">
        <v>14.634146341463399</v>
      </c>
      <c r="I37" s="20" t="s">
        <v>76</v>
      </c>
      <c r="J37" s="15">
        <v>32.098765432098801</v>
      </c>
      <c r="K37" s="15">
        <v>22</v>
      </c>
      <c r="L37" s="15">
        <v>10.15625</v>
      </c>
      <c r="M37" s="15">
        <v>13.235294117647101</v>
      </c>
      <c r="N37" s="15">
        <v>16.326530612244898</v>
      </c>
      <c r="O37" s="15">
        <v>11.9047619047619</v>
      </c>
      <c r="P37" s="15">
        <v>11.851851851851899</v>
      </c>
      <c r="Q37" s="15">
        <v>16.6666666666667</v>
      </c>
      <c r="R37" s="15">
        <v>25.274725274725299</v>
      </c>
      <c r="S37" s="15">
        <v>6</v>
      </c>
      <c r="T37" s="20" t="s">
        <v>76</v>
      </c>
      <c r="U37" s="15">
        <v>23.404255319148898</v>
      </c>
      <c r="V37" s="15">
        <v>33.3333333333333</v>
      </c>
      <c r="W37" s="15">
        <v>32.142857142857103</v>
      </c>
      <c r="X37" s="15">
        <v>12.5</v>
      </c>
      <c r="Y37" s="15">
        <v>12.1951219512195</v>
      </c>
      <c r="Z37" s="15">
        <v>21.739130434782599</v>
      </c>
      <c r="AA37" s="15">
        <v>42.4657534246575</v>
      </c>
      <c r="AB37" s="15">
        <v>14.1025641025641</v>
      </c>
      <c r="AC37" s="15">
        <v>8.6419753086419693</v>
      </c>
      <c r="AD37" s="15">
        <v>10.526315789473699</v>
      </c>
      <c r="AE37" s="20" t="s">
        <v>76</v>
      </c>
      <c r="AF37" s="15">
        <v>32.4324324324324</v>
      </c>
      <c r="AG37" s="32">
        <v>23.144525869583699</v>
      </c>
      <c r="AH37" s="15">
        <v>11.744966442953</v>
      </c>
      <c r="AI37" s="15">
        <v>19.76401179941</v>
      </c>
      <c r="AJ37" s="15">
        <v>22.123893805309699</v>
      </c>
      <c r="AK37" s="15">
        <v>21.799307958477499</v>
      </c>
      <c r="AL37" s="15">
        <v>18.994413407821199</v>
      </c>
      <c r="AM37" s="15">
        <v>26.461538461538499</v>
      </c>
      <c r="AN37" s="24">
        <v>36.3924050632911</v>
      </c>
      <c r="AO37" s="38"/>
    </row>
    <row r="38" spans="1:41">
      <c r="A38" s="9" t="s">
        <v>242</v>
      </c>
      <c r="B38" s="36">
        <v>23.862937732422701</v>
      </c>
      <c r="C38" s="32">
        <v>23.313029821354899</v>
      </c>
      <c r="D38" s="32">
        <v>20.882058684093199</v>
      </c>
      <c r="E38" s="32">
        <v>29.157164730686901</v>
      </c>
      <c r="F38" s="15">
        <v>32.2916666666667</v>
      </c>
      <c r="G38" s="15">
        <v>28.358208955223901</v>
      </c>
      <c r="H38" s="15">
        <v>17.0731707317073</v>
      </c>
      <c r="I38" s="15">
        <v>12.5</v>
      </c>
      <c r="J38" s="15">
        <v>37.037037037037003</v>
      </c>
      <c r="K38" s="15">
        <v>24</v>
      </c>
      <c r="L38" s="15">
        <v>19.53125</v>
      </c>
      <c r="M38" s="15">
        <v>22.0588235294118</v>
      </c>
      <c r="N38" s="15">
        <v>18.367346938775501</v>
      </c>
      <c r="O38" s="15">
        <v>52.380952380952401</v>
      </c>
      <c r="P38" s="15">
        <v>32.592592592592602</v>
      </c>
      <c r="Q38" s="15">
        <v>40</v>
      </c>
      <c r="R38" s="15">
        <v>36.263736263736298</v>
      </c>
      <c r="S38" s="15">
        <v>24</v>
      </c>
      <c r="T38" s="15">
        <v>42.424242424242401</v>
      </c>
      <c r="U38" s="15">
        <v>36.170212765957501</v>
      </c>
      <c r="V38" s="15">
        <v>33.3333333333333</v>
      </c>
      <c r="W38" s="15">
        <v>30.3571428571429</v>
      </c>
      <c r="X38" s="15">
        <v>19.230769230769202</v>
      </c>
      <c r="Y38" s="15">
        <v>34.146341463414601</v>
      </c>
      <c r="Z38" s="15">
        <v>34.7826086956522</v>
      </c>
      <c r="AA38" s="15">
        <v>31.5068493150685</v>
      </c>
      <c r="AB38" s="15">
        <v>37.179487179487197</v>
      </c>
      <c r="AC38" s="15">
        <v>24.6913580246914</v>
      </c>
      <c r="AD38" s="15">
        <v>29.473684210526301</v>
      </c>
      <c r="AE38" s="15">
        <v>22.9508196721311</v>
      </c>
      <c r="AF38" s="15">
        <v>21.6216216216216</v>
      </c>
      <c r="AG38" s="32">
        <v>14.4578404771009</v>
      </c>
      <c r="AH38" s="15">
        <v>15.4362416107383</v>
      </c>
      <c r="AI38" s="15">
        <v>19.469026548672598</v>
      </c>
      <c r="AJ38" s="15">
        <v>12.6843657817109</v>
      </c>
      <c r="AK38" s="15">
        <v>15.2249134948097</v>
      </c>
      <c r="AL38" s="15">
        <v>22.346368715083798</v>
      </c>
      <c r="AM38" s="15">
        <v>12.307692307692299</v>
      </c>
      <c r="AN38" s="24">
        <v>15.506329113924</v>
      </c>
      <c r="AO38" s="38"/>
    </row>
    <row r="39" spans="1:41">
      <c r="A39" s="9" t="s">
        <v>243</v>
      </c>
      <c r="B39" s="36">
        <v>39.849172057532698</v>
      </c>
      <c r="C39" s="32">
        <v>41.522559337295199</v>
      </c>
      <c r="D39" s="32">
        <v>39.817767066186299</v>
      </c>
      <c r="E39" s="32">
        <v>32.113917576514403</v>
      </c>
      <c r="F39" s="15">
        <v>38.5416666666667</v>
      </c>
      <c r="G39" s="15">
        <v>31.343283582089601</v>
      </c>
      <c r="H39" s="15">
        <v>14.634146341463399</v>
      </c>
      <c r="I39" s="15">
        <v>27.5</v>
      </c>
      <c r="J39" s="15">
        <v>34.567901234567898</v>
      </c>
      <c r="K39" s="15">
        <v>34</v>
      </c>
      <c r="L39" s="15">
        <v>31.25</v>
      </c>
      <c r="M39" s="15">
        <v>30.882352941176499</v>
      </c>
      <c r="N39" s="15">
        <v>30.612244897959201</v>
      </c>
      <c r="O39" s="15">
        <v>47.619047619047599</v>
      </c>
      <c r="P39" s="15">
        <v>25.925925925925899</v>
      </c>
      <c r="Q39" s="15">
        <v>38.3333333333333</v>
      </c>
      <c r="R39" s="15">
        <v>25.274725274725299</v>
      </c>
      <c r="S39" s="15">
        <v>27</v>
      </c>
      <c r="T39" s="15">
        <v>48.484848484848499</v>
      </c>
      <c r="U39" s="15">
        <v>38.297872340425499</v>
      </c>
      <c r="V39" s="15">
        <v>31.481481481481499</v>
      </c>
      <c r="W39" s="15">
        <v>46.428571428571402</v>
      </c>
      <c r="X39" s="15">
        <v>25.961538461538499</v>
      </c>
      <c r="Y39" s="15">
        <v>36.585365853658502</v>
      </c>
      <c r="Z39" s="15">
        <v>41.304347826087003</v>
      </c>
      <c r="AA39" s="15">
        <v>41.095890410958901</v>
      </c>
      <c r="AB39" s="15">
        <v>37.179487179487197</v>
      </c>
      <c r="AC39" s="15">
        <v>28.395061728395099</v>
      </c>
      <c r="AD39" s="15">
        <v>29.473684210526301</v>
      </c>
      <c r="AE39" s="15">
        <v>32.786885245901601</v>
      </c>
      <c r="AF39" s="15">
        <v>37.837837837837803</v>
      </c>
      <c r="AG39" s="32">
        <v>45.798501316214598</v>
      </c>
      <c r="AH39" s="15">
        <v>36.577181208053702</v>
      </c>
      <c r="AI39" s="15">
        <v>43.067846607669601</v>
      </c>
      <c r="AJ39" s="15">
        <v>40.117994100295</v>
      </c>
      <c r="AK39" s="15">
        <v>43.252595155709301</v>
      </c>
      <c r="AL39" s="15">
        <v>55.865921787709503</v>
      </c>
      <c r="AM39" s="15">
        <v>44.615384615384599</v>
      </c>
      <c r="AN39" s="24">
        <v>53.164556962025301</v>
      </c>
      <c r="AO39" s="38"/>
    </row>
    <row r="40" spans="1:41">
      <c r="A40" s="9" t="s">
        <v>244</v>
      </c>
      <c r="B40" s="36">
        <v>14.3479585669636</v>
      </c>
      <c r="C40" s="32">
        <v>14.3024950524274</v>
      </c>
      <c r="D40" s="32">
        <v>13.0347315417107</v>
      </c>
      <c r="E40" s="32">
        <v>15.9865202166307</v>
      </c>
      <c r="F40" s="15">
        <v>18.75</v>
      </c>
      <c r="G40" s="15">
        <v>10.4477611940298</v>
      </c>
      <c r="H40" s="15">
        <v>10.975609756097599</v>
      </c>
      <c r="I40" s="15">
        <v>20</v>
      </c>
      <c r="J40" s="15">
        <v>22.2222222222222</v>
      </c>
      <c r="K40" s="15">
        <v>20</v>
      </c>
      <c r="L40" s="15">
        <v>14.84375</v>
      </c>
      <c r="M40" s="15">
        <v>10.294117647058799</v>
      </c>
      <c r="N40" s="15">
        <v>26.530612244897998</v>
      </c>
      <c r="O40" s="15">
        <v>14.285714285714301</v>
      </c>
      <c r="P40" s="15">
        <v>13.3333333333333</v>
      </c>
      <c r="Q40" s="15">
        <v>23.3333333333333</v>
      </c>
      <c r="R40" s="15">
        <v>17.582417582417602</v>
      </c>
      <c r="S40" s="15">
        <v>12</v>
      </c>
      <c r="T40" s="20" t="s">
        <v>76</v>
      </c>
      <c r="U40" s="15">
        <v>25.531914893617</v>
      </c>
      <c r="V40" s="15">
        <v>11.1111111111111</v>
      </c>
      <c r="W40" s="15">
        <v>23.214285714285701</v>
      </c>
      <c r="X40" s="15">
        <v>19.230769230769202</v>
      </c>
      <c r="Y40" s="15">
        <v>12.1951219512195</v>
      </c>
      <c r="Z40" s="15">
        <v>19.565217391304301</v>
      </c>
      <c r="AA40" s="15">
        <v>19.178082191780799</v>
      </c>
      <c r="AB40" s="15">
        <v>21.794871794871799</v>
      </c>
      <c r="AC40" s="15">
        <v>16.049382716049401</v>
      </c>
      <c r="AD40" s="15">
        <v>11.578947368421099</v>
      </c>
      <c r="AE40" s="15">
        <v>21.311475409836099</v>
      </c>
      <c r="AF40" s="20" t="s">
        <v>76</v>
      </c>
      <c r="AG40" s="32">
        <v>10.7431676098598</v>
      </c>
      <c r="AH40" s="15">
        <v>7.7181208053691304</v>
      </c>
      <c r="AI40" s="15">
        <v>10.914454277286101</v>
      </c>
      <c r="AJ40" s="15">
        <v>11.5044247787611</v>
      </c>
      <c r="AK40" s="15">
        <v>12.802768166090001</v>
      </c>
      <c r="AL40" s="15">
        <v>18.435754189944099</v>
      </c>
      <c r="AM40" s="15">
        <v>11.692307692307701</v>
      </c>
      <c r="AN40" s="24">
        <v>11.075949367088599</v>
      </c>
      <c r="AO40" s="38"/>
    </row>
    <row r="41" spans="1:41">
      <c r="A41" s="9" t="s">
        <v>245</v>
      </c>
      <c r="B41" s="36">
        <v>32.505436725395697</v>
      </c>
      <c r="C41" s="32">
        <v>34.757710600637999</v>
      </c>
      <c r="D41" s="32">
        <v>32.9608343677113</v>
      </c>
      <c r="E41" s="32">
        <v>31.385982612568501</v>
      </c>
      <c r="F41" s="15">
        <v>22.9166666666667</v>
      </c>
      <c r="G41" s="15">
        <v>31.343283582089601</v>
      </c>
      <c r="H41" s="15">
        <v>6.0975609756097597</v>
      </c>
      <c r="I41" s="15">
        <v>52.5</v>
      </c>
      <c r="J41" s="15">
        <v>59.259259259259302</v>
      </c>
      <c r="K41" s="15">
        <v>36</v>
      </c>
      <c r="L41" s="15">
        <v>29.6875</v>
      </c>
      <c r="M41" s="15">
        <v>19.117647058823501</v>
      </c>
      <c r="N41" s="15">
        <v>18.367346938775501</v>
      </c>
      <c r="O41" s="15">
        <v>71.428571428571402</v>
      </c>
      <c r="P41" s="15">
        <v>26.6666666666667</v>
      </c>
      <c r="Q41" s="15">
        <v>20</v>
      </c>
      <c r="R41" s="15">
        <v>27.472527472527499</v>
      </c>
      <c r="S41" s="15">
        <v>25</v>
      </c>
      <c r="T41" s="15">
        <v>48.484848484848499</v>
      </c>
      <c r="U41" s="15">
        <v>27.659574468085101</v>
      </c>
      <c r="V41" s="15">
        <v>33.3333333333333</v>
      </c>
      <c r="W41" s="15">
        <v>35.714285714285701</v>
      </c>
      <c r="X41" s="15">
        <v>62.5</v>
      </c>
      <c r="Y41" s="15">
        <v>24.390243902439</v>
      </c>
      <c r="Z41" s="15">
        <v>28.260869565217401</v>
      </c>
      <c r="AA41" s="15">
        <v>45.205479452054803</v>
      </c>
      <c r="AB41" s="15">
        <v>46.153846153846203</v>
      </c>
      <c r="AC41" s="15">
        <v>8.6419753086419693</v>
      </c>
      <c r="AD41" s="15">
        <v>26.315789473684202</v>
      </c>
      <c r="AE41" s="15">
        <v>34.426229508196698</v>
      </c>
      <c r="AF41" s="15">
        <v>59.459459459459502</v>
      </c>
      <c r="AG41" s="32">
        <v>34.183440007051303</v>
      </c>
      <c r="AH41" s="15">
        <v>23.825503355704701</v>
      </c>
      <c r="AI41" s="15">
        <v>35.693215339232999</v>
      </c>
      <c r="AJ41" s="15">
        <v>36.283185840708001</v>
      </c>
      <c r="AK41" s="15">
        <v>31.487889273356402</v>
      </c>
      <c r="AL41" s="15">
        <v>49.720670391061503</v>
      </c>
      <c r="AM41" s="15">
        <v>25.538461538461501</v>
      </c>
      <c r="AN41" s="24">
        <v>43.9873417721519</v>
      </c>
      <c r="AO41" s="38"/>
    </row>
    <row r="42" spans="1:41">
      <c r="A42" s="9" t="s">
        <v>246</v>
      </c>
      <c r="B42" s="36">
        <v>7.3874278748413298</v>
      </c>
      <c r="C42" s="32">
        <v>6.98211191728931</v>
      </c>
      <c r="D42" s="32">
        <v>5.3800437603988902</v>
      </c>
      <c r="E42" s="32">
        <v>6.6870440386623002</v>
      </c>
      <c r="F42" s="15">
        <v>6.25</v>
      </c>
      <c r="G42" s="20" t="s">
        <v>76</v>
      </c>
      <c r="H42" s="20" t="s">
        <v>76</v>
      </c>
      <c r="I42" s="20" t="s">
        <v>76</v>
      </c>
      <c r="J42" s="15">
        <v>11.1111111111111</v>
      </c>
      <c r="K42" s="15">
        <v>12</v>
      </c>
      <c r="L42" s="20" t="s">
        <v>76</v>
      </c>
      <c r="M42" s="20" t="s">
        <v>76</v>
      </c>
      <c r="N42" s="20" t="s">
        <v>76</v>
      </c>
      <c r="O42" s="15">
        <v>11.9047619047619</v>
      </c>
      <c r="P42" s="15">
        <v>3.7037037037037002</v>
      </c>
      <c r="Q42" s="20" t="s">
        <v>76</v>
      </c>
      <c r="R42" s="20" t="s">
        <v>76</v>
      </c>
      <c r="S42" s="15">
        <v>5</v>
      </c>
      <c r="T42" s="20" t="s">
        <v>76</v>
      </c>
      <c r="U42" s="15">
        <v>10.6382978723404</v>
      </c>
      <c r="V42" s="15">
        <v>11.1111111111111</v>
      </c>
      <c r="W42" s="20" t="s">
        <v>76</v>
      </c>
      <c r="X42" s="15">
        <v>5.7692307692307701</v>
      </c>
      <c r="Y42" s="20" t="s">
        <v>76</v>
      </c>
      <c r="Z42" s="15">
        <v>21.739130434782599</v>
      </c>
      <c r="AA42" s="15">
        <v>32.876712328767098</v>
      </c>
      <c r="AB42" s="15">
        <v>6.4102564102564097</v>
      </c>
      <c r="AC42" s="20" t="s">
        <v>76</v>
      </c>
      <c r="AD42" s="20" t="s">
        <v>76</v>
      </c>
      <c r="AE42" s="20" t="s">
        <v>76</v>
      </c>
      <c r="AF42" s="20" t="s">
        <v>76</v>
      </c>
      <c r="AG42" s="32">
        <v>4.3653794241490598</v>
      </c>
      <c r="AH42" s="15">
        <v>4.3624161073825496</v>
      </c>
      <c r="AI42" s="15">
        <v>4.4247787610619502</v>
      </c>
      <c r="AJ42" s="15">
        <v>5.6047197640117998</v>
      </c>
      <c r="AK42" s="15">
        <v>5.1903114186851198</v>
      </c>
      <c r="AL42" s="20" t="s">
        <v>76</v>
      </c>
      <c r="AM42" s="15">
        <v>5.2307692307692299</v>
      </c>
      <c r="AN42" s="24">
        <v>7.2784810126582302</v>
      </c>
      <c r="AO42" s="38"/>
    </row>
    <row r="43" spans="1:41">
      <c r="A43" s="9" t="s">
        <v>247</v>
      </c>
      <c r="B43" s="36">
        <v>36.9494710022649</v>
      </c>
      <c r="C43" s="32">
        <v>41.191476613988002</v>
      </c>
      <c r="D43" s="32">
        <v>42.066856579389203</v>
      </c>
      <c r="E43" s="32">
        <v>40.424404212737102</v>
      </c>
      <c r="F43" s="15">
        <v>31.25</v>
      </c>
      <c r="G43" s="15">
        <v>34.328358208955201</v>
      </c>
      <c r="H43" s="15">
        <v>26.829268292682901</v>
      </c>
      <c r="I43" s="15">
        <v>42.5</v>
      </c>
      <c r="J43" s="15">
        <v>43.209876543209901</v>
      </c>
      <c r="K43" s="15">
        <v>46</v>
      </c>
      <c r="L43" s="15">
        <v>38.28125</v>
      </c>
      <c r="M43" s="15">
        <v>42.647058823529399</v>
      </c>
      <c r="N43" s="15">
        <v>38.775510204081598</v>
      </c>
      <c r="O43" s="15">
        <v>57.142857142857103</v>
      </c>
      <c r="P43" s="15">
        <v>34.074074074074097</v>
      </c>
      <c r="Q43" s="15">
        <v>48.3333333333333</v>
      </c>
      <c r="R43" s="15">
        <v>40.6593406593407</v>
      </c>
      <c r="S43" s="15">
        <v>28</v>
      </c>
      <c r="T43" s="15">
        <v>60.606060606060602</v>
      </c>
      <c r="U43" s="15">
        <v>36.170212765957501</v>
      </c>
      <c r="V43" s="15">
        <v>38.8888888888889</v>
      </c>
      <c r="W43" s="15">
        <v>50</v>
      </c>
      <c r="X43" s="15">
        <v>48.076923076923102</v>
      </c>
      <c r="Y43" s="15">
        <v>43.902439024390198</v>
      </c>
      <c r="Z43" s="15">
        <v>45.652173913043498</v>
      </c>
      <c r="AA43" s="15">
        <v>43.835616438356197</v>
      </c>
      <c r="AB43" s="15">
        <v>50</v>
      </c>
      <c r="AC43" s="15">
        <v>25.925925925925899</v>
      </c>
      <c r="AD43" s="15">
        <v>50.526315789473699</v>
      </c>
      <c r="AE43" s="15">
        <v>40.983606557377101</v>
      </c>
      <c r="AF43" s="15">
        <v>45.945945945945901</v>
      </c>
      <c r="AG43" s="32">
        <v>43.341942643368697</v>
      </c>
      <c r="AH43" s="15">
        <v>31.543624161073801</v>
      </c>
      <c r="AI43" s="15">
        <v>42.477876106194699</v>
      </c>
      <c r="AJ43" s="15">
        <v>37.1681415929203</v>
      </c>
      <c r="AK43" s="15">
        <v>33.217993079584801</v>
      </c>
      <c r="AL43" s="15">
        <v>45.810055865921797</v>
      </c>
      <c r="AM43" s="15">
        <v>44</v>
      </c>
      <c r="AN43" s="24">
        <v>58.860759493670898</v>
      </c>
      <c r="AO43" s="38"/>
    </row>
    <row r="44" spans="1:41">
      <c r="A44" s="9" t="s">
        <v>248</v>
      </c>
      <c r="B44" s="36">
        <v>70.714544305944997</v>
      </c>
      <c r="C44" s="32">
        <v>71.830301457796196</v>
      </c>
      <c r="D44" s="32">
        <v>67.887307032202301</v>
      </c>
      <c r="E44" s="32">
        <v>64.317985844173407</v>
      </c>
      <c r="F44" s="15">
        <v>68.75</v>
      </c>
      <c r="G44" s="15">
        <v>62.686567164179102</v>
      </c>
      <c r="H44" s="15">
        <v>43.902439024390198</v>
      </c>
      <c r="I44" s="15">
        <v>55</v>
      </c>
      <c r="J44" s="15">
        <v>70.370370370370395</v>
      </c>
      <c r="K44" s="15">
        <v>70</v>
      </c>
      <c r="L44" s="15">
        <v>55.46875</v>
      </c>
      <c r="M44" s="15">
        <v>54.411764705882298</v>
      </c>
      <c r="N44" s="15">
        <v>46.938775510204103</v>
      </c>
      <c r="O44" s="15">
        <v>78.571428571428598</v>
      </c>
      <c r="P44" s="15">
        <v>56.296296296296298</v>
      </c>
      <c r="Q44" s="15">
        <v>70</v>
      </c>
      <c r="R44" s="15">
        <v>71.428571428571402</v>
      </c>
      <c r="S44" s="15">
        <v>63</v>
      </c>
      <c r="T44" s="15">
        <v>78.787878787878796</v>
      </c>
      <c r="U44" s="15">
        <v>78.723404255319195</v>
      </c>
      <c r="V44" s="15">
        <v>59.259259259259302</v>
      </c>
      <c r="W44" s="15">
        <v>71.428571428571402</v>
      </c>
      <c r="X44" s="15">
        <v>77.884615384615401</v>
      </c>
      <c r="Y44" s="15">
        <v>48.780487804878</v>
      </c>
      <c r="Z44" s="15">
        <v>86.956521739130395</v>
      </c>
      <c r="AA44" s="15">
        <v>76.712328767123296</v>
      </c>
      <c r="AB44" s="15">
        <v>78.205128205128204</v>
      </c>
      <c r="AC44" s="15">
        <v>45.679012345678998</v>
      </c>
      <c r="AD44" s="15">
        <v>57.894736842105303</v>
      </c>
      <c r="AE44" s="15">
        <v>80.327868852459005</v>
      </c>
      <c r="AF44" s="15">
        <v>62.162162162162197</v>
      </c>
      <c r="AG44" s="32">
        <v>70.658280362770995</v>
      </c>
      <c r="AH44" s="15">
        <v>58.389261744966397</v>
      </c>
      <c r="AI44" s="15">
        <v>74.041297935103202</v>
      </c>
      <c r="AJ44" s="15">
        <v>68.731563421828895</v>
      </c>
      <c r="AK44" s="15">
        <v>64.705882352941202</v>
      </c>
      <c r="AL44" s="15">
        <v>82.681564245810094</v>
      </c>
      <c r="AM44" s="15">
        <v>72.307692307692307</v>
      </c>
      <c r="AN44" s="24">
        <v>74.050632911392398</v>
      </c>
      <c r="AO44" s="38"/>
    </row>
    <row r="45" spans="1:41">
      <c r="A45" s="9" t="s">
        <v>249</v>
      </c>
      <c r="B45" s="36">
        <v>5.6496898069387997</v>
      </c>
      <c r="C45" s="32">
        <v>5.70576741092344</v>
      </c>
      <c r="D45" s="32">
        <v>4.1249061537626197</v>
      </c>
      <c r="E45" s="32">
        <v>4.6587648243203699</v>
      </c>
      <c r="F45" s="20" t="s">
        <v>76</v>
      </c>
      <c r="G45" s="20" t="s">
        <v>76</v>
      </c>
      <c r="H45" s="20" t="s">
        <v>76</v>
      </c>
      <c r="I45" s="20" t="s">
        <v>76</v>
      </c>
      <c r="J45" s="15">
        <v>7.4074074074074101</v>
      </c>
      <c r="K45" s="20" t="s">
        <v>76</v>
      </c>
      <c r="L45" s="15">
        <v>3.90625</v>
      </c>
      <c r="M45" s="20" t="s">
        <v>76</v>
      </c>
      <c r="N45" s="20" t="s">
        <v>76</v>
      </c>
      <c r="O45" s="20" t="s">
        <v>76</v>
      </c>
      <c r="P45" s="20" t="s">
        <v>76</v>
      </c>
      <c r="Q45" s="20" t="s">
        <v>76</v>
      </c>
      <c r="R45" s="15">
        <v>8.7912087912087902</v>
      </c>
      <c r="S45" s="20" t="s">
        <v>76</v>
      </c>
      <c r="T45" s="20" t="s">
        <v>76</v>
      </c>
      <c r="U45" s="20" t="s">
        <v>76</v>
      </c>
      <c r="V45" s="20" t="s">
        <v>76</v>
      </c>
      <c r="W45" s="20" t="s">
        <v>76</v>
      </c>
      <c r="X45" s="20" t="s">
        <v>76</v>
      </c>
      <c r="Y45" s="20" t="s">
        <v>76</v>
      </c>
      <c r="Z45" s="20" t="s">
        <v>76</v>
      </c>
      <c r="AA45" s="15">
        <v>8.2191780821917799</v>
      </c>
      <c r="AB45" s="15">
        <v>7.6923076923076898</v>
      </c>
      <c r="AC45" s="20" t="s">
        <v>76</v>
      </c>
      <c r="AD45" s="15">
        <v>7.3684210526315796</v>
      </c>
      <c r="AE45" s="20" t="s">
        <v>76</v>
      </c>
      <c r="AF45" s="20" t="s">
        <v>76</v>
      </c>
      <c r="AG45" s="32">
        <v>3.7104553211029501</v>
      </c>
      <c r="AH45" s="15">
        <v>2.6845637583892601</v>
      </c>
      <c r="AI45" s="15">
        <v>5.6047197640117998</v>
      </c>
      <c r="AJ45" s="15">
        <v>2.3598820058997001</v>
      </c>
      <c r="AK45" s="15">
        <v>3.8062283737024201</v>
      </c>
      <c r="AL45" s="15">
        <v>5.5865921787709496</v>
      </c>
      <c r="AM45" s="15">
        <v>3.3846153846153801</v>
      </c>
      <c r="AN45" s="24">
        <v>4.7468354430379698</v>
      </c>
      <c r="AO45" s="38"/>
    </row>
    <row r="46" spans="1:41">
      <c r="A46" s="9" t="s">
        <v>250</v>
      </c>
      <c r="B46" s="36">
        <v>21.748359918418199</v>
      </c>
      <c r="C46" s="32">
        <v>22.559460264461698</v>
      </c>
      <c r="D46" s="32">
        <v>19.4588861314949</v>
      </c>
      <c r="E46" s="32">
        <v>23.176985377054599</v>
      </c>
      <c r="F46" s="15">
        <v>27.0833333333333</v>
      </c>
      <c r="G46" s="15">
        <v>14.9253731343284</v>
      </c>
      <c r="H46" s="15">
        <v>18.292682926829301</v>
      </c>
      <c r="I46" s="15">
        <v>22.5</v>
      </c>
      <c r="J46" s="15">
        <v>22.2222222222222</v>
      </c>
      <c r="K46" s="15">
        <v>22</v>
      </c>
      <c r="L46" s="15">
        <v>19.53125</v>
      </c>
      <c r="M46" s="15">
        <v>14.705882352941201</v>
      </c>
      <c r="N46" s="15">
        <v>26.530612244897998</v>
      </c>
      <c r="O46" s="15">
        <v>30.952380952380999</v>
      </c>
      <c r="P46" s="15">
        <v>20</v>
      </c>
      <c r="Q46" s="15">
        <v>25</v>
      </c>
      <c r="R46" s="15">
        <v>23.076923076923102</v>
      </c>
      <c r="S46" s="15">
        <v>17</v>
      </c>
      <c r="T46" s="15">
        <v>27.272727272727298</v>
      </c>
      <c r="U46" s="15">
        <v>38.297872340425499</v>
      </c>
      <c r="V46" s="15">
        <v>31.481481481481499</v>
      </c>
      <c r="W46" s="15">
        <v>32.142857142857103</v>
      </c>
      <c r="X46" s="15">
        <v>24.038461538461501</v>
      </c>
      <c r="Y46" s="15">
        <v>24.390243902439</v>
      </c>
      <c r="Z46" s="15">
        <v>23.913043478260899</v>
      </c>
      <c r="AA46" s="15">
        <v>24.657534246575299</v>
      </c>
      <c r="AB46" s="15">
        <v>30.769230769230798</v>
      </c>
      <c r="AC46" s="15">
        <v>17.283950617283899</v>
      </c>
      <c r="AD46" s="15">
        <v>20</v>
      </c>
      <c r="AE46" s="15">
        <v>37.7049180327869</v>
      </c>
      <c r="AF46" s="20" t="s">
        <v>76</v>
      </c>
      <c r="AG46" s="32">
        <v>16.572411839293899</v>
      </c>
      <c r="AH46" s="15">
        <v>14.7651006711409</v>
      </c>
      <c r="AI46" s="15">
        <v>19.76401179941</v>
      </c>
      <c r="AJ46" s="15">
        <v>14.7492625368732</v>
      </c>
      <c r="AK46" s="15">
        <v>17.647058823529399</v>
      </c>
      <c r="AL46" s="15">
        <v>26.815642458100601</v>
      </c>
      <c r="AM46" s="15">
        <v>14.153846153846199</v>
      </c>
      <c r="AN46" s="24">
        <v>20.8860759493671</v>
      </c>
      <c r="AO46" s="38"/>
    </row>
    <row r="47" spans="1:41">
      <c r="A47" s="9" t="s">
        <v>251</v>
      </c>
      <c r="B47" s="36">
        <v>7.8932173642932097</v>
      </c>
      <c r="C47" s="32">
        <v>8.37442602833206</v>
      </c>
      <c r="D47" s="32">
        <v>6.5603177507978696</v>
      </c>
      <c r="E47" s="32">
        <v>5.6350768767458197</v>
      </c>
      <c r="F47" s="20" t="s">
        <v>76</v>
      </c>
      <c r="G47" s="20" t="s">
        <v>76</v>
      </c>
      <c r="H47" s="15">
        <v>7.3170731707317103</v>
      </c>
      <c r="I47" s="20" t="s">
        <v>76</v>
      </c>
      <c r="J47" s="15">
        <v>9.8765432098765409</v>
      </c>
      <c r="K47" s="15">
        <v>10</v>
      </c>
      <c r="L47" s="15">
        <v>4.6875</v>
      </c>
      <c r="M47" s="20" t="s">
        <v>76</v>
      </c>
      <c r="N47" s="15">
        <v>14.285714285714301</v>
      </c>
      <c r="O47" s="20" t="s">
        <v>76</v>
      </c>
      <c r="P47" s="20" t="s">
        <v>76</v>
      </c>
      <c r="Q47" s="15">
        <v>10</v>
      </c>
      <c r="R47" s="20" t="s">
        <v>76</v>
      </c>
      <c r="S47" s="20" t="s">
        <v>76</v>
      </c>
      <c r="T47" s="20" t="s">
        <v>76</v>
      </c>
      <c r="U47" s="20" t="s">
        <v>76</v>
      </c>
      <c r="V47" s="15">
        <v>11.1111111111111</v>
      </c>
      <c r="W47" s="15">
        <v>8.9285714285714306</v>
      </c>
      <c r="X47" s="20" t="s">
        <v>76</v>
      </c>
      <c r="Y47" s="20" t="s">
        <v>76</v>
      </c>
      <c r="Z47" s="20" t="s">
        <v>76</v>
      </c>
      <c r="AA47" s="15">
        <v>9.5890410958904102</v>
      </c>
      <c r="AB47" s="20" t="s">
        <v>76</v>
      </c>
      <c r="AC47" s="20" t="s">
        <v>76</v>
      </c>
      <c r="AD47" s="20" t="s">
        <v>76</v>
      </c>
      <c r="AE47" s="20" t="s">
        <v>76</v>
      </c>
      <c r="AF47" s="20" t="s">
        <v>76</v>
      </c>
      <c r="AG47" s="32">
        <v>7.2786105721189198</v>
      </c>
      <c r="AH47" s="15">
        <v>9.7315436241610698</v>
      </c>
      <c r="AI47" s="15">
        <v>5.0147492625368697</v>
      </c>
      <c r="AJ47" s="15">
        <v>4.71976401179941</v>
      </c>
      <c r="AK47" s="15">
        <v>4.8442906574394504</v>
      </c>
      <c r="AL47" s="15">
        <v>6.1452513966480398</v>
      </c>
      <c r="AM47" s="15">
        <v>6.7692307692307701</v>
      </c>
      <c r="AN47" s="24">
        <v>9.81012658227848</v>
      </c>
      <c r="AO47" s="38"/>
    </row>
    <row r="48" spans="1:41">
      <c r="A48" s="9" t="s">
        <v>252</v>
      </c>
      <c r="B48" s="36">
        <v>9.1008720610949503</v>
      </c>
      <c r="C48" s="32">
        <v>8.6157201597710795</v>
      </c>
      <c r="D48" s="32">
        <v>5.48186904815151</v>
      </c>
      <c r="E48" s="32">
        <v>5.75974525901505</v>
      </c>
      <c r="F48" s="15">
        <v>12.5</v>
      </c>
      <c r="G48" s="15">
        <v>7.4626865671641802</v>
      </c>
      <c r="H48" s="20" t="s">
        <v>76</v>
      </c>
      <c r="I48" s="20" t="s">
        <v>76</v>
      </c>
      <c r="J48" s="15">
        <v>6.1728395061728403</v>
      </c>
      <c r="K48" s="20" t="s">
        <v>76</v>
      </c>
      <c r="L48" s="15">
        <v>7.8125</v>
      </c>
      <c r="M48" s="15">
        <v>8.8235294117646994</v>
      </c>
      <c r="N48" s="20" t="s">
        <v>76</v>
      </c>
      <c r="O48" s="15">
        <v>14.285714285714301</v>
      </c>
      <c r="P48" s="15">
        <v>5.92592592592593</v>
      </c>
      <c r="Q48" s="20" t="s">
        <v>76</v>
      </c>
      <c r="R48" s="15">
        <v>7.6923076923076898</v>
      </c>
      <c r="S48" s="20" t="s">
        <v>76</v>
      </c>
      <c r="T48" s="20" t="s">
        <v>76</v>
      </c>
      <c r="U48" s="20" t="s">
        <v>76</v>
      </c>
      <c r="V48" s="20" t="s">
        <v>76</v>
      </c>
      <c r="W48" s="15">
        <v>16.071428571428601</v>
      </c>
      <c r="X48" s="20" t="s">
        <v>76</v>
      </c>
      <c r="Y48" s="20" t="s">
        <v>76</v>
      </c>
      <c r="Z48" s="15">
        <v>13.0434782608696</v>
      </c>
      <c r="AA48" s="15">
        <v>6.8493150684931496</v>
      </c>
      <c r="AB48" s="20" t="s">
        <v>76</v>
      </c>
      <c r="AC48" s="20" t="s">
        <v>76</v>
      </c>
      <c r="AD48" s="20" t="s">
        <v>76</v>
      </c>
      <c r="AE48" s="20" t="s">
        <v>76</v>
      </c>
      <c r="AF48" s="20" t="s">
        <v>76</v>
      </c>
      <c r="AG48" s="32">
        <v>5.26614523711293</v>
      </c>
      <c r="AH48" s="15">
        <v>4.6979865771812097</v>
      </c>
      <c r="AI48" s="15">
        <v>7.9646017699114999</v>
      </c>
      <c r="AJ48" s="15">
        <v>8.8495575221238898</v>
      </c>
      <c r="AK48" s="15">
        <v>2.7681660899653999</v>
      </c>
      <c r="AL48" s="15">
        <v>3.3519553072625698</v>
      </c>
      <c r="AM48" s="15">
        <v>3.6923076923076898</v>
      </c>
      <c r="AN48" s="24">
        <v>8.8607594936708907</v>
      </c>
      <c r="AO48" s="38"/>
    </row>
    <row r="49" spans="1:41">
      <c r="A49" s="9" t="s">
        <v>253</v>
      </c>
      <c r="B49" s="36">
        <v>13.1062314083759</v>
      </c>
      <c r="C49" s="32">
        <v>18.407599200068699</v>
      </c>
      <c r="D49" s="32">
        <v>16.5062038668238</v>
      </c>
      <c r="E49" s="32">
        <v>15.09525130506</v>
      </c>
      <c r="F49" s="15">
        <v>16.6666666666667</v>
      </c>
      <c r="G49" s="15">
        <v>23.880597014925399</v>
      </c>
      <c r="H49" s="15">
        <v>17.0731707317073</v>
      </c>
      <c r="I49" s="15">
        <v>12.5</v>
      </c>
      <c r="J49" s="15">
        <v>19.7530864197531</v>
      </c>
      <c r="K49" s="15">
        <v>26</v>
      </c>
      <c r="L49" s="15">
        <v>13.28125</v>
      </c>
      <c r="M49" s="15">
        <v>11.764705882352899</v>
      </c>
      <c r="N49" s="15">
        <v>14.285714285714301</v>
      </c>
      <c r="O49" s="15">
        <v>14.285714285714301</v>
      </c>
      <c r="P49" s="15">
        <v>8.8888888888888893</v>
      </c>
      <c r="Q49" s="15">
        <v>16.6666666666667</v>
      </c>
      <c r="R49" s="15">
        <v>14.285714285714301</v>
      </c>
      <c r="S49" s="20" t="s">
        <v>76</v>
      </c>
      <c r="T49" s="20" t="s">
        <v>76</v>
      </c>
      <c r="U49" s="15">
        <v>17.021276595744698</v>
      </c>
      <c r="V49" s="15">
        <v>22.2222222222222</v>
      </c>
      <c r="W49" s="15">
        <v>16.071428571428601</v>
      </c>
      <c r="X49" s="15">
        <v>23.076923076923102</v>
      </c>
      <c r="Y49" s="20" t="s">
        <v>76</v>
      </c>
      <c r="Z49" s="15">
        <v>15.2173913043478</v>
      </c>
      <c r="AA49" s="15">
        <v>39.726027397260303</v>
      </c>
      <c r="AB49" s="15">
        <v>25.6410256410256</v>
      </c>
      <c r="AC49" s="15">
        <v>7.4074074074074101</v>
      </c>
      <c r="AD49" s="15">
        <v>6.3157894736842097</v>
      </c>
      <c r="AE49" s="15">
        <v>21.311475409836099</v>
      </c>
      <c r="AF49" s="20" t="s">
        <v>76</v>
      </c>
      <c r="AG49" s="32">
        <v>17.6015695437648</v>
      </c>
      <c r="AH49" s="15">
        <v>13.087248322147699</v>
      </c>
      <c r="AI49" s="15">
        <v>17.699115044247801</v>
      </c>
      <c r="AJ49" s="15">
        <v>15.634218289085499</v>
      </c>
      <c r="AK49" s="15">
        <v>10.726643598615899</v>
      </c>
      <c r="AL49" s="15">
        <v>23.463687150837998</v>
      </c>
      <c r="AM49" s="15">
        <v>15.692307692307701</v>
      </c>
      <c r="AN49" s="24">
        <v>24.367088607594901</v>
      </c>
      <c r="AO49" s="38"/>
    </row>
    <row r="50" spans="1:41">
      <c r="A50" s="9" t="s">
        <v>254</v>
      </c>
      <c r="B50" s="36">
        <v>61.743324930935401</v>
      </c>
      <c r="C50" s="32">
        <v>62.345310132799398</v>
      </c>
      <c r="D50" s="32">
        <v>58.313761712843998</v>
      </c>
      <c r="E50" s="32">
        <v>64.775576833040802</v>
      </c>
      <c r="F50" s="15">
        <v>70.8333333333333</v>
      </c>
      <c r="G50" s="15">
        <v>77.611940298507506</v>
      </c>
      <c r="H50" s="15">
        <v>42.682926829268297</v>
      </c>
      <c r="I50" s="15">
        <v>65</v>
      </c>
      <c r="J50" s="15">
        <v>82.716049382716093</v>
      </c>
      <c r="K50" s="15">
        <v>62</v>
      </c>
      <c r="L50" s="15">
        <v>50</v>
      </c>
      <c r="M50" s="15">
        <v>58.823529411764703</v>
      </c>
      <c r="N50" s="15">
        <v>65.306122448979593</v>
      </c>
      <c r="O50" s="15">
        <v>80.952380952380906</v>
      </c>
      <c r="P50" s="15">
        <v>60</v>
      </c>
      <c r="Q50" s="15">
        <v>66.6666666666667</v>
      </c>
      <c r="R50" s="15">
        <v>73.626373626373606</v>
      </c>
      <c r="S50" s="15">
        <v>48</v>
      </c>
      <c r="T50" s="15">
        <v>87.878787878787904</v>
      </c>
      <c r="U50" s="15">
        <v>72.340425531914903</v>
      </c>
      <c r="V50" s="15">
        <v>68.518518518518505</v>
      </c>
      <c r="W50" s="15">
        <v>78.571428571428598</v>
      </c>
      <c r="X50" s="15">
        <v>70.192307692307693</v>
      </c>
      <c r="Y50" s="15">
        <v>63.414634146341498</v>
      </c>
      <c r="Z50" s="15">
        <v>86.956521739130395</v>
      </c>
      <c r="AA50" s="15">
        <v>86.301369863013704</v>
      </c>
      <c r="AB50" s="15">
        <v>84.615384615384599</v>
      </c>
      <c r="AC50" s="15">
        <v>41.975308641975303</v>
      </c>
      <c r="AD50" s="15">
        <v>51.578947368421098</v>
      </c>
      <c r="AE50" s="15">
        <v>54.0983606557377</v>
      </c>
      <c r="AF50" s="15">
        <v>75.675675675675706</v>
      </c>
      <c r="AG50" s="32">
        <v>53.297256774822699</v>
      </c>
      <c r="AH50" s="15">
        <v>41.9463087248322</v>
      </c>
      <c r="AI50" s="15">
        <v>52.802359882005902</v>
      </c>
      <c r="AJ50" s="15">
        <v>53.392330383480797</v>
      </c>
      <c r="AK50" s="15">
        <v>56.401384083045002</v>
      </c>
      <c r="AL50" s="15">
        <v>65.363128491620103</v>
      </c>
      <c r="AM50" s="15">
        <v>53.230769230769198</v>
      </c>
      <c r="AN50" s="24">
        <v>61.3924050632911</v>
      </c>
      <c r="AO50" s="38"/>
    </row>
    <row r="51" spans="1:41">
      <c r="A51" s="9" t="s">
        <v>255</v>
      </c>
      <c r="B51" s="36">
        <v>34.715225216693199</v>
      </c>
      <c r="C51" s="32">
        <v>35.9651510089653</v>
      </c>
      <c r="D51" s="32">
        <v>31.8205826708217</v>
      </c>
      <c r="E51" s="32">
        <v>25.749872105527601</v>
      </c>
      <c r="F51" s="15">
        <v>32.2916666666667</v>
      </c>
      <c r="G51" s="15">
        <v>26.865671641791</v>
      </c>
      <c r="H51" s="15">
        <v>7.3170731707317103</v>
      </c>
      <c r="I51" s="15">
        <v>22.5</v>
      </c>
      <c r="J51" s="15">
        <v>29.629629629629601</v>
      </c>
      <c r="K51" s="15">
        <v>32</v>
      </c>
      <c r="L51" s="15">
        <v>23.4375</v>
      </c>
      <c r="M51" s="15">
        <v>26.470588235294102</v>
      </c>
      <c r="N51" s="15">
        <v>28.571428571428601</v>
      </c>
      <c r="O51" s="15">
        <v>40.476190476190503</v>
      </c>
      <c r="P51" s="15">
        <v>21.481481481481499</v>
      </c>
      <c r="Q51" s="15">
        <v>30</v>
      </c>
      <c r="R51" s="15">
        <v>30.769230769230798</v>
      </c>
      <c r="S51" s="15">
        <v>10</v>
      </c>
      <c r="T51" s="15">
        <v>42.424242424242401</v>
      </c>
      <c r="U51" s="15">
        <v>48.936170212766001</v>
      </c>
      <c r="V51" s="15">
        <v>24.074074074074101</v>
      </c>
      <c r="W51" s="15">
        <v>33.928571428571402</v>
      </c>
      <c r="X51" s="15">
        <v>30.769230769230798</v>
      </c>
      <c r="Y51" s="15">
        <v>34.146341463414601</v>
      </c>
      <c r="Z51" s="15">
        <v>26.086956521739101</v>
      </c>
      <c r="AA51" s="15">
        <v>31.5068493150685</v>
      </c>
      <c r="AB51" s="15">
        <v>26.923076923076898</v>
      </c>
      <c r="AC51" s="15">
        <v>12.3456790123457</v>
      </c>
      <c r="AD51" s="15">
        <v>17.894736842105299</v>
      </c>
      <c r="AE51" s="15">
        <v>27.868852459016399</v>
      </c>
      <c r="AF51" s="15">
        <v>32.4324324324324</v>
      </c>
      <c r="AG51" s="32">
        <v>36.533461167284798</v>
      </c>
      <c r="AH51" s="15">
        <v>25.167785234899299</v>
      </c>
      <c r="AI51" s="15">
        <v>46.902654867256601</v>
      </c>
      <c r="AJ51" s="15">
        <v>29.498525073746301</v>
      </c>
      <c r="AK51" s="15">
        <v>33.564013840830398</v>
      </c>
      <c r="AL51" s="15">
        <v>51.955307262569796</v>
      </c>
      <c r="AM51" s="15">
        <v>28.923076923076898</v>
      </c>
      <c r="AN51" s="24">
        <v>44.303797468354396</v>
      </c>
      <c r="AO51" s="38"/>
    </row>
    <row r="52" spans="1:41">
      <c r="A52" s="9" t="s">
        <v>256</v>
      </c>
      <c r="B52" s="36">
        <v>13.567315293754399</v>
      </c>
      <c r="C52" s="32">
        <v>15.860845886947001</v>
      </c>
      <c r="D52" s="32">
        <v>13.594943618211101</v>
      </c>
      <c r="E52" s="32">
        <v>12.914665735732999</v>
      </c>
      <c r="F52" s="15">
        <v>13.5416666666667</v>
      </c>
      <c r="G52" s="15">
        <v>8.9552238805970106</v>
      </c>
      <c r="H52" s="20" t="s">
        <v>76</v>
      </c>
      <c r="I52" s="15">
        <v>17.5</v>
      </c>
      <c r="J52" s="15">
        <v>17.283950617283899</v>
      </c>
      <c r="K52" s="15">
        <v>18</v>
      </c>
      <c r="L52" s="15">
        <v>6.25</v>
      </c>
      <c r="M52" s="15">
        <v>10.294117647058799</v>
      </c>
      <c r="N52" s="20" t="s">
        <v>76</v>
      </c>
      <c r="O52" s="15">
        <v>26.1904761904762</v>
      </c>
      <c r="P52" s="15">
        <v>13.3333333333333</v>
      </c>
      <c r="Q52" s="15">
        <v>10</v>
      </c>
      <c r="R52" s="15">
        <v>25.274725274725299</v>
      </c>
      <c r="S52" s="15">
        <v>9</v>
      </c>
      <c r="T52" s="20" t="s">
        <v>76</v>
      </c>
      <c r="U52" s="15">
        <v>21.2765957446809</v>
      </c>
      <c r="V52" s="15">
        <v>20.370370370370399</v>
      </c>
      <c r="W52" s="15">
        <v>8.9285714285714306</v>
      </c>
      <c r="X52" s="15">
        <v>10.5769230769231</v>
      </c>
      <c r="Y52" s="20" t="s">
        <v>76</v>
      </c>
      <c r="Z52" s="15">
        <v>26.086956521739101</v>
      </c>
      <c r="AA52" s="15">
        <v>20.5479452054795</v>
      </c>
      <c r="AB52" s="15">
        <v>14.1025641025641</v>
      </c>
      <c r="AC52" s="15">
        <v>6.1728395061728403</v>
      </c>
      <c r="AD52" s="15">
        <v>10.526315789473699</v>
      </c>
      <c r="AE52" s="15">
        <v>11.4754098360656</v>
      </c>
      <c r="AF52" s="15">
        <v>13.5135135135135</v>
      </c>
      <c r="AG52" s="32">
        <v>14.1230641684279</v>
      </c>
      <c r="AH52" s="15">
        <v>12.0805369127517</v>
      </c>
      <c r="AI52" s="15">
        <v>15.3392330383481</v>
      </c>
      <c r="AJ52" s="15">
        <v>17.109144542772899</v>
      </c>
      <c r="AK52" s="15">
        <v>18.3391003460208</v>
      </c>
      <c r="AL52" s="15">
        <v>18.435754189944099</v>
      </c>
      <c r="AM52" s="15">
        <v>9.8461538461538503</v>
      </c>
      <c r="AN52" s="24">
        <v>16.455696202531598</v>
      </c>
      <c r="AO52" s="38"/>
    </row>
    <row r="53" spans="1:41">
      <c r="A53" s="9" t="s">
        <v>257</v>
      </c>
      <c r="B53" s="36">
        <v>35.0203711353399</v>
      </c>
      <c r="C53" s="32">
        <v>34.619159984962501</v>
      </c>
      <c r="D53" s="32">
        <v>32.3669356929353</v>
      </c>
      <c r="E53" s="32">
        <v>29.284354916525299</v>
      </c>
      <c r="F53" s="15">
        <v>33.3333333333333</v>
      </c>
      <c r="G53" s="15">
        <v>23.880597014925399</v>
      </c>
      <c r="H53" s="15">
        <v>9.7560975609756095</v>
      </c>
      <c r="I53" s="15">
        <v>30</v>
      </c>
      <c r="J53" s="15">
        <v>53.086419753086403</v>
      </c>
      <c r="K53" s="15">
        <v>30</v>
      </c>
      <c r="L53" s="15">
        <v>22.65625</v>
      </c>
      <c r="M53" s="15">
        <v>22.0588235294118</v>
      </c>
      <c r="N53" s="15">
        <v>26.530612244897998</v>
      </c>
      <c r="O53" s="15">
        <v>40.476190476190503</v>
      </c>
      <c r="P53" s="15">
        <v>23.703703703703699</v>
      </c>
      <c r="Q53" s="15">
        <v>36.6666666666667</v>
      </c>
      <c r="R53" s="15">
        <v>29.6703296703297</v>
      </c>
      <c r="S53" s="15">
        <v>24</v>
      </c>
      <c r="T53" s="15">
        <v>33.3333333333333</v>
      </c>
      <c r="U53" s="15">
        <v>44.680851063829799</v>
      </c>
      <c r="V53" s="15">
        <v>22.2222222222222</v>
      </c>
      <c r="W53" s="15">
        <v>48.214285714285701</v>
      </c>
      <c r="X53" s="15">
        <v>29.807692307692299</v>
      </c>
      <c r="Y53" s="15">
        <v>41.463414634146297</v>
      </c>
      <c r="Z53" s="15">
        <v>32.6086956521739</v>
      </c>
      <c r="AA53" s="15">
        <v>41.095890410958901</v>
      </c>
      <c r="AB53" s="15">
        <v>28.205128205128201</v>
      </c>
      <c r="AC53" s="15">
        <v>20.987654320987701</v>
      </c>
      <c r="AD53" s="15">
        <v>20</v>
      </c>
      <c r="AE53" s="15">
        <v>40.983606557377101</v>
      </c>
      <c r="AF53" s="15">
        <v>35.135135135135101</v>
      </c>
      <c r="AG53" s="32">
        <v>34.760037538015602</v>
      </c>
      <c r="AH53" s="15">
        <v>21.812080536912799</v>
      </c>
      <c r="AI53" s="15">
        <v>45.132743362831903</v>
      </c>
      <c r="AJ53" s="15">
        <v>29.498525073746301</v>
      </c>
      <c r="AK53" s="15">
        <v>22.837370242214501</v>
      </c>
      <c r="AL53" s="15">
        <v>35.195530726256997</v>
      </c>
      <c r="AM53" s="15">
        <v>25.538461538461501</v>
      </c>
      <c r="AN53" s="24">
        <v>60.759493670886101</v>
      </c>
      <c r="AO53" s="38"/>
    </row>
    <row r="54" spans="1:41">
      <c r="A54" s="9" t="s">
        <v>258</v>
      </c>
      <c r="B54" s="36">
        <v>38.780831103357599</v>
      </c>
      <c r="C54" s="32">
        <v>39.294564821199899</v>
      </c>
      <c r="D54" s="32">
        <v>35.733294274723903</v>
      </c>
      <c r="E54" s="32">
        <v>42.689505539547604</v>
      </c>
      <c r="F54" s="15">
        <v>50</v>
      </c>
      <c r="G54" s="15">
        <v>35.820895522388099</v>
      </c>
      <c r="H54" s="15">
        <v>25.609756097561</v>
      </c>
      <c r="I54" s="15">
        <v>40</v>
      </c>
      <c r="J54" s="15">
        <v>37.037037037037003</v>
      </c>
      <c r="K54" s="15">
        <v>28</v>
      </c>
      <c r="L54" s="15">
        <v>25.78125</v>
      </c>
      <c r="M54" s="15">
        <v>38.235294117647101</v>
      </c>
      <c r="N54" s="15">
        <v>38.775510204081598</v>
      </c>
      <c r="O54" s="15">
        <v>59.523809523809497</v>
      </c>
      <c r="P54" s="15">
        <v>49.629629629629598</v>
      </c>
      <c r="Q54" s="15">
        <v>58.3333333333333</v>
      </c>
      <c r="R54" s="15">
        <v>42.857142857142897</v>
      </c>
      <c r="S54" s="15">
        <v>36</v>
      </c>
      <c r="T54" s="15">
        <v>48.484848484848499</v>
      </c>
      <c r="U54" s="15">
        <v>46.808510638297903</v>
      </c>
      <c r="V54" s="15">
        <v>50</v>
      </c>
      <c r="W54" s="15">
        <v>55.357142857142897</v>
      </c>
      <c r="X54" s="15">
        <v>45.192307692307701</v>
      </c>
      <c r="Y54" s="15">
        <v>43.902439024390198</v>
      </c>
      <c r="Z54" s="15">
        <v>63.043478260869598</v>
      </c>
      <c r="AA54" s="15">
        <v>34.246575342465803</v>
      </c>
      <c r="AB54" s="15">
        <v>52.564102564102598</v>
      </c>
      <c r="AC54" s="15">
        <v>33.3333333333333</v>
      </c>
      <c r="AD54" s="15">
        <v>37.894736842105303</v>
      </c>
      <c r="AE54" s="15">
        <v>52.459016393442603</v>
      </c>
      <c r="AF54" s="15">
        <v>35.135135135135101</v>
      </c>
      <c r="AG54" s="32">
        <v>30.332974471262201</v>
      </c>
      <c r="AH54" s="15">
        <v>23.1543624161074</v>
      </c>
      <c r="AI54" s="15">
        <v>33.038348082595903</v>
      </c>
      <c r="AJ54" s="15">
        <v>33.628318584070797</v>
      </c>
      <c r="AK54" s="15">
        <v>33.910034602076102</v>
      </c>
      <c r="AL54" s="15">
        <v>47.486033519553096</v>
      </c>
      <c r="AM54" s="15">
        <v>27.076923076923102</v>
      </c>
      <c r="AN54" s="24">
        <v>35.759493670886101</v>
      </c>
      <c r="AO54" s="38"/>
    </row>
    <row r="55" spans="1:41">
      <c r="A55" s="9" t="s">
        <v>259</v>
      </c>
      <c r="B55" s="36">
        <v>5.0022913128617201</v>
      </c>
      <c r="C55" s="32">
        <v>6.0488953047688003</v>
      </c>
      <c r="D55" s="32">
        <v>3.6053664788680702</v>
      </c>
      <c r="E55" s="32">
        <v>4.4626805991667498</v>
      </c>
      <c r="F55" s="20" t="s">
        <v>76</v>
      </c>
      <c r="G55" s="15">
        <v>10.4477611940298</v>
      </c>
      <c r="H55" s="20" t="s">
        <v>76</v>
      </c>
      <c r="I55" s="20" t="s">
        <v>76</v>
      </c>
      <c r="J55" s="20" t="s">
        <v>76</v>
      </c>
      <c r="K55" s="20" t="s">
        <v>76</v>
      </c>
      <c r="L55" s="15">
        <v>4.6875</v>
      </c>
      <c r="M55" s="20" t="s">
        <v>76</v>
      </c>
      <c r="N55" s="20" t="s">
        <v>76</v>
      </c>
      <c r="O55" s="15">
        <v>11.9047619047619</v>
      </c>
      <c r="P55" s="20" t="s">
        <v>76</v>
      </c>
      <c r="Q55" s="20" t="s">
        <v>76</v>
      </c>
      <c r="R55" s="15">
        <v>7.6923076923076898</v>
      </c>
      <c r="S55" s="20" t="s">
        <v>76</v>
      </c>
      <c r="T55" s="20" t="s">
        <v>76</v>
      </c>
      <c r="U55" s="20" t="s">
        <v>76</v>
      </c>
      <c r="V55" s="20" t="s">
        <v>76</v>
      </c>
      <c r="W55" s="20" t="s">
        <v>76</v>
      </c>
      <c r="X55" s="15">
        <v>4.8076923076923102</v>
      </c>
      <c r="Y55" s="20" t="s">
        <v>76</v>
      </c>
      <c r="Z55" s="20" t="s">
        <v>76</v>
      </c>
      <c r="AA55" s="15">
        <v>6.8493150684931496</v>
      </c>
      <c r="AB55" s="15">
        <v>6.4102564102564097</v>
      </c>
      <c r="AC55" s="20" t="s">
        <v>76</v>
      </c>
      <c r="AD55" s="20" t="s">
        <v>76</v>
      </c>
      <c r="AE55" s="20" t="s">
        <v>76</v>
      </c>
      <c r="AF55" s="20" t="s">
        <v>76</v>
      </c>
      <c r="AG55" s="32">
        <v>2.939807276397</v>
      </c>
      <c r="AH55" s="15">
        <v>2.6845637583892601</v>
      </c>
      <c r="AI55" s="15">
        <v>2.9498525073746298</v>
      </c>
      <c r="AJ55" s="15">
        <v>4.4247787610619502</v>
      </c>
      <c r="AK55" s="15">
        <v>2.4221453287197199</v>
      </c>
      <c r="AL55" s="15">
        <v>3.91061452513966</v>
      </c>
      <c r="AM55" s="15">
        <v>2.1538461538461502</v>
      </c>
      <c r="AN55" s="24">
        <v>4.43037974683544</v>
      </c>
      <c r="AO55" s="38"/>
    </row>
    <row r="56" spans="1:41">
      <c r="A56" s="9" t="s">
        <v>260</v>
      </c>
      <c r="B56" s="36">
        <v>13.9800913504642</v>
      </c>
      <c r="C56" s="32">
        <v>14.2112147714221</v>
      </c>
      <c r="D56" s="32">
        <v>12.2039484419714</v>
      </c>
      <c r="E56" s="32">
        <v>12.447283568722399</v>
      </c>
      <c r="F56" s="15">
        <v>21.875</v>
      </c>
      <c r="G56" s="15">
        <v>11.9402985074627</v>
      </c>
      <c r="H56" s="20" t="s">
        <v>76</v>
      </c>
      <c r="I56" s="15">
        <v>17.5</v>
      </c>
      <c r="J56" s="15">
        <v>12.3456790123457</v>
      </c>
      <c r="K56" s="15">
        <v>18</v>
      </c>
      <c r="L56" s="15">
        <v>11.71875</v>
      </c>
      <c r="M56" s="20" t="s">
        <v>76</v>
      </c>
      <c r="N56" s="15">
        <v>12.244897959183699</v>
      </c>
      <c r="O56" s="15">
        <v>19.047619047619001</v>
      </c>
      <c r="P56" s="15">
        <v>16.296296296296301</v>
      </c>
      <c r="Q56" s="15">
        <v>11.6666666666667</v>
      </c>
      <c r="R56" s="15">
        <v>13.1868131868132</v>
      </c>
      <c r="S56" s="15">
        <v>8</v>
      </c>
      <c r="T56" s="15">
        <v>15.1515151515152</v>
      </c>
      <c r="U56" s="15">
        <v>10.6382978723404</v>
      </c>
      <c r="V56" s="15">
        <v>20.370370370370399</v>
      </c>
      <c r="W56" s="15">
        <v>16.071428571428601</v>
      </c>
      <c r="X56" s="15">
        <v>12.5</v>
      </c>
      <c r="Y56" s="20" t="s">
        <v>76</v>
      </c>
      <c r="Z56" s="15">
        <v>15.2173913043478</v>
      </c>
      <c r="AA56" s="15">
        <v>15.068493150684899</v>
      </c>
      <c r="AB56" s="15">
        <v>12.8205128205128</v>
      </c>
      <c r="AC56" s="20" t="s">
        <v>76</v>
      </c>
      <c r="AD56" s="15">
        <v>8.4210526315789505</v>
      </c>
      <c r="AE56" s="15">
        <v>16.393442622950801</v>
      </c>
      <c r="AF56" s="15">
        <v>27.027027027027</v>
      </c>
      <c r="AG56" s="32">
        <v>12.0150399321743</v>
      </c>
      <c r="AH56" s="15">
        <v>7.0469798657718101</v>
      </c>
      <c r="AI56" s="15">
        <v>12.6843657817109</v>
      </c>
      <c r="AJ56" s="15">
        <v>14.7492625368732</v>
      </c>
      <c r="AK56" s="15">
        <v>5.1903114186851198</v>
      </c>
      <c r="AL56" s="15">
        <v>22.346368715083798</v>
      </c>
      <c r="AM56" s="15">
        <v>6.7692307692307701</v>
      </c>
      <c r="AN56" s="24">
        <v>17.4050632911392</v>
      </c>
      <c r="AO56" s="38"/>
    </row>
    <row r="57" spans="1:41">
      <c r="A57" s="9" t="s">
        <v>261</v>
      </c>
      <c r="B57" s="36">
        <v>10.609941314842301</v>
      </c>
      <c r="C57" s="32">
        <v>10.2423489832728</v>
      </c>
      <c r="D57" s="32">
        <v>8.3237814968177606</v>
      </c>
      <c r="E57" s="32">
        <v>10.086679702303201</v>
      </c>
      <c r="F57" s="15">
        <v>12.5</v>
      </c>
      <c r="G57" s="15">
        <v>13.4328358208955</v>
      </c>
      <c r="H57" s="20" t="s">
        <v>76</v>
      </c>
      <c r="I57" s="20" t="s">
        <v>76</v>
      </c>
      <c r="J57" s="15">
        <v>8.6419753086419693</v>
      </c>
      <c r="K57" s="20" t="s">
        <v>76</v>
      </c>
      <c r="L57" s="15">
        <v>6.25</v>
      </c>
      <c r="M57" s="15">
        <v>8.8235294117646994</v>
      </c>
      <c r="N57" s="15">
        <v>12.244897959183699</v>
      </c>
      <c r="O57" s="15">
        <v>28.571428571428601</v>
      </c>
      <c r="P57" s="15">
        <v>8.1481481481481506</v>
      </c>
      <c r="Q57" s="20" t="s">
        <v>76</v>
      </c>
      <c r="R57" s="15">
        <v>9.8901098901098905</v>
      </c>
      <c r="S57" s="15">
        <v>5</v>
      </c>
      <c r="T57" s="15">
        <v>21.2121212121212</v>
      </c>
      <c r="U57" s="20" t="s">
        <v>76</v>
      </c>
      <c r="V57" s="15">
        <v>14.814814814814801</v>
      </c>
      <c r="W57" s="15">
        <v>16.071428571428601</v>
      </c>
      <c r="X57" s="15">
        <v>7.6923076923076898</v>
      </c>
      <c r="Y57" s="20" t="s">
        <v>76</v>
      </c>
      <c r="Z57" s="15">
        <v>23.913043478260899</v>
      </c>
      <c r="AA57" s="15">
        <v>13.698630136986299</v>
      </c>
      <c r="AB57" s="15">
        <v>10.2564102564103</v>
      </c>
      <c r="AC57" s="20" t="s">
        <v>76</v>
      </c>
      <c r="AD57" s="15">
        <v>6.3157894736842097</v>
      </c>
      <c r="AE57" s="15">
        <v>16.393442622950801</v>
      </c>
      <c r="AF57" s="15">
        <v>16.2162162162162</v>
      </c>
      <c r="AG57" s="32">
        <v>6.9551896401108904</v>
      </c>
      <c r="AH57" s="15">
        <v>5.0335570469798698</v>
      </c>
      <c r="AI57" s="15">
        <v>6.19469026548673</v>
      </c>
      <c r="AJ57" s="15">
        <v>5.8997050147492596</v>
      </c>
      <c r="AK57" s="15">
        <v>5.8823529411764701</v>
      </c>
      <c r="AL57" s="15">
        <v>8.3798882681564208</v>
      </c>
      <c r="AM57" s="15">
        <v>5.2307692307692299</v>
      </c>
      <c r="AN57" s="24">
        <v>12.974683544303801</v>
      </c>
      <c r="AO57" s="38"/>
    </row>
    <row r="58" spans="1:41">
      <c r="A58" s="9" t="s">
        <v>262</v>
      </c>
      <c r="B58" s="36">
        <v>25.3531912638284</v>
      </c>
      <c r="C58" s="32">
        <v>25.9382993911799</v>
      </c>
      <c r="D58" s="32">
        <v>23.919850113743401</v>
      </c>
      <c r="E58" s="32">
        <v>15.8542043814836</v>
      </c>
      <c r="F58" s="15">
        <v>19.7916666666667</v>
      </c>
      <c r="G58" s="15">
        <v>8.9552238805970106</v>
      </c>
      <c r="H58" s="15">
        <v>8.5365853658536608</v>
      </c>
      <c r="I58" s="20" t="s">
        <v>76</v>
      </c>
      <c r="J58" s="15">
        <v>22.2222222222222</v>
      </c>
      <c r="K58" s="15">
        <v>12</v>
      </c>
      <c r="L58" s="15">
        <v>12.5</v>
      </c>
      <c r="M58" s="15">
        <v>11.764705882352899</v>
      </c>
      <c r="N58" s="15">
        <v>12.244897959183699</v>
      </c>
      <c r="O58" s="15">
        <v>30.952380952380999</v>
      </c>
      <c r="P58" s="15">
        <v>16.296296296296301</v>
      </c>
      <c r="Q58" s="15">
        <v>20</v>
      </c>
      <c r="R58" s="15">
        <v>18.6813186813187</v>
      </c>
      <c r="S58" s="15">
        <v>9</v>
      </c>
      <c r="T58" s="15">
        <v>21.2121212121212</v>
      </c>
      <c r="U58" s="15">
        <v>27.659574468085101</v>
      </c>
      <c r="V58" s="15">
        <v>12.962962962962999</v>
      </c>
      <c r="W58" s="15">
        <v>17.8571428571429</v>
      </c>
      <c r="X58" s="15">
        <v>19.230769230769202</v>
      </c>
      <c r="Y58" s="20" t="s">
        <v>76</v>
      </c>
      <c r="Z58" s="15">
        <v>19.565217391304301</v>
      </c>
      <c r="AA58" s="15">
        <v>6.8493150684931496</v>
      </c>
      <c r="AB58" s="15">
        <v>26.923076923076898</v>
      </c>
      <c r="AC58" s="15">
        <v>9.8765432098765409</v>
      </c>
      <c r="AD58" s="15">
        <v>16.842105263157901</v>
      </c>
      <c r="AE58" s="15">
        <v>18.032786885245901</v>
      </c>
      <c r="AF58" s="15">
        <v>24.324324324324301</v>
      </c>
      <c r="AG58" s="32">
        <v>30.181457865061901</v>
      </c>
      <c r="AH58" s="15">
        <v>19.798657718120801</v>
      </c>
      <c r="AI58" s="15">
        <v>32.153392330383497</v>
      </c>
      <c r="AJ58" s="15">
        <v>24.188790560472</v>
      </c>
      <c r="AK58" s="15">
        <v>25.259515570934301</v>
      </c>
      <c r="AL58" s="15">
        <v>30.726256983240201</v>
      </c>
      <c r="AM58" s="15">
        <v>28.307692307692299</v>
      </c>
      <c r="AN58" s="24">
        <v>33.544303797468402</v>
      </c>
      <c r="AO58" s="38"/>
    </row>
    <row r="59" spans="1:41">
      <c r="A59" s="9" t="s">
        <v>263</v>
      </c>
      <c r="B59" s="36">
        <v>1.51754319838762</v>
      </c>
      <c r="C59" s="32">
        <v>1.2067390702879699</v>
      </c>
      <c r="D59" s="32">
        <v>0.868946071990089</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15">
        <v>2.0648967551622399</v>
      </c>
      <c r="AJ59" s="20" t="s">
        <v>76</v>
      </c>
      <c r="AK59" s="20" t="s">
        <v>76</v>
      </c>
      <c r="AL59" s="20" t="s">
        <v>76</v>
      </c>
      <c r="AM59" s="20" t="s">
        <v>76</v>
      </c>
      <c r="AN59" s="24">
        <v>1.58227848101266</v>
      </c>
      <c r="AO59" s="38"/>
    </row>
    <row r="60" spans="1:41">
      <c r="A60" s="9" t="s">
        <v>264</v>
      </c>
      <c r="B60" s="36">
        <v>1.1300126511994499</v>
      </c>
      <c r="C60" s="32">
        <v>0.96552821568578295</v>
      </c>
      <c r="D60" s="32">
        <v>0.78739163743053897</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15">
        <v>1.76991150442478</v>
      </c>
      <c r="AJ60" s="20" t="s">
        <v>76</v>
      </c>
      <c r="AK60" s="20" t="s">
        <v>76</v>
      </c>
      <c r="AL60" s="20" t="s">
        <v>76</v>
      </c>
      <c r="AM60" s="20" t="s">
        <v>76</v>
      </c>
      <c r="AN60" s="26" t="s">
        <v>76</v>
      </c>
      <c r="AO60" s="38"/>
    </row>
    <row r="61" spans="1:41">
      <c r="A61" s="9" t="s">
        <v>265</v>
      </c>
      <c r="B61" s="36">
        <v>1.20267165928746</v>
      </c>
      <c r="C61" s="32">
        <v>1.0626238240729999</v>
      </c>
      <c r="D61" s="32">
        <v>0.81951086371290205</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15">
        <v>2.3598820058997001</v>
      </c>
      <c r="AJ61" s="20" t="s">
        <v>76</v>
      </c>
      <c r="AK61" s="20" t="s">
        <v>76</v>
      </c>
      <c r="AL61" s="20" t="s">
        <v>76</v>
      </c>
      <c r="AM61" s="15">
        <v>1.84615384615385</v>
      </c>
      <c r="AN61" s="26" t="s">
        <v>76</v>
      </c>
      <c r="AO61" s="38"/>
    </row>
    <row r="62" spans="1:41">
      <c r="A62" s="9" t="s">
        <v>266</v>
      </c>
      <c r="B62" s="36">
        <v>2.6865863482646999</v>
      </c>
      <c r="C62" s="32">
        <v>2.76955376136927</v>
      </c>
      <c r="D62" s="32">
        <v>2.07192106175519</v>
      </c>
      <c r="E62" s="32">
        <v>2.0971320906700801</v>
      </c>
      <c r="F62" s="20" t="s">
        <v>76</v>
      </c>
      <c r="G62" s="20" t="s">
        <v>76</v>
      </c>
      <c r="H62" s="20" t="s">
        <v>76</v>
      </c>
      <c r="I62" s="20" t="s">
        <v>76</v>
      </c>
      <c r="J62" s="20" t="s">
        <v>76</v>
      </c>
      <c r="K62" s="20" t="s">
        <v>76</v>
      </c>
      <c r="L62" s="20" t="s">
        <v>76</v>
      </c>
      <c r="M62" s="20" t="s">
        <v>76</v>
      </c>
      <c r="N62" s="20" t="s">
        <v>76</v>
      </c>
      <c r="O62" s="20" t="s">
        <v>76</v>
      </c>
      <c r="P62" s="20" t="s">
        <v>76</v>
      </c>
      <c r="Q62" s="15">
        <v>8.3333333333333304</v>
      </c>
      <c r="R62" s="20" t="s">
        <v>76</v>
      </c>
      <c r="S62" s="20" t="s">
        <v>76</v>
      </c>
      <c r="T62" s="20" t="s">
        <v>76</v>
      </c>
      <c r="U62" s="20" t="s">
        <v>76</v>
      </c>
      <c r="V62" s="20" t="s">
        <v>76</v>
      </c>
      <c r="W62" s="20" t="s">
        <v>76</v>
      </c>
      <c r="X62" s="20" t="s">
        <v>76</v>
      </c>
      <c r="Y62" s="20" t="s">
        <v>76</v>
      </c>
      <c r="Z62" s="20" t="s">
        <v>76</v>
      </c>
      <c r="AA62" s="15">
        <v>8.2191780821917799</v>
      </c>
      <c r="AB62" s="20" t="s">
        <v>76</v>
      </c>
      <c r="AC62" s="20" t="s">
        <v>76</v>
      </c>
      <c r="AD62" s="20" t="s">
        <v>76</v>
      </c>
      <c r="AE62" s="20" t="s">
        <v>76</v>
      </c>
      <c r="AF62" s="20" t="s">
        <v>76</v>
      </c>
      <c r="AG62" s="32">
        <v>2.0523489680490701</v>
      </c>
      <c r="AH62" s="15">
        <v>2.3489932885906</v>
      </c>
      <c r="AI62" s="15">
        <v>3.24483775811209</v>
      </c>
      <c r="AJ62" s="15">
        <v>2.65486725663717</v>
      </c>
      <c r="AK62" s="20" t="s">
        <v>76</v>
      </c>
      <c r="AL62" s="20" t="s">
        <v>76</v>
      </c>
      <c r="AM62" s="15">
        <v>1.84615384615385</v>
      </c>
      <c r="AN62" s="24">
        <v>2.21518987341772</v>
      </c>
      <c r="AO62" s="38"/>
    </row>
    <row r="63" spans="1:41">
      <c r="A63" s="9" t="s">
        <v>267</v>
      </c>
      <c r="B63" s="36">
        <v>10.778992366175601</v>
      </c>
      <c r="C63" s="32">
        <v>9.8862464954442402</v>
      </c>
      <c r="D63" s="32">
        <v>8.5070054548239895</v>
      </c>
      <c r="E63" s="32">
        <v>10.5541633906839</v>
      </c>
      <c r="F63" s="15">
        <v>12.5</v>
      </c>
      <c r="G63" s="20" t="s">
        <v>76</v>
      </c>
      <c r="H63" s="20" t="s">
        <v>76</v>
      </c>
      <c r="I63" s="20" t="s">
        <v>76</v>
      </c>
      <c r="J63" s="15">
        <v>11.1111111111111</v>
      </c>
      <c r="K63" s="15">
        <v>10</v>
      </c>
      <c r="L63" s="15">
        <v>11.71875</v>
      </c>
      <c r="M63" s="15">
        <v>7.3529411764705896</v>
      </c>
      <c r="N63" s="20" t="s">
        <v>76</v>
      </c>
      <c r="O63" s="15">
        <v>16.6666666666667</v>
      </c>
      <c r="P63" s="15">
        <v>6.6666666666666696</v>
      </c>
      <c r="Q63" s="15">
        <v>11.6666666666667</v>
      </c>
      <c r="R63" s="15">
        <v>16.4835164835165</v>
      </c>
      <c r="S63" s="15">
        <v>9</v>
      </c>
      <c r="T63" s="15">
        <v>27.272727272727298</v>
      </c>
      <c r="U63" s="15">
        <v>12.7659574468085</v>
      </c>
      <c r="V63" s="15">
        <v>12.962962962962999</v>
      </c>
      <c r="W63" s="20" t="s">
        <v>76</v>
      </c>
      <c r="X63" s="15">
        <v>6.7307692307692299</v>
      </c>
      <c r="Y63" s="15">
        <v>12.1951219512195</v>
      </c>
      <c r="Z63" s="20" t="s">
        <v>76</v>
      </c>
      <c r="AA63" s="15">
        <v>9.5890410958904102</v>
      </c>
      <c r="AB63" s="15">
        <v>16.6666666666667</v>
      </c>
      <c r="AC63" s="15">
        <v>6.1728395061728403</v>
      </c>
      <c r="AD63" s="15">
        <v>9.4736842105263204</v>
      </c>
      <c r="AE63" s="15">
        <v>14.7540983606557</v>
      </c>
      <c r="AF63" s="20" t="s">
        <v>76</v>
      </c>
      <c r="AG63" s="32">
        <v>6.9177340654194301</v>
      </c>
      <c r="AH63" s="15">
        <v>5.0335570469798698</v>
      </c>
      <c r="AI63" s="15">
        <v>9.1445427728613602</v>
      </c>
      <c r="AJ63" s="15">
        <v>7.3746312684365796</v>
      </c>
      <c r="AK63" s="15">
        <v>6.9204152249134898</v>
      </c>
      <c r="AL63" s="15">
        <v>10.614525139664799</v>
      </c>
      <c r="AM63" s="15">
        <v>8</v>
      </c>
      <c r="AN63" s="24">
        <v>7.59493670886076</v>
      </c>
      <c r="AO63" s="38"/>
    </row>
    <row r="64" spans="1:41">
      <c r="A64" s="11" t="s">
        <v>268</v>
      </c>
      <c r="B64" s="37">
        <v>10.071137761762801</v>
      </c>
      <c r="C64" s="33">
        <v>9.4296933329155692</v>
      </c>
      <c r="D64" s="33">
        <v>8.0936620522279306</v>
      </c>
      <c r="E64" s="33">
        <v>8.4009627147105093</v>
      </c>
      <c r="F64" s="16">
        <v>10.4166666666667</v>
      </c>
      <c r="G64" s="16">
        <v>7.4626865671641802</v>
      </c>
      <c r="H64" s="16">
        <v>8.5365853658536608</v>
      </c>
      <c r="I64" s="28" t="s">
        <v>76</v>
      </c>
      <c r="J64" s="16">
        <v>18.518518518518501</v>
      </c>
      <c r="K64" s="28" t="s">
        <v>76</v>
      </c>
      <c r="L64" s="16">
        <v>10.15625</v>
      </c>
      <c r="M64" s="28" t="s">
        <v>76</v>
      </c>
      <c r="N64" s="16">
        <v>10.2040816326531</v>
      </c>
      <c r="O64" s="28" t="s">
        <v>76</v>
      </c>
      <c r="P64" s="16">
        <v>8.8888888888888893</v>
      </c>
      <c r="Q64" s="16">
        <v>18.3333333333333</v>
      </c>
      <c r="R64" s="16">
        <v>8.7912087912087902</v>
      </c>
      <c r="S64" s="16">
        <v>8</v>
      </c>
      <c r="T64" s="16">
        <v>15.1515151515152</v>
      </c>
      <c r="U64" s="16">
        <v>10.6382978723404</v>
      </c>
      <c r="V64" s="16">
        <v>9.2592592592592595</v>
      </c>
      <c r="W64" s="28" t="s">
        <v>76</v>
      </c>
      <c r="X64" s="28" t="s">
        <v>76</v>
      </c>
      <c r="Y64" s="28" t="s">
        <v>76</v>
      </c>
      <c r="Z64" s="28" t="s">
        <v>76</v>
      </c>
      <c r="AA64" s="16">
        <v>10.958904109589</v>
      </c>
      <c r="AB64" s="16">
        <v>6.4102564102564097</v>
      </c>
      <c r="AC64" s="28" t="s">
        <v>76</v>
      </c>
      <c r="AD64" s="16">
        <v>9.4736842105263204</v>
      </c>
      <c r="AE64" s="28" t="s">
        <v>76</v>
      </c>
      <c r="AF64" s="28" t="s">
        <v>76</v>
      </c>
      <c r="AG64" s="33">
        <v>7.8550951384233496</v>
      </c>
      <c r="AH64" s="16">
        <v>6.0402684563758404</v>
      </c>
      <c r="AI64" s="16">
        <v>13.569321533923301</v>
      </c>
      <c r="AJ64" s="16">
        <v>6.7846607669616503</v>
      </c>
      <c r="AK64" s="16">
        <v>8.3044982698961896</v>
      </c>
      <c r="AL64" s="16">
        <v>8.9385474860335208</v>
      </c>
      <c r="AM64" s="16">
        <v>6.4615384615384599</v>
      </c>
      <c r="AN64" s="25">
        <v>9.81012658227848</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270</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5" customHeight="1">
      <c r="A4" s="22" t="s">
        <v>69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5" customHeight="1">
      <c r="A5" s="22" t="s">
        <v>70</v>
      </c>
      <c r="B5" s="15">
        <v>50.149233610625302</v>
      </c>
      <c r="C5" s="15">
        <v>51.967366958731802</v>
      </c>
      <c r="D5" s="24">
        <v>48.737761021406499</v>
      </c>
      <c r="E5" s="15">
        <v>49.266083162037297</v>
      </c>
      <c r="F5" s="15">
        <v>53.048729191656399</v>
      </c>
      <c r="G5" s="24">
        <v>46.209908796190099</v>
      </c>
      <c r="H5" s="15">
        <v>51.379231792852998</v>
      </c>
      <c r="I5" s="15">
        <v>50.827601151312301</v>
      </c>
      <c r="J5" s="24">
        <v>51.806954292494702</v>
      </c>
      <c r="K5" s="20" t="s">
        <v>76</v>
      </c>
      <c r="L5" s="20" t="s">
        <v>76</v>
      </c>
      <c r="M5" s="26" t="s">
        <v>76</v>
      </c>
      <c r="N5" s="15">
        <v>39.698636718788897</v>
      </c>
      <c r="O5" s="20" t="s">
        <v>76</v>
      </c>
      <c r="P5" s="26" t="s">
        <v>76</v>
      </c>
    </row>
    <row r="6" spans="1:16" ht="21.95" customHeight="1">
      <c r="A6" s="22" t="s">
        <v>165</v>
      </c>
      <c r="B6" s="15">
        <v>51.967366958731802</v>
      </c>
      <c r="C6" s="15">
        <v>51.967366958731802</v>
      </c>
      <c r="D6" s="26" t="s">
        <v>76</v>
      </c>
      <c r="E6" s="15">
        <v>53.048729191656399</v>
      </c>
      <c r="F6" s="15">
        <v>53.048729191656399</v>
      </c>
      <c r="G6" s="26" t="s">
        <v>76</v>
      </c>
      <c r="H6" s="15">
        <v>50.827601151312301</v>
      </c>
      <c r="I6" s="15">
        <v>50.827601151312301</v>
      </c>
      <c r="J6" s="26" t="s">
        <v>76</v>
      </c>
      <c r="K6" s="20" t="s">
        <v>76</v>
      </c>
      <c r="L6" s="20" t="s">
        <v>76</v>
      </c>
      <c r="M6" s="26" t="s">
        <v>76</v>
      </c>
      <c r="N6" s="20" t="s">
        <v>76</v>
      </c>
      <c r="O6" s="20" t="s">
        <v>76</v>
      </c>
      <c r="P6" s="26" t="s">
        <v>76</v>
      </c>
    </row>
    <row r="7" spans="1:16">
      <c r="A7" s="9" t="s">
        <v>166</v>
      </c>
      <c r="B7" s="15">
        <v>36.4583333333333</v>
      </c>
      <c r="C7" s="15">
        <v>36.4583333333333</v>
      </c>
      <c r="D7" s="26" t="s">
        <v>76</v>
      </c>
      <c r="E7" s="15">
        <v>41.6666666666667</v>
      </c>
      <c r="F7" s="15">
        <v>41.6666666666667</v>
      </c>
      <c r="G7" s="26" t="s">
        <v>76</v>
      </c>
      <c r="H7" s="15">
        <v>31.25</v>
      </c>
      <c r="I7" s="15">
        <v>31.25</v>
      </c>
      <c r="J7" s="26" t="s">
        <v>76</v>
      </c>
      <c r="K7" s="20" t="s">
        <v>76</v>
      </c>
      <c r="L7" s="20" t="s">
        <v>76</v>
      </c>
      <c r="M7" s="26" t="s">
        <v>76</v>
      </c>
      <c r="N7" s="20" t="s">
        <v>76</v>
      </c>
      <c r="O7" s="20" t="s">
        <v>76</v>
      </c>
      <c r="P7" s="26" t="s">
        <v>76</v>
      </c>
    </row>
    <row r="8" spans="1:16">
      <c r="A8" s="9" t="s">
        <v>167</v>
      </c>
      <c r="B8" s="15">
        <v>52.238805970149301</v>
      </c>
      <c r="C8" s="15">
        <v>52.238805970149301</v>
      </c>
      <c r="D8" s="26" t="s">
        <v>76</v>
      </c>
      <c r="E8" s="15">
        <v>55.172413793103502</v>
      </c>
      <c r="F8" s="15">
        <v>55.172413793103502</v>
      </c>
      <c r="G8" s="26" t="s">
        <v>76</v>
      </c>
      <c r="H8" s="15">
        <v>50</v>
      </c>
      <c r="I8" s="15">
        <v>50</v>
      </c>
      <c r="J8" s="26" t="s">
        <v>76</v>
      </c>
      <c r="K8" s="20" t="s">
        <v>76</v>
      </c>
      <c r="L8" s="20" t="s">
        <v>76</v>
      </c>
      <c r="M8" s="26" t="s">
        <v>76</v>
      </c>
      <c r="N8" s="20" t="s">
        <v>76</v>
      </c>
      <c r="O8" s="20" t="s">
        <v>76</v>
      </c>
      <c r="P8" s="26" t="s">
        <v>76</v>
      </c>
    </row>
    <row r="9" spans="1:16">
      <c r="A9" s="9" t="s">
        <v>168</v>
      </c>
      <c r="B9" s="15">
        <v>23.170731707317099</v>
      </c>
      <c r="C9" s="15">
        <v>23.170731707317099</v>
      </c>
      <c r="D9" s="26" t="s">
        <v>76</v>
      </c>
      <c r="E9" s="15">
        <v>37.5</v>
      </c>
      <c r="F9" s="15">
        <v>37.5</v>
      </c>
      <c r="G9" s="26" t="s">
        <v>76</v>
      </c>
      <c r="H9" s="20" t="s">
        <v>76</v>
      </c>
      <c r="I9" s="20" t="s">
        <v>76</v>
      </c>
      <c r="J9" s="26" t="s">
        <v>76</v>
      </c>
      <c r="K9" s="20" t="s">
        <v>76</v>
      </c>
      <c r="L9" s="20" t="s">
        <v>76</v>
      </c>
      <c r="M9" s="26" t="s">
        <v>76</v>
      </c>
      <c r="N9" s="20" t="s">
        <v>76</v>
      </c>
      <c r="O9" s="20" t="s">
        <v>76</v>
      </c>
      <c r="P9" s="26" t="s">
        <v>76</v>
      </c>
    </row>
    <row r="10" spans="1:16">
      <c r="A10" s="9" t="s">
        <v>169</v>
      </c>
      <c r="B10" s="15">
        <v>62.5</v>
      </c>
      <c r="C10" s="15">
        <v>62.5</v>
      </c>
      <c r="D10" s="26" t="s">
        <v>76</v>
      </c>
      <c r="E10" s="15">
        <v>47.058823529411796</v>
      </c>
      <c r="F10" s="15">
        <v>47.058823529411796</v>
      </c>
      <c r="G10" s="26" t="s">
        <v>76</v>
      </c>
      <c r="H10" s="15">
        <v>73.913043478260903</v>
      </c>
      <c r="I10" s="15">
        <v>73.913043478260903</v>
      </c>
      <c r="J10" s="26" t="s">
        <v>76</v>
      </c>
      <c r="K10" s="20" t="s">
        <v>76</v>
      </c>
      <c r="L10" s="20" t="s">
        <v>76</v>
      </c>
      <c r="M10" s="26" t="s">
        <v>76</v>
      </c>
      <c r="N10" s="20" t="s">
        <v>76</v>
      </c>
      <c r="O10" s="20" t="s">
        <v>76</v>
      </c>
      <c r="P10" s="26" t="s">
        <v>76</v>
      </c>
    </row>
    <row r="11" spans="1:16">
      <c r="A11" s="9" t="s">
        <v>170</v>
      </c>
      <c r="B11" s="15">
        <v>55.5555555555556</v>
      </c>
      <c r="C11" s="15">
        <v>55.5555555555556</v>
      </c>
      <c r="D11" s="26" t="s">
        <v>76</v>
      </c>
      <c r="E11" s="15">
        <v>63.414634146341498</v>
      </c>
      <c r="F11" s="15">
        <v>63.414634146341498</v>
      </c>
      <c r="G11" s="26" t="s">
        <v>76</v>
      </c>
      <c r="H11" s="15">
        <v>45.945945945945901</v>
      </c>
      <c r="I11" s="15">
        <v>45.945945945945901</v>
      </c>
      <c r="J11" s="26" t="s">
        <v>76</v>
      </c>
      <c r="K11" s="20" t="s">
        <v>76</v>
      </c>
      <c r="L11" s="20" t="s">
        <v>76</v>
      </c>
      <c r="M11" s="26" t="s">
        <v>76</v>
      </c>
      <c r="N11" s="20" t="s">
        <v>76</v>
      </c>
      <c r="O11" s="20" t="s">
        <v>76</v>
      </c>
      <c r="P11" s="26" t="s">
        <v>76</v>
      </c>
    </row>
    <row r="12" spans="1:16">
      <c r="A12" s="9" t="s">
        <v>171</v>
      </c>
      <c r="B12" s="15">
        <v>54</v>
      </c>
      <c r="C12" s="15">
        <v>54</v>
      </c>
      <c r="D12" s="26" t="s">
        <v>76</v>
      </c>
      <c r="E12" s="15">
        <v>66.6666666666667</v>
      </c>
      <c r="F12" s="15">
        <v>66.6666666666667</v>
      </c>
      <c r="G12" s="26" t="s">
        <v>76</v>
      </c>
      <c r="H12" s="15">
        <v>42.307692307692299</v>
      </c>
      <c r="I12" s="15">
        <v>42.307692307692299</v>
      </c>
      <c r="J12" s="26" t="s">
        <v>76</v>
      </c>
      <c r="K12" s="20" t="s">
        <v>76</v>
      </c>
      <c r="L12" s="20" t="s">
        <v>76</v>
      </c>
      <c r="M12" s="26" t="s">
        <v>76</v>
      </c>
      <c r="N12" s="20" t="s">
        <v>76</v>
      </c>
      <c r="O12" s="20" t="s">
        <v>76</v>
      </c>
      <c r="P12" s="26" t="s">
        <v>76</v>
      </c>
    </row>
    <row r="13" spans="1:16">
      <c r="A13" s="9" t="s">
        <v>172</v>
      </c>
      <c r="B13" s="15">
        <v>46.09375</v>
      </c>
      <c r="C13" s="15">
        <v>46.09375</v>
      </c>
      <c r="D13" s="26" t="s">
        <v>76</v>
      </c>
      <c r="E13" s="15">
        <v>50</v>
      </c>
      <c r="F13" s="15">
        <v>50</v>
      </c>
      <c r="G13" s="26" t="s">
        <v>76</v>
      </c>
      <c r="H13" s="15">
        <v>42.372881355932201</v>
      </c>
      <c r="I13" s="15">
        <v>42.372881355932201</v>
      </c>
      <c r="J13" s="26" t="s">
        <v>76</v>
      </c>
      <c r="K13" s="20" t="s">
        <v>76</v>
      </c>
      <c r="L13" s="20" t="s">
        <v>76</v>
      </c>
      <c r="M13" s="26" t="s">
        <v>76</v>
      </c>
      <c r="N13" s="20" t="s">
        <v>76</v>
      </c>
      <c r="O13" s="20" t="s">
        <v>76</v>
      </c>
      <c r="P13" s="26" t="s">
        <v>76</v>
      </c>
    </row>
    <row r="14" spans="1:16">
      <c r="A14" s="9" t="s">
        <v>173</v>
      </c>
      <c r="B14" s="15">
        <v>44.117647058823501</v>
      </c>
      <c r="C14" s="15">
        <v>44.117647058823501</v>
      </c>
      <c r="D14" s="26" t="s">
        <v>76</v>
      </c>
      <c r="E14" s="15">
        <v>52.941176470588204</v>
      </c>
      <c r="F14" s="15">
        <v>52.941176470588204</v>
      </c>
      <c r="G14" s="26" t="s">
        <v>76</v>
      </c>
      <c r="H14" s="15">
        <v>33.3333333333333</v>
      </c>
      <c r="I14" s="15">
        <v>33.3333333333333</v>
      </c>
      <c r="J14" s="26" t="s">
        <v>76</v>
      </c>
      <c r="K14" s="20" t="s">
        <v>76</v>
      </c>
      <c r="L14" s="20" t="s">
        <v>76</v>
      </c>
      <c r="M14" s="26" t="s">
        <v>76</v>
      </c>
      <c r="N14" s="20" t="s">
        <v>76</v>
      </c>
      <c r="O14" s="20" t="s">
        <v>76</v>
      </c>
      <c r="P14" s="26" t="s">
        <v>76</v>
      </c>
    </row>
    <row r="15" spans="1:16">
      <c r="A15" s="9" t="s">
        <v>174</v>
      </c>
      <c r="B15" s="15">
        <v>34.6938775510204</v>
      </c>
      <c r="C15" s="15">
        <v>34.6938775510204</v>
      </c>
      <c r="D15" s="26" t="s">
        <v>76</v>
      </c>
      <c r="E15" s="15">
        <v>37.037037037037003</v>
      </c>
      <c r="F15" s="15">
        <v>37.037037037037003</v>
      </c>
      <c r="G15" s="26" t="s">
        <v>76</v>
      </c>
      <c r="H15" s="15">
        <v>31.818181818181799</v>
      </c>
      <c r="I15" s="15">
        <v>31.818181818181799</v>
      </c>
      <c r="J15" s="26" t="s">
        <v>76</v>
      </c>
      <c r="K15" s="20" t="s">
        <v>76</v>
      </c>
      <c r="L15" s="20" t="s">
        <v>76</v>
      </c>
      <c r="M15" s="26" t="s">
        <v>76</v>
      </c>
      <c r="N15" s="20" t="s">
        <v>76</v>
      </c>
      <c r="O15" s="20" t="s">
        <v>76</v>
      </c>
      <c r="P15" s="26" t="s">
        <v>76</v>
      </c>
    </row>
    <row r="16" spans="1:16">
      <c r="A16" s="9" t="s">
        <v>175</v>
      </c>
      <c r="B16" s="15">
        <v>78.571428571428598</v>
      </c>
      <c r="C16" s="15">
        <v>78.571428571428598</v>
      </c>
      <c r="D16" s="26" t="s">
        <v>76</v>
      </c>
      <c r="E16" s="15">
        <v>76.190476190476204</v>
      </c>
      <c r="F16" s="15">
        <v>76.190476190476204</v>
      </c>
      <c r="G16" s="26" t="s">
        <v>76</v>
      </c>
      <c r="H16" s="15">
        <v>80.952380952380906</v>
      </c>
      <c r="I16" s="15">
        <v>80.952380952380906</v>
      </c>
      <c r="J16" s="26" t="s">
        <v>76</v>
      </c>
      <c r="K16" s="20" t="s">
        <v>76</v>
      </c>
      <c r="L16" s="20" t="s">
        <v>76</v>
      </c>
      <c r="M16" s="26" t="s">
        <v>76</v>
      </c>
      <c r="N16" s="20" t="s">
        <v>76</v>
      </c>
      <c r="O16" s="20" t="s">
        <v>76</v>
      </c>
      <c r="P16" s="26" t="s">
        <v>76</v>
      </c>
    </row>
    <row r="17" spans="1:16">
      <c r="A17" s="9" t="s">
        <v>176</v>
      </c>
      <c r="B17" s="15">
        <v>34.074074074074097</v>
      </c>
      <c r="C17" s="15">
        <v>34.074074074074097</v>
      </c>
      <c r="D17" s="26" t="s">
        <v>76</v>
      </c>
      <c r="E17" s="15">
        <v>33.823529411764703</v>
      </c>
      <c r="F17" s="15">
        <v>33.823529411764703</v>
      </c>
      <c r="G17" s="26" t="s">
        <v>76</v>
      </c>
      <c r="H17" s="15">
        <v>35.4838709677419</v>
      </c>
      <c r="I17" s="15">
        <v>35.4838709677419</v>
      </c>
      <c r="J17" s="26" t="s">
        <v>76</v>
      </c>
      <c r="K17" s="20" t="s">
        <v>76</v>
      </c>
      <c r="L17" s="20" t="s">
        <v>76</v>
      </c>
      <c r="M17" s="26" t="s">
        <v>76</v>
      </c>
      <c r="N17" s="20" t="s">
        <v>76</v>
      </c>
      <c r="O17" s="20" t="s">
        <v>76</v>
      </c>
      <c r="P17" s="26" t="s">
        <v>76</v>
      </c>
    </row>
    <row r="18" spans="1:16">
      <c r="A18" s="9" t="s">
        <v>177</v>
      </c>
      <c r="B18" s="15">
        <v>61.6666666666667</v>
      </c>
      <c r="C18" s="15">
        <v>61.6666666666667</v>
      </c>
      <c r="D18" s="26" t="s">
        <v>76</v>
      </c>
      <c r="E18" s="15">
        <v>56.25</v>
      </c>
      <c r="F18" s="15">
        <v>56.25</v>
      </c>
      <c r="G18" s="26" t="s">
        <v>76</v>
      </c>
      <c r="H18" s="15">
        <v>70.370370370370395</v>
      </c>
      <c r="I18" s="15">
        <v>70.370370370370395</v>
      </c>
      <c r="J18" s="26" t="s">
        <v>76</v>
      </c>
      <c r="K18" s="20" t="s">
        <v>76</v>
      </c>
      <c r="L18" s="20" t="s">
        <v>76</v>
      </c>
      <c r="M18" s="26" t="s">
        <v>76</v>
      </c>
      <c r="N18" s="20" t="s">
        <v>76</v>
      </c>
      <c r="O18" s="20" t="s">
        <v>76</v>
      </c>
      <c r="P18" s="26" t="s">
        <v>76</v>
      </c>
    </row>
    <row r="19" spans="1:16">
      <c r="A19" s="9" t="s">
        <v>178</v>
      </c>
      <c r="B19" s="15">
        <v>59.3406593406593</v>
      </c>
      <c r="C19" s="15">
        <v>59.3406593406593</v>
      </c>
      <c r="D19" s="26" t="s">
        <v>76</v>
      </c>
      <c r="E19" s="15">
        <v>61.363636363636402</v>
      </c>
      <c r="F19" s="15">
        <v>61.363636363636402</v>
      </c>
      <c r="G19" s="26" t="s">
        <v>76</v>
      </c>
      <c r="H19" s="15">
        <v>57.7777777777778</v>
      </c>
      <c r="I19" s="15">
        <v>57.7777777777778</v>
      </c>
      <c r="J19" s="26" t="s">
        <v>76</v>
      </c>
      <c r="K19" s="20" t="s">
        <v>76</v>
      </c>
      <c r="L19" s="20" t="s">
        <v>76</v>
      </c>
      <c r="M19" s="26" t="s">
        <v>76</v>
      </c>
      <c r="N19" s="20" t="s">
        <v>76</v>
      </c>
      <c r="O19" s="20" t="s">
        <v>76</v>
      </c>
      <c r="P19" s="26" t="s">
        <v>76</v>
      </c>
    </row>
    <row r="20" spans="1:16">
      <c r="A20" s="9" t="s">
        <v>179</v>
      </c>
      <c r="B20" s="15">
        <v>51</v>
      </c>
      <c r="C20" s="15">
        <v>51</v>
      </c>
      <c r="D20" s="26" t="s">
        <v>76</v>
      </c>
      <c r="E20" s="15">
        <v>50</v>
      </c>
      <c r="F20" s="15">
        <v>50</v>
      </c>
      <c r="G20" s="26" t="s">
        <v>76</v>
      </c>
      <c r="H20" s="15">
        <v>50.909090909090899</v>
      </c>
      <c r="I20" s="15">
        <v>50.909090909090899</v>
      </c>
      <c r="J20" s="26" t="s">
        <v>76</v>
      </c>
      <c r="K20" s="20" t="s">
        <v>76</v>
      </c>
      <c r="L20" s="20" t="s">
        <v>76</v>
      </c>
      <c r="M20" s="26" t="s">
        <v>76</v>
      </c>
      <c r="N20" s="20" t="s">
        <v>76</v>
      </c>
      <c r="O20" s="20" t="s">
        <v>76</v>
      </c>
      <c r="P20" s="26" t="s">
        <v>76</v>
      </c>
    </row>
    <row r="21" spans="1:16">
      <c r="A21" s="9" t="s">
        <v>180</v>
      </c>
      <c r="B21" s="15">
        <v>66.6666666666667</v>
      </c>
      <c r="C21" s="15">
        <v>66.6666666666667</v>
      </c>
      <c r="D21" s="26" t="s">
        <v>76</v>
      </c>
      <c r="E21" s="15">
        <v>64.705882352941202</v>
      </c>
      <c r="F21" s="15">
        <v>64.705882352941202</v>
      </c>
      <c r="G21" s="26" t="s">
        <v>76</v>
      </c>
      <c r="H21" s="15">
        <v>68.75</v>
      </c>
      <c r="I21" s="15">
        <v>68.75</v>
      </c>
      <c r="J21" s="26" t="s">
        <v>76</v>
      </c>
      <c r="K21" s="20" t="s">
        <v>76</v>
      </c>
      <c r="L21" s="20" t="s">
        <v>76</v>
      </c>
      <c r="M21" s="26" t="s">
        <v>76</v>
      </c>
      <c r="N21" s="20" t="s">
        <v>76</v>
      </c>
      <c r="O21" s="20" t="s">
        <v>76</v>
      </c>
      <c r="P21" s="26" t="s">
        <v>76</v>
      </c>
    </row>
    <row r="22" spans="1:16">
      <c r="A22" s="9" t="s">
        <v>181</v>
      </c>
      <c r="B22" s="15">
        <v>53.191489361702097</v>
      </c>
      <c r="C22" s="15">
        <v>53.191489361702097</v>
      </c>
      <c r="D22" s="26" t="s">
        <v>76</v>
      </c>
      <c r="E22" s="15">
        <v>50</v>
      </c>
      <c r="F22" s="15">
        <v>50</v>
      </c>
      <c r="G22" s="26" t="s">
        <v>76</v>
      </c>
      <c r="H22" s="15">
        <v>56.521739130434803</v>
      </c>
      <c r="I22" s="15">
        <v>56.521739130434803</v>
      </c>
      <c r="J22" s="26" t="s">
        <v>76</v>
      </c>
      <c r="K22" s="20" t="s">
        <v>76</v>
      </c>
      <c r="L22" s="20" t="s">
        <v>76</v>
      </c>
      <c r="M22" s="26" t="s">
        <v>76</v>
      </c>
      <c r="N22" s="20" t="s">
        <v>76</v>
      </c>
      <c r="O22" s="20" t="s">
        <v>76</v>
      </c>
      <c r="P22" s="26" t="s">
        <v>76</v>
      </c>
    </row>
    <row r="23" spans="1:16">
      <c r="A23" s="9" t="s">
        <v>182</v>
      </c>
      <c r="B23" s="15">
        <v>46.296296296296298</v>
      </c>
      <c r="C23" s="15">
        <v>46.296296296296298</v>
      </c>
      <c r="D23" s="26" t="s">
        <v>76</v>
      </c>
      <c r="E23" s="15">
        <v>48.148148148148103</v>
      </c>
      <c r="F23" s="15">
        <v>48.148148148148103</v>
      </c>
      <c r="G23" s="26" t="s">
        <v>76</v>
      </c>
      <c r="H23" s="15">
        <v>44.4444444444444</v>
      </c>
      <c r="I23" s="15">
        <v>44.4444444444444</v>
      </c>
      <c r="J23" s="26" t="s">
        <v>76</v>
      </c>
      <c r="K23" s="20" t="s">
        <v>76</v>
      </c>
      <c r="L23" s="20" t="s">
        <v>76</v>
      </c>
      <c r="M23" s="26" t="s">
        <v>76</v>
      </c>
      <c r="N23" s="20" t="s">
        <v>76</v>
      </c>
      <c r="O23" s="20" t="s">
        <v>76</v>
      </c>
      <c r="P23" s="26" t="s">
        <v>76</v>
      </c>
    </row>
    <row r="24" spans="1:16">
      <c r="A24" s="9" t="s">
        <v>183</v>
      </c>
      <c r="B24" s="15">
        <v>48.214285714285701</v>
      </c>
      <c r="C24" s="15">
        <v>48.214285714285701</v>
      </c>
      <c r="D24" s="26" t="s">
        <v>76</v>
      </c>
      <c r="E24" s="15">
        <v>50</v>
      </c>
      <c r="F24" s="15">
        <v>50</v>
      </c>
      <c r="G24" s="26" t="s">
        <v>76</v>
      </c>
      <c r="H24" s="15">
        <v>46.428571428571402</v>
      </c>
      <c r="I24" s="15">
        <v>46.428571428571402</v>
      </c>
      <c r="J24" s="26" t="s">
        <v>76</v>
      </c>
      <c r="K24" s="20" t="s">
        <v>76</v>
      </c>
      <c r="L24" s="20" t="s">
        <v>76</v>
      </c>
      <c r="M24" s="26" t="s">
        <v>76</v>
      </c>
      <c r="N24" s="20" t="s">
        <v>76</v>
      </c>
      <c r="O24" s="20" t="s">
        <v>76</v>
      </c>
      <c r="P24" s="26" t="s">
        <v>76</v>
      </c>
    </row>
    <row r="25" spans="1:16">
      <c r="A25" s="9" t="s">
        <v>184</v>
      </c>
      <c r="B25" s="15">
        <v>84.615384615384599</v>
      </c>
      <c r="C25" s="15">
        <v>84.615384615384599</v>
      </c>
      <c r="D25" s="26" t="s">
        <v>76</v>
      </c>
      <c r="E25" s="15">
        <v>85.714285714285694</v>
      </c>
      <c r="F25" s="15">
        <v>85.714285714285694</v>
      </c>
      <c r="G25" s="26" t="s">
        <v>76</v>
      </c>
      <c r="H25" s="15">
        <v>83.636363636363598</v>
      </c>
      <c r="I25" s="15">
        <v>83.636363636363598</v>
      </c>
      <c r="J25" s="26" t="s">
        <v>76</v>
      </c>
      <c r="K25" s="20" t="s">
        <v>76</v>
      </c>
      <c r="L25" s="20" t="s">
        <v>76</v>
      </c>
      <c r="M25" s="26" t="s">
        <v>76</v>
      </c>
      <c r="N25" s="20" t="s">
        <v>76</v>
      </c>
      <c r="O25" s="20" t="s">
        <v>76</v>
      </c>
      <c r="P25" s="26" t="s">
        <v>76</v>
      </c>
    </row>
    <row r="26" spans="1:16">
      <c r="A26" s="9" t="s">
        <v>185</v>
      </c>
      <c r="B26" s="15">
        <v>75.609756097561004</v>
      </c>
      <c r="C26" s="15">
        <v>75.609756097561004</v>
      </c>
      <c r="D26" s="26" t="s">
        <v>76</v>
      </c>
      <c r="E26" s="15">
        <v>64.705882352941202</v>
      </c>
      <c r="F26" s="15">
        <v>64.705882352941202</v>
      </c>
      <c r="G26" s="26" t="s">
        <v>76</v>
      </c>
      <c r="H26" s="15">
        <v>80.952380952380906</v>
      </c>
      <c r="I26" s="15">
        <v>80.952380952380906</v>
      </c>
      <c r="J26" s="26" t="s">
        <v>76</v>
      </c>
      <c r="K26" s="20" t="s">
        <v>76</v>
      </c>
      <c r="L26" s="20" t="s">
        <v>76</v>
      </c>
      <c r="M26" s="26" t="s">
        <v>76</v>
      </c>
      <c r="N26" s="20" t="s">
        <v>76</v>
      </c>
      <c r="O26" s="20" t="s">
        <v>76</v>
      </c>
      <c r="P26" s="26" t="s">
        <v>76</v>
      </c>
    </row>
    <row r="27" spans="1:16">
      <c r="A27" s="9" t="s">
        <v>186</v>
      </c>
      <c r="B27" s="15">
        <v>78.260869565217405</v>
      </c>
      <c r="C27" s="15">
        <v>78.260869565217405</v>
      </c>
      <c r="D27" s="26" t="s">
        <v>76</v>
      </c>
      <c r="E27" s="15">
        <v>80.769230769230802</v>
      </c>
      <c r="F27" s="15">
        <v>80.769230769230802</v>
      </c>
      <c r="G27" s="26" t="s">
        <v>76</v>
      </c>
      <c r="H27" s="15">
        <v>73.684210526315795</v>
      </c>
      <c r="I27" s="15">
        <v>73.684210526315795</v>
      </c>
      <c r="J27" s="26" t="s">
        <v>76</v>
      </c>
      <c r="K27" s="20" t="s">
        <v>76</v>
      </c>
      <c r="L27" s="20" t="s">
        <v>76</v>
      </c>
      <c r="M27" s="26" t="s">
        <v>76</v>
      </c>
      <c r="N27" s="20" t="s">
        <v>76</v>
      </c>
      <c r="O27" s="20" t="s">
        <v>76</v>
      </c>
      <c r="P27" s="26" t="s">
        <v>76</v>
      </c>
    </row>
    <row r="28" spans="1:16">
      <c r="A28" s="9" t="s">
        <v>187</v>
      </c>
      <c r="B28" s="15">
        <v>76.712328767123296</v>
      </c>
      <c r="C28" s="15">
        <v>76.712328767123296</v>
      </c>
      <c r="D28" s="26" t="s">
        <v>76</v>
      </c>
      <c r="E28" s="15">
        <v>74.285714285714306</v>
      </c>
      <c r="F28" s="15">
        <v>74.285714285714306</v>
      </c>
      <c r="G28" s="26" t="s">
        <v>76</v>
      </c>
      <c r="H28" s="15">
        <v>78.3783783783784</v>
      </c>
      <c r="I28" s="15">
        <v>78.3783783783784</v>
      </c>
      <c r="J28" s="26" t="s">
        <v>76</v>
      </c>
      <c r="K28" s="20" t="s">
        <v>76</v>
      </c>
      <c r="L28" s="20" t="s">
        <v>76</v>
      </c>
      <c r="M28" s="26" t="s">
        <v>76</v>
      </c>
      <c r="N28" s="20" t="s">
        <v>76</v>
      </c>
      <c r="O28" s="20" t="s">
        <v>76</v>
      </c>
      <c r="P28" s="26" t="s">
        <v>76</v>
      </c>
    </row>
    <row r="29" spans="1:16">
      <c r="A29" s="9" t="s">
        <v>188</v>
      </c>
      <c r="B29" s="15">
        <v>71.794871794871796</v>
      </c>
      <c r="C29" s="15">
        <v>71.794871794871796</v>
      </c>
      <c r="D29" s="26" t="s">
        <v>76</v>
      </c>
      <c r="E29" s="15">
        <v>73.529411764705898</v>
      </c>
      <c r="F29" s="15">
        <v>73.529411764705898</v>
      </c>
      <c r="G29" s="26" t="s">
        <v>76</v>
      </c>
      <c r="H29" s="15">
        <v>70.454545454545496</v>
      </c>
      <c r="I29" s="15">
        <v>70.454545454545496</v>
      </c>
      <c r="J29" s="26" t="s">
        <v>76</v>
      </c>
      <c r="K29" s="20" t="s">
        <v>76</v>
      </c>
      <c r="L29" s="20" t="s">
        <v>76</v>
      </c>
      <c r="M29" s="26" t="s">
        <v>76</v>
      </c>
      <c r="N29" s="20" t="s">
        <v>76</v>
      </c>
      <c r="O29" s="20" t="s">
        <v>76</v>
      </c>
      <c r="P29" s="26" t="s">
        <v>76</v>
      </c>
    </row>
    <row r="30" spans="1:16">
      <c r="A30" s="9" t="s">
        <v>189</v>
      </c>
      <c r="B30" s="15">
        <v>34.567901234567898</v>
      </c>
      <c r="C30" s="15">
        <v>34.567901234567898</v>
      </c>
      <c r="D30" s="26" t="s">
        <v>76</v>
      </c>
      <c r="E30" s="15">
        <v>24.390243902439</v>
      </c>
      <c r="F30" s="15">
        <v>24.390243902439</v>
      </c>
      <c r="G30" s="26" t="s">
        <v>76</v>
      </c>
      <c r="H30" s="15">
        <v>43.589743589743598</v>
      </c>
      <c r="I30" s="15">
        <v>43.589743589743598</v>
      </c>
      <c r="J30" s="26" t="s">
        <v>76</v>
      </c>
      <c r="K30" s="20" t="s">
        <v>76</v>
      </c>
      <c r="L30" s="20" t="s">
        <v>76</v>
      </c>
      <c r="M30" s="26" t="s">
        <v>76</v>
      </c>
      <c r="N30" s="20" t="s">
        <v>76</v>
      </c>
      <c r="O30" s="20" t="s">
        <v>76</v>
      </c>
      <c r="P30" s="26" t="s">
        <v>76</v>
      </c>
    </row>
    <row r="31" spans="1:16">
      <c r="A31" s="9" t="s">
        <v>190</v>
      </c>
      <c r="B31" s="15">
        <v>46.315789473684198</v>
      </c>
      <c r="C31" s="15">
        <v>46.315789473684198</v>
      </c>
      <c r="D31" s="26" t="s">
        <v>76</v>
      </c>
      <c r="E31" s="15">
        <v>42.857142857142897</v>
      </c>
      <c r="F31" s="15">
        <v>42.857142857142897</v>
      </c>
      <c r="G31" s="26" t="s">
        <v>76</v>
      </c>
      <c r="H31" s="15">
        <v>50</v>
      </c>
      <c r="I31" s="15">
        <v>50</v>
      </c>
      <c r="J31" s="26" t="s">
        <v>76</v>
      </c>
      <c r="K31" s="20" t="s">
        <v>76</v>
      </c>
      <c r="L31" s="20" t="s">
        <v>76</v>
      </c>
      <c r="M31" s="26" t="s">
        <v>76</v>
      </c>
      <c r="N31" s="20" t="s">
        <v>76</v>
      </c>
      <c r="O31" s="20" t="s">
        <v>76</v>
      </c>
      <c r="P31" s="26" t="s">
        <v>76</v>
      </c>
    </row>
    <row r="32" spans="1:16">
      <c r="A32" s="9" t="s">
        <v>191</v>
      </c>
      <c r="B32" s="15">
        <v>60.655737704918003</v>
      </c>
      <c r="C32" s="15">
        <v>60.655737704918003</v>
      </c>
      <c r="D32" s="26" t="s">
        <v>76</v>
      </c>
      <c r="E32" s="15">
        <v>77.419354838709694</v>
      </c>
      <c r="F32" s="15">
        <v>77.419354838709694</v>
      </c>
      <c r="G32" s="26" t="s">
        <v>76</v>
      </c>
      <c r="H32" s="15">
        <v>43.3333333333333</v>
      </c>
      <c r="I32" s="15">
        <v>43.3333333333333</v>
      </c>
      <c r="J32" s="26" t="s">
        <v>76</v>
      </c>
      <c r="K32" s="20" t="s">
        <v>76</v>
      </c>
      <c r="L32" s="20" t="s">
        <v>76</v>
      </c>
      <c r="M32" s="26" t="s">
        <v>76</v>
      </c>
      <c r="N32" s="20" t="s">
        <v>76</v>
      </c>
      <c r="O32" s="20" t="s">
        <v>76</v>
      </c>
      <c r="P32" s="26" t="s">
        <v>76</v>
      </c>
    </row>
    <row r="33" spans="1:16">
      <c r="A33" s="9" t="s">
        <v>192</v>
      </c>
      <c r="B33" s="15">
        <v>78.3783783783784</v>
      </c>
      <c r="C33" s="15">
        <v>78.3783783783784</v>
      </c>
      <c r="D33" s="26" t="s">
        <v>76</v>
      </c>
      <c r="E33" s="15">
        <v>82.352941176470594</v>
      </c>
      <c r="F33" s="15">
        <v>82.352941176470594</v>
      </c>
      <c r="G33" s="26" t="s">
        <v>76</v>
      </c>
      <c r="H33" s="15">
        <v>77.7777777777778</v>
      </c>
      <c r="I33" s="15">
        <v>77.7777777777778</v>
      </c>
      <c r="J33" s="26" t="s">
        <v>76</v>
      </c>
      <c r="K33" s="20" t="s">
        <v>76</v>
      </c>
      <c r="L33" s="20" t="s">
        <v>76</v>
      </c>
      <c r="M33" s="26" t="s">
        <v>76</v>
      </c>
      <c r="N33" s="20" t="s">
        <v>76</v>
      </c>
      <c r="O33" s="20" t="s">
        <v>76</v>
      </c>
      <c r="P33" s="26" t="s">
        <v>76</v>
      </c>
    </row>
    <row r="34" spans="1:16" ht="21.95" customHeight="1">
      <c r="A34" s="22" t="s">
        <v>193</v>
      </c>
      <c r="B34" s="15">
        <v>48.737761021406499</v>
      </c>
      <c r="C34" s="20" t="s">
        <v>76</v>
      </c>
      <c r="D34" s="24">
        <v>48.737761021406499</v>
      </c>
      <c r="E34" s="15">
        <v>46.209908796190099</v>
      </c>
      <c r="F34" s="20" t="s">
        <v>76</v>
      </c>
      <c r="G34" s="24">
        <v>46.209908796190099</v>
      </c>
      <c r="H34" s="15">
        <v>51.806954292494702</v>
      </c>
      <c r="I34" s="20" t="s">
        <v>76</v>
      </c>
      <c r="J34" s="24">
        <v>51.806954292494702</v>
      </c>
      <c r="K34" s="20" t="s">
        <v>76</v>
      </c>
      <c r="L34" s="20" t="s">
        <v>76</v>
      </c>
      <c r="M34" s="26" t="s">
        <v>76</v>
      </c>
      <c r="N34" s="20" t="s">
        <v>76</v>
      </c>
      <c r="O34" s="20" t="s">
        <v>76</v>
      </c>
      <c r="P34" s="26" t="s">
        <v>76</v>
      </c>
    </row>
    <row r="35" spans="1:16">
      <c r="A35" s="9" t="s">
        <v>194</v>
      </c>
      <c r="B35" s="15">
        <v>48.993288590604003</v>
      </c>
      <c r="C35" s="20" t="s">
        <v>76</v>
      </c>
      <c r="D35" s="24">
        <v>48.993288590604003</v>
      </c>
      <c r="E35" s="15">
        <v>48.529411764705898</v>
      </c>
      <c r="F35" s="20" t="s">
        <v>76</v>
      </c>
      <c r="G35" s="24">
        <v>48.529411764705898</v>
      </c>
      <c r="H35" s="15">
        <v>51.063829787233999</v>
      </c>
      <c r="I35" s="20" t="s">
        <v>76</v>
      </c>
      <c r="J35" s="24">
        <v>51.063829787233999</v>
      </c>
      <c r="K35" s="20" t="s">
        <v>76</v>
      </c>
      <c r="L35" s="20" t="s">
        <v>76</v>
      </c>
      <c r="M35" s="26" t="s">
        <v>76</v>
      </c>
      <c r="N35" s="20" t="s">
        <v>76</v>
      </c>
      <c r="O35" s="20" t="s">
        <v>76</v>
      </c>
      <c r="P35" s="26" t="s">
        <v>76</v>
      </c>
    </row>
    <row r="36" spans="1:16">
      <c r="A36" s="9" t="s">
        <v>195</v>
      </c>
      <c r="B36" s="15">
        <v>48.967551622418902</v>
      </c>
      <c r="C36" s="20" t="s">
        <v>76</v>
      </c>
      <c r="D36" s="24">
        <v>48.967551622418902</v>
      </c>
      <c r="E36" s="15">
        <v>48.7046632124352</v>
      </c>
      <c r="F36" s="20" t="s">
        <v>76</v>
      </c>
      <c r="G36" s="24">
        <v>48.7046632124352</v>
      </c>
      <c r="H36" s="15">
        <v>49.253731343283597</v>
      </c>
      <c r="I36" s="20" t="s">
        <v>76</v>
      </c>
      <c r="J36" s="24">
        <v>49.253731343283597</v>
      </c>
      <c r="K36" s="20" t="s">
        <v>76</v>
      </c>
      <c r="L36" s="20" t="s">
        <v>76</v>
      </c>
      <c r="M36" s="26" t="s">
        <v>76</v>
      </c>
      <c r="N36" s="15">
        <v>62.5</v>
      </c>
      <c r="O36" s="20" t="s">
        <v>76</v>
      </c>
      <c r="P36" s="24">
        <v>62.5</v>
      </c>
    </row>
    <row r="37" spans="1:16">
      <c r="A37" s="9" t="s">
        <v>196</v>
      </c>
      <c r="B37" s="15">
        <v>38.053097345132699</v>
      </c>
      <c r="C37" s="20" t="s">
        <v>76</v>
      </c>
      <c r="D37" s="24">
        <v>38.053097345132699</v>
      </c>
      <c r="E37" s="15">
        <v>38.323353293413199</v>
      </c>
      <c r="F37" s="20" t="s">
        <v>76</v>
      </c>
      <c r="G37" s="24">
        <v>38.323353293413199</v>
      </c>
      <c r="H37" s="15">
        <v>37.654320987654302</v>
      </c>
      <c r="I37" s="20" t="s">
        <v>76</v>
      </c>
      <c r="J37" s="24">
        <v>37.654320987654302</v>
      </c>
      <c r="K37" s="20" t="s">
        <v>76</v>
      </c>
      <c r="L37" s="20" t="s">
        <v>76</v>
      </c>
      <c r="M37" s="26" t="s">
        <v>76</v>
      </c>
      <c r="N37" s="20" t="s">
        <v>76</v>
      </c>
      <c r="O37" s="20" t="s">
        <v>76</v>
      </c>
      <c r="P37" s="26" t="s">
        <v>76</v>
      </c>
    </row>
    <row r="38" spans="1:16">
      <c r="A38" s="9" t="s">
        <v>197</v>
      </c>
      <c r="B38" s="15">
        <v>38.754325259515603</v>
      </c>
      <c r="C38" s="20" t="s">
        <v>76</v>
      </c>
      <c r="D38" s="24">
        <v>38.754325259515603</v>
      </c>
      <c r="E38" s="15">
        <v>31.292517006802701</v>
      </c>
      <c r="F38" s="20" t="s">
        <v>76</v>
      </c>
      <c r="G38" s="24">
        <v>31.292517006802701</v>
      </c>
      <c r="H38" s="15">
        <v>47.761194029850699</v>
      </c>
      <c r="I38" s="20" t="s">
        <v>76</v>
      </c>
      <c r="J38" s="24">
        <v>47.761194029850699</v>
      </c>
      <c r="K38" s="20" t="s">
        <v>76</v>
      </c>
      <c r="L38" s="20" t="s">
        <v>76</v>
      </c>
      <c r="M38" s="26" t="s">
        <v>76</v>
      </c>
      <c r="N38" s="20" t="s">
        <v>76</v>
      </c>
      <c r="O38" s="20" t="s">
        <v>76</v>
      </c>
      <c r="P38" s="26" t="s">
        <v>76</v>
      </c>
    </row>
    <row r="39" spans="1:16">
      <c r="A39" s="9" t="s">
        <v>198</v>
      </c>
      <c r="B39" s="15">
        <v>54.189944134078203</v>
      </c>
      <c r="C39" s="20" t="s">
        <v>76</v>
      </c>
      <c r="D39" s="24">
        <v>54.189944134078203</v>
      </c>
      <c r="E39" s="15">
        <v>36.6666666666667</v>
      </c>
      <c r="F39" s="20" t="s">
        <v>76</v>
      </c>
      <c r="G39" s="24">
        <v>36.6666666666667</v>
      </c>
      <c r="H39" s="15">
        <v>74.074074074074105</v>
      </c>
      <c r="I39" s="20" t="s">
        <v>76</v>
      </c>
      <c r="J39" s="24">
        <v>74.074074074074105</v>
      </c>
      <c r="K39" s="20" t="s">
        <v>76</v>
      </c>
      <c r="L39" s="20" t="s">
        <v>76</v>
      </c>
      <c r="M39" s="26" t="s">
        <v>76</v>
      </c>
      <c r="N39" s="20" t="s">
        <v>76</v>
      </c>
      <c r="O39" s="20" t="s">
        <v>76</v>
      </c>
      <c r="P39" s="26" t="s">
        <v>76</v>
      </c>
    </row>
    <row r="40" spans="1:16">
      <c r="A40" s="9" t="s">
        <v>199</v>
      </c>
      <c r="B40" s="15">
        <v>46.153846153846203</v>
      </c>
      <c r="C40" s="20" t="s">
        <v>76</v>
      </c>
      <c r="D40" s="24">
        <v>46.153846153846203</v>
      </c>
      <c r="E40" s="15">
        <v>40.789473684210499</v>
      </c>
      <c r="F40" s="20" t="s">
        <v>76</v>
      </c>
      <c r="G40" s="24">
        <v>40.789473684210499</v>
      </c>
      <c r="H40" s="15">
        <v>50.588235294117602</v>
      </c>
      <c r="I40" s="20" t="s">
        <v>76</v>
      </c>
      <c r="J40" s="24">
        <v>50.588235294117602</v>
      </c>
      <c r="K40" s="20" t="s">
        <v>76</v>
      </c>
      <c r="L40" s="20" t="s">
        <v>76</v>
      </c>
      <c r="M40" s="26" t="s">
        <v>76</v>
      </c>
      <c r="N40" s="20" t="s">
        <v>76</v>
      </c>
      <c r="O40" s="20" t="s">
        <v>76</v>
      </c>
      <c r="P40" s="26" t="s">
        <v>76</v>
      </c>
    </row>
    <row r="41" spans="1:16">
      <c r="A41" s="11" t="s">
        <v>200</v>
      </c>
      <c r="B41" s="16">
        <v>61.3924050632911</v>
      </c>
      <c r="C41" s="28" t="s">
        <v>76</v>
      </c>
      <c r="D41" s="25">
        <v>61.3924050632911</v>
      </c>
      <c r="E41" s="16">
        <v>62.179487179487197</v>
      </c>
      <c r="F41" s="28" t="s">
        <v>76</v>
      </c>
      <c r="G41" s="25">
        <v>62.179487179487197</v>
      </c>
      <c r="H41" s="16">
        <v>62.758620689655203</v>
      </c>
      <c r="I41" s="28" t="s">
        <v>76</v>
      </c>
      <c r="J41" s="25">
        <v>62.758620689655203</v>
      </c>
      <c r="K41" s="28" t="s">
        <v>76</v>
      </c>
      <c r="L41" s="28" t="s">
        <v>76</v>
      </c>
      <c r="M41" s="29" t="s">
        <v>76</v>
      </c>
      <c r="N41" s="28" t="s">
        <v>76</v>
      </c>
      <c r="O41" s="28" t="s">
        <v>76</v>
      </c>
      <c r="P41" s="29" t="s">
        <v>76</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271</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0.84028410218094396</v>
      </c>
      <c r="C3" s="20" t="s">
        <v>76</v>
      </c>
      <c r="D3" s="26" t="s">
        <v>76</v>
      </c>
      <c r="E3" s="20" t="s">
        <v>76</v>
      </c>
      <c r="F3" s="20" t="s">
        <v>76</v>
      </c>
      <c r="G3" s="26" t="s">
        <v>76</v>
      </c>
      <c r="H3" s="20" t="s">
        <v>76</v>
      </c>
      <c r="I3" s="20" t="s">
        <v>76</v>
      </c>
      <c r="J3" s="26" t="s">
        <v>76</v>
      </c>
      <c r="K3" s="20" t="s">
        <v>76</v>
      </c>
      <c r="L3" s="20" t="s">
        <v>76</v>
      </c>
      <c r="M3" s="26" t="s">
        <v>76</v>
      </c>
      <c r="N3" s="20" t="s">
        <v>76</v>
      </c>
      <c r="O3" s="20" t="s">
        <v>76</v>
      </c>
      <c r="P3" s="26" t="s">
        <v>76</v>
      </c>
    </row>
    <row r="4" spans="1:16">
      <c r="A4" s="9" t="s">
        <v>208</v>
      </c>
      <c r="B4" s="15">
        <v>8.7485388565742195</v>
      </c>
      <c r="C4" s="15">
        <v>6.6657412482025897</v>
      </c>
      <c r="D4" s="24">
        <v>10.3654784150333</v>
      </c>
      <c r="E4" s="15">
        <v>9.1797095864855205</v>
      </c>
      <c r="F4" s="15">
        <v>7.3304473094323601</v>
      </c>
      <c r="G4" s="24">
        <v>10.673813957501</v>
      </c>
      <c r="H4" s="15">
        <v>8.5037596344569</v>
      </c>
      <c r="I4" s="15">
        <v>5.8419520514387404</v>
      </c>
      <c r="J4" s="24">
        <v>10.567667813658399</v>
      </c>
      <c r="K4" s="20" t="s">
        <v>76</v>
      </c>
      <c r="L4" s="20" t="s">
        <v>76</v>
      </c>
      <c r="M4" s="26" t="s">
        <v>76</v>
      </c>
      <c r="N4" s="20" t="s">
        <v>76</v>
      </c>
      <c r="O4" s="20" t="s">
        <v>76</v>
      </c>
      <c r="P4" s="26" t="s">
        <v>76</v>
      </c>
    </row>
    <row r="5" spans="1:16">
      <c r="A5" s="9" t="s">
        <v>209</v>
      </c>
      <c r="B5" s="15">
        <v>6.5521615861741003</v>
      </c>
      <c r="C5" s="20" t="s">
        <v>76</v>
      </c>
      <c r="D5" s="24">
        <v>10.500777718255501</v>
      </c>
      <c r="E5" s="15">
        <v>5.8906656332926</v>
      </c>
      <c r="F5" s="20" t="s">
        <v>76</v>
      </c>
      <c r="G5" s="24">
        <v>9.1579981678838696</v>
      </c>
      <c r="H5" s="15">
        <v>6.9499523352196704</v>
      </c>
      <c r="I5" s="20" t="s">
        <v>76</v>
      </c>
      <c r="J5" s="24">
        <v>11.482500274308</v>
      </c>
      <c r="K5" s="20" t="s">
        <v>76</v>
      </c>
      <c r="L5" s="20" t="s">
        <v>76</v>
      </c>
      <c r="M5" s="26" t="s">
        <v>76</v>
      </c>
      <c r="N5" s="20" t="s">
        <v>76</v>
      </c>
      <c r="O5" s="20" t="s">
        <v>76</v>
      </c>
      <c r="P5" s="26" t="s">
        <v>76</v>
      </c>
    </row>
    <row r="6" spans="1:16">
      <c r="A6" s="9" t="s">
        <v>210</v>
      </c>
      <c r="B6" s="15">
        <v>9.7449229701897995</v>
      </c>
      <c r="C6" s="15">
        <v>7.05792622631862</v>
      </c>
      <c r="D6" s="24">
        <v>11.830920818061699</v>
      </c>
      <c r="E6" s="15">
        <v>11.8019342312161</v>
      </c>
      <c r="F6" s="15">
        <v>6.5118615433066998</v>
      </c>
      <c r="G6" s="24">
        <v>16.0760281896946</v>
      </c>
      <c r="H6" s="15">
        <v>7.5025528096718404</v>
      </c>
      <c r="I6" s="15">
        <v>7.5642092927992497</v>
      </c>
      <c r="J6" s="24">
        <v>7.4547457027121604</v>
      </c>
      <c r="K6" s="20" t="s">
        <v>76</v>
      </c>
      <c r="L6" s="20" t="s">
        <v>76</v>
      </c>
      <c r="M6" s="26" t="s">
        <v>76</v>
      </c>
      <c r="N6" s="20" t="s">
        <v>76</v>
      </c>
      <c r="O6" s="20" t="s">
        <v>76</v>
      </c>
      <c r="P6" s="26" t="s">
        <v>76</v>
      </c>
    </row>
    <row r="7" spans="1:16">
      <c r="A7" s="9" t="s">
        <v>211</v>
      </c>
      <c r="B7" s="15">
        <v>0.67731682048074904</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c r="A8" s="9" t="s">
        <v>212</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213</v>
      </c>
      <c r="B9" s="20" t="s">
        <v>76</v>
      </c>
      <c r="C9" s="20" t="s">
        <v>76</v>
      </c>
      <c r="D9" s="26" t="s">
        <v>76</v>
      </c>
      <c r="E9" s="20" t="s">
        <v>76</v>
      </c>
      <c r="F9" s="20" t="s">
        <v>76</v>
      </c>
      <c r="G9" s="26" t="s">
        <v>76</v>
      </c>
      <c r="H9" s="20" t="s">
        <v>76</v>
      </c>
      <c r="I9" s="20" t="s">
        <v>76</v>
      </c>
      <c r="J9" s="26" t="s">
        <v>76</v>
      </c>
      <c r="K9" s="20" t="s">
        <v>76</v>
      </c>
      <c r="L9" s="20" t="s">
        <v>76</v>
      </c>
      <c r="M9" s="26" t="s">
        <v>76</v>
      </c>
      <c r="N9" s="20" t="s">
        <v>76</v>
      </c>
      <c r="O9" s="20" t="s">
        <v>76</v>
      </c>
      <c r="P9" s="26" t="s">
        <v>76</v>
      </c>
    </row>
    <row r="10" spans="1:16">
      <c r="A10" s="9" t="s">
        <v>214</v>
      </c>
      <c r="B10" s="20" t="s">
        <v>76</v>
      </c>
      <c r="C10" s="20" t="s">
        <v>76</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c r="A11" s="9" t="s">
        <v>215</v>
      </c>
      <c r="B11" s="15">
        <v>0.70597294039510095</v>
      </c>
      <c r="C11" s="20" t="s">
        <v>76</v>
      </c>
      <c r="D11" s="26" t="s">
        <v>76</v>
      </c>
      <c r="E11" s="20" t="s">
        <v>76</v>
      </c>
      <c r="F11" s="20" t="s">
        <v>76</v>
      </c>
      <c r="G11" s="26" t="s">
        <v>76</v>
      </c>
      <c r="H11" s="20" t="s">
        <v>76</v>
      </c>
      <c r="I11" s="20" t="s">
        <v>76</v>
      </c>
      <c r="J11" s="26" t="s">
        <v>76</v>
      </c>
      <c r="K11" s="20" t="s">
        <v>76</v>
      </c>
      <c r="L11" s="20" t="s">
        <v>76</v>
      </c>
      <c r="M11" s="26" t="s">
        <v>76</v>
      </c>
      <c r="N11" s="20" t="s">
        <v>76</v>
      </c>
      <c r="O11" s="20" t="s">
        <v>76</v>
      </c>
      <c r="P11" s="26" t="s">
        <v>76</v>
      </c>
    </row>
    <row r="12" spans="1:16">
      <c r="A12" s="9" t="s">
        <v>216</v>
      </c>
      <c r="B12" s="20" t="s">
        <v>76</v>
      </c>
      <c r="C12" s="20" t="s">
        <v>76</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c r="A13" s="9" t="s">
        <v>217</v>
      </c>
      <c r="B13" s="15">
        <v>0.76958582912503004</v>
      </c>
      <c r="C13" s="20" t="s">
        <v>76</v>
      </c>
      <c r="D13" s="26" t="s">
        <v>76</v>
      </c>
      <c r="E13" s="20" t="s">
        <v>76</v>
      </c>
      <c r="F13" s="20" t="s">
        <v>76</v>
      </c>
      <c r="G13" s="26" t="s">
        <v>76</v>
      </c>
      <c r="H13" s="20" t="s">
        <v>76</v>
      </c>
      <c r="I13" s="20" t="s">
        <v>76</v>
      </c>
      <c r="J13" s="26" t="s">
        <v>76</v>
      </c>
      <c r="K13" s="20" t="s">
        <v>76</v>
      </c>
      <c r="L13" s="20" t="s">
        <v>76</v>
      </c>
      <c r="M13" s="26" t="s">
        <v>76</v>
      </c>
      <c r="N13" s="20" t="s">
        <v>76</v>
      </c>
      <c r="O13" s="20" t="s">
        <v>76</v>
      </c>
      <c r="P13" s="26" t="s">
        <v>76</v>
      </c>
    </row>
    <row r="14" spans="1:16">
      <c r="A14" s="9" t="s">
        <v>218</v>
      </c>
      <c r="B14" s="15">
        <v>1.4851956017761601</v>
      </c>
      <c r="C14" s="15">
        <v>2.0710607459781301</v>
      </c>
      <c r="D14" s="24">
        <v>1.0303705511928201</v>
      </c>
      <c r="E14" s="15">
        <v>1.78500348433363</v>
      </c>
      <c r="F14" s="20" t="s">
        <v>76</v>
      </c>
      <c r="G14" s="26" t="s">
        <v>76</v>
      </c>
      <c r="H14" s="20" t="s">
        <v>76</v>
      </c>
      <c r="I14" s="20" t="s">
        <v>76</v>
      </c>
      <c r="J14" s="26" t="s">
        <v>76</v>
      </c>
      <c r="K14" s="20" t="s">
        <v>76</v>
      </c>
      <c r="L14" s="20" t="s">
        <v>76</v>
      </c>
      <c r="M14" s="26" t="s">
        <v>76</v>
      </c>
      <c r="N14" s="20" t="s">
        <v>76</v>
      </c>
      <c r="O14" s="20" t="s">
        <v>76</v>
      </c>
      <c r="P14" s="26" t="s">
        <v>76</v>
      </c>
    </row>
    <row r="15" spans="1:16">
      <c r="A15" s="9" t="s">
        <v>219</v>
      </c>
      <c r="B15" s="15">
        <v>12.5670843341834</v>
      </c>
      <c r="C15" s="15">
        <v>12.1343751888285</v>
      </c>
      <c r="D15" s="24">
        <v>12.9030096932386</v>
      </c>
      <c r="E15" s="15">
        <v>14.51896369358</v>
      </c>
      <c r="F15" s="15">
        <v>13.155172411923401</v>
      </c>
      <c r="G15" s="24">
        <v>15.6208336340208</v>
      </c>
      <c r="H15" s="15">
        <v>10.267323253585401</v>
      </c>
      <c r="I15" s="15">
        <v>10.8613852073911</v>
      </c>
      <c r="J15" s="24">
        <v>9.80670042974414</v>
      </c>
      <c r="K15" s="20" t="s">
        <v>76</v>
      </c>
      <c r="L15" s="20" t="s">
        <v>76</v>
      </c>
      <c r="M15" s="26" t="s">
        <v>76</v>
      </c>
      <c r="N15" s="20" t="s">
        <v>76</v>
      </c>
      <c r="O15" s="20" t="s">
        <v>76</v>
      </c>
      <c r="P15" s="26" t="s">
        <v>76</v>
      </c>
    </row>
    <row r="16" spans="1:16">
      <c r="A16" s="9" t="s">
        <v>220</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c r="A17" s="9" t="s">
        <v>221</v>
      </c>
      <c r="B17" s="15">
        <v>1.4840235731835001</v>
      </c>
      <c r="C17" s="15">
        <v>2.65196137996544</v>
      </c>
      <c r="D17" s="26" t="s">
        <v>76</v>
      </c>
      <c r="E17" s="15">
        <v>1.4474777921766899</v>
      </c>
      <c r="F17" s="20" t="s">
        <v>76</v>
      </c>
      <c r="G17" s="26" t="s">
        <v>76</v>
      </c>
      <c r="H17" s="15">
        <v>1.6005430928551201</v>
      </c>
      <c r="I17" s="20" t="s">
        <v>76</v>
      </c>
      <c r="J17" s="26" t="s">
        <v>76</v>
      </c>
      <c r="K17" s="20" t="s">
        <v>76</v>
      </c>
      <c r="L17" s="20" t="s">
        <v>76</v>
      </c>
      <c r="M17" s="26" t="s">
        <v>76</v>
      </c>
      <c r="N17" s="20" t="s">
        <v>76</v>
      </c>
      <c r="O17" s="20" t="s">
        <v>76</v>
      </c>
      <c r="P17" s="26" t="s">
        <v>76</v>
      </c>
    </row>
    <row r="18" spans="1:16">
      <c r="A18" s="9" t="s">
        <v>222</v>
      </c>
      <c r="B18" s="15">
        <v>4.6753152098616004</v>
      </c>
      <c r="C18" s="15">
        <v>7.7061413298391201</v>
      </c>
      <c r="D18" s="24">
        <v>2.3223920892929599</v>
      </c>
      <c r="E18" s="15">
        <v>3.3016581601190702</v>
      </c>
      <c r="F18" s="15">
        <v>6.4433369282304298</v>
      </c>
      <c r="G18" s="26" t="s">
        <v>76</v>
      </c>
      <c r="H18" s="15">
        <v>5.94394897234812</v>
      </c>
      <c r="I18" s="15">
        <v>8.7931604099627805</v>
      </c>
      <c r="J18" s="24">
        <v>3.7347318869795498</v>
      </c>
      <c r="K18" s="20" t="s">
        <v>76</v>
      </c>
      <c r="L18" s="20" t="s">
        <v>76</v>
      </c>
      <c r="M18" s="26" t="s">
        <v>76</v>
      </c>
      <c r="N18" s="20" t="s">
        <v>76</v>
      </c>
      <c r="O18" s="20" t="s">
        <v>76</v>
      </c>
      <c r="P18" s="26" t="s">
        <v>76</v>
      </c>
    </row>
    <row r="19" spans="1:16">
      <c r="A19" s="9" t="s">
        <v>223</v>
      </c>
      <c r="B19" s="15">
        <v>13.605518531979101</v>
      </c>
      <c r="C19" s="15">
        <v>18.068553567747799</v>
      </c>
      <c r="D19" s="24">
        <v>10.1407277759703</v>
      </c>
      <c r="E19" s="15">
        <v>13.6844800488331</v>
      </c>
      <c r="F19" s="15">
        <v>18.844590042015401</v>
      </c>
      <c r="G19" s="24">
        <v>9.5153889515876298</v>
      </c>
      <c r="H19" s="15">
        <v>13.369808673596699</v>
      </c>
      <c r="I19" s="15">
        <v>17.1388363043514</v>
      </c>
      <c r="J19" s="24">
        <v>10.447385954396699</v>
      </c>
      <c r="K19" s="20" t="s">
        <v>76</v>
      </c>
      <c r="L19" s="20" t="s">
        <v>76</v>
      </c>
      <c r="M19" s="26" t="s">
        <v>76</v>
      </c>
      <c r="N19" s="20" t="s">
        <v>76</v>
      </c>
      <c r="O19" s="20" t="s">
        <v>76</v>
      </c>
      <c r="P19" s="26" t="s">
        <v>76</v>
      </c>
    </row>
    <row r="20" spans="1:16">
      <c r="A20" s="9" t="s">
        <v>224</v>
      </c>
      <c r="B20" s="20" t="s">
        <v>76</v>
      </c>
      <c r="C20" s="20" t="s">
        <v>76</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c r="A21" s="9" t="s">
        <v>225</v>
      </c>
      <c r="B21" s="15">
        <v>4.46904551757844</v>
      </c>
      <c r="C21" s="15">
        <v>4.1272196523654303</v>
      </c>
      <c r="D21" s="24">
        <v>4.7344154034213304</v>
      </c>
      <c r="E21" s="15">
        <v>3.53900893109296</v>
      </c>
      <c r="F21" s="15">
        <v>4.1418573457935501</v>
      </c>
      <c r="G21" s="24">
        <v>3.0519398643410001</v>
      </c>
      <c r="H21" s="15">
        <v>5.4646447199088497</v>
      </c>
      <c r="I21" s="15">
        <v>4.2359649761359304</v>
      </c>
      <c r="J21" s="24">
        <v>6.4173364880781802</v>
      </c>
      <c r="K21" s="20" t="s">
        <v>76</v>
      </c>
      <c r="L21" s="20" t="s">
        <v>76</v>
      </c>
      <c r="M21" s="26" t="s">
        <v>76</v>
      </c>
      <c r="N21" s="20" t="s">
        <v>76</v>
      </c>
      <c r="O21" s="20" t="s">
        <v>76</v>
      </c>
      <c r="P21" s="26" t="s">
        <v>76</v>
      </c>
    </row>
    <row r="22" spans="1:16">
      <c r="A22" s="9" t="s">
        <v>226</v>
      </c>
      <c r="B22" s="20" t="s">
        <v>76</v>
      </c>
      <c r="C22" s="20" t="s">
        <v>76</v>
      </c>
      <c r="D22" s="26" t="s">
        <v>76</v>
      </c>
      <c r="E22" s="20" t="s">
        <v>76</v>
      </c>
      <c r="F22" s="20" t="s">
        <v>76</v>
      </c>
      <c r="G22" s="26" t="s">
        <v>76</v>
      </c>
      <c r="H22" s="20" t="s">
        <v>76</v>
      </c>
      <c r="I22" s="20" t="s">
        <v>76</v>
      </c>
      <c r="J22" s="26" t="s">
        <v>76</v>
      </c>
      <c r="K22" s="20" t="s">
        <v>76</v>
      </c>
      <c r="L22" s="20" t="s">
        <v>76</v>
      </c>
      <c r="M22" s="26" t="s">
        <v>76</v>
      </c>
      <c r="N22" s="20" t="s">
        <v>76</v>
      </c>
      <c r="O22" s="20" t="s">
        <v>76</v>
      </c>
      <c r="P22" s="26" t="s">
        <v>76</v>
      </c>
    </row>
    <row r="23" spans="1:16">
      <c r="A23" s="9" t="s">
        <v>227</v>
      </c>
      <c r="B23" s="15">
        <v>5.2216376154966104</v>
      </c>
      <c r="C23" s="15">
        <v>7.5616754773453403</v>
      </c>
      <c r="D23" s="24">
        <v>3.40499457158925</v>
      </c>
      <c r="E23" s="15">
        <v>4.7831683233733502</v>
      </c>
      <c r="F23" s="15">
        <v>6.6857921839008396</v>
      </c>
      <c r="G23" s="24">
        <v>3.2459506654528298</v>
      </c>
      <c r="H23" s="15">
        <v>5.7759118044120097</v>
      </c>
      <c r="I23" s="15">
        <v>8.3873981179055797</v>
      </c>
      <c r="J23" s="24">
        <v>3.7510216520664801</v>
      </c>
      <c r="K23" s="20" t="s">
        <v>76</v>
      </c>
      <c r="L23" s="20" t="s">
        <v>76</v>
      </c>
      <c r="M23" s="26" t="s">
        <v>76</v>
      </c>
      <c r="N23" s="20" t="s">
        <v>76</v>
      </c>
      <c r="O23" s="20" t="s">
        <v>76</v>
      </c>
      <c r="P23" s="26" t="s">
        <v>76</v>
      </c>
    </row>
    <row r="24" spans="1:16">
      <c r="A24" s="9" t="s">
        <v>228</v>
      </c>
      <c r="B24" s="15">
        <v>19.156338208173899</v>
      </c>
      <c r="C24" s="15">
        <v>20.511946793978499</v>
      </c>
      <c r="D24" s="24">
        <v>18.103937754397698</v>
      </c>
      <c r="E24" s="15">
        <v>23.5943419807525</v>
      </c>
      <c r="F24" s="15">
        <v>24.387759283233699</v>
      </c>
      <c r="G24" s="24">
        <v>22.953303511311901</v>
      </c>
      <c r="H24" s="15">
        <v>14.6757242821307</v>
      </c>
      <c r="I24" s="15">
        <v>16.421018718846899</v>
      </c>
      <c r="J24" s="24">
        <v>13.3224606254958</v>
      </c>
      <c r="K24" s="20" t="s">
        <v>76</v>
      </c>
      <c r="L24" s="20" t="s">
        <v>76</v>
      </c>
      <c r="M24" s="26" t="s">
        <v>76</v>
      </c>
      <c r="N24" s="20" t="s">
        <v>76</v>
      </c>
      <c r="O24" s="20" t="s">
        <v>76</v>
      </c>
      <c r="P24" s="26" t="s">
        <v>76</v>
      </c>
    </row>
    <row r="25" spans="1:16">
      <c r="A25" s="9" t="s">
        <v>229</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230</v>
      </c>
      <c r="B26" s="15">
        <v>0.77085126661048597</v>
      </c>
      <c r="C26" s="20" t="s">
        <v>76</v>
      </c>
      <c r="D26" s="24">
        <v>1.1020798726043199</v>
      </c>
      <c r="E26" s="15">
        <v>1.2367503619473099</v>
      </c>
      <c r="F26" s="20" t="s">
        <v>76</v>
      </c>
      <c r="G26" s="26" t="s">
        <v>76</v>
      </c>
      <c r="H26" s="20" t="s">
        <v>76</v>
      </c>
      <c r="I26" s="20" t="s">
        <v>76</v>
      </c>
      <c r="J26" s="26" t="s">
        <v>76</v>
      </c>
      <c r="K26" s="20" t="s">
        <v>76</v>
      </c>
      <c r="L26" s="20" t="s">
        <v>76</v>
      </c>
      <c r="M26" s="26" t="s">
        <v>76</v>
      </c>
      <c r="N26" s="20" t="s">
        <v>76</v>
      </c>
      <c r="O26" s="20" t="s">
        <v>76</v>
      </c>
      <c r="P26" s="26" t="s">
        <v>76</v>
      </c>
    </row>
    <row r="27" spans="1:16">
      <c r="A27" s="9" t="s">
        <v>231</v>
      </c>
      <c r="B27" s="15">
        <v>3.2360270377907598</v>
      </c>
      <c r="C27" s="15">
        <v>5.2910420984120998</v>
      </c>
      <c r="D27" s="24">
        <v>1.6406559218493999</v>
      </c>
      <c r="E27" s="15">
        <v>2.6530903439385098</v>
      </c>
      <c r="F27" s="15">
        <v>4.16808037449458</v>
      </c>
      <c r="G27" s="26" t="s">
        <v>76</v>
      </c>
      <c r="H27" s="15">
        <v>3.9201714477245901</v>
      </c>
      <c r="I27" s="15">
        <v>6.43180186181152</v>
      </c>
      <c r="J27" s="24">
        <v>1.9727074056815901</v>
      </c>
      <c r="K27" s="20" t="s">
        <v>76</v>
      </c>
      <c r="L27" s="20" t="s">
        <v>76</v>
      </c>
      <c r="M27" s="26" t="s">
        <v>76</v>
      </c>
      <c r="N27" s="20" t="s">
        <v>76</v>
      </c>
      <c r="O27" s="20" t="s">
        <v>76</v>
      </c>
      <c r="P27" s="26" t="s">
        <v>76</v>
      </c>
    </row>
    <row r="28" spans="1:16">
      <c r="A28" s="9" t="s">
        <v>232</v>
      </c>
      <c r="B28" s="20" t="s">
        <v>76</v>
      </c>
      <c r="C28" s="20" t="s">
        <v>76</v>
      </c>
      <c r="D28" s="26" t="s">
        <v>76</v>
      </c>
      <c r="E28" s="20" t="s">
        <v>76</v>
      </c>
      <c r="F28" s="20" t="s">
        <v>76</v>
      </c>
      <c r="G28" s="26" t="s">
        <v>76</v>
      </c>
      <c r="H28" s="20" t="s">
        <v>76</v>
      </c>
      <c r="I28" s="20" t="s">
        <v>76</v>
      </c>
      <c r="J28" s="26" t="s">
        <v>76</v>
      </c>
      <c r="K28" s="20" t="s">
        <v>76</v>
      </c>
      <c r="L28" s="20" t="s">
        <v>76</v>
      </c>
      <c r="M28" s="26" t="s">
        <v>76</v>
      </c>
      <c r="N28" s="20" t="s">
        <v>76</v>
      </c>
      <c r="O28" s="20" t="s">
        <v>76</v>
      </c>
      <c r="P28" s="26" t="s">
        <v>76</v>
      </c>
    </row>
    <row r="29" spans="1:16">
      <c r="A29" s="9" t="s">
        <v>233</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c r="A30" s="9" t="s">
        <v>234</v>
      </c>
      <c r="B30" s="20" t="s">
        <v>76</v>
      </c>
      <c r="C30" s="20" t="s">
        <v>76</v>
      </c>
      <c r="D30" s="26" t="s">
        <v>76</v>
      </c>
      <c r="E30" s="20" t="s">
        <v>76</v>
      </c>
      <c r="F30" s="20" t="s">
        <v>76</v>
      </c>
      <c r="G30" s="26" t="s">
        <v>76</v>
      </c>
      <c r="H30" s="20" t="s">
        <v>76</v>
      </c>
      <c r="I30" s="20" t="s">
        <v>76</v>
      </c>
      <c r="J30" s="26" t="s">
        <v>76</v>
      </c>
      <c r="K30" s="20" t="s">
        <v>76</v>
      </c>
      <c r="L30" s="20" t="s">
        <v>76</v>
      </c>
      <c r="M30" s="26" t="s">
        <v>76</v>
      </c>
      <c r="N30" s="20" t="s">
        <v>76</v>
      </c>
      <c r="O30" s="20" t="s">
        <v>76</v>
      </c>
      <c r="P30" s="26" t="s">
        <v>76</v>
      </c>
    </row>
    <row r="31" spans="1:16">
      <c r="A31" s="9" t="s">
        <v>235</v>
      </c>
      <c r="B31" s="20" t="s">
        <v>76</v>
      </c>
      <c r="C31" s="20" t="s">
        <v>76</v>
      </c>
      <c r="D31" s="26" t="s">
        <v>76</v>
      </c>
      <c r="E31" s="20" t="s">
        <v>76</v>
      </c>
      <c r="F31" s="20" t="s">
        <v>76</v>
      </c>
      <c r="G31" s="26" t="s">
        <v>76</v>
      </c>
      <c r="H31" s="20" t="s">
        <v>76</v>
      </c>
      <c r="I31" s="20" t="s">
        <v>76</v>
      </c>
      <c r="J31" s="26" t="s">
        <v>76</v>
      </c>
      <c r="K31" s="20" t="s">
        <v>76</v>
      </c>
      <c r="L31" s="20" t="s">
        <v>76</v>
      </c>
      <c r="M31" s="26" t="s">
        <v>76</v>
      </c>
      <c r="N31" s="20" t="s">
        <v>76</v>
      </c>
      <c r="O31" s="20" t="s">
        <v>76</v>
      </c>
      <c r="P31" s="26" t="s">
        <v>76</v>
      </c>
    </row>
    <row r="32" spans="1:16">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237</v>
      </c>
      <c r="B33" s="15">
        <v>0.72888240119040804</v>
      </c>
      <c r="C33" s="20" t="s">
        <v>76</v>
      </c>
      <c r="D33" s="26" t="s">
        <v>76</v>
      </c>
      <c r="E33" s="20" t="s">
        <v>76</v>
      </c>
      <c r="F33" s="20" t="s">
        <v>76</v>
      </c>
      <c r="G33" s="26" t="s">
        <v>76</v>
      </c>
      <c r="H33" s="20" t="s">
        <v>76</v>
      </c>
      <c r="I33" s="20" t="s">
        <v>76</v>
      </c>
      <c r="J33" s="26" t="s">
        <v>76</v>
      </c>
      <c r="K33" s="20" t="s">
        <v>76</v>
      </c>
      <c r="L33" s="20" t="s">
        <v>76</v>
      </c>
      <c r="M33" s="26" t="s">
        <v>76</v>
      </c>
      <c r="N33" s="20" t="s">
        <v>76</v>
      </c>
      <c r="O33" s="20" t="s">
        <v>76</v>
      </c>
      <c r="P33" s="26" t="s">
        <v>76</v>
      </c>
    </row>
    <row r="34" spans="1:16">
      <c r="A34" s="9" t="s">
        <v>238</v>
      </c>
      <c r="B34" s="20" t="s">
        <v>76</v>
      </c>
      <c r="C34" s="20" t="s">
        <v>76</v>
      </c>
      <c r="D34" s="26" t="s">
        <v>76</v>
      </c>
      <c r="E34" s="20" t="s">
        <v>76</v>
      </c>
      <c r="F34" s="20" t="s">
        <v>76</v>
      </c>
      <c r="G34" s="26" t="s">
        <v>76</v>
      </c>
      <c r="H34" s="20" t="s">
        <v>76</v>
      </c>
      <c r="I34" s="20" t="s">
        <v>76</v>
      </c>
      <c r="J34" s="26" t="s">
        <v>76</v>
      </c>
      <c r="K34" s="20" t="s">
        <v>76</v>
      </c>
      <c r="L34" s="20" t="s">
        <v>76</v>
      </c>
      <c r="M34" s="26" t="s">
        <v>76</v>
      </c>
      <c r="N34" s="20" t="s">
        <v>76</v>
      </c>
      <c r="O34" s="20" t="s">
        <v>76</v>
      </c>
      <c r="P34" s="26" t="s">
        <v>76</v>
      </c>
    </row>
    <row r="35" spans="1:16">
      <c r="A35" s="9" t="s">
        <v>239</v>
      </c>
      <c r="B35" s="20" t="s">
        <v>76</v>
      </c>
      <c r="C35" s="20" t="s">
        <v>76</v>
      </c>
      <c r="D35" s="26" t="s">
        <v>76</v>
      </c>
      <c r="E35" s="20" t="s">
        <v>76</v>
      </c>
      <c r="F35" s="20" t="s">
        <v>76</v>
      </c>
      <c r="G35" s="26" t="s">
        <v>76</v>
      </c>
      <c r="H35" s="20" t="s">
        <v>76</v>
      </c>
      <c r="I35" s="20" t="s">
        <v>76</v>
      </c>
      <c r="J35" s="26" t="s">
        <v>76</v>
      </c>
      <c r="K35" s="20" t="s">
        <v>76</v>
      </c>
      <c r="L35" s="20" t="s">
        <v>76</v>
      </c>
      <c r="M35" s="26" t="s">
        <v>76</v>
      </c>
      <c r="N35" s="20" t="s">
        <v>76</v>
      </c>
      <c r="O35" s="20" t="s">
        <v>76</v>
      </c>
      <c r="P35" s="26" t="s">
        <v>76</v>
      </c>
    </row>
    <row r="36" spans="1:16">
      <c r="A36" s="9" t="s">
        <v>240</v>
      </c>
      <c r="B36" s="15">
        <v>15.7244366687745</v>
      </c>
      <c r="C36" s="15">
        <v>13.289522773801099</v>
      </c>
      <c r="D36" s="24">
        <v>17.614734882292399</v>
      </c>
      <c r="E36" s="15">
        <v>5.2630971711675496</v>
      </c>
      <c r="F36" s="15">
        <v>8.4217396206717599</v>
      </c>
      <c r="G36" s="24">
        <v>2.71108410690952</v>
      </c>
      <c r="H36" s="15">
        <v>26.842178437805899</v>
      </c>
      <c r="I36" s="15">
        <v>18.496356319312302</v>
      </c>
      <c r="J36" s="24">
        <v>33.313348871916901</v>
      </c>
      <c r="K36" s="20" t="s">
        <v>76</v>
      </c>
      <c r="L36" s="20" t="s">
        <v>76</v>
      </c>
      <c r="M36" s="26" t="s">
        <v>76</v>
      </c>
      <c r="N36" s="20" t="s">
        <v>76</v>
      </c>
      <c r="O36" s="20" t="s">
        <v>76</v>
      </c>
      <c r="P36" s="26" t="s">
        <v>76</v>
      </c>
    </row>
    <row r="37" spans="1:16">
      <c r="A37" s="9" t="s">
        <v>241</v>
      </c>
      <c r="B37" s="20" t="s">
        <v>76</v>
      </c>
      <c r="C37" s="20" t="s">
        <v>76</v>
      </c>
      <c r="D37" s="26" t="s">
        <v>76</v>
      </c>
      <c r="E37" s="20" t="s">
        <v>76</v>
      </c>
      <c r="F37" s="20" t="s">
        <v>76</v>
      </c>
      <c r="G37" s="26" t="s">
        <v>76</v>
      </c>
      <c r="H37" s="20" t="s">
        <v>76</v>
      </c>
      <c r="I37" s="20" t="s">
        <v>76</v>
      </c>
      <c r="J37" s="26" t="s">
        <v>76</v>
      </c>
      <c r="K37" s="20" t="s">
        <v>76</v>
      </c>
      <c r="L37" s="20" t="s">
        <v>76</v>
      </c>
      <c r="M37" s="26" t="s">
        <v>76</v>
      </c>
      <c r="N37" s="20" t="s">
        <v>76</v>
      </c>
      <c r="O37" s="20" t="s">
        <v>76</v>
      </c>
      <c r="P37" s="26" t="s">
        <v>76</v>
      </c>
    </row>
    <row r="38" spans="1:16">
      <c r="A38" s="9" t="s">
        <v>242</v>
      </c>
      <c r="B38" s="15">
        <v>1.38868172579209</v>
      </c>
      <c r="C38" s="15">
        <v>2.1081828982326698</v>
      </c>
      <c r="D38" s="24">
        <v>0.83011093456365204</v>
      </c>
      <c r="E38" s="15">
        <v>1.98349758296873</v>
      </c>
      <c r="F38" s="20" t="s">
        <v>76</v>
      </c>
      <c r="G38" s="26" t="s">
        <v>76</v>
      </c>
      <c r="H38" s="20" t="s">
        <v>76</v>
      </c>
      <c r="I38" s="20" t="s">
        <v>76</v>
      </c>
      <c r="J38" s="26" t="s">
        <v>76</v>
      </c>
      <c r="K38" s="20" t="s">
        <v>76</v>
      </c>
      <c r="L38" s="20" t="s">
        <v>76</v>
      </c>
      <c r="M38" s="26" t="s">
        <v>76</v>
      </c>
      <c r="N38" s="20" t="s">
        <v>76</v>
      </c>
      <c r="O38" s="20" t="s">
        <v>76</v>
      </c>
      <c r="P38" s="26" t="s">
        <v>76</v>
      </c>
    </row>
    <row r="39" spans="1:16">
      <c r="A39" s="9" t="s">
        <v>243</v>
      </c>
      <c r="B39" s="20" t="s">
        <v>76</v>
      </c>
      <c r="C39" s="20" t="s">
        <v>76</v>
      </c>
      <c r="D39" s="26" t="s">
        <v>76</v>
      </c>
      <c r="E39" s="20" t="s">
        <v>76</v>
      </c>
      <c r="F39" s="20" t="s">
        <v>76</v>
      </c>
      <c r="G39" s="26" t="s">
        <v>76</v>
      </c>
      <c r="H39" s="20" t="s">
        <v>76</v>
      </c>
      <c r="I39" s="20" t="s">
        <v>76</v>
      </c>
      <c r="J39" s="26" t="s">
        <v>76</v>
      </c>
      <c r="K39" s="20" t="s">
        <v>76</v>
      </c>
      <c r="L39" s="20" t="s">
        <v>76</v>
      </c>
      <c r="M39" s="26" t="s">
        <v>76</v>
      </c>
      <c r="N39" s="20" t="s">
        <v>76</v>
      </c>
      <c r="O39" s="20" t="s">
        <v>76</v>
      </c>
      <c r="P39" s="26" t="s">
        <v>76</v>
      </c>
    </row>
    <row r="40" spans="1:16">
      <c r="A40" s="9" t="s">
        <v>244</v>
      </c>
      <c r="B40" s="20" t="s">
        <v>76</v>
      </c>
      <c r="C40" s="20" t="s">
        <v>76</v>
      </c>
      <c r="D40" s="26" t="s">
        <v>76</v>
      </c>
      <c r="E40" s="20" t="s">
        <v>76</v>
      </c>
      <c r="F40" s="20" t="s">
        <v>76</v>
      </c>
      <c r="G40" s="26" t="s">
        <v>76</v>
      </c>
      <c r="H40" s="20" t="s">
        <v>76</v>
      </c>
      <c r="I40" s="20" t="s">
        <v>76</v>
      </c>
      <c r="J40" s="26" t="s">
        <v>76</v>
      </c>
      <c r="K40" s="20" t="s">
        <v>76</v>
      </c>
      <c r="L40" s="20" t="s">
        <v>76</v>
      </c>
      <c r="M40" s="26" t="s">
        <v>76</v>
      </c>
      <c r="N40" s="20" t="s">
        <v>76</v>
      </c>
      <c r="O40" s="20" t="s">
        <v>76</v>
      </c>
      <c r="P40" s="26" t="s">
        <v>76</v>
      </c>
    </row>
    <row r="41" spans="1:16">
      <c r="A41" s="9" t="s">
        <v>245</v>
      </c>
      <c r="B41" s="15">
        <v>14.425790937687101</v>
      </c>
      <c r="C41" s="15">
        <v>14.8520244012809</v>
      </c>
      <c r="D41" s="24">
        <v>14.0948928486679</v>
      </c>
      <c r="E41" s="15">
        <v>13.750427137657599</v>
      </c>
      <c r="F41" s="15">
        <v>15.0498610962882</v>
      </c>
      <c r="G41" s="24">
        <v>12.7005544497608</v>
      </c>
      <c r="H41" s="15">
        <v>15.090757790388199</v>
      </c>
      <c r="I41" s="15">
        <v>14.4728866814259</v>
      </c>
      <c r="J41" s="24">
        <v>15.5698417195254</v>
      </c>
      <c r="K41" s="20" t="s">
        <v>76</v>
      </c>
      <c r="L41" s="20" t="s">
        <v>76</v>
      </c>
      <c r="M41" s="26" t="s">
        <v>76</v>
      </c>
      <c r="N41" s="20" t="s">
        <v>76</v>
      </c>
      <c r="O41" s="20" t="s">
        <v>76</v>
      </c>
      <c r="P41" s="26" t="s">
        <v>76</v>
      </c>
    </row>
    <row r="42" spans="1:16">
      <c r="A42" s="9" t="s">
        <v>246</v>
      </c>
      <c r="B42" s="20" t="s">
        <v>76</v>
      </c>
      <c r="C42" s="20" t="s">
        <v>76</v>
      </c>
      <c r="D42" s="26" t="s">
        <v>76</v>
      </c>
      <c r="E42" s="20" t="s">
        <v>76</v>
      </c>
      <c r="F42" s="20" t="s">
        <v>76</v>
      </c>
      <c r="G42" s="26" t="s">
        <v>76</v>
      </c>
      <c r="H42" s="20" t="s">
        <v>76</v>
      </c>
      <c r="I42" s="20" t="s">
        <v>76</v>
      </c>
      <c r="J42" s="26" t="s">
        <v>76</v>
      </c>
      <c r="K42" s="20" t="s">
        <v>76</v>
      </c>
      <c r="L42" s="20" t="s">
        <v>76</v>
      </c>
      <c r="M42" s="26" t="s">
        <v>76</v>
      </c>
      <c r="N42" s="20" t="s">
        <v>76</v>
      </c>
      <c r="O42" s="20" t="s">
        <v>76</v>
      </c>
      <c r="P42" s="26" t="s">
        <v>76</v>
      </c>
    </row>
    <row r="43" spans="1:16">
      <c r="A43" s="9" t="s">
        <v>247</v>
      </c>
      <c r="B43" s="15">
        <v>13.929834004781</v>
      </c>
      <c r="C43" s="15">
        <v>10.9363578688573</v>
      </c>
      <c r="D43" s="24">
        <v>16.253761189075298</v>
      </c>
      <c r="E43" s="15">
        <v>18.824199414005999</v>
      </c>
      <c r="F43" s="15">
        <v>13.998834180312899</v>
      </c>
      <c r="G43" s="24">
        <v>22.722834765447701</v>
      </c>
      <c r="H43" s="15">
        <v>9.1742542163919794</v>
      </c>
      <c r="I43" s="15">
        <v>7.9408658780896504</v>
      </c>
      <c r="J43" s="24">
        <v>10.1305969271853</v>
      </c>
      <c r="K43" s="20" t="s">
        <v>76</v>
      </c>
      <c r="L43" s="20" t="s">
        <v>76</v>
      </c>
      <c r="M43" s="26" t="s">
        <v>76</v>
      </c>
      <c r="N43" s="20" t="s">
        <v>76</v>
      </c>
      <c r="O43" s="20" t="s">
        <v>76</v>
      </c>
      <c r="P43" s="26" t="s">
        <v>76</v>
      </c>
    </row>
    <row r="44" spans="1:16">
      <c r="A44" s="9" t="s">
        <v>248</v>
      </c>
      <c r="B44" s="15">
        <v>10.1158295950135</v>
      </c>
      <c r="C44" s="15">
        <v>12.312623867178001</v>
      </c>
      <c r="D44" s="24">
        <v>8.41039093588412</v>
      </c>
      <c r="E44" s="15">
        <v>10.1966623808613</v>
      </c>
      <c r="F44" s="15">
        <v>12.2092408061373</v>
      </c>
      <c r="G44" s="24">
        <v>8.5706073536597902</v>
      </c>
      <c r="H44" s="15">
        <v>10.223135003877101</v>
      </c>
      <c r="I44" s="15">
        <v>12.3368190090711</v>
      </c>
      <c r="J44" s="24">
        <v>8.5842300227661994</v>
      </c>
      <c r="K44" s="20" t="s">
        <v>76</v>
      </c>
      <c r="L44" s="20" t="s">
        <v>76</v>
      </c>
      <c r="M44" s="26" t="s">
        <v>76</v>
      </c>
      <c r="N44" s="20" t="s">
        <v>76</v>
      </c>
      <c r="O44" s="20" t="s">
        <v>76</v>
      </c>
      <c r="P44" s="26" t="s">
        <v>76</v>
      </c>
    </row>
    <row r="45" spans="1:16">
      <c r="A45" s="9" t="s">
        <v>249</v>
      </c>
      <c r="B45" s="20" t="s">
        <v>76</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c r="A46" s="9" t="s">
        <v>250</v>
      </c>
      <c r="B46" s="20" t="s">
        <v>76</v>
      </c>
      <c r="C46" s="20" t="s">
        <v>76</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c r="A47" s="9" t="s">
        <v>251</v>
      </c>
      <c r="B47" s="20" t="s">
        <v>76</v>
      </c>
      <c r="C47" s="20" t="s">
        <v>76</v>
      </c>
      <c r="D47" s="26" t="s">
        <v>76</v>
      </c>
      <c r="E47" s="20" t="s">
        <v>76</v>
      </c>
      <c r="F47" s="20" t="s">
        <v>76</v>
      </c>
      <c r="G47" s="26" t="s">
        <v>76</v>
      </c>
      <c r="H47" s="20" t="s">
        <v>76</v>
      </c>
      <c r="I47" s="20" t="s">
        <v>76</v>
      </c>
      <c r="J47" s="26" t="s">
        <v>76</v>
      </c>
      <c r="K47" s="20" t="s">
        <v>76</v>
      </c>
      <c r="L47" s="20" t="s">
        <v>76</v>
      </c>
      <c r="M47" s="26" t="s">
        <v>76</v>
      </c>
      <c r="N47" s="20" t="s">
        <v>76</v>
      </c>
      <c r="O47" s="20" t="s">
        <v>76</v>
      </c>
      <c r="P47" s="26" t="s">
        <v>76</v>
      </c>
    </row>
    <row r="48" spans="1:16">
      <c r="A48" s="9" t="s">
        <v>252</v>
      </c>
      <c r="B48" s="15">
        <v>0.74812751575695702</v>
      </c>
      <c r="C48" s="20" t="s">
        <v>76</v>
      </c>
      <c r="D48" s="26" t="s">
        <v>76</v>
      </c>
      <c r="E48" s="20" t="s">
        <v>76</v>
      </c>
      <c r="F48" s="20" t="s">
        <v>76</v>
      </c>
      <c r="G48" s="26" t="s">
        <v>76</v>
      </c>
      <c r="H48" s="20" t="s">
        <v>76</v>
      </c>
      <c r="I48" s="20" t="s">
        <v>76</v>
      </c>
      <c r="J48" s="26" t="s">
        <v>76</v>
      </c>
      <c r="K48" s="20" t="s">
        <v>76</v>
      </c>
      <c r="L48" s="20" t="s">
        <v>76</v>
      </c>
      <c r="M48" s="26" t="s">
        <v>76</v>
      </c>
      <c r="N48" s="20" t="s">
        <v>76</v>
      </c>
      <c r="O48" s="20" t="s">
        <v>76</v>
      </c>
      <c r="P48" s="26" t="s">
        <v>76</v>
      </c>
    </row>
    <row r="49" spans="1:16">
      <c r="A49" s="9" t="s">
        <v>253</v>
      </c>
      <c r="B49" s="20" t="s">
        <v>76</v>
      </c>
      <c r="C49" s="20" t="s">
        <v>76</v>
      </c>
      <c r="D49" s="26" t="s">
        <v>76</v>
      </c>
      <c r="E49" s="20" t="s">
        <v>76</v>
      </c>
      <c r="F49" s="20" t="s">
        <v>76</v>
      </c>
      <c r="G49" s="26" t="s">
        <v>76</v>
      </c>
      <c r="H49" s="20" t="s">
        <v>76</v>
      </c>
      <c r="I49" s="20" t="s">
        <v>76</v>
      </c>
      <c r="J49" s="26" t="s">
        <v>76</v>
      </c>
      <c r="K49" s="20" t="s">
        <v>76</v>
      </c>
      <c r="L49" s="20" t="s">
        <v>76</v>
      </c>
      <c r="M49" s="26" t="s">
        <v>76</v>
      </c>
      <c r="N49" s="20" t="s">
        <v>76</v>
      </c>
      <c r="O49" s="20" t="s">
        <v>76</v>
      </c>
      <c r="P49" s="26" t="s">
        <v>76</v>
      </c>
    </row>
    <row r="50" spans="1:16">
      <c r="A50" s="9" t="s">
        <v>254</v>
      </c>
      <c r="B50" s="15">
        <v>5.1672758633772098</v>
      </c>
      <c r="C50" s="15">
        <v>10.0610660191946</v>
      </c>
      <c r="D50" s="24">
        <v>1.36807671799057</v>
      </c>
      <c r="E50" s="15">
        <v>5.0881243936809604</v>
      </c>
      <c r="F50" s="15">
        <v>9.3236680381882895</v>
      </c>
      <c r="G50" s="26" t="s">
        <v>76</v>
      </c>
      <c r="H50" s="15">
        <v>5.28772429705535</v>
      </c>
      <c r="I50" s="15">
        <v>10.611409569752301</v>
      </c>
      <c r="J50" s="26" t="s">
        <v>76</v>
      </c>
      <c r="K50" s="20" t="s">
        <v>76</v>
      </c>
      <c r="L50" s="20" t="s">
        <v>76</v>
      </c>
      <c r="M50" s="26" t="s">
        <v>76</v>
      </c>
      <c r="N50" s="20" t="s">
        <v>76</v>
      </c>
      <c r="O50" s="20" t="s">
        <v>76</v>
      </c>
      <c r="P50" s="26" t="s">
        <v>76</v>
      </c>
    </row>
    <row r="51" spans="1:16">
      <c r="A51" s="9" t="s">
        <v>255</v>
      </c>
      <c r="B51" s="15">
        <v>2.3141997004183699</v>
      </c>
      <c r="C51" s="20" t="s">
        <v>76</v>
      </c>
      <c r="D51" s="24">
        <v>3.3276358831648198</v>
      </c>
      <c r="E51" s="15">
        <v>2.5870132297166402</v>
      </c>
      <c r="F51" s="20" t="s">
        <v>76</v>
      </c>
      <c r="G51" s="24">
        <v>3.91188476215354</v>
      </c>
      <c r="H51" s="15">
        <v>2.1272237470238702</v>
      </c>
      <c r="I51" s="20" t="s">
        <v>76</v>
      </c>
      <c r="J51" s="24">
        <v>2.92000636679249</v>
      </c>
      <c r="K51" s="20" t="s">
        <v>76</v>
      </c>
      <c r="L51" s="20" t="s">
        <v>76</v>
      </c>
      <c r="M51" s="26" t="s">
        <v>76</v>
      </c>
      <c r="N51" s="20" t="s">
        <v>76</v>
      </c>
      <c r="O51" s="20" t="s">
        <v>76</v>
      </c>
      <c r="P51" s="26" t="s">
        <v>76</v>
      </c>
    </row>
    <row r="52" spans="1:16">
      <c r="A52" s="9" t="s">
        <v>256</v>
      </c>
      <c r="B52" s="20" t="s">
        <v>76</v>
      </c>
      <c r="C52" s="20" t="s">
        <v>76</v>
      </c>
      <c r="D52" s="26" t="s">
        <v>76</v>
      </c>
      <c r="E52" s="20" t="s">
        <v>76</v>
      </c>
      <c r="F52" s="20" t="s">
        <v>76</v>
      </c>
      <c r="G52" s="26" t="s">
        <v>76</v>
      </c>
      <c r="H52" s="20" t="s">
        <v>76</v>
      </c>
      <c r="I52" s="20" t="s">
        <v>76</v>
      </c>
      <c r="J52" s="26" t="s">
        <v>76</v>
      </c>
      <c r="K52" s="20" t="s">
        <v>76</v>
      </c>
      <c r="L52" s="20" t="s">
        <v>76</v>
      </c>
      <c r="M52" s="26" t="s">
        <v>76</v>
      </c>
      <c r="N52" s="20" t="s">
        <v>76</v>
      </c>
      <c r="O52" s="20" t="s">
        <v>76</v>
      </c>
      <c r="P52" s="26" t="s">
        <v>76</v>
      </c>
    </row>
    <row r="53" spans="1:16">
      <c r="A53" s="9" t="s">
        <v>257</v>
      </c>
      <c r="B53" s="15">
        <v>6.6538554994854398</v>
      </c>
      <c r="C53" s="15">
        <v>4.6276264800566302</v>
      </c>
      <c r="D53" s="24">
        <v>8.2268791302229705</v>
      </c>
      <c r="E53" s="15">
        <v>6.6550658847699102</v>
      </c>
      <c r="F53" s="15">
        <v>4.8629415067835504</v>
      </c>
      <c r="G53" s="24">
        <v>8.1030059091668907</v>
      </c>
      <c r="H53" s="15">
        <v>6.4967404655896699</v>
      </c>
      <c r="I53" s="15">
        <v>4.3926556634774503</v>
      </c>
      <c r="J53" s="24">
        <v>8.1282024317055495</v>
      </c>
      <c r="K53" s="20" t="s">
        <v>76</v>
      </c>
      <c r="L53" s="20" t="s">
        <v>76</v>
      </c>
      <c r="M53" s="26" t="s">
        <v>76</v>
      </c>
      <c r="N53" s="20" t="s">
        <v>76</v>
      </c>
      <c r="O53" s="20" t="s">
        <v>76</v>
      </c>
      <c r="P53" s="26" t="s">
        <v>76</v>
      </c>
    </row>
    <row r="54" spans="1:16">
      <c r="A54" s="9" t="s">
        <v>258</v>
      </c>
      <c r="B54" s="15">
        <v>0.68863375217463696</v>
      </c>
      <c r="C54" s="20" t="s">
        <v>76</v>
      </c>
      <c r="D54" s="26" t="s">
        <v>76</v>
      </c>
      <c r="E54" s="20" t="s">
        <v>76</v>
      </c>
      <c r="F54" s="20" t="s">
        <v>76</v>
      </c>
      <c r="G54" s="26" t="s">
        <v>76</v>
      </c>
      <c r="H54" s="20" t="s">
        <v>76</v>
      </c>
      <c r="I54" s="20" t="s">
        <v>76</v>
      </c>
      <c r="J54" s="26" t="s">
        <v>76</v>
      </c>
      <c r="K54" s="20" t="s">
        <v>76</v>
      </c>
      <c r="L54" s="20" t="s">
        <v>76</v>
      </c>
      <c r="M54" s="26" t="s">
        <v>76</v>
      </c>
      <c r="N54" s="20" t="s">
        <v>76</v>
      </c>
      <c r="O54" s="20" t="s">
        <v>76</v>
      </c>
      <c r="P54" s="26" t="s">
        <v>76</v>
      </c>
    </row>
    <row r="55" spans="1:16">
      <c r="A55" s="9" t="s">
        <v>259</v>
      </c>
      <c r="B55" s="20" t="s">
        <v>76</v>
      </c>
      <c r="C55" s="20" t="s">
        <v>76</v>
      </c>
      <c r="D55" s="26" t="s">
        <v>76</v>
      </c>
      <c r="E55" s="20" t="s">
        <v>76</v>
      </c>
      <c r="F55" s="20" t="s">
        <v>76</v>
      </c>
      <c r="G55" s="26" t="s">
        <v>76</v>
      </c>
      <c r="H55" s="20" t="s">
        <v>76</v>
      </c>
      <c r="I55" s="20" t="s">
        <v>76</v>
      </c>
      <c r="J55" s="26" t="s">
        <v>76</v>
      </c>
      <c r="K55" s="20" t="s">
        <v>76</v>
      </c>
      <c r="L55" s="20" t="s">
        <v>76</v>
      </c>
      <c r="M55" s="26" t="s">
        <v>76</v>
      </c>
      <c r="N55" s="20" t="s">
        <v>76</v>
      </c>
      <c r="O55" s="20" t="s">
        <v>76</v>
      </c>
      <c r="P55" s="26" t="s">
        <v>76</v>
      </c>
    </row>
    <row r="56" spans="1:16">
      <c r="A56" s="9" t="s">
        <v>260</v>
      </c>
      <c r="B56" s="15">
        <v>1.6007455129011801</v>
      </c>
      <c r="C56" s="20" t="s">
        <v>76</v>
      </c>
      <c r="D56" s="24">
        <v>2.0104240685142098</v>
      </c>
      <c r="E56" s="20" t="s">
        <v>76</v>
      </c>
      <c r="F56" s="20" t="s">
        <v>76</v>
      </c>
      <c r="G56" s="26" t="s">
        <v>76</v>
      </c>
      <c r="H56" s="15">
        <v>2.0339447441755198</v>
      </c>
      <c r="I56" s="20" t="s">
        <v>76</v>
      </c>
      <c r="J56" s="24">
        <v>2.6110261488602</v>
      </c>
      <c r="K56" s="20" t="s">
        <v>76</v>
      </c>
      <c r="L56" s="20" t="s">
        <v>76</v>
      </c>
      <c r="M56" s="26" t="s">
        <v>76</v>
      </c>
      <c r="N56" s="20" t="s">
        <v>76</v>
      </c>
      <c r="O56" s="20" t="s">
        <v>76</v>
      </c>
      <c r="P56" s="26" t="s">
        <v>76</v>
      </c>
    </row>
    <row r="57" spans="1:16">
      <c r="A57" s="9" t="s">
        <v>261</v>
      </c>
      <c r="B57" s="15">
        <v>0.75745471022946298</v>
      </c>
      <c r="C57" s="20" t="s">
        <v>76</v>
      </c>
      <c r="D57" s="26" t="s">
        <v>76</v>
      </c>
      <c r="E57" s="20" t="s">
        <v>76</v>
      </c>
      <c r="F57" s="20" t="s">
        <v>76</v>
      </c>
      <c r="G57" s="26" t="s">
        <v>76</v>
      </c>
      <c r="H57" s="20" t="s">
        <v>76</v>
      </c>
      <c r="I57" s="20" t="s">
        <v>76</v>
      </c>
      <c r="J57" s="26" t="s">
        <v>76</v>
      </c>
      <c r="K57" s="20" t="s">
        <v>76</v>
      </c>
      <c r="L57" s="20" t="s">
        <v>76</v>
      </c>
      <c r="M57" s="26" t="s">
        <v>76</v>
      </c>
      <c r="N57" s="20" t="s">
        <v>76</v>
      </c>
      <c r="O57" s="20" t="s">
        <v>76</v>
      </c>
      <c r="P57" s="26" t="s">
        <v>76</v>
      </c>
    </row>
    <row r="58" spans="1:16">
      <c r="A58" s="9" t="s">
        <v>262</v>
      </c>
      <c r="B58" s="15">
        <v>1.60900070119254</v>
      </c>
      <c r="C58" s="20" t="s">
        <v>76</v>
      </c>
      <c r="D58" s="24">
        <v>2.56010494941492</v>
      </c>
      <c r="E58" s="15">
        <v>2.55567576839253</v>
      </c>
      <c r="F58" s="20" t="s">
        <v>76</v>
      </c>
      <c r="G58" s="24">
        <v>4.1008175787744401</v>
      </c>
      <c r="H58" s="20" t="s">
        <v>76</v>
      </c>
      <c r="I58" s="20" t="s">
        <v>76</v>
      </c>
      <c r="J58" s="26" t="s">
        <v>76</v>
      </c>
      <c r="K58" s="20" t="s">
        <v>76</v>
      </c>
      <c r="L58" s="20" t="s">
        <v>76</v>
      </c>
      <c r="M58" s="26" t="s">
        <v>76</v>
      </c>
      <c r="N58" s="20" t="s">
        <v>76</v>
      </c>
      <c r="O58" s="20" t="s">
        <v>76</v>
      </c>
      <c r="P58" s="26" t="s">
        <v>76</v>
      </c>
    </row>
    <row r="59" spans="1:16">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265</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266</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c r="A63" s="9" t="s">
        <v>267</v>
      </c>
      <c r="B63" s="20" t="s">
        <v>76</v>
      </c>
      <c r="C63" s="20" t="s">
        <v>76</v>
      </c>
      <c r="D63" s="26" t="s">
        <v>76</v>
      </c>
      <c r="E63" s="20" t="s">
        <v>76</v>
      </c>
      <c r="F63" s="20" t="s">
        <v>76</v>
      </c>
      <c r="G63" s="26" t="s">
        <v>76</v>
      </c>
      <c r="H63" s="20" t="s">
        <v>76</v>
      </c>
      <c r="I63" s="20" t="s">
        <v>76</v>
      </c>
      <c r="J63" s="26" t="s">
        <v>76</v>
      </c>
      <c r="K63" s="20" t="s">
        <v>76</v>
      </c>
      <c r="L63" s="20" t="s">
        <v>76</v>
      </c>
      <c r="M63" s="26" t="s">
        <v>76</v>
      </c>
      <c r="N63" s="20" t="s">
        <v>76</v>
      </c>
      <c r="O63" s="20" t="s">
        <v>76</v>
      </c>
      <c r="P63" s="26" t="s">
        <v>76</v>
      </c>
    </row>
    <row r="64" spans="1:16">
      <c r="A64" s="11" t="s">
        <v>268</v>
      </c>
      <c r="B64" s="16">
        <v>1.1377569086578401</v>
      </c>
      <c r="C64" s="28" t="s">
        <v>76</v>
      </c>
      <c r="D64" s="29" t="s">
        <v>76</v>
      </c>
      <c r="E64" s="28" t="s">
        <v>76</v>
      </c>
      <c r="F64" s="28" t="s">
        <v>76</v>
      </c>
      <c r="G64" s="29" t="s">
        <v>76</v>
      </c>
      <c r="H64" s="28" t="s">
        <v>76</v>
      </c>
      <c r="I64" s="28" t="s">
        <v>76</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272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1.90207180532728</v>
      </c>
      <c r="C3" s="32">
        <v>1.32353549926734</v>
      </c>
      <c r="D3" s="32">
        <v>0.84028410218094396</v>
      </c>
      <c r="E3" s="34" t="s">
        <v>76</v>
      </c>
      <c r="F3" s="20" t="s">
        <v>76</v>
      </c>
      <c r="G3" s="20" t="s">
        <v>76</v>
      </c>
      <c r="H3" s="20" t="s">
        <v>76</v>
      </c>
      <c r="I3" s="20" t="s">
        <v>76</v>
      </c>
      <c r="J3" s="20" t="s">
        <v>76</v>
      </c>
      <c r="K3" s="20" t="s">
        <v>76</v>
      </c>
      <c r="L3" s="20" t="s">
        <v>76</v>
      </c>
      <c r="M3" s="20" t="s">
        <v>76</v>
      </c>
      <c r="N3" s="20" t="s">
        <v>76</v>
      </c>
      <c r="O3" s="20" t="s">
        <v>76</v>
      </c>
      <c r="P3" s="20" t="s">
        <v>76</v>
      </c>
      <c r="Q3" s="20" t="s">
        <v>76</v>
      </c>
      <c r="R3" s="20" t="s">
        <v>76</v>
      </c>
      <c r="S3" s="20" t="s">
        <v>76</v>
      </c>
      <c r="T3" s="20" t="s">
        <v>76</v>
      </c>
      <c r="U3" s="20" t="s">
        <v>76</v>
      </c>
      <c r="V3" s="20" t="s">
        <v>76</v>
      </c>
      <c r="W3" s="20" t="s">
        <v>76</v>
      </c>
      <c r="X3" s="20" t="s">
        <v>76</v>
      </c>
      <c r="Y3" s="20" t="s">
        <v>76</v>
      </c>
      <c r="Z3" s="15">
        <v>13.0434782608696</v>
      </c>
      <c r="AA3" s="20" t="s">
        <v>76</v>
      </c>
      <c r="AB3" s="20" t="s">
        <v>76</v>
      </c>
      <c r="AC3" s="20" t="s">
        <v>76</v>
      </c>
      <c r="AD3" s="20" t="s">
        <v>76</v>
      </c>
      <c r="AE3" s="20" t="s">
        <v>76</v>
      </c>
      <c r="AF3" s="20" t="s">
        <v>76</v>
      </c>
      <c r="AG3" s="34" t="s">
        <v>76</v>
      </c>
      <c r="AH3" s="15">
        <v>2.0134228187919501</v>
      </c>
      <c r="AI3" s="20" t="s">
        <v>76</v>
      </c>
      <c r="AJ3" s="20" t="s">
        <v>76</v>
      </c>
      <c r="AK3" s="20" t="s">
        <v>76</v>
      </c>
      <c r="AL3" s="20" t="s">
        <v>76</v>
      </c>
      <c r="AM3" s="20" t="s">
        <v>76</v>
      </c>
      <c r="AN3" s="26" t="s">
        <v>76</v>
      </c>
      <c r="AO3" s="38"/>
    </row>
    <row r="4" spans="1:41">
      <c r="A4" s="9" t="s">
        <v>208</v>
      </c>
      <c r="B4" s="36">
        <v>9.6614135791084994</v>
      </c>
      <c r="C4" s="32">
        <v>10.4226032058444</v>
      </c>
      <c r="D4" s="32">
        <v>8.7485388565742195</v>
      </c>
      <c r="E4" s="32">
        <v>6.6657412482025897</v>
      </c>
      <c r="F4" s="20" t="s">
        <v>76</v>
      </c>
      <c r="G4" s="20" t="s">
        <v>76</v>
      </c>
      <c r="H4" s="20" t="s">
        <v>76</v>
      </c>
      <c r="I4" s="20" t="s">
        <v>76</v>
      </c>
      <c r="J4" s="20" t="s">
        <v>76</v>
      </c>
      <c r="K4" s="15">
        <v>14</v>
      </c>
      <c r="L4" s="15">
        <v>4.6875</v>
      </c>
      <c r="M4" s="20" t="s">
        <v>76</v>
      </c>
      <c r="N4" s="20" t="s">
        <v>76</v>
      </c>
      <c r="O4" s="20" t="s">
        <v>76</v>
      </c>
      <c r="P4" s="20" t="s">
        <v>76</v>
      </c>
      <c r="Q4" s="20" t="s">
        <v>76</v>
      </c>
      <c r="R4" s="15">
        <v>8.7912087912087902</v>
      </c>
      <c r="S4" s="15">
        <v>7</v>
      </c>
      <c r="T4" s="20" t="s">
        <v>76</v>
      </c>
      <c r="U4" s="20" t="s">
        <v>76</v>
      </c>
      <c r="V4" s="15">
        <v>20.370370370370399</v>
      </c>
      <c r="W4" s="20" t="s">
        <v>76</v>
      </c>
      <c r="X4" s="15">
        <v>44.230769230769198</v>
      </c>
      <c r="Y4" s="20" t="s">
        <v>76</v>
      </c>
      <c r="Z4" s="20" t="s">
        <v>76</v>
      </c>
      <c r="AA4" s="15">
        <v>9.5890410958904102</v>
      </c>
      <c r="AB4" s="15">
        <v>7.6923076923076898</v>
      </c>
      <c r="AC4" s="20" t="s">
        <v>76</v>
      </c>
      <c r="AD4" s="20" t="s">
        <v>76</v>
      </c>
      <c r="AE4" s="20" t="s">
        <v>76</v>
      </c>
      <c r="AF4" s="20" t="s">
        <v>76</v>
      </c>
      <c r="AG4" s="32">
        <v>10.3654784150333</v>
      </c>
      <c r="AH4" s="15">
        <v>2.6845637583892601</v>
      </c>
      <c r="AI4" s="15">
        <v>11.7994100294985</v>
      </c>
      <c r="AJ4" s="15">
        <v>12.389380530973501</v>
      </c>
      <c r="AK4" s="15">
        <v>8.6505190311418705</v>
      </c>
      <c r="AL4" s="15">
        <v>8.9385474860335208</v>
      </c>
      <c r="AM4" s="15">
        <v>4</v>
      </c>
      <c r="AN4" s="24">
        <v>12.6582278481013</v>
      </c>
      <c r="AO4" s="38"/>
    </row>
    <row r="5" spans="1:41">
      <c r="A5" s="9" t="s">
        <v>209</v>
      </c>
      <c r="B5" s="36">
        <v>7.6432491092914301</v>
      </c>
      <c r="C5" s="32">
        <v>6.6443254696329896</v>
      </c>
      <c r="D5" s="32">
        <v>6.5521615861741003</v>
      </c>
      <c r="E5" s="34" t="s">
        <v>76</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15">
        <v>16.438356164383599</v>
      </c>
      <c r="AB5" s="20" t="s">
        <v>76</v>
      </c>
      <c r="AC5" s="20" t="s">
        <v>76</v>
      </c>
      <c r="AD5" s="20" t="s">
        <v>76</v>
      </c>
      <c r="AE5" s="20" t="s">
        <v>76</v>
      </c>
      <c r="AF5" s="20" t="s">
        <v>76</v>
      </c>
      <c r="AG5" s="32">
        <v>10.500777718255501</v>
      </c>
      <c r="AH5" s="15">
        <v>10.067114093959701</v>
      </c>
      <c r="AI5" s="15">
        <v>12.389380530973501</v>
      </c>
      <c r="AJ5" s="15">
        <v>10.914454277286101</v>
      </c>
      <c r="AK5" s="15">
        <v>2.0761245674740501</v>
      </c>
      <c r="AL5" s="15">
        <v>17.877094972066999</v>
      </c>
      <c r="AM5" s="15">
        <v>3.0769230769230802</v>
      </c>
      <c r="AN5" s="24">
        <v>9.81012658227848</v>
      </c>
      <c r="AO5" s="38"/>
    </row>
    <row r="6" spans="1:41">
      <c r="A6" s="9" t="s">
        <v>210</v>
      </c>
      <c r="B6" s="36">
        <v>12.950828808395</v>
      </c>
      <c r="C6" s="32">
        <v>11.8291417625242</v>
      </c>
      <c r="D6" s="32">
        <v>9.7449229701897995</v>
      </c>
      <c r="E6" s="32">
        <v>7.05792622631862</v>
      </c>
      <c r="F6" s="15">
        <v>15.625</v>
      </c>
      <c r="G6" s="20" t="s">
        <v>76</v>
      </c>
      <c r="H6" s="20" t="s">
        <v>76</v>
      </c>
      <c r="I6" s="20" t="s">
        <v>76</v>
      </c>
      <c r="J6" s="15">
        <v>11.1111111111111</v>
      </c>
      <c r="K6" s="20" t="s">
        <v>76</v>
      </c>
      <c r="L6" s="15">
        <v>6.25</v>
      </c>
      <c r="M6" s="20" t="s">
        <v>76</v>
      </c>
      <c r="N6" s="20" t="s">
        <v>76</v>
      </c>
      <c r="O6" s="15">
        <v>23.8095238095238</v>
      </c>
      <c r="P6" s="15">
        <v>5.92592592592593</v>
      </c>
      <c r="Q6" s="15">
        <v>13.3333333333333</v>
      </c>
      <c r="R6" s="15">
        <v>16.4835164835165</v>
      </c>
      <c r="S6" s="15">
        <v>5</v>
      </c>
      <c r="T6" s="15">
        <v>21.2121212121212</v>
      </c>
      <c r="U6" s="20" t="s">
        <v>76</v>
      </c>
      <c r="V6" s="15">
        <v>11.1111111111111</v>
      </c>
      <c r="W6" s="15">
        <v>12.5</v>
      </c>
      <c r="X6" s="20" t="s">
        <v>76</v>
      </c>
      <c r="Y6" s="15">
        <v>12.1951219512195</v>
      </c>
      <c r="Z6" s="15">
        <v>10.869565217391299</v>
      </c>
      <c r="AA6" s="20" t="s">
        <v>76</v>
      </c>
      <c r="AB6" s="20" t="s">
        <v>76</v>
      </c>
      <c r="AC6" s="20" t="s">
        <v>76</v>
      </c>
      <c r="AD6" s="15">
        <v>5.2631578947368398</v>
      </c>
      <c r="AE6" s="20" t="s">
        <v>76</v>
      </c>
      <c r="AF6" s="20" t="s">
        <v>76</v>
      </c>
      <c r="AG6" s="32">
        <v>11.830920818061699</v>
      </c>
      <c r="AH6" s="15">
        <v>11.4093959731544</v>
      </c>
      <c r="AI6" s="15">
        <v>15.929203539823</v>
      </c>
      <c r="AJ6" s="15">
        <v>9.4395280235988199</v>
      </c>
      <c r="AK6" s="15">
        <v>10.726643598615899</v>
      </c>
      <c r="AL6" s="15">
        <v>10.055865921787699</v>
      </c>
      <c r="AM6" s="15">
        <v>7.6923076923076898</v>
      </c>
      <c r="AN6" s="24">
        <v>19.620253164556999</v>
      </c>
      <c r="AO6" s="38"/>
    </row>
    <row r="7" spans="1:41">
      <c r="A7" s="9" t="s">
        <v>211</v>
      </c>
      <c r="B7" s="36">
        <v>1.11469054239633</v>
      </c>
      <c r="C7" s="32">
        <v>0.99265512225854102</v>
      </c>
      <c r="D7" s="32">
        <v>0.67731682048074904</v>
      </c>
      <c r="E7" s="34" t="s">
        <v>76</v>
      </c>
      <c r="F7" s="20" t="s">
        <v>76</v>
      </c>
      <c r="G7" s="20" t="s">
        <v>76</v>
      </c>
      <c r="H7" s="20" t="s">
        <v>76</v>
      </c>
      <c r="I7" s="20" t="s">
        <v>76</v>
      </c>
      <c r="J7" s="20" t="s">
        <v>76</v>
      </c>
      <c r="K7" s="20" t="s">
        <v>76</v>
      </c>
      <c r="L7" s="20" t="s">
        <v>76</v>
      </c>
      <c r="M7" s="20" t="s">
        <v>76</v>
      </c>
      <c r="N7" s="20" t="s">
        <v>76</v>
      </c>
      <c r="O7" s="20" t="s">
        <v>76</v>
      </c>
      <c r="P7" s="20" t="s">
        <v>76</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34" t="s">
        <v>76</v>
      </c>
      <c r="AH7" s="20" t="s">
        <v>76</v>
      </c>
      <c r="AI7" s="20" t="s">
        <v>76</v>
      </c>
      <c r="AJ7" s="20" t="s">
        <v>76</v>
      </c>
      <c r="AK7" s="20" t="s">
        <v>76</v>
      </c>
      <c r="AL7" s="20" t="s">
        <v>76</v>
      </c>
      <c r="AM7" s="20" t="s">
        <v>76</v>
      </c>
      <c r="AN7" s="26" t="s">
        <v>76</v>
      </c>
      <c r="AO7" s="38"/>
    </row>
    <row r="8" spans="1:41">
      <c r="A8" s="9" t="s">
        <v>212</v>
      </c>
      <c r="B8" s="36">
        <v>0.74390752112428904</v>
      </c>
      <c r="C8" s="32">
        <v>0.34839369310059398</v>
      </c>
      <c r="D8" s="34" t="s">
        <v>76</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20" t="s">
        <v>76</v>
      </c>
      <c r="AJ8" s="20" t="s">
        <v>76</v>
      </c>
      <c r="AK8" s="20" t="s">
        <v>76</v>
      </c>
      <c r="AL8" s="20" t="s">
        <v>76</v>
      </c>
      <c r="AM8" s="20" t="s">
        <v>76</v>
      </c>
      <c r="AN8" s="24">
        <v>2.5316455696202498</v>
      </c>
      <c r="AO8" s="38"/>
    </row>
    <row r="9" spans="1:41">
      <c r="A9" s="9" t="s">
        <v>213</v>
      </c>
      <c r="B9" s="36">
        <v>0.93591155050893504</v>
      </c>
      <c r="C9" s="32">
        <v>0.71464423287554102</v>
      </c>
      <c r="D9" s="34" t="s">
        <v>76</v>
      </c>
      <c r="E9" s="34" t="s">
        <v>76</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34" t="s">
        <v>76</v>
      </c>
      <c r="AH9" s="20" t="s">
        <v>76</v>
      </c>
      <c r="AI9" s="20" t="s">
        <v>76</v>
      </c>
      <c r="AJ9" s="20" t="s">
        <v>76</v>
      </c>
      <c r="AK9" s="20" t="s">
        <v>76</v>
      </c>
      <c r="AL9" s="20" t="s">
        <v>76</v>
      </c>
      <c r="AM9" s="20" t="s">
        <v>76</v>
      </c>
      <c r="AN9" s="24">
        <v>1.89873417721519</v>
      </c>
      <c r="AO9" s="38"/>
    </row>
    <row r="10" spans="1:41">
      <c r="A10" s="9" t="s">
        <v>214</v>
      </c>
      <c r="B10" s="36">
        <v>1.2446848439082601</v>
      </c>
      <c r="C10" s="32">
        <v>1.04400763361938</v>
      </c>
      <c r="D10" s="34" t="s">
        <v>76</v>
      </c>
      <c r="E10" s="34" t="s">
        <v>76</v>
      </c>
      <c r="F10" s="20" t="s">
        <v>76</v>
      </c>
      <c r="G10" s="20" t="s">
        <v>76</v>
      </c>
      <c r="H10" s="20" t="s">
        <v>76</v>
      </c>
      <c r="I10" s="20" t="s">
        <v>76</v>
      </c>
      <c r="J10" s="20" t="s">
        <v>76</v>
      </c>
      <c r="K10" s="20" t="s">
        <v>76</v>
      </c>
      <c r="L10" s="20" t="s">
        <v>76</v>
      </c>
      <c r="M10" s="20" t="s">
        <v>76</v>
      </c>
      <c r="N10" s="20" t="s">
        <v>76</v>
      </c>
      <c r="O10" s="20" t="s">
        <v>76</v>
      </c>
      <c r="P10" s="20" t="s">
        <v>76</v>
      </c>
      <c r="Q10" s="20" t="s">
        <v>76</v>
      </c>
      <c r="R10" s="20" t="s">
        <v>76</v>
      </c>
      <c r="S10" s="20" t="s">
        <v>76</v>
      </c>
      <c r="T10" s="20" t="s">
        <v>76</v>
      </c>
      <c r="U10" s="20" t="s">
        <v>76</v>
      </c>
      <c r="V10" s="20" t="s">
        <v>76</v>
      </c>
      <c r="W10" s="20" t="s">
        <v>76</v>
      </c>
      <c r="X10" s="20" t="s">
        <v>76</v>
      </c>
      <c r="Y10" s="20" t="s">
        <v>76</v>
      </c>
      <c r="Z10" s="20" t="s">
        <v>76</v>
      </c>
      <c r="AA10" s="20" t="s">
        <v>76</v>
      </c>
      <c r="AB10" s="20" t="s">
        <v>76</v>
      </c>
      <c r="AC10" s="20" t="s">
        <v>76</v>
      </c>
      <c r="AD10" s="20" t="s">
        <v>76</v>
      </c>
      <c r="AE10" s="20" t="s">
        <v>76</v>
      </c>
      <c r="AF10" s="20" t="s">
        <v>76</v>
      </c>
      <c r="AG10" s="34" t="s">
        <v>76</v>
      </c>
      <c r="AH10" s="20" t="s">
        <v>76</v>
      </c>
      <c r="AI10" s="20" t="s">
        <v>76</v>
      </c>
      <c r="AJ10" s="20" t="s">
        <v>76</v>
      </c>
      <c r="AK10" s="20" t="s">
        <v>76</v>
      </c>
      <c r="AL10" s="20" t="s">
        <v>76</v>
      </c>
      <c r="AM10" s="20" t="s">
        <v>76</v>
      </c>
      <c r="AN10" s="26" t="s">
        <v>76</v>
      </c>
      <c r="AO10" s="38"/>
    </row>
    <row r="11" spans="1:41">
      <c r="A11" s="9" t="s">
        <v>215</v>
      </c>
      <c r="B11" s="36">
        <v>1.5255837415087501</v>
      </c>
      <c r="C11" s="32">
        <v>1.0771688728947999</v>
      </c>
      <c r="D11" s="32">
        <v>0.70597294039510095</v>
      </c>
      <c r="E11" s="34" t="s">
        <v>76</v>
      </c>
      <c r="F11" s="20" t="s">
        <v>76</v>
      </c>
      <c r="G11" s="20" t="s">
        <v>76</v>
      </c>
      <c r="H11" s="20" t="s">
        <v>76</v>
      </c>
      <c r="I11" s="20" t="s">
        <v>76</v>
      </c>
      <c r="J11" s="20" t="s">
        <v>76</v>
      </c>
      <c r="K11" s="20" t="s">
        <v>76</v>
      </c>
      <c r="L11" s="20" t="s">
        <v>76</v>
      </c>
      <c r="M11" s="20" t="s">
        <v>76</v>
      </c>
      <c r="N11" s="20" t="s">
        <v>76</v>
      </c>
      <c r="O11" s="20" t="s">
        <v>76</v>
      </c>
      <c r="P11" s="20" t="s">
        <v>76</v>
      </c>
      <c r="Q11" s="20" t="s">
        <v>76</v>
      </c>
      <c r="R11" s="20" t="s">
        <v>76</v>
      </c>
      <c r="S11" s="20" t="s">
        <v>76</v>
      </c>
      <c r="T11" s="20" t="s">
        <v>76</v>
      </c>
      <c r="U11" s="20" t="s">
        <v>76</v>
      </c>
      <c r="V11" s="20" t="s">
        <v>76</v>
      </c>
      <c r="W11" s="20" t="s">
        <v>76</v>
      </c>
      <c r="X11" s="20" t="s">
        <v>76</v>
      </c>
      <c r="Y11" s="20" t="s">
        <v>76</v>
      </c>
      <c r="Z11" s="15">
        <v>10.869565217391299</v>
      </c>
      <c r="AA11" s="15">
        <v>9.5890410958904102</v>
      </c>
      <c r="AB11" s="20" t="s">
        <v>76</v>
      </c>
      <c r="AC11" s="20" t="s">
        <v>76</v>
      </c>
      <c r="AD11" s="20" t="s">
        <v>76</v>
      </c>
      <c r="AE11" s="20" t="s">
        <v>76</v>
      </c>
      <c r="AF11" s="20" t="s">
        <v>76</v>
      </c>
      <c r="AG11" s="34" t="s">
        <v>76</v>
      </c>
      <c r="AH11" s="20" t="s">
        <v>76</v>
      </c>
      <c r="AI11" s="20" t="s">
        <v>76</v>
      </c>
      <c r="AJ11" s="20" t="s">
        <v>76</v>
      </c>
      <c r="AK11" s="20" t="s">
        <v>76</v>
      </c>
      <c r="AL11" s="20" t="s">
        <v>76</v>
      </c>
      <c r="AM11" s="20" t="s">
        <v>76</v>
      </c>
      <c r="AN11" s="26" t="s">
        <v>76</v>
      </c>
      <c r="AO11" s="38"/>
    </row>
    <row r="12" spans="1:41">
      <c r="A12" s="9" t="s">
        <v>216</v>
      </c>
      <c r="B12" s="36">
        <v>0.79365793232437898</v>
      </c>
      <c r="C12" s="32">
        <v>0.50960545448690098</v>
      </c>
      <c r="D12" s="34" t="s">
        <v>76</v>
      </c>
      <c r="E12" s="34" t="s">
        <v>76</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34" t="s">
        <v>76</v>
      </c>
      <c r="AH12" s="20" t="s">
        <v>76</v>
      </c>
      <c r="AI12" s="20" t="s">
        <v>76</v>
      </c>
      <c r="AJ12" s="20" t="s">
        <v>76</v>
      </c>
      <c r="AK12" s="20" t="s">
        <v>76</v>
      </c>
      <c r="AL12" s="20" t="s">
        <v>76</v>
      </c>
      <c r="AM12" s="20" t="s">
        <v>76</v>
      </c>
      <c r="AN12" s="26" t="s">
        <v>76</v>
      </c>
      <c r="AO12" s="38"/>
    </row>
    <row r="13" spans="1:41">
      <c r="A13" s="9" t="s">
        <v>217</v>
      </c>
      <c r="B13" s="36">
        <v>0.82747420445404496</v>
      </c>
      <c r="C13" s="32">
        <v>0.66449403247837402</v>
      </c>
      <c r="D13" s="32">
        <v>0.76958582912503004</v>
      </c>
      <c r="E13" s="34" t="s">
        <v>76</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15">
        <v>5.7692307692307701</v>
      </c>
      <c r="Y13" s="20" t="s">
        <v>76</v>
      </c>
      <c r="Z13" s="20" t="s">
        <v>76</v>
      </c>
      <c r="AA13" s="20" t="s">
        <v>76</v>
      </c>
      <c r="AB13" s="20" t="s">
        <v>76</v>
      </c>
      <c r="AC13" s="20" t="s">
        <v>76</v>
      </c>
      <c r="AD13" s="20" t="s">
        <v>76</v>
      </c>
      <c r="AE13" s="20" t="s">
        <v>76</v>
      </c>
      <c r="AF13" s="20" t="s">
        <v>76</v>
      </c>
      <c r="AG13" s="34" t="s">
        <v>76</v>
      </c>
      <c r="AH13" s="15">
        <v>3.0201342281879202</v>
      </c>
      <c r="AI13" s="15">
        <v>1.47492625368732</v>
      </c>
      <c r="AJ13" s="20" t="s">
        <v>76</v>
      </c>
      <c r="AK13" s="20" t="s">
        <v>76</v>
      </c>
      <c r="AL13" s="20" t="s">
        <v>76</v>
      </c>
      <c r="AM13" s="20" t="s">
        <v>76</v>
      </c>
      <c r="AN13" s="26" t="s">
        <v>76</v>
      </c>
      <c r="AO13" s="38"/>
    </row>
    <row r="14" spans="1:41">
      <c r="A14" s="9" t="s">
        <v>218</v>
      </c>
      <c r="B14" s="36">
        <v>2.0447968472935401</v>
      </c>
      <c r="C14" s="32">
        <v>2.0283379860994599</v>
      </c>
      <c r="D14" s="32">
        <v>1.4851956017761601</v>
      </c>
      <c r="E14" s="32">
        <v>2.0710607459781301</v>
      </c>
      <c r="F14" s="20" t="s">
        <v>76</v>
      </c>
      <c r="G14" s="20" t="s">
        <v>76</v>
      </c>
      <c r="H14" s="20" t="s">
        <v>76</v>
      </c>
      <c r="I14" s="20" t="s">
        <v>76</v>
      </c>
      <c r="J14" s="20" t="s">
        <v>76</v>
      </c>
      <c r="K14" s="20" t="s">
        <v>76</v>
      </c>
      <c r="L14" s="20" t="s">
        <v>76</v>
      </c>
      <c r="M14" s="20" t="s">
        <v>76</v>
      </c>
      <c r="N14" s="20" t="s">
        <v>76</v>
      </c>
      <c r="O14" s="20" t="s">
        <v>76</v>
      </c>
      <c r="P14" s="20" t="s">
        <v>76</v>
      </c>
      <c r="Q14" s="20" t="s">
        <v>76</v>
      </c>
      <c r="R14" s="20" t="s">
        <v>76</v>
      </c>
      <c r="S14" s="20" t="s">
        <v>76</v>
      </c>
      <c r="T14" s="20" t="s">
        <v>76</v>
      </c>
      <c r="U14" s="20" t="s">
        <v>76</v>
      </c>
      <c r="V14" s="20" t="s">
        <v>76</v>
      </c>
      <c r="W14" s="20" t="s">
        <v>76</v>
      </c>
      <c r="X14" s="15">
        <v>12.5</v>
      </c>
      <c r="Y14" s="20" t="s">
        <v>76</v>
      </c>
      <c r="Z14" s="15">
        <v>13.0434782608696</v>
      </c>
      <c r="AA14" s="15">
        <v>6.8493150684931496</v>
      </c>
      <c r="AB14" s="20" t="s">
        <v>76</v>
      </c>
      <c r="AC14" s="20" t="s">
        <v>76</v>
      </c>
      <c r="AD14" s="20" t="s">
        <v>76</v>
      </c>
      <c r="AE14" s="20" t="s">
        <v>76</v>
      </c>
      <c r="AF14" s="20" t="s">
        <v>76</v>
      </c>
      <c r="AG14" s="32">
        <v>1.0303705511928201</v>
      </c>
      <c r="AH14" s="20" t="s">
        <v>76</v>
      </c>
      <c r="AI14" s="15">
        <v>2.0648967551622399</v>
      </c>
      <c r="AJ14" s="20" t="s">
        <v>76</v>
      </c>
      <c r="AK14" s="20" t="s">
        <v>76</v>
      </c>
      <c r="AL14" s="20" t="s">
        <v>76</v>
      </c>
      <c r="AM14" s="20" t="s">
        <v>76</v>
      </c>
      <c r="AN14" s="24">
        <v>3.16455696202532</v>
      </c>
      <c r="AO14" s="38"/>
    </row>
    <row r="15" spans="1:41">
      <c r="A15" s="9" t="s">
        <v>219</v>
      </c>
      <c r="B15" s="36">
        <v>9.9123946879888294</v>
      </c>
      <c r="C15" s="32">
        <v>11.314123937646899</v>
      </c>
      <c r="D15" s="32">
        <v>12.5670843341834</v>
      </c>
      <c r="E15" s="32">
        <v>12.1343751888285</v>
      </c>
      <c r="F15" s="20" t="s">
        <v>76</v>
      </c>
      <c r="G15" s="15">
        <v>25.373134328358201</v>
      </c>
      <c r="H15" s="15">
        <v>9.7560975609756095</v>
      </c>
      <c r="I15" s="20" t="s">
        <v>76</v>
      </c>
      <c r="J15" s="15">
        <v>34.567901234567898</v>
      </c>
      <c r="K15" s="15">
        <v>30</v>
      </c>
      <c r="L15" s="20" t="s">
        <v>76</v>
      </c>
      <c r="M15" s="20" t="s">
        <v>76</v>
      </c>
      <c r="N15" s="20" t="s">
        <v>76</v>
      </c>
      <c r="O15" s="15">
        <v>40.476190476190503</v>
      </c>
      <c r="P15" s="20" t="s">
        <v>76</v>
      </c>
      <c r="Q15" s="20" t="s">
        <v>76</v>
      </c>
      <c r="R15" s="15">
        <v>6.5934065934065904</v>
      </c>
      <c r="S15" s="15">
        <v>8</v>
      </c>
      <c r="T15" s="15">
        <v>33.3333333333333</v>
      </c>
      <c r="U15" s="15">
        <v>12.7659574468085</v>
      </c>
      <c r="V15" s="15">
        <v>11.1111111111111</v>
      </c>
      <c r="W15" s="15">
        <v>16.071428571428601</v>
      </c>
      <c r="X15" s="15">
        <v>37.5</v>
      </c>
      <c r="Y15" s="15">
        <v>26.829268292682901</v>
      </c>
      <c r="Z15" s="15">
        <v>21.739130434782599</v>
      </c>
      <c r="AA15" s="15">
        <v>27.397260273972599</v>
      </c>
      <c r="AB15" s="20" t="s">
        <v>76</v>
      </c>
      <c r="AC15" s="20" t="s">
        <v>76</v>
      </c>
      <c r="AD15" s="15">
        <v>6.3157894736842097</v>
      </c>
      <c r="AE15" s="20" t="s">
        <v>76</v>
      </c>
      <c r="AF15" s="15">
        <v>13.5135135135135</v>
      </c>
      <c r="AG15" s="32">
        <v>12.9030096932386</v>
      </c>
      <c r="AH15" s="15">
        <v>11.0738255033557</v>
      </c>
      <c r="AI15" s="15">
        <v>20.353982300885001</v>
      </c>
      <c r="AJ15" s="15">
        <v>10.0294985250737</v>
      </c>
      <c r="AK15" s="15">
        <v>10.0346020761246</v>
      </c>
      <c r="AL15" s="15">
        <v>14.525139664804501</v>
      </c>
      <c r="AM15" s="15">
        <v>7.6923076923076898</v>
      </c>
      <c r="AN15" s="24">
        <v>18.354430379746798</v>
      </c>
      <c r="AO15" s="38"/>
    </row>
    <row r="16" spans="1:41">
      <c r="A16" s="9" t="s">
        <v>220</v>
      </c>
      <c r="B16" s="36">
        <v>0.37203131627804897</v>
      </c>
      <c r="C16" s="32">
        <v>0.65337019641155103</v>
      </c>
      <c r="D16" s="34" t="s">
        <v>76</v>
      </c>
      <c r="E16" s="34"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c r="A17" s="9" t="s">
        <v>221</v>
      </c>
      <c r="B17" s="36">
        <v>2.41239215565317</v>
      </c>
      <c r="C17" s="32">
        <v>2.5078551425840598</v>
      </c>
      <c r="D17" s="32">
        <v>1.4840235731835001</v>
      </c>
      <c r="E17" s="32">
        <v>2.65196137996544</v>
      </c>
      <c r="F17" s="20" t="s">
        <v>76</v>
      </c>
      <c r="G17" s="20" t="s">
        <v>76</v>
      </c>
      <c r="H17" s="20" t="s">
        <v>76</v>
      </c>
      <c r="I17" s="20" t="s">
        <v>76</v>
      </c>
      <c r="J17" s="15">
        <v>6.1728395061728403</v>
      </c>
      <c r="K17" s="20" t="s">
        <v>76</v>
      </c>
      <c r="L17" s="20" t="s">
        <v>76</v>
      </c>
      <c r="M17" s="20" t="s">
        <v>76</v>
      </c>
      <c r="N17" s="20" t="s">
        <v>76</v>
      </c>
      <c r="O17" s="20" t="s">
        <v>76</v>
      </c>
      <c r="P17" s="20" t="s">
        <v>76</v>
      </c>
      <c r="Q17" s="20" t="s">
        <v>76</v>
      </c>
      <c r="R17" s="20" t="s">
        <v>76</v>
      </c>
      <c r="S17" s="15">
        <v>5</v>
      </c>
      <c r="T17" s="20" t="s">
        <v>76</v>
      </c>
      <c r="U17" s="20" t="s">
        <v>76</v>
      </c>
      <c r="V17" s="20" t="s">
        <v>76</v>
      </c>
      <c r="W17" s="20" t="s">
        <v>76</v>
      </c>
      <c r="X17" s="20" t="s">
        <v>76</v>
      </c>
      <c r="Y17" s="20" t="s">
        <v>76</v>
      </c>
      <c r="Z17" s="20" t="s">
        <v>76</v>
      </c>
      <c r="AA17" s="15">
        <v>20.5479452054795</v>
      </c>
      <c r="AB17" s="20" t="s">
        <v>76</v>
      </c>
      <c r="AC17" s="20" t="s">
        <v>76</v>
      </c>
      <c r="AD17" s="20" t="s">
        <v>76</v>
      </c>
      <c r="AE17" s="20" t="s">
        <v>76</v>
      </c>
      <c r="AF17" s="20" t="s">
        <v>76</v>
      </c>
      <c r="AG17" s="34" t="s">
        <v>76</v>
      </c>
      <c r="AH17" s="20" t="s">
        <v>76</v>
      </c>
      <c r="AI17" s="20" t="s">
        <v>76</v>
      </c>
      <c r="AJ17" s="20" t="s">
        <v>76</v>
      </c>
      <c r="AK17" s="20" t="s">
        <v>76</v>
      </c>
      <c r="AL17" s="20" t="s">
        <v>76</v>
      </c>
      <c r="AM17" s="20" t="s">
        <v>76</v>
      </c>
      <c r="AN17" s="26" t="s">
        <v>76</v>
      </c>
      <c r="AO17" s="38"/>
    </row>
    <row r="18" spans="1:41">
      <c r="A18" s="9" t="s">
        <v>222</v>
      </c>
      <c r="B18" s="36">
        <v>7.6260250310764901</v>
      </c>
      <c r="C18" s="32">
        <v>6.49683537459065</v>
      </c>
      <c r="D18" s="32">
        <v>4.6753152098616004</v>
      </c>
      <c r="E18" s="32">
        <v>7.7061413298391201</v>
      </c>
      <c r="F18" s="20" t="s">
        <v>76</v>
      </c>
      <c r="G18" s="20" t="s">
        <v>76</v>
      </c>
      <c r="H18" s="20" t="s">
        <v>76</v>
      </c>
      <c r="I18" s="20" t="s">
        <v>76</v>
      </c>
      <c r="J18" s="15">
        <v>12.3456790123457</v>
      </c>
      <c r="K18" s="15">
        <v>14</v>
      </c>
      <c r="L18" s="15">
        <v>7.8125</v>
      </c>
      <c r="M18" s="20" t="s">
        <v>76</v>
      </c>
      <c r="N18" s="20" t="s">
        <v>76</v>
      </c>
      <c r="O18" s="20" t="s">
        <v>76</v>
      </c>
      <c r="P18" s="15">
        <v>8.8888888888888893</v>
      </c>
      <c r="Q18" s="20" t="s">
        <v>76</v>
      </c>
      <c r="R18" s="15">
        <v>15.384615384615399</v>
      </c>
      <c r="S18" s="15">
        <v>21</v>
      </c>
      <c r="T18" s="20" t="s">
        <v>76</v>
      </c>
      <c r="U18" s="20" t="s">
        <v>76</v>
      </c>
      <c r="V18" s="20" t="s">
        <v>76</v>
      </c>
      <c r="W18" s="20" t="s">
        <v>76</v>
      </c>
      <c r="X18" s="15">
        <v>17.307692307692299</v>
      </c>
      <c r="Y18" s="20" t="s">
        <v>76</v>
      </c>
      <c r="Z18" s="15">
        <v>30.434782608695699</v>
      </c>
      <c r="AA18" s="15">
        <v>9.5890410958904102</v>
      </c>
      <c r="AB18" s="20" t="s">
        <v>76</v>
      </c>
      <c r="AC18" s="20" t="s">
        <v>76</v>
      </c>
      <c r="AD18" s="20" t="s">
        <v>76</v>
      </c>
      <c r="AE18" s="15">
        <v>9.8360655737704903</v>
      </c>
      <c r="AF18" s="15">
        <v>13.5135135135135</v>
      </c>
      <c r="AG18" s="32">
        <v>2.3223920892929599</v>
      </c>
      <c r="AH18" s="15">
        <v>3.0201342281879202</v>
      </c>
      <c r="AI18" s="15">
        <v>2.0648967551622399</v>
      </c>
      <c r="AJ18" s="20" t="s">
        <v>76</v>
      </c>
      <c r="AK18" s="20" t="s">
        <v>76</v>
      </c>
      <c r="AL18" s="15">
        <v>7.2625698324022299</v>
      </c>
      <c r="AM18" s="15">
        <v>1.84615384615385</v>
      </c>
      <c r="AN18" s="24">
        <v>3.16455696202532</v>
      </c>
      <c r="AO18" s="38"/>
    </row>
    <row r="19" spans="1:41">
      <c r="A19" s="9" t="s">
        <v>223</v>
      </c>
      <c r="B19" s="36">
        <v>13.444610326324</v>
      </c>
      <c r="C19" s="32">
        <v>13.6645804119059</v>
      </c>
      <c r="D19" s="32">
        <v>13.605518531979101</v>
      </c>
      <c r="E19" s="32">
        <v>18.068553567747799</v>
      </c>
      <c r="F19" s="15">
        <v>16.6666666666667</v>
      </c>
      <c r="G19" s="15">
        <v>17.910447761194</v>
      </c>
      <c r="H19" s="20" t="s">
        <v>76</v>
      </c>
      <c r="I19" s="20" t="s">
        <v>76</v>
      </c>
      <c r="J19" s="15">
        <v>29.629629629629601</v>
      </c>
      <c r="K19" s="15">
        <v>10</v>
      </c>
      <c r="L19" s="15">
        <v>24.21875</v>
      </c>
      <c r="M19" s="15">
        <v>11.764705882352899</v>
      </c>
      <c r="N19" s="15">
        <v>14.285714285714301</v>
      </c>
      <c r="O19" s="15">
        <v>54.761904761904802</v>
      </c>
      <c r="P19" s="15">
        <v>8.8888888888888893</v>
      </c>
      <c r="Q19" s="15">
        <v>11.6666666666667</v>
      </c>
      <c r="R19" s="15">
        <v>10.989010989011</v>
      </c>
      <c r="S19" s="15">
        <v>19</v>
      </c>
      <c r="T19" s="15">
        <v>54.545454545454497</v>
      </c>
      <c r="U19" s="15">
        <v>19.148936170212799</v>
      </c>
      <c r="V19" s="15">
        <v>20.370370370370399</v>
      </c>
      <c r="W19" s="15">
        <v>12.5</v>
      </c>
      <c r="X19" s="15">
        <v>8.6538461538461497</v>
      </c>
      <c r="Y19" s="15">
        <v>34.146341463414601</v>
      </c>
      <c r="Z19" s="15">
        <v>36.956521739130402</v>
      </c>
      <c r="AA19" s="15">
        <v>30.136986301369902</v>
      </c>
      <c r="AB19" s="15">
        <v>32.051282051282101</v>
      </c>
      <c r="AC19" s="15">
        <v>13.580246913580201</v>
      </c>
      <c r="AD19" s="15">
        <v>13.6842105263158</v>
      </c>
      <c r="AE19" s="15">
        <v>34.426229508196698</v>
      </c>
      <c r="AF19" s="15">
        <v>13.5135135135135</v>
      </c>
      <c r="AG19" s="32">
        <v>10.1407277759703</v>
      </c>
      <c r="AH19" s="15">
        <v>9.7315436241610698</v>
      </c>
      <c r="AI19" s="15">
        <v>5.3097345132743401</v>
      </c>
      <c r="AJ19" s="15">
        <v>11.5044247787611</v>
      </c>
      <c r="AK19" s="15">
        <v>4.1522491349481001</v>
      </c>
      <c r="AL19" s="15">
        <v>21.229050279329599</v>
      </c>
      <c r="AM19" s="15">
        <v>12.9230769230769</v>
      </c>
      <c r="AN19" s="24">
        <v>12.025316455696199</v>
      </c>
      <c r="AO19" s="38"/>
    </row>
    <row r="20" spans="1:41">
      <c r="A20" s="9" t="s">
        <v>224</v>
      </c>
      <c r="B20" s="36">
        <v>0.46537175562595501</v>
      </c>
      <c r="C20" s="32">
        <v>0.39205599649332301</v>
      </c>
      <c r="D20" s="34" t="s">
        <v>76</v>
      </c>
      <c r="E20" s="34" t="s">
        <v>76</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15">
        <v>8</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4" t="s">
        <v>76</v>
      </c>
      <c r="AH20" s="20" t="s">
        <v>76</v>
      </c>
      <c r="AI20" s="20" t="s">
        <v>76</v>
      </c>
      <c r="AJ20" s="20" t="s">
        <v>76</v>
      </c>
      <c r="AK20" s="20" t="s">
        <v>76</v>
      </c>
      <c r="AL20" s="20" t="s">
        <v>76</v>
      </c>
      <c r="AM20" s="20" t="s">
        <v>76</v>
      </c>
      <c r="AN20" s="26" t="s">
        <v>76</v>
      </c>
      <c r="AO20" s="38"/>
    </row>
    <row r="21" spans="1:41">
      <c r="A21" s="9" t="s">
        <v>225</v>
      </c>
      <c r="B21" s="36">
        <v>5.0151953745656197</v>
      </c>
      <c r="C21" s="32">
        <v>5.0388810987608803</v>
      </c>
      <c r="D21" s="32">
        <v>4.46904551757844</v>
      </c>
      <c r="E21" s="32">
        <v>4.1272196523654303</v>
      </c>
      <c r="F21" s="20" t="s">
        <v>76</v>
      </c>
      <c r="G21" s="20" t="s">
        <v>76</v>
      </c>
      <c r="H21" s="20" t="s">
        <v>76</v>
      </c>
      <c r="I21" s="20" t="s">
        <v>76</v>
      </c>
      <c r="J21" s="20" t="s">
        <v>76</v>
      </c>
      <c r="K21" s="15">
        <v>14</v>
      </c>
      <c r="L21" s="20" t="s">
        <v>76</v>
      </c>
      <c r="M21" s="20" t="s">
        <v>76</v>
      </c>
      <c r="N21" s="20" t="s">
        <v>76</v>
      </c>
      <c r="O21" s="15">
        <v>28.571428571428601</v>
      </c>
      <c r="P21" s="20" t="s">
        <v>76</v>
      </c>
      <c r="Q21" s="15">
        <v>16.6666666666667</v>
      </c>
      <c r="R21" s="20" t="s">
        <v>76</v>
      </c>
      <c r="S21" s="20" t="s">
        <v>76</v>
      </c>
      <c r="T21" s="20" t="s">
        <v>76</v>
      </c>
      <c r="U21" s="20" t="s">
        <v>76</v>
      </c>
      <c r="V21" s="20" t="s">
        <v>76</v>
      </c>
      <c r="W21" s="20" t="s">
        <v>76</v>
      </c>
      <c r="X21" s="20" t="s">
        <v>76</v>
      </c>
      <c r="Y21" s="15">
        <v>12.1951219512195</v>
      </c>
      <c r="Z21" s="20" t="s">
        <v>76</v>
      </c>
      <c r="AA21" s="15">
        <v>6.8493150684931496</v>
      </c>
      <c r="AB21" s="15">
        <v>21.794871794871799</v>
      </c>
      <c r="AC21" s="20" t="s">
        <v>76</v>
      </c>
      <c r="AD21" s="20" t="s">
        <v>76</v>
      </c>
      <c r="AE21" s="20" t="s">
        <v>76</v>
      </c>
      <c r="AF21" s="15">
        <v>16.2162162162162</v>
      </c>
      <c r="AG21" s="32">
        <v>4.7344154034213304</v>
      </c>
      <c r="AH21" s="20" t="s">
        <v>76</v>
      </c>
      <c r="AI21" s="20" t="s">
        <v>76</v>
      </c>
      <c r="AJ21" s="20" t="s">
        <v>76</v>
      </c>
      <c r="AK21" s="15">
        <v>3.8062283737024201</v>
      </c>
      <c r="AL21" s="15">
        <v>3.3519553072625698</v>
      </c>
      <c r="AM21" s="15">
        <v>11.0769230769231</v>
      </c>
      <c r="AN21" s="24">
        <v>17.4050632911392</v>
      </c>
      <c r="AO21" s="38"/>
    </row>
    <row r="22" spans="1:41">
      <c r="A22" s="9" t="s">
        <v>226</v>
      </c>
      <c r="B22" s="36">
        <v>0.34575010849183002</v>
      </c>
      <c r="C22" s="32">
        <v>0.29777393610707098</v>
      </c>
      <c r="D22" s="34" t="s">
        <v>76</v>
      </c>
      <c r="E22" s="34"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34" t="s">
        <v>76</v>
      </c>
      <c r="AH22" s="20" t="s">
        <v>76</v>
      </c>
      <c r="AI22" s="20" t="s">
        <v>76</v>
      </c>
      <c r="AJ22" s="20" t="s">
        <v>76</v>
      </c>
      <c r="AK22" s="20" t="s">
        <v>76</v>
      </c>
      <c r="AL22" s="20" t="s">
        <v>76</v>
      </c>
      <c r="AM22" s="20" t="s">
        <v>76</v>
      </c>
      <c r="AN22" s="26" t="s">
        <v>76</v>
      </c>
      <c r="AO22" s="38"/>
    </row>
    <row r="23" spans="1:41">
      <c r="A23" s="9" t="s">
        <v>227</v>
      </c>
      <c r="B23" s="36">
        <v>5.9219482303521298</v>
      </c>
      <c r="C23" s="32">
        <v>5.8248496999331598</v>
      </c>
      <c r="D23" s="32">
        <v>5.2216376154966104</v>
      </c>
      <c r="E23" s="32">
        <v>7.5616754773453403</v>
      </c>
      <c r="F23" s="20" t="s">
        <v>76</v>
      </c>
      <c r="G23" s="20" t="s">
        <v>76</v>
      </c>
      <c r="H23" s="20" t="s">
        <v>76</v>
      </c>
      <c r="I23" s="15">
        <v>15</v>
      </c>
      <c r="J23" s="15">
        <v>14.814814814814801</v>
      </c>
      <c r="K23" s="20" t="s">
        <v>76</v>
      </c>
      <c r="L23" s="15">
        <v>3.90625</v>
      </c>
      <c r="M23" s="20" t="s">
        <v>76</v>
      </c>
      <c r="N23" s="20" t="s">
        <v>76</v>
      </c>
      <c r="O23" s="15">
        <v>14.285714285714301</v>
      </c>
      <c r="P23" s="15">
        <v>3.7037037037037002</v>
      </c>
      <c r="Q23" s="20" t="s">
        <v>76</v>
      </c>
      <c r="R23" s="20" t="s">
        <v>76</v>
      </c>
      <c r="S23" s="15">
        <v>6</v>
      </c>
      <c r="T23" s="20" t="s">
        <v>76</v>
      </c>
      <c r="U23" s="15">
        <v>10.6382978723404</v>
      </c>
      <c r="V23" s="15">
        <v>9.2592592592592595</v>
      </c>
      <c r="W23" s="20" t="s">
        <v>76</v>
      </c>
      <c r="X23" s="15">
        <v>45.192307692307701</v>
      </c>
      <c r="Y23" s="20" t="s">
        <v>76</v>
      </c>
      <c r="Z23" s="15">
        <v>13.0434782608696</v>
      </c>
      <c r="AA23" s="15">
        <v>16.438356164383599</v>
      </c>
      <c r="AB23" s="15">
        <v>7.6923076923076898</v>
      </c>
      <c r="AC23" s="20" t="s">
        <v>76</v>
      </c>
      <c r="AD23" s="20" t="s">
        <v>76</v>
      </c>
      <c r="AE23" s="20" t="s">
        <v>76</v>
      </c>
      <c r="AF23" s="20" t="s">
        <v>76</v>
      </c>
      <c r="AG23" s="32">
        <v>3.40499457158925</v>
      </c>
      <c r="AH23" s="15">
        <v>2.6845637583892601</v>
      </c>
      <c r="AI23" s="15">
        <v>5.3097345132743401</v>
      </c>
      <c r="AJ23" s="15">
        <v>1.76991150442478</v>
      </c>
      <c r="AK23" s="15">
        <v>3.8062283737024201</v>
      </c>
      <c r="AL23" s="15">
        <v>3.3519553072625698</v>
      </c>
      <c r="AM23" s="15">
        <v>1.5384615384615401</v>
      </c>
      <c r="AN23" s="24">
        <v>6.64556962025316</v>
      </c>
      <c r="AO23" s="38"/>
    </row>
    <row r="24" spans="1:41">
      <c r="A24" s="9" t="s">
        <v>228</v>
      </c>
      <c r="B24" s="36">
        <v>20.415948364302501</v>
      </c>
      <c r="C24" s="32">
        <v>19.982362195565301</v>
      </c>
      <c r="D24" s="32">
        <v>19.156338208173899</v>
      </c>
      <c r="E24" s="32">
        <v>20.511946793978499</v>
      </c>
      <c r="F24" s="15">
        <v>14.5833333333333</v>
      </c>
      <c r="G24" s="15">
        <v>10.4477611940298</v>
      </c>
      <c r="H24" s="15">
        <v>10.975609756097599</v>
      </c>
      <c r="I24" s="15">
        <v>12.5</v>
      </c>
      <c r="J24" s="15">
        <v>29.629629629629601</v>
      </c>
      <c r="K24" s="15">
        <v>16</v>
      </c>
      <c r="L24" s="15">
        <v>29.6875</v>
      </c>
      <c r="M24" s="15">
        <v>8.8235294117646994</v>
      </c>
      <c r="N24" s="15">
        <v>12.244897959183699</v>
      </c>
      <c r="O24" s="15">
        <v>50</v>
      </c>
      <c r="P24" s="15">
        <v>7.4074074074074101</v>
      </c>
      <c r="Q24" s="15">
        <v>11.6666666666667</v>
      </c>
      <c r="R24" s="15">
        <v>27.472527472527499</v>
      </c>
      <c r="S24" s="15">
        <v>27</v>
      </c>
      <c r="T24" s="15">
        <v>48.484848484848499</v>
      </c>
      <c r="U24" s="20" t="s">
        <v>76</v>
      </c>
      <c r="V24" s="15">
        <v>14.814814814814801</v>
      </c>
      <c r="W24" s="15">
        <v>16.071428571428601</v>
      </c>
      <c r="X24" s="15">
        <v>48.076923076923102</v>
      </c>
      <c r="Y24" s="15">
        <v>24.390243902439</v>
      </c>
      <c r="Z24" s="15">
        <v>36.956521739130402</v>
      </c>
      <c r="AA24" s="15">
        <v>30.136986301369902</v>
      </c>
      <c r="AB24" s="15">
        <v>20.5128205128205</v>
      </c>
      <c r="AC24" s="20" t="s">
        <v>76</v>
      </c>
      <c r="AD24" s="15">
        <v>22.105263157894701</v>
      </c>
      <c r="AE24" s="15">
        <v>11.4754098360656</v>
      </c>
      <c r="AF24" s="15">
        <v>40.540540540540498</v>
      </c>
      <c r="AG24" s="32">
        <v>18.103937754397698</v>
      </c>
      <c r="AH24" s="15">
        <v>15.7718120805369</v>
      </c>
      <c r="AI24" s="15">
        <v>24.188790560472</v>
      </c>
      <c r="AJ24" s="15">
        <v>13.569321533923301</v>
      </c>
      <c r="AK24" s="15">
        <v>16.955017301038101</v>
      </c>
      <c r="AL24" s="15">
        <v>22.905027932960898</v>
      </c>
      <c r="AM24" s="15">
        <v>14.153846153846199</v>
      </c>
      <c r="AN24" s="24">
        <v>21.5189873417721</v>
      </c>
      <c r="AO24" s="38"/>
    </row>
    <row r="25" spans="1:41">
      <c r="A25" s="9" t="s">
        <v>229</v>
      </c>
      <c r="B25" s="36">
        <v>0.42899329318620799</v>
      </c>
      <c r="C25" s="32">
        <v>0.38902869221368802</v>
      </c>
      <c r="D25" s="34" t="s">
        <v>76</v>
      </c>
      <c r="E25" s="34"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c r="A26" s="9" t="s">
        <v>230</v>
      </c>
      <c r="B26" s="36">
        <v>0.93990188308522504</v>
      </c>
      <c r="C26" s="32">
        <v>0.69711002399192701</v>
      </c>
      <c r="D26" s="32">
        <v>0.77085126661048597</v>
      </c>
      <c r="E26" s="34" t="s">
        <v>76</v>
      </c>
      <c r="F26" s="20" t="s">
        <v>76</v>
      </c>
      <c r="G26" s="20" t="s">
        <v>76</v>
      </c>
      <c r="H26" s="20" t="s">
        <v>76</v>
      </c>
      <c r="I26" s="20" t="s">
        <v>76</v>
      </c>
      <c r="J26" s="20" t="s">
        <v>76</v>
      </c>
      <c r="K26" s="20" t="s">
        <v>76</v>
      </c>
      <c r="L26" s="20" t="s">
        <v>76</v>
      </c>
      <c r="M26" s="20" t="s">
        <v>76</v>
      </c>
      <c r="N26" s="20" t="s">
        <v>76</v>
      </c>
      <c r="O26" s="20" t="s">
        <v>76</v>
      </c>
      <c r="P26" s="20" t="s">
        <v>76</v>
      </c>
      <c r="Q26" s="20" t="s">
        <v>76</v>
      </c>
      <c r="R26" s="20" t="s">
        <v>76</v>
      </c>
      <c r="S26" s="20" t="s">
        <v>76</v>
      </c>
      <c r="T26" s="20" t="s">
        <v>76</v>
      </c>
      <c r="U26" s="20" t="s">
        <v>76</v>
      </c>
      <c r="V26" s="20" t="s">
        <v>76</v>
      </c>
      <c r="W26" s="20" t="s">
        <v>76</v>
      </c>
      <c r="X26" s="20" t="s">
        <v>76</v>
      </c>
      <c r="Y26" s="20" t="s">
        <v>76</v>
      </c>
      <c r="Z26" s="20" t="s">
        <v>76</v>
      </c>
      <c r="AA26" s="20" t="s">
        <v>76</v>
      </c>
      <c r="AB26" s="20" t="s">
        <v>76</v>
      </c>
      <c r="AC26" s="20" t="s">
        <v>76</v>
      </c>
      <c r="AD26" s="20" t="s">
        <v>76</v>
      </c>
      <c r="AE26" s="20" t="s">
        <v>76</v>
      </c>
      <c r="AF26" s="20" t="s">
        <v>76</v>
      </c>
      <c r="AG26" s="32">
        <v>1.1020798726043199</v>
      </c>
      <c r="AH26" s="15">
        <v>5.7046979865771803</v>
      </c>
      <c r="AI26" s="20" t="s">
        <v>76</v>
      </c>
      <c r="AJ26" s="20" t="s">
        <v>76</v>
      </c>
      <c r="AK26" s="20" t="s">
        <v>76</v>
      </c>
      <c r="AL26" s="20" t="s">
        <v>76</v>
      </c>
      <c r="AM26" s="20" t="s">
        <v>76</v>
      </c>
      <c r="AN26" s="26" t="s">
        <v>76</v>
      </c>
      <c r="AO26" s="38"/>
    </row>
    <row r="27" spans="1:41">
      <c r="A27" s="9" t="s">
        <v>231</v>
      </c>
      <c r="B27" s="36">
        <v>3.62386696597919</v>
      </c>
      <c r="C27" s="32">
        <v>3.21663066456698</v>
      </c>
      <c r="D27" s="32">
        <v>3.2360270377907598</v>
      </c>
      <c r="E27" s="32">
        <v>5.2910420984120998</v>
      </c>
      <c r="F27" s="20" t="s">
        <v>76</v>
      </c>
      <c r="G27" s="20" t="s">
        <v>76</v>
      </c>
      <c r="H27" s="20" t="s">
        <v>76</v>
      </c>
      <c r="I27" s="20" t="s">
        <v>76</v>
      </c>
      <c r="J27" s="20" t="s">
        <v>76</v>
      </c>
      <c r="K27" s="15">
        <v>10</v>
      </c>
      <c r="L27" s="20" t="s">
        <v>76</v>
      </c>
      <c r="M27" s="20" t="s">
        <v>76</v>
      </c>
      <c r="N27" s="20" t="s">
        <v>76</v>
      </c>
      <c r="O27" s="20" t="s">
        <v>76</v>
      </c>
      <c r="P27" s="15">
        <v>8.1481481481481506</v>
      </c>
      <c r="Q27" s="20" t="s">
        <v>76</v>
      </c>
      <c r="R27" s="20" t="s">
        <v>76</v>
      </c>
      <c r="S27" s="15">
        <v>6</v>
      </c>
      <c r="T27" s="20" t="s">
        <v>76</v>
      </c>
      <c r="U27" s="20" t="s">
        <v>76</v>
      </c>
      <c r="V27" s="20" t="s">
        <v>76</v>
      </c>
      <c r="W27" s="20" t="s">
        <v>76</v>
      </c>
      <c r="X27" s="15">
        <v>35.576923076923102</v>
      </c>
      <c r="Y27" s="20" t="s">
        <v>76</v>
      </c>
      <c r="Z27" s="20" t="s">
        <v>76</v>
      </c>
      <c r="AA27" s="20" t="s">
        <v>76</v>
      </c>
      <c r="AB27" s="15">
        <v>16.6666666666667</v>
      </c>
      <c r="AC27" s="20" t="s">
        <v>76</v>
      </c>
      <c r="AD27" s="15">
        <v>6.3157894736842097</v>
      </c>
      <c r="AE27" s="20" t="s">
        <v>76</v>
      </c>
      <c r="AF27" s="20" t="s">
        <v>76</v>
      </c>
      <c r="AG27" s="32">
        <v>1.6406559218493999</v>
      </c>
      <c r="AH27" s="15">
        <v>1.6778523489932899</v>
      </c>
      <c r="AI27" s="15">
        <v>2.0648967551622399</v>
      </c>
      <c r="AJ27" s="20" t="s">
        <v>76</v>
      </c>
      <c r="AK27" s="15">
        <v>2.7681660899653999</v>
      </c>
      <c r="AL27" s="20" t="s">
        <v>76</v>
      </c>
      <c r="AM27" s="15">
        <v>1.84615384615385</v>
      </c>
      <c r="AN27" s="24">
        <v>1.58227848101266</v>
      </c>
      <c r="AO27" s="38"/>
    </row>
    <row r="28" spans="1:41">
      <c r="A28" s="9" t="s">
        <v>232</v>
      </c>
      <c r="B28" s="36">
        <v>0.494849613593491</v>
      </c>
      <c r="C28" s="32">
        <v>0.37790524932387898</v>
      </c>
      <c r="D28" s="34" t="s">
        <v>76</v>
      </c>
      <c r="E28" s="34" t="s">
        <v>76</v>
      </c>
      <c r="F28" s="20" t="s">
        <v>76</v>
      </c>
      <c r="G28" s="20" t="s">
        <v>76</v>
      </c>
      <c r="H28" s="20" t="s">
        <v>76</v>
      </c>
      <c r="I28" s="20" t="s">
        <v>76</v>
      </c>
      <c r="J28" s="20" t="s">
        <v>76</v>
      </c>
      <c r="K28" s="20" t="s">
        <v>76</v>
      </c>
      <c r="L28" s="20" t="s">
        <v>76</v>
      </c>
      <c r="M28" s="20" t="s">
        <v>76</v>
      </c>
      <c r="N28" s="20" t="s">
        <v>76</v>
      </c>
      <c r="O28" s="20" t="s">
        <v>76</v>
      </c>
      <c r="P28" s="20" t="s">
        <v>76</v>
      </c>
      <c r="Q28" s="20" t="s">
        <v>76</v>
      </c>
      <c r="R28" s="20" t="s">
        <v>76</v>
      </c>
      <c r="S28" s="20" t="s">
        <v>76</v>
      </c>
      <c r="T28" s="20" t="s">
        <v>76</v>
      </c>
      <c r="U28" s="20" t="s">
        <v>76</v>
      </c>
      <c r="V28" s="20" t="s">
        <v>76</v>
      </c>
      <c r="W28" s="20" t="s">
        <v>76</v>
      </c>
      <c r="X28" s="20" t="s">
        <v>76</v>
      </c>
      <c r="Y28" s="20" t="s">
        <v>76</v>
      </c>
      <c r="Z28" s="20" t="s">
        <v>76</v>
      </c>
      <c r="AA28" s="20" t="s">
        <v>76</v>
      </c>
      <c r="AB28" s="20" t="s">
        <v>76</v>
      </c>
      <c r="AC28" s="20" t="s">
        <v>76</v>
      </c>
      <c r="AD28" s="20" t="s">
        <v>76</v>
      </c>
      <c r="AE28" s="20" t="s">
        <v>76</v>
      </c>
      <c r="AF28" s="20" t="s">
        <v>76</v>
      </c>
      <c r="AG28" s="34" t="s">
        <v>76</v>
      </c>
      <c r="AH28" s="20" t="s">
        <v>76</v>
      </c>
      <c r="AI28" s="20" t="s">
        <v>76</v>
      </c>
      <c r="AJ28" s="20" t="s">
        <v>76</v>
      </c>
      <c r="AK28" s="20" t="s">
        <v>76</v>
      </c>
      <c r="AL28" s="20" t="s">
        <v>76</v>
      </c>
      <c r="AM28" s="20" t="s">
        <v>76</v>
      </c>
      <c r="AN28" s="26" t="s">
        <v>76</v>
      </c>
      <c r="AO28" s="38"/>
    </row>
    <row r="29" spans="1:41">
      <c r="A29" s="9" t="s">
        <v>233</v>
      </c>
      <c r="B29" s="36">
        <v>0.30587880687441998</v>
      </c>
      <c r="C29" s="32">
        <v>0.269654709711659</v>
      </c>
      <c r="D29" s="34" t="s">
        <v>76</v>
      </c>
      <c r="E29" s="34"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34" t="s">
        <v>76</v>
      </c>
      <c r="AH29" s="20" t="s">
        <v>76</v>
      </c>
      <c r="AI29" s="20" t="s">
        <v>76</v>
      </c>
      <c r="AJ29" s="20" t="s">
        <v>76</v>
      </c>
      <c r="AK29" s="20" t="s">
        <v>76</v>
      </c>
      <c r="AL29" s="20" t="s">
        <v>76</v>
      </c>
      <c r="AM29" s="20" t="s">
        <v>76</v>
      </c>
      <c r="AN29" s="26" t="s">
        <v>76</v>
      </c>
      <c r="AO29" s="38"/>
    </row>
    <row r="30" spans="1:41">
      <c r="A30" s="9" t="s">
        <v>234</v>
      </c>
      <c r="B30" s="36">
        <v>0.69080509664419099</v>
      </c>
      <c r="C30" s="32">
        <v>0.71034136002096904</v>
      </c>
      <c r="D30" s="34" t="s">
        <v>76</v>
      </c>
      <c r="E30" s="34" t="s">
        <v>76</v>
      </c>
      <c r="F30" s="20" t="s">
        <v>76</v>
      </c>
      <c r="G30" s="20" t="s">
        <v>76</v>
      </c>
      <c r="H30" s="20" t="s">
        <v>76</v>
      </c>
      <c r="I30" s="20" t="s">
        <v>76</v>
      </c>
      <c r="J30" s="15">
        <v>6.1728395061728403</v>
      </c>
      <c r="K30" s="20" t="s">
        <v>76</v>
      </c>
      <c r="L30" s="20" t="s">
        <v>76</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34" t="s">
        <v>76</v>
      </c>
      <c r="AH30" s="15">
        <v>2.0134228187919501</v>
      </c>
      <c r="AI30" s="20" t="s">
        <v>76</v>
      </c>
      <c r="AJ30" s="20" t="s">
        <v>76</v>
      </c>
      <c r="AK30" s="20" t="s">
        <v>76</v>
      </c>
      <c r="AL30" s="20" t="s">
        <v>76</v>
      </c>
      <c r="AM30" s="20" t="s">
        <v>76</v>
      </c>
      <c r="AN30" s="26" t="s">
        <v>76</v>
      </c>
      <c r="AO30" s="38"/>
    </row>
    <row r="31" spans="1:41">
      <c r="A31" s="9" t="s">
        <v>235</v>
      </c>
      <c r="B31" s="36">
        <v>0.916821973887196</v>
      </c>
      <c r="C31" s="32">
        <v>0.45624124517822601</v>
      </c>
      <c r="D31" s="34" t="s">
        <v>76</v>
      </c>
      <c r="E31" s="34" t="s">
        <v>76</v>
      </c>
      <c r="F31" s="20" t="s">
        <v>76</v>
      </c>
      <c r="G31" s="20" t="s">
        <v>76</v>
      </c>
      <c r="H31" s="20" t="s">
        <v>76</v>
      </c>
      <c r="I31" s="20" t="s">
        <v>76</v>
      </c>
      <c r="J31" s="20" t="s">
        <v>76</v>
      </c>
      <c r="K31" s="20" t="s">
        <v>76</v>
      </c>
      <c r="L31" s="20" t="s">
        <v>76</v>
      </c>
      <c r="M31" s="20" t="s">
        <v>76</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34" t="s">
        <v>76</v>
      </c>
      <c r="AH31" s="15">
        <v>3.0201342281879202</v>
      </c>
      <c r="AI31" s="20" t="s">
        <v>76</v>
      </c>
      <c r="AJ31" s="20" t="s">
        <v>76</v>
      </c>
      <c r="AK31" s="20" t="s">
        <v>76</v>
      </c>
      <c r="AL31" s="20" t="s">
        <v>76</v>
      </c>
      <c r="AM31" s="20" t="s">
        <v>76</v>
      </c>
      <c r="AN31" s="26" t="s">
        <v>76</v>
      </c>
      <c r="AO31" s="38"/>
    </row>
    <row r="32" spans="1:41">
      <c r="A32" s="9" t="s">
        <v>236</v>
      </c>
      <c r="B32" s="36">
        <v>0.32407974744160001</v>
      </c>
      <c r="C32" s="32">
        <v>0.26086868982774503</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c r="A33" s="9" t="s">
        <v>237</v>
      </c>
      <c r="B33" s="36">
        <v>1.68156695795093</v>
      </c>
      <c r="C33" s="32">
        <v>1.5029644714986801</v>
      </c>
      <c r="D33" s="32">
        <v>0.72888240119040804</v>
      </c>
      <c r="E33" s="34" t="s">
        <v>76</v>
      </c>
      <c r="F33" s="20" t="s">
        <v>76</v>
      </c>
      <c r="G33" s="20" t="s">
        <v>76</v>
      </c>
      <c r="H33" s="20" t="s">
        <v>76</v>
      </c>
      <c r="I33" s="20" t="s">
        <v>76</v>
      </c>
      <c r="J33" s="20" t="s">
        <v>76</v>
      </c>
      <c r="K33" s="20" t="s">
        <v>76</v>
      </c>
      <c r="L33" s="20" t="s">
        <v>76</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15">
        <v>10.958904109589</v>
      </c>
      <c r="AB33" s="20" t="s">
        <v>76</v>
      </c>
      <c r="AC33" s="20" t="s">
        <v>76</v>
      </c>
      <c r="AD33" s="20" t="s">
        <v>76</v>
      </c>
      <c r="AE33" s="20" t="s">
        <v>76</v>
      </c>
      <c r="AF33" s="20" t="s">
        <v>76</v>
      </c>
      <c r="AG33" s="34" t="s">
        <v>76</v>
      </c>
      <c r="AH33" s="20" t="s">
        <v>76</v>
      </c>
      <c r="AI33" s="20" t="s">
        <v>76</v>
      </c>
      <c r="AJ33" s="20" t="s">
        <v>76</v>
      </c>
      <c r="AK33" s="20" t="s">
        <v>76</v>
      </c>
      <c r="AL33" s="20" t="s">
        <v>76</v>
      </c>
      <c r="AM33" s="20" t="s">
        <v>76</v>
      </c>
      <c r="AN33" s="26" t="s">
        <v>76</v>
      </c>
      <c r="AO33" s="38"/>
    </row>
    <row r="34" spans="1:41">
      <c r="A34" s="9" t="s">
        <v>238</v>
      </c>
      <c r="B34" s="36">
        <v>0.59516711160022395</v>
      </c>
      <c r="C34" s="32">
        <v>0.70330094741365701</v>
      </c>
      <c r="D34" s="34" t="s">
        <v>76</v>
      </c>
      <c r="E34" s="34" t="s">
        <v>76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34" t="s">
        <v>76</v>
      </c>
      <c r="AH34" s="15">
        <v>1.6778523489932899</v>
      </c>
      <c r="AI34" s="20" t="s">
        <v>76</v>
      </c>
      <c r="AJ34" s="20" t="s">
        <v>76</v>
      </c>
      <c r="AK34" s="20" t="s">
        <v>76</v>
      </c>
      <c r="AL34" s="20" t="s">
        <v>76</v>
      </c>
      <c r="AM34" s="20" t="s">
        <v>76</v>
      </c>
      <c r="AN34" s="26" t="s">
        <v>76</v>
      </c>
      <c r="AO34" s="38"/>
    </row>
    <row r="35" spans="1:41">
      <c r="A35" s="9" t="s">
        <v>239</v>
      </c>
      <c r="B35" s="36">
        <v>0.62674619780405905</v>
      </c>
      <c r="C35" s="32">
        <v>0.56389114594362799</v>
      </c>
      <c r="D35" s="34" t="s">
        <v>76</v>
      </c>
      <c r="E35" s="34" t="s">
        <v>76</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34" t="s">
        <v>76</v>
      </c>
      <c r="AH35" s="20" t="s">
        <v>76</v>
      </c>
      <c r="AI35" s="20" t="s">
        <v>76</v>
      </c>
      <c r="AJ35" s="20" t="s">
        <v>76</v>
      </c>
      <c r="AK35" s="20" t="s">
        <v>76</v>
      </c>
      <c r="AL35" s="20" t="s">
        <v>76</v>
      </c>
      <c r="AM35" s="20" t="s">
        <v>76</v>
      </c>
      <c r="AN35" s="26" t="s">
        <v>76</v>
      </c>
      <c r="AO35" s="38"/>
    </row>
    <row r="36" spans="1:41">
      <c r="A36" s="9" t="s">
        <v>240</v>
      </c>
      <c r="B36" s="36">
        <v>12.7687126291897</v>
      </c>
      <c r="C36" s="32">
        <v>14.1561889906886</v>
      </c>
      <c r="D36" s="32">
        <v>15.7244366687745</v>
      </c>
      <c r="E36" s="32">
        <v>13.289522773801099</v>
      </c>
      <c r="F36" s="15">
        <v>8.3333333333333304</v>
      </c>
      <c r="G36" s="15">
        <v>13.4328358208955</v>
      </c>
      <c r="H36" s="20" t="s">
        <v>76</v>
      </c>
      <c r="I36" s="15">
        <v>32.5</v>
      </c>
      <c r="J36" s="15">
        <v>9.8765432098765409</v>
      </c>
      <c r="K36" s="20" t="s">
        <v>76</v>
      </c>
      <c r="L36" s="15">
        <v>3.90625</v>
      </c>
      <c r="M36" s="15">
        <v>13.235294117647101</v>
      </c>
      <c r="N36" s="20" t="s">
        <v>76</v>
      </c>
      <c r="O36" s="20" t="s">
        <v>76</v>
      </c>
      <c r="P36" s="20" t="s">
        <v>76</v>
      </c>
      <c r="Q36" s="15">
        <v>35</v>
      </c>
      <c r="R36" s="15">
        <v>19.780219780219799</v>
      </c>
      <c r="S36" s="20" t="s">
        <v>76</v>
      </c>
      <c r="T36" s="15">
        <v>15.1515151515152</v>
      </c>
      <c r="U36" s="20" t="s">
        <v>76</v>
      </c>
      <c r="V36" s="20" t="s">
        <v>76</v>
      </c>
      <c r="W36" s="20" t="s">
        <v>76</v>
      </c>
      <c r="X36" s="15">
        <v>48.076923076923102</v>
      </c>
      <c r="Y36" s="15">
        <v>39.024390243902403</v>
      </c>
      <c r="Z36" s="15">
        <v>19.565217391304301</v>
      </c>
      <c r="AA36" s="15">
        <v>24.657534246575299</v>
      </c>
      <c r="AB36" s="15">
        <v>15.384615384615399</v>
      </c>
      <c r="AC36" s="15">
        <v>13.580246913580201</v>
      </c>
      <c r="AD36" s="15">
        <v>13.6842105263158</v>
      </c>
      <c r="AE36" s="15">
        <v>16.393442622950801</v>
      </c>
      <c r="AF36" s="15">
        <v>40.540540540540498</v>
      </c>
      <c r="AG36" s="32">
        <v>17.614734882292399</v>
      </c>
      <c r="AH36" s="15">
        <v>21.476510067114098</v>
      </c>
      <c r="AI36" s="15">
        <v>11.5044247787611</v>
      </c>
      <c r="AJ36" s="15">
        <v>10.0294985250737</v>
      </c>
      <c r="AK36" s="15">
        <v>14.532871972318301</v>
      </c>
      <c r="AL36" s="15">
        <v>24.581005586592202</v>
      </c>
      <c r="AM36" s="15">
        <v>20.923076923076898</v>
      </c>
      <c r="AN36" s="24">
        <v>21.835443037974699</v>
      </c>
      <c r="AO36" s="38"/>
    </row>
    <row r="37" spans="1:41">
      <c r="A37" s="9" t="s">
        <v>241</v>
      </c>
      <c r="B37" s="36">
        <v>0.72679955632918603</v>
      </c>
      <c r="C37" s="32">
        <v>0.74113913263012199</v>
      </c>
      <c r="D37" s="34" t="s">
        <v>76</v>
      </c>
      <c r="E37" s="34" t="s">
        <v>76</v>
      </c>
      <c r="F37" s="20" t="s">
        <v>76</v>
      </c>
      <c r="G37" s="20" t="s">
        <v>76</v>
      </c>
      <c r="H37" s="20" t="s">
        <v>76</v>
      </c>
      <c r="I37" s="20" t="s">
        <v>76</v>
      </c>
      <c r="J37" s="20" t="s">
        <v>76</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34" t="s">
        <v>76</v>
      </c>
      <c r="AH37" s="20" t="s">
        <v>76</v>
      </c>
      <c r="AI37" s="20" t="s">
        <v>76</v>
      </c>
      <c r="AJ37" s="20" t="s">
        <v>76</v>
      </c>
      <c r="AK37" s="20" t="s">
        <v>76</v>
      </c>
      <c r="AL37" s="20" t="s">
        <v>76</v>
      </c>
      <c r="AM37" s="20" t="s">
        <v>76</v>
      </c>
      <c r="AN37" s="26" t="s">
        <v>76</v>
      </c>
      <c r="AO37" s="38"/>
    </row>
    <row r="38" spans="1:41">
      <c r="A38" s="9" t="s">
        <v>242</v>
      </c>
      <c r="B38" s="36">
        <v>1.8858825553587999</v>
      </c>
      <c r="C38" s="32">
        <v>1.82907531723313</v>
      </c>
      <c r="D38" s="32">
        <v>1.38868172579209</v>
      </c>
      <c r="E38" s="32">
        <v>2.1081828982326698</v>
      </c>
      <c r="F38" s="20" t="s">
        <v>76</v>
      </c>
      <c r="G38" s="20" t="s">
        <v>76</v>
      </c>
      <c r="H38" s="20" t="s">
        <v>76</v>
      </c>
      <c r="I38" s="20" t="s">
        <v>76</v>
      </c>
      <c r="J38" s="20" t="s">
        <v>76</v>
      </c>
      <c r="K38" s="20" t="s">
        <v>76</v>
      </c>
      <c r="L38" s="20" t="s">
        <v>76</v>
      </c>
      <c r="M38" s="20" t="s">
        <v>76</v>
      </c>
      <c r="N38" s="20" t="s">
        <v>76</v>
      </c>
      <c r="O38" s="20" t="s">
        <v>76</v>
      </c>
      <c r="P38" s="20" t="s">
        <v>76</v>
      </c>
      <c r="Q38" s="20" t="s">
        <v>76</v>
      </c>
      <c r="R38" s="20" t="s">
        <v>76</v>
      </c>
      <c r="S38" s="20" t="s">
        <v>76</v>
      </c>
      <c r="T38" s="20" t="s">
        <v>76</v>
      </c>
      <c r="U38" s="20" t="s">
        <v>76</v>
      </c>
      <c r="V38" s="20" t="s">
        <v>76</v>
      </c>
      <c r="W38" s="20" t="s">
        <v>76</v>
      </c>
      <c r="X38" s="20" t="s">
        <v>76</v>
      </c>
      <c r="Y38" s="20" t="s">
        <v>76</v>
      </c>
      <c r="Z38" s="15">
        <v>10.869565217391299</v>
      </c>
      <c r="AA38" s="20" t="s">
        <v>76</v>
      </c>
      <c r="AB38" s="20" t="s">
        <v>76</v>
      </c>
      <c r="AC38" s="20" t="s">
        <v>76</v>
      </c>
      <c r="AD38" s="20" t="s">
        <v>76</v>
      </c>
      <c r="AE38" s="20" t="s">
        <v>76</v>
      </c>
      <c r="AF38" s="20" t="s">
        <v>76</v>
      </c>
      <c r="AG38" s="32">
        <v>0.83011093456365204</v>
      </c>
      <c r="AH38" s="15">
        <v>2.3489932885906</v>
      </c>
      <c r="AI38" s="20" t="s">
        <v>76</v>
      </c>
      <c r="AJ38" s="20" t="s">
        <v>76</v>
      </c>
      <c r="AK38" s="20" t="s">
        <v>76</v>
      </c>
      <c r="AL38" s="20" t="s">
        <v>76</v>
      </c>
      <c r="AM38" s="20" t="s">
        <v>76</v>
      </c>
      <c r="AN38" s="26" t="s">
        <v>76</v>
      </c>
      <c r="AO38" s="38"/>
    </row>
    <row r="39" spans="1:41">
      <c r="A39" s="9" t="s">
        <v>243</v>
      </c>
      <c r="B39" s="36">
        <v>0.79957676271398204</v>
      </c>
      <c r="C39" s="32">
        <v>0.77947687926356601</v>
      </c>
      <c r="D39" s="34" t="s">
        <v>76</v>
      </c>
      <c r="E39" s="34" t="s">
        <v>76</v>
      </c>
      <c r="F39" s="20" t="s">
        <v>76</v>
      </c>
      <c r="G39" s="20" t="s">
        <v>76</v>
      </c>
      <c r="H39" s="20" t="s">
        <v>76</v>
      </c>
      <c r="I39" s="20" t="s">
        <v>76</v>
      </c>
      <c r="J39" s="20" t="s">
        <v>76</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20" t="s">
        <v>76</v>
      </c>
      <c r="AD39" s="20" t="s">
        <v>76</v>
      </c>
      <c r="AE39" s="20" t="s">
        <v>76</v>
      </c>
      <c r="AF39" s="20" t="s">
        <v>76</v>
      </c>
      <c r="AG39" s="34" t="s">
        <v>76</v>
      </c>
      <c r="AH39" s="20" t="s">
        <v>76</v>
      </c>
      <c r="AI39" s="20" t="s">
        <v>76</v>
      </c>
      <c r="AJ39" s="20" t="s">
        <v>76</v>
      </c>
      <c r="AK39" s="20" t="s">
        <v>76</v>
      </c>
      <c r="AL39" s="20" t="s">
        <v>76</v>
      </c>
      <c r="AM39" s="20" t="s">
        <v>76</v>
      </c>
      <c r="AN39" s="26" t="s">
        <v>76</v>
      </c>
      <c r="AO39" s="38"/>
    </row>
    <row r="40" spans="1:41">
      <c r="A40" s="9" t="s">
        <v>244</v>
      </c>
      <c r="B40" s="36">
        <v>0.42723125219975799</v>
      </c>
      <c r="C40" s="32">
        <v>0.38327397423277698</v>
      </c>
      <c r="D40" s="34" t="s">
        <v>76</v>
      </c>
      <c r="E40" s="34" t="s">
        <v>76</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34" t="s">
        <v>76</v>
      </c>
      <c r="AH40" s="20" t="s">
        <v>76</v>
      </c>
      <c r="AI40" s="20" t="s">
        <v>76</v>
      </c>
      <c r="AJ40" s="20" t="s">
        <v>76</v>
      </c>
      <c r="AK40" s="20" t="s">
        <v>76</v>
      </c>
      <c r="AL40" s="20" t="s">
        <v>76</v>
      </c>
      <c r="AM40" s="20" t="s">
        <v>76</v>
      </c>
      <c r="AN40" s="26" t="s">
        <v>76</v>
      </c>
      <c r="AO40" s="38"/>
    </row>
    <row r="41" spans="1:41">
      <c r="A41" s="9" t="s">
        <v>245</v>
      </c>
      <c r="B41" s="36">
        <v>12.063029894509199</v>
      </c>
      <c r="C41" s="32">
        <v>13.893112483977999</v>
      </c>
      <c r="D41" s="32">
        <v>14.425790937687101</v>
      </c>
      <c r="E41" s="32">
        <v>14.8520244012809</v>
      </c>
      <c r="F41" s="20" t="s">
        <v>76</v>
      </c>
      <c r="G41" s="15">
        <v>13.4328358208955</v>
      </c>
      <c r="H41" s="20" t="s">
        <v>76</v>
      </c>
      <c r="I41" s="15">
        <v>20</v>
      </c>
      <c r="J41" s="15">
        <v>33.3333333333333</v>
      </c>
      <c r="K41" s="15">
        <v>16</v>
      </c>
      <c r="L41" s="15">
        <v>14.0625</v>
      </c>
      <c r="M41" s="20" t="s">
        <v>76</v>
      </c>
      <c r="N41" s="20" t="s">
        <v>76</v>
      </c>
      <c r="O41" s="15">
        <v>59.523809523809497</v>
      </c>
      <c r="P41" s="15">
        <v>5.1851851851851896</v>
      </c>
      <c r="Q41" s="20" t="s">
        <v>76</v>
      </c>
      <c r="R41" s="15">
        <v>9.8901098901098905</v>
      </c>
      <c r="S41" s="15">
        <v>10</v>
      </c>
      <c r="T41" s="15">
        <v>27.272727272727298</v>
      </c>
      <c r="U41" s="15">
        <v>14.893617021276601</v>
      </c>
      <c r="V41" s="15">
        <v>20.370370370370399</v>
      </c>
      <c r="W41" s="15">
        <v>8.9285714285714306</v>
      </c>
      <c r="X41" s="15">
        <v>48.076923076923102</v>
      </c>
      <c r="Y41" s="20" t="s">
        <v>76</v>
      </c>
      <c r="Z41" s="15">
        <v>19.565217391304301</v>
      </c>
      <c r="AA41" s="15">
        <v>24.657534246575299</v>
      </c>
      <c r="AB41" s="15">
        <v>21.794871794871799</v>
      </c>
      <c r="AC41" s="20" t="s">
        <v>76</v>
      </c>
      <c r="AD41" s="15">
        <v>10.526315789473699</v>
      </c>
      <c r="AE41" s="15">
        <v>14.7540983606557</v>
      </c>
      <c r="AF41" s="15">
        <v>45.945945945945901</v>
      </c>
      <c r="AG41" s="32">
        <v>14.0948928486679</v>
      </c>
      <c r="AH41" s="15">
        <v>11.0738255033557</v>
      </c>
      <c r="AI41" s="15">
        <v>15.044247787610599</v>
      </c>
      <c r="AJ41" s="15">
        <v>12.389380530973501</v>
      </c>
      <c r="AK41" s="15">
        <v>15.5709342560554</v>
      </c>
      <c r="AL41" s="15">
        <v>23.463687150837998</v>
      </c>
      <c r="AM41" s="15">
        <v>8.6153846153846096</v>
      </c>
      <c r="AN41" s="24">
        <v>18.354430379746798</v>
      </c>
      <c r="AO41" s="38"/>
    </row>
    <row r="42" spans="1:41">
      <c r="A42" s="9" t="s">
        <v>246</v>
      </c>
      <c r="B42" s="36">
        <v>0.69402425769814902</v>
      </c>
      <c r="C42" s="32">
        <v>0.48044679715527799</v>
      </c>
      <c r="D42" s="34" t="s">
        <v>76</v>
      </c>
      <c r="E42" s="34" t="s">
        <v>76</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15">
        <v>15.2173913043478</v>
      </c>
      <c r="AA42" s="20" t="s">
        <v>76</v>
      </c>
      <c r="AB42" s="20" t="s">
        <v>76</v>
      </c>
      <c r="AC42" s="20" t="s">
        <v>76</v>
      </c>
      <c r="AD42" s="20" t="s">
        <v>76</v>
      </c>
      <c r="AE42" s="20" t="s">
        <v>76</v>
      </c>
      <c r="AF42" s="20" t="s">
        <v>76</v>
      </c>
      <c r="AG42" s="34" t="s">
        <v>76</v>
      </c>
      <c r="AH42" s="20" t="s">
        <v>76</v>
      </c>
      <c r="AI42" s="20" t="s">
        <v>76</v>
      </c>
      <c r="AJ42" s="20" t="s">
        <v>76</v>
      </c>
      <c r="AK42" s="20" t="s">
        <v>76</v>
      </c>
      <c r="AL42" s="20" t="s">
        <v>76</v>
      </c>
      <c r="AM42" s="20" t="s">
        <v>76</v>
      </c>
      <c r="AN42" s="26" t="s">
        <v>76</v>
      </c>
      <c r="AO42" s="38"/>
    </row>
    <row r="43" spans="1:41">
      <c r="A43" s="9" t="s">
        <v>247</v>
      </c>
      <c r="B43" s="36">
        <v>12.5305207430773</v>
      </c>
      <c r="C43" s="32">
        <v>13.7307317240233</v>
      </c>
      <c r="D43" s="32">
        <v>13.929834004781</v>
      </c>
      <c r="E43" s="32">
        <v>10.9363578688573</v>
      </c>
      <c r="F43" s="15">
        <v>5.2083333333333304</v>
      </c>
      <c r="G43" s="20" t="s">
        <v>76</v>
      </c>
      <c r="H43" s="20" t="s">
        <v>76</v>
      </c>
      <c r="I43" s="15">
        <v>12.5</v>
      </c>
      <c r="J43" s="15">
        <v>11.1111111111111</v>
      </c>
      <c r="K43" s="15">
        <v>20</v>
      </c>
      <c r="L43" s="15">
        <v>14.84375</v>
      </c>
      <c r="M43" s="15">
        <v>13.235294117647101</v>
      </c>
      <c r="N43" s="20" t="s">
        <v>76</v>
      </c>
      <c r="O43" s="15">
        <v>16.6666666666667</v>
      </c>
      <c r="P43" s="20" t="s">
        <v>76</v>
      </c>
      <c r="Q43" s="15">
        <v>11.6666666666667</v>
      </c>
      <c r="R43" s="15">
        <v>10.989010989011</v>
      </c>
      <c r="S43" s="15">
        <v>6</v>
      </c>
      <c r="T43" s="15">
        <v>21.2121212121212</v>
      </c>
      <c r="U43" s="20" t="s">
        <v>76</v>
      </c>
      <c r="V43" s="15">
        <v>11.1111111111111</v>
      </c>
      <c r="W43" s="20" t="s">
        <v>76</v>
      </c>
      <c r="X43" s="15">
        <v>34.615384615384599</v>
      </c>
      <c r="Y43" s="15">
        <v>12.1951219512195</v>
      </c>
      <c r="Z43" s="15">
        <v>15.2173913043478</v>
      </c>
      <c r="AA43" s="15">
        <v>24.657534246575299</v>
      </c>
      <c r="AB43" s="15">
        <v>11.538461538461499</v>
      </c>
      <c r="AC43" s="20" t="s">
        <v>76</v>
      </c>
      <c r="AD43" s="15">
        <v>10.526315789473699</v>
      </c>
      <c r="AE43" s="15">
        <v>11.4754098360656</v>
      </c>
      <c r="AF43" s="15">
        <v>21.6216216216216</v>
      </c>
      <c r="AG43" s="32">
        <v>16.253761189075298</v>
      </c>
      <c r="AH43" s="15">
        <v>10.738255033557</v>
      </c>
      <c r="AI43" s="15">
        <v>17.4041297935103</v>
      </c>
      <c r="AJ43" s="15">
        <v>12.094395280236</v>
      </c>
      <c r="AK43" s="15">
        <v>9.6885813148788902</v>
      </c>
      <c r="AL43" s="15">
        <v>12.849162011173201</v>
      </c>
      <c r="AM43" s="15">
        <v>16</v>
      </c>
      <c r="AN43" s="24">
        <v>27.531645569620299</v>
      </c>
      <c r="AO43" s="38"/>
    </row>
    <row r="44" spans="1:41">
      <c r="A44" s="9" t="s">
        <v>248</v>
      </c>
      <c r="B44" s="36">
        <v>11.7237307083766</v>
      </c>
      <c r="C44" s="32">
        <v>11.9237830413844</v>
      </c>
      <c r="D44" s="32">
        <v>10.1158295950135</v>
      </c>
      <c r="E44" s="32">
        <v>12.312623867178001</v>
      </c>
      <c r="F44" s="15">
        <v>7.2916666666666696</v>
      </c>
      <c r="G44" s="15">
        <v>13.4328358208955</v>
      </c>
      <c r="H44" s="20" t="s">
        <v>76</v>
      </c>
      <c r="I44" s="20" t="s">
        <v>76</v>
      </c>
      <c r="J44" s="15">
        <v>9.8765432098765409</v>
      </c>
      <c r="K44" s="15">
        <v>16</v>
      </c>
      <c r="L44" s="15">
        <v>6.25</v>
      </c>
      <c r="M44" s="20" t="s">
        <v>76</v>
      </c>
      <c r="N44" s="20" t="s">
        <v>76</v>
      </c>
      <c r="O44" s="15">
        <v>16.6666666666667</v>
      </c>
      <c r="P44" s="15">
        <v>8.1481481481481506</v>
      </c>
      <c r="Q44" s="20" t="s">
        <v>76</v>
      </c>
      <c r="R44" s="15">
        <v>15.384615384615399</v>
      </c>
      <c r="S44" s="15">
        <v>20</v>
      </c>
      <c r="T44" s="15">
        <v>21.2121212121212</v>
      </c>
      <c r="U44" s="20" t="s">
        <v>76</v>
      </c>
      <c r="V44" s="15">
        <v>9.2592592592592595</v>
      </c>
      <c r="W44" s="20" t="s">
        <v>76</v>
      </c>
      <c r="X44" s="15">
        <v>33.653846153846203</v>
      </c>
      <c r="Y44" s="15">
        <v>12.1951219512195</v>
      </c>
      <c r="Z44" s="15">
        <v>39.130434782608702</v>
      </c>
      <c r="AA44" s="15">
        <v>19.178082191780799</v>
      </c>
      <c r="AB44" s="15">
        <v>17.948717948717899</v>
      </c>
      <c r="AC44" s="20" t="s">
        <v>76</v>
      </c>
      <c r="AD44" s="15">
        <v>7.3684210526315796</v>
      </c>
      <c r="AE44" s="15">
        <v>14.7540983606557</v>
      </c>
      <c r="AF44" s="15">
        <v>18.918918918918902</v>
      </c>
      <c r="AG44" s="32">
        <v>8.41039093588412</v>
      </c>
      <c r="AH44" s="15">
        <v>4.3624161073825496</v>
      </c>
      <c r="AI44" s="15">
        <v>8.8495575221238898</v>
      </c>
      <c r="AJ44" s="15">
        <v>10.324483775811199</v>
      </c>
      <c r="AK44" s="15">
        <v>4.8442906574394504</v>
      </c>
      <c r="AL44" s="15">
        <v>10.055865921787699</v>
      </c>
      <c r="AM44" s="15">
        <v>7.6923076923076898</v>
      </c>
      <c r="AN44" s="24">
        <v>10.126582278480999</v>
      </c>
      <c r="AO44" s="38"/>
    </row>
    <row r="45" spans="1:41">
      <c r="A45" s="9" t="s">
        <v>249</v>
      </c>
      <c r="B45" s="36">
        <v>0.37691265127750501</v>
      </c>
      <c r="C45" s="32">
        <v>0.49477266497232097</v>
      </c>
      <c r="D45" s="34" t="s">
        <v>76</v>
      </c>
      <c r="E45" s="34"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34" t="s">
        <v>76</v>
      </c>
      <c r="AH45" s="20" t="s">
        <v>76</v>
      </c>
      <c r="AI45" s="20" t="s">
        <v>76</v>
      </c>
      <c r="AJ45" s="20" t="s">
        <v>76</v>
      </c>
      <c r="AK45" s="20" t="s">
        <v>76</v>
      </c>
      <c r="AL45" s="20" t="s">
        <v>76</v>
      </c>
      <c r="AM45" s="20" t="s">
        <v>76</v>
      </c>
      <c r="AN45" s="26" t="s">
        <v>76</v>
      </c>
      <c r="AO45" s="38"/>
    </row>
    <row r="46" spans="1:41">
      <c r="A46" s="9" t="s">
        <v>250</v>
      </c>
      <c r="B46" s="36">
        <v>0.73801607286605297</v>
      </c>
      <c r="C46" s="32">
        <v>0.51101504396511599</v>
      </c>
      <c r="D46" s="34" t="s">
        <v>76</v>
      </c>
      <c r="E46" s="34" t="s">
        <v>76</v>
      </c>
      <c r="F46" s="20" t="s">
        <v>76</v>
      </c>
      <c r="G46" s="20" t="s">
        <v>76</v>
      </c>
      <c r="H46" s="20" t="s">
        <v>76</v>
      </c>
      <c r="I46" s="20" t="s">
        <v>76</v>
      </c>
      <c r="J46" s="20" t="s">
        <v>76</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34" t="s">
        <v>76</v>
      </c>
      <c r="AH46" s="20" t="s">
        <v>76</v>
      </c>
      <c r="AI46" s="20" t="s">
        <v>76</v>
      </c>
      <c r="AJ46" s="20" t="s">
        <v>76</v>
      </c>
      <c r="AK46" s="20" t="s">
        <v>76</v>
      </c>
      <c r="AL46" s="20" t="s">
        <v>76</v>
      </c>
      <c r="AM46" s="20" t="s">
        <v>76</v>
      </c>
      <c r="AN46" s="26" t="s">
        <v>76</v>
      </c>
      <c r="AO46" s="38"/>
    </row>
    <row r="47" spans="1:41">
      <c r="A47" s="9" t="s">
        <v>251</v>
      </c>
      <c r="B47" s="36">
        <v>0.45239305101969701</v>
      </c>
      <c r="C47" s="32">
        <v>0.60288953180358196</v>
      </c>
      <c r="D47" s="34" t="s">
        <v>76</v>
      </c>
      <c r="E47" s="34" t="s">
        <v>76</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34" t="s">
        <v>76</v>
      </c>
      <c r="AH47" s="20" t="s">
        <v>76</v>
      </c>
      <c r="AI47" s="20" t="s">
        <v>76</v>
      </c>
      <c r="AJ47" s="20" t="s">
        <v>76</v>
      </c>
      <c r="AK47" s="20" t="s">
        <v>76</v>
      </c>
      <c r="AL47" s="20" t="s">
        <v>76</v>
      </c>
      <c r="AM47" s="20" t="s">
        <v>76</v>
      </c>
      <c r="AN47" s="26" t="s">
        <v>76</v>
      </c>
      <c r="AO47" s="38"/>
    </row>
    <row r="48" spans="1:41">
      <c r="A48" s="9" t="s">
        <v>252</v>
      </c>
      <c r="B48" s="36">
        <v>1.7089978547657101</v>
      </c>
      <c r="C48" s="32">
        <v>1.4681411861443601</v>
      </c>
      <c r="D48" s="32">
        <v>0.74812751575695702</v>
      </c>
      <c r="E48" s="34" t="s">
        <v>76</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34" t="s">
        <v>76</v>
      </c>
      <c r="AH48" s="20" t="s">
        <v>76</v>
      </c>
      <c r="AI48" s="15">
        <v>1.76991150442478</v>
      </c>
      <c r="AJ48" s="15">
        <v>1.47492625368732</v>
      </c>
      <c r="AK48" s="20" t="s">
        <v>76</v>
      </c>
      <c r="AL48" s="20" t="s">
        <v>76</v>
      </c>
      <c r="AM48" s="20" t="s">
        <v>76</v>
      </c>
      <c r="AN48" s="26" t="s">
        <v>76</v>
      </c>
      <c r="AO48" s="38"/>
    </row>
    <row r="49" spans="1:41">
      <c r="A49" s="9" t="s">
        <v>253</v>
      </c>
      <c r="B49" s="36">
        <v>0.49837726734774102</v>
      </c>
      <c r="C49" s="32">
        <v>0.99992247553040403</v>
      </c>
      <c r="D49" s="34" t="s">
        <v>76</v>
      </c>
      <c r="E49" s="34" t="s">
        <v>76</v>
      </c>
      <c r="F49" s="20" t="s">
        <v>76</v>
      </c>
      <c r="G49" s="20" t="s">
        <v>76</v>
      </c>
      <c r="H49" s="20" t="s">
        <v>76</v>
      </c>
      <c r="I49" s="20" t="s">
        <v>76</v>
      </c>
      <c r="J49" s="20" t="s">
        <v>76</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15">
        <v>7.6923076923076898</v>
      </c>
      <c r="Y49" s="20" t="s">
        <v>76</v>
      </c>
      <c r="Z49" s="20" t="s">
        <v>76</v>
      </c>
      <c r="AA49" s="20" t="s">
        <v>76</v>
      </c>
      <c r="AB49" s="20" t="s">
        <v>76</v>
      </c>
      <c r="AC49" s="20" t="s">
        <v>76</v>
      </c>
      <c r="AD49" s="20" t="s">
        <v>76</v>
      </c>
      <c r="AE49" s="20" t="s">
        <v>76</v>
      </c>
      <c r="AF49" s="20" t="s">
        <v>76</v>
      </c>
      <c r="AG49" s="34" t="s">
        <v>76</v>
      </c>
      <c r="AH49" s="20" t="s">
        <v>76</v>
      </c>
      <c r="AI49" s="20" t="s">
        <v>76</v>
      </c>
      <c r="AJ49" s="20" t="s">
        <v>76</v>
      </c>
      <c r="AK49" s="20" t="s">
        <v>76</v>
      </c>
      <c r="AL49" s="20" t="s">
        <v>76</v>
      </c>
      <c r="AM49" s="20" t="s">
        <v>76</v>
      </c>
      <c r="AN49" s="26" t="s">
        <v>76</v>
      </c>
      <c r="AO49" s="38"/>
    </row>
    <row r="50" spans="1:41">
      <c r="A50" s="9" t="s">
        <v>254</v>
      </c>
      <c r="B50" s="36">
        <v>8.2732796800996802</v>
      </c>
      <c r="C50" s="32">
        <v>7.1303039171329496</v>
      </c>
      <c r="D50" s="32">
        <v>5.1672758633772098</v>
      </c>
      <c r="E50" s="32">
        <v>10.0610660191946</v>
      </c>
      <c r="F50" s="20" t="s">
        <v>76</v>
      </c>
      <c r="G50" s="15">
        <v>13.4328358208955</v>
      </c>
      <c r="H50" s="20" t="s">
        <v>76</v>
      </c>
      <c r="I50" s="20" t="s">
        <v>76</v>
      </c>
      <c r="J50" s="15">
        <v>14.814814814814801</v>
      </c>
      <c r="K50" s="20" t="s">
        <v>76</v>
      </c>
      <c r="L50" s="15">
        <v>7.8125</v>
      </c>
      <c r="M50" s="15">
        <v>7.3529411764705896</v>
      </c>
      <c r="N50" s="20" t="s">
        <v>76</v>
      </c>
      <c r="O50" s="15">
        <v>28.571428571428601</v>
      </c>
      <c r="P50" s="15">
        <v>4.4444444444444402</v>
      </c>
      <c r="Q50" s="20" t="s">
        <v>76</v>
      </c>
      <c r="R50" s="15">
        <v>9.8901098901098905</v>
      </c>
      <c r="S50" s="15">
        <v>5</v>
      </c>
      <c r="T50" s="15">
        <v>39.393939393939398</v>
      </c>
      <c r="U50" s="20" t="s">
        <v>76</v>
      </c>
      <c r="V50" s="20" t="s">
        <v>76</v>
      </c>
      <c r="W50" s="15">
        <v>10.714285714285699</v>
      </c>
      <c r="X50" s="15">
        <v>13.461538461538501</v>
      </c>
      <c r="Y50" s="15">
        <v>24.390243902439</v>
      </c>
      <c r="Z50" s="15">
        <v>39.130434782608702</v>
      </c>
      <c r="AA50" s="15">
        <v>20.5479452054795</v>
      </c>
      <c r="AB50" s="15">
        <v>24.3589743589744</v>
      </c>
      <c r="AC50" s="20" t="s">
        <v>76</v>
      </c>
      <c r="AD50" s="20" t="s">
        <v>76</v>
      </c>
      <c r="AE50" s="20" t="s">
        <v>76</v>
      </c>
      <c r="AF50" s="15">
        <v>35.135135135135101</v>
      </c>
      <c r="AG50" s="32">
        <v>1.36807671799057</v>
      </c>
      <c r="AH50" s="20" t="s">
        <v>76</v>
      </c>
      <c r="AI50" s="20" t="s">
        <v>76</v>
      </c>
      <c r="AJ50" s="20" t="s">
        <v>76</v>
      </c>
      <c r="AK50" s="15">
        <v>6.9204152249134898</v>
      </c>
      <c r="AL50" s="20" t="s">
        <v>76</v>
      </c>
      <c r="AM50" s="20" t="s">
        <v>76</v>
      </c>
      <c r="AN50" s="26" t="s">
        <v>76</v>
      </c>
      <c r="AO50" s="38"/>
    </row>
    <row r="51" spans="1:41">
      <c r="A51" s="9" t="s">
        <v>255</v>
      </c>
      <c r="B51" s="36">
        <v>3.22476602895272</v>
      </c>
      <c r="C51" s="32">
        <v>3.3081219983003298</v>
      </c>
      <c r="D51" s="32">
        <v>2.3141997004183699</v>
      </c>
      <c r="E51" s="34" t="s">
        <v>76</v>
      </c>
      <c r="F51" s="20" t="s">
        <v>76</v>
      </c>
      <c r="G51" s="20" t="s">
        <v>76</v>
      </c>
      <c r="H51" s="20" t="s">
        <v>76</v>
      </c>
      <c r="I51" s="20" t="s">
        <v>76</v>
      </c>
      <c r="J51" s="20" t="s">
        <v>76</v>
      </c>
      <c r="K51" s="20" t="s">
        <v>76</v>
      </c>
      <c r="L51" s="20" t="s">
        <v>76</v>
      </c>
      <c r="M51" s="20" t="s">
        <v>76</v>
      </c>
      <c r="N51" s="20" t="s">
        <v>76</v>
      </c>
      <c r="O51" s="20" t="s">
        <v>76</v>
      </c>
      <c r="P51" s="20" t="s">
        <v>76</v>
      </c>
      <c r="Q51" s="20" t="s">
        <v>76</v>
      </c>
      <c r="R51" s="20" t="s">
        <v>76</v>
      </c>
      <c r="S51" s="20" t="s">
        <v>76</v>
      </c>
      <c r="T51" s="20" t="s">
        <v>76</v>
      </c>
      <c r="U51" s="20" t="s">
        <v>76</v>
      </c>
      <c r="V51" s="20" t="s">
        <v>76</v>
      </c>
      <c r="W51" s="20" t="s">
        <v>76</v>
      </c>
      <c r="X51" s="15">
        <v>4.8076923076923102</v>
      </c>
      <c r="Y51" s="20" t="s">
        <v>76</v>
      </c>
      <c r="Z51" s="20" t="s">
        <v>76</v>
      </c>
      <c r="AA51" s="20" t="s">
        <v>76</v>
      </c>
      <c r="AB51" s="20" t="s">
        <v>76</v>
      </c>
      <c r="AC51" s="20" t="s">
        <v>76</v>
      </c>
      <c r="AD51" s="20" t="s">
        <v>76</v>
      </c>
      <c r="AE51" s="20" t="s">
        <v>76</v>
      </c>
      <c r="AF51" s="20" t="s">
        <v>76</v>
      </c>
      <c r="AG51" s="32">
        <v>3.3276358831648198</v>
      </c>
      <c r="AH51" s="15">
        <v>6.0402684563758404</v>
      </c>
      <c r="AI51" s="15">
        <v>9.4395280235988199</v>
      </c>
      <c r="AJ51" s="20" t="s">
        <v>76</v>
      </c>
      <c r="AK51" s="20" t="s">
        <v>76</v>
      </c>
      <c r="AL51" s="15">
        <v>5.0279329608938497</v>
      </c>
      <c r="AM51" s="15">
        <v>2.1538461538461502</v>
      </c>
      <c r="AN51" s="26" t="s">
        <v>76</v>
      </c>
      <c r="AO51" s="38"/>
    </row>
    <row r="52" spans="1:41">
      <c r="A52" s="9" t="s">
        <v>256</v>
      </c>
      <c r="B52" s="36">
        <v>0.50928712414919097</v>
      </c>
      <c r="C52" s="32">
        <v>0.51765695540675305</v>
      </c>
      <c r="D52" s="34" t="s">
        <v>76</v>
      </c>
      <c r="E52" s="34" t="s">
        <v>76</v>
      </c>
      <c r="F52" s="20" t="s">
        <v>76</v>
      </c>
      <c r="G52" s="20" t="s">
        <v>76</v>
      </c>
      <c r="H52" s="20" t="s">
        <v>76</v>
      </c>
      <c r="I52" s="20" t="s">
        <v>76</v>
      </c>
      <c r="J52" s="20" t="s">
        <v>76</v>
      </c>
      <c r="K52" s="20" t="s">
        <v>76</v>
      </c>
      <c r="L52" s="20" t="s">
        <v>76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34" t="s">
        <v>76</v>
      </c>
      <c r="AH52" s="20" t="s">
        <v>76</v>
      </c>
      <c r="AI52" s="20" t="s">
        <v>76</v>
      </c>
      <c r="AJ52" s="20" t="s">
        <v>76</v>
      </c>
      <c r="AK52" s="20" t="s">
        <v>76</v>
      </c>
      <c r="AL52" s="20" t="s">
        <v>76</v>
      </c>
      <c r="AM52" s="20" t="s">
        <v>76</v>
      </c>
      <c r="AN52" s="26" t="s">
        <v>76</v>
      </c>
      <c r="AO52" s="38"/>
    </row>
    <row r="53" spans="1:41">
      <c r="A53" s="9" t="s">
        <v>257</v>
      </c>
      <c r="B53" s="36">
        <v>6.9652156954483297</v>
      </c>
      <c r="C53" s="32">
        <v>6.0571326312190399</v>
      </c>
      <c r="D53" s="32">
        <v>6.6538554994854398</v>
      </c>
      <c r="E53" s="32">
        <v>4.6276264800566302</v>
      </c>
      <c r="F53" s="20" t="s">
        <v>76</v>
      </c>
      <c r="G53" s="20" t="s">
        <v>76</v>
      </c>
      <c r="H53" s="20" t="s">
        <v>76</v>
      </c>
      <c r="I53" s="20" t="s">
        <v>76</v>
      </c>
      <c r="J53" s="15">
        <v>27.160493827160501</v>
      </c>
      <c r="K53" s="20" t="s">
        <v>76</v>
      </c>
      <c r="L53" s="20" t="s">
        <v>76</v>
      </c>
      <c r="M53" s="20" t="s">
        <v>76</v>
      </c>
      <c r="N53" s="20" t="s">
        <v>76</v>
      </c>
      <c r="O53" s="15">
        <v>11.9047619047619</v>
      </c>
      <c r="P53" s="20" t="s">
        <v>76</v>
      </c>
      <c r="Q53" s="20" t="s">
        <v>76</v>
      </c>
      <c r="R53" s="20" t="s">
        <v>76</v>
      </c>
      <c r="S53" s="20" t="s">
        <v>76</v>
      </c>
      <c r="T53" s="20" t="s">
        <v>76</v>
      </c>
      <c r="U53" s="15">
        <v>17.021276595744698</v>
      </c>
      <c r="V53" s="20" t="s">
        <v>76</v>
      </c>
      <c r="W53" s="20" t="s">
        <v>76</v>
      </c>
      <c r="X53" s="15">
        <v>9.6153846153846096</v>
      </c>
      <c r="Y53" s="20" t="s">
        <v>76</v>
      </c>
      <c r="Z53" s="20" t="s">
        <v>76</v>
      </c>
      <c r="AA53" s="15">
        <v>13.698630136986299</v>
      </c>
      <c r="AB53" s="20" t="s">
        <v>76</v>
      </c>
      <c r="AC53" s="20" t="s">
        <v>76</v>
      </c>
      <c r="AD53" s="20" t="s">
        <v>76</v>
      </c>
      <c r="AE53" s="20" t="s">
        <v>76</v>
      </c>
      <c r="AF53" s="20" t="s">
        <v>76</v>
      </c>
      <c r="AG53" s="32">
        <v>8.2268791302229705</v>
      </c>
      <c r="AH53" s="15">
        <v>2.6845637583892601</v>
      </c>
      <c r="AI53" s="15">
        <v>13.2743362831858</v>
      </c>
      <c r="AJ53" s="15">
        <v>4.71976401179941</v>
      </c>
      <c r="AK53" s="20" t="s">
        <v>76</v>
      </c>
      <c r="AL53" s="15">
        <v>4.4692737430167604</v>
      </c>
      <c r="AM53" s="15">
        <v>2.7692307692307701</v>
      </c>
      <c r="AN53" s="24">
        <v>20.253164556961998</v>
      </c>
      <c r="AO53" s="38"/>
    </row>
    <row r="54" spans="1:41">
      <c r="A54" s="9" t="s">
        <v>258</v>
      </c>
      <c r="B54" s="36">
        <v>1.57363495228821</v>
      </c>
      <c r="C54" s="32">
        <v>1.5106759515340999</v>
      </c>
      <c r="D54" s="32">
        <v>0.68863375217463696</v>
      </c>
      <c r="E54" s="34" t="s">
        <v>76</v>
      </c>
      <c r="F54" s="20" t="s">
        <v>76</v>
      </c>
      <c r="G54" s="20" t="s">
        <v>76</v>
      </c>
      <c r="H54" s="20" t="s">
        <v>76</v>
      </c>
      <c r="I54" s="20" t="s">
        <v>76</v>
      </c>
      <c r="J54" s="20" t="s">
        <v>76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20" t="s">
        <v>76</v>
      </c>
      <c r="AC54" s="20" t="s">
        <v>76</v>
      </c>
      <c r="AD54" s="20" t="s">
        <v>76</v>
      </c>
      <c r="AE54" s="20" t="s">
        <v>76</v>
      </c>
      <c r="AF54" s="20" t="s">
        <v>76</v>
      </c>
      <c r="AG54" s="34" t="s">
        <v>76</v>
      </c>
      <c r="AH54" s="20" t="s">
        <v>76</v>
      </c>
      <c r="AI54" s="15">
        <v>1.47492625368732</v>
      </c>
      <c r="AJ54" s="20" t="s">
        <v>76</v>
      </c>
      <c r="AK54" s="15">
        <v>1.73010380622837</v>
      </c>
      <c r="AL54" s="20" t="s">
        <v>76</v>
      </c>
      <c r="AM54" s="20" t="s">
        <v>76</v>
      </c>
      <c r="AN54" s="26" t="s">
        <v>76</v>
      </c>
      <c r="AO54" s="38"/>
    </row>
    <row r="55" spans="1:41">
      <c r="A55" s="9" t="s">
        <v>259</v>
      </c>
      <c r="B55" s="36">
        <v>0.64335254668960595</v>
      </c>
      <c r="C55" s="32">
        <v>0.95265582388966796</v>
      </c>
      <c r="D55" s="34" t="s">
        <v>76</v>
      </c>
      <c r="E55" s="34" t="s">
        <v>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4" t="s">
        <v>76</v>
      </c>
      <c r="AH55" s="20" t="s">
        <v>76</v>
      </c>
      <c r="AI55" s="20" t="s">
        <v>76</v>
      </c>
      <c r="AJ55" s="20" t="s">
        <v>76</v>
      </c>
      <c r="AK55" s="20" t="s">
        <v>76</v>
      </c>
      <c r="AL55" s="20" t="s">
        <v>76</v>
      </c>
      <c r="AM55" s="20" t="s">
        <v>76</v>
      </c>
      <c r="AN55" s="26" t="s">
        <v>76</v>
      </c>
      <c r="AO55" s="38"/>
    </row>
    <row r="56" spans="1:41">
      <c r="A56" s="9" t="s">
        <v>260</v>
      </c>
      <c r="B56" s="36">
        <v>2.2180682918292698</v>
      </c>
      <c r="C56" s="32">
        <v>2.2464406104104202</v>
      </c>
      <c r="D56" s="32">
        <v>1.6007455129011801</v>
      </c>
      <c r="E56" s="34" t="s">
        <v>76</v>
      </c>
      <c r="F56" s="20" t="s">
        <v>76</v>
      </c>
      <c r="G56" s="20" t="s">
        <v>76</v>
      </c>
      <c r="H56" s="20" t="s">
        <v>76</v>
      </c>
      <c r="I56" s="20" t="s">
        <v>76</v>
      </c>
      <c r="J56" s="20" t="s">
        <v>76</v>
      </c>
      <c r="K56" s="20" t="s">
        <v>76</v>
      </c>
      <c r="L56" s="20" t="s">
        <v>76</v>
      </c>
      <c r="M56" s="20" t="s">
        <v>76</v>
      </c>
      <c r="N56" s="20" t="s">
        <v>76</v>
      </c>
      <c r="O56" s="20" t="s">
        <v>76</v>
      </c>
      <c r="P56" s="20" t="s">
        <v>76</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32">
        <v>2.0104240685142098</v>
      </c>
      <c r="AH56" s="20" t="s">
        <v>76</v>
      </c>
      <c r="AI56" s="15">
        <v>2.3598820058997001</v>
      </c>
      <c r="AJ56" s="15">
        <v>4.1297935103244798</v>
      </c>
      <c r="AK56" s="20" t="s">
        <v>76</v>
      </c>
      <c r="AL56" s="15">
        <v>5.5865921787709496</v>
      </c>
      <c r="AM56" s="20" t="s">
        <v>76</v>
      </c>
      <c r="AN56" s="24">
        <v>1.89873417721519</v>
      </c>
      <c r="AO56" s="38"/>
    </row>
    <row r="57" spans="1:41">
      <c r="A57" s="9" t="s">
        <v>261</v>
      </c>
      <c r="B57" s="36">
        <v>1.0788988744740799</v>
      </c>
      <c r="C57" s="32">
        <v>1.03368230857855</v>
      </c>
      <c r="D57" s="32">
        <v>0.75745471022946298</v>
      </c>
      <c r="E57" s="34" t="s">
        <v>76</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15">
        <v>15.1515151515152</v>
      </c>
      <c r="U57" s="20" t="s">
        <v>76</v>
      </c>
      <c r="V57" s="20" t="s">
        <v>76</v>
      </c>
      <c r="W57" s="20" t="s">
        <v>76</v>
      </c>
      <c r="X57" s="20" t="s">
        <v>76</v>
      </c>
      <c r="Y57" s="20" t="s">
        <v>76</v>
      </c>
      <c r="Z57" s="20" t="s">
        <v>76</v>
      </c>
      <c r="AA57" s="20" t="s">
        <v>76</v>
      </c>
      <c r="AB57" s="20" t="s">
        <v>76</v>
      </c>
      <c r="AC57" s="20" t="s">
        <v>76</v>
      </c>
      <c r="AD57" s="20" t="s">
        <v>76</v>
      </c>
      <c r="AE57" s="20" t="s">
        <v>76</v>
      </c>
      <c r="AF57" s="20" t="s">
        <v>76</v>
      </c>
      <c r="AG57" s="34" t="s">
        <v>76</v>
      </c>
      <c r="AH57" s="20" t="s">
        <v>76</v>
      </c>
      <c r="AI57" s="20" t="s">
        <v>76</v>
      </c>
      <c r="AJ57" s="20" t="s">
        <v>76</v>
      </c>
      <c r="AK57" s="20" t="s">
        <v>76</v>
      </c>
      <c r="AL57" s="20" t="s">
        <v>76</v>
      </c>
      <c r="AM57" s="20" t="s">
        <v>76</v>
      </c>
      <c r="AN57" s="26" t="s">
        <v>76</v>
      </c>
      <c r="AO57" s="38"/>
    </row>
    <row r="58" spans="1:41">
      <c r="A58" s="9" t="s">
        <v>262</v>
      </c>
      <c r="B58" s="36">
        <v>2.1302041688114799</v>
      </c>
      <c r="C58" s="32">
        <v>2.10103984630019</v>
      </c>
      <c r="D58" s="32">
        <v>1.60900070119254</v>
      </c>
      <c r="E58" s="34" t="s">
        <v>76</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32">
        <v>2.56010494941492</v>
      </c>
      <c r="AH58" s="20" t="s">
        <v>76</v>
      </c>
      <c r="AI58" s="15">
        <v>5.3097345132743401</v>
      </c>
      <c r="AJ58" s="20" t="s">
        <v>76</v>
      </c>
      <c r="AK58" s="20" t="s">
        <v>76</v>
      </c>
      <c r="AL58" s="20" t="s">
        <v>76</v>
      </c>
      <c r="AM58" s="15">
        <v>2.1538461538461502</v>
      </c>
      <c r="AN58" s="24">
        <v>1.58227848101266</v>
      </c>
      <c r="AO58" s="38"/>
    </row>
    <row r="59" spans="1:41">
      <c r="A59" s="9" t="s">
        <v>263</v>
      </c>
      <c r="B59" s="36">
        <v>0.43132470215101998</v>
      </c>
      <c r="C59" s="32">
        <v>0.32882322164014999</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20" t="s">
        <v>76</v>
      </c>
      <c r="AJ59" s="20" t="s">
        <v>76</v>
      </c>
      <c r="AK59" s="20" t="s">
        <v>76</v>
      </c>
      <c r="AL59" s="20" t="s">
        <v>76</v>
      </c>
      <c r="AM59" s="20" t="s">
        <v>76</v>
      </c>
      <c r="AN59" s="26" t="s">
        <v>76</v>
      </c>
      <c r="AO59" s="38"/>
    </row>
    <row r="60" spans="1:41">
      <c r="A60" s="9" t="s">
        <v>264</v>
      </c>
      <c r="B60" s="36">
        <v>0.288581049189156</v>
      </c>
      <c r="C60" s="32">
        <v>0.23014368826083001</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c r="A61" s="9" t="s">
        <v>265</v>
      </c>
      <c r="B61" s="36">
        <v>0.22578542086359499</v>
      </c>
      <c r="C61" s="32">
        <v>0.15701056761357099</v>
      </c>
      <c r="D61" s="34" t="s">
        <v>76</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20" t="s">
        <v>76</v>
      </c>
      <c r="AJ61" s="20" t="s">
        <v>76</v>
      </c>
      <c r="AK61" s="20" t="s">
        <v>76</v>
      </c>
      <c r="AL61" s="20" t="s">
        <v>76</v>
      </c>
      <c r="AM61" s="20" t="s">
        <v>76</v>
      </c>
      <c r="AN61" s="26" t="s">
        <v>76</v>
      </c>
      <c r="AO61" s="38"/>
    </row>
    <row r="62" spans="1:41">
      <c r="A62" s="9" t="s">
        <v>266</v>
      </c>
      <c r="B62" s="36">
        <v>0.20599038997869401</v>
      </c>
      <c r="C62" s="32">
        <v>0.192384542897859</v>
      </c>
      <c r="D62" s="34" t="s">
        <v>76</v>
      </c>
      <c r="E62" s="34"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34" t="s">
        <v>76</v>
      </c>
      <c r="AH62" s="20" t="s">
        <v>76</v>
      </c>
      <c r="AI62" s="20" t="s">
        <v>76</v>
      </c>
      <c r="AJ62" s="20" t="s">
        <v>76</v>
      </c>
      <c r="AK62" s="20" t="s">
        <v>76</v>
      </c>
      <c r="AL62" s="20" t="s">
        <v>76</v>
      </c>
      <c r="AM62" s="20" t="s">
        <v>76</v>
      </c>
      <c r="AN62" s="26" t="s">
        <v>76</v>
      </c>
      <c r="AO62" s="38"/>
    </row>
    <row r="63" spans="1:41">
      <c r="A63" s="9" t="s">
        <v>267</v>
      </c>
      <c r="B63" s="36">
        <v>0.53088940805526397</v>
      </c>
      <c r="C63" s="32">
        <v>0.41277980449271501</v>
      </c>
      <c r="D63" s="34" t="s">
        <v>76</v>
      </c>
      <c r="E63" s="34" t="s">
        <v>76</v>
      </c>
      <c r="F63" s="20" t="s">
        <v>76</v>
      </c>
      <c r="G63" s="20" t="s">
        <v>76</v>
      </c>
      <c r="H63" s="20" t="s">
        <v>76</v>
      </c>
      <c r="I63" s="20" t="s">
        <v>76</v>
      </c>
      <c r="J63" s="20" t="s">
        <v>76</v>
      </c>
      <c r="K63" s="20" t="s">
        <v>76</v>
      </c>
      <c r="L63" s="20" t="s">
        <v>76</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34" t="s">
        <v>76</v>
      </c>
      <c r="AH63" s="20" t="s">
        <v>76</v>
      </c>
      <c r="AI63" s="20" t="s">
        <v>76</v>
      </c>
      <c r="AJ63" s="20" t="s">
        <v>76</v>
      </c>
      <c r="AK63" s="20" t="s">
        <v>76</v>
      </c>
      <c r="AL63" s="20" t="s">
        <v>76</v>
      </c>
      <c r="AM63" s="20" t="s">
        <v>76</v>
      </c>
      <c r="AN63" s="26" t="s">
        <v>76</v>
      </c>
      <c r="AO63" s="38"/>
    </row>
    <row r="64" spans="1:41">
      <c r="A64" s="11" t="s">
        <v>268</v>
      </c>
      <c r="B64" s="37">
        <v>1.54036442212826</v>
      </c>
      <c r="C64" s="33">
        <v>1.48136293446962</v>
      </c>
      <c r="D64" s="33">
        <v>1.1377569086578401</v>
      </c>
      <c r="E64" s="39" t="s">
        <v>76</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9" t="s">
        <v>76</v>
      </c>
      <c r="AH64" s="28" t="s">
        <v>76</v>
      </c>
      <c r="AI64" s="28" t="s">
        <v>76</v>
      </c>
      <c r="AJ64" s="16">
        <v>1.47492625368732</v>
      </c>
      <c r="AK64" s="28" t="s">
        <v>76</v>
      </c>
      <c r="AL64" s="28" t="s">
        <v>76</v>
      </c>
      <c r="AM64" s="28" t="s">
        <v>76</v>
      </c>
      <c r="AN64" s="25">
        <v>2.5316455696202498</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273</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5" customHeight="1">
      <c r="A4" s="22" t="s">
        <v>69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5" customHeight="1">
      <c r="A5" s="22" t="s">
        <v>70</v>
      </c>
      <c r="B5" s="15">
        <v>71.598911430502298</v>
      </c>
      <c r="C5" s="15">
        <v>71.534330511775593</v>
      </c>
      <c r="D5" s="24">
        <v>71.649047575171906</v>
      </c>
      <c r="E5" s="15">
        <v>73.700335017745005</v>
      </c>
      <c r="F5" s="15">
        <v>74.008469150574001</v>
      </c>
      <c r="G5" s="24">
        <v>73.4513792257886</v>
      </c>
      <c r="H5" s="15">
        <v>70.517598508126895</v>
      </c>
      <c r="I5" s="15">
        <v>69.4302851173112</v>
      </c>
      <c r="J5" s="24">
        <v>71.360677855776601</v>
      </c>
      <c r="K5" s="20" t="s">
        <v>76</v>
      </c>
      <c r="L5" s="20" t="s">
        <v>76</v>
      </c>
      <c r="M5" s="26" t="s">
        <v>76</v>
      </c>
      <c r="N5" s="15">
        <v>46.468784147546202</v>
      </c>
      <c r="O5" s="20" t="s">
        <v>76</v>
      </c>
      <c r="P5" s="26" t="s">
        <v>76</v>
      </c>
    </row>
    <row r="6" spans="1:16" ht="21.95" customHeight="1">
      <c r="A6" s="22" t="s">
        <v>165</v>
      </c>
      <c r="B6" s="15">
        <v>71.534330511775593</v>
      </c>
      <c r="C6" s="15">
        <v>71.534330511775593</v>
      </c>
      <c r="D6" s="26" t="s">
        <v>76</v>
      </c>
      <c r="E6" s="15">
        <v>74.008469150574001</v>
      </c>
      <c r="F6" s="15">
        <v>74.008469150574001</v>
      </c>
      <c r="G6" s="26" t="s">
        <v>76</v>
      </c>
      <c r="H6" s="15">
        <v>69.4302851173112</v>
      </c>
      <c r="I6" s="15">
        <v>69.4302851173112</v>
      </c>
      <c r="J6" s="26" t="s">
        <v>76</v>
      </c>
      <c r="K6" s="20" t="s">
        <v>76</v>
      </c>
      <c r="L6" s="20" t="s">
        <v>76</v>
      </c>
      <c r="M6" s="26" t="s">
        <v>76</v>
      </c>
      <c r="N6" s="20" t="s">
        <v>76</v>
      </c>
      <c r="O6" s="20" t="s">
        <v>76</v>
      </c>
      <c r="P6" s="26" t="s">
        <v>76</v>
      </c>
    </row>
    <row r="7" spans="1:16">
      <c r="A7" s="9" t="s">
        <v>166</v>
      </c>
      <c r="B7" s="15">
        <v>65.625</v>
      </c>
      <c r="C7" s="15">
        <v>65.625</v>
      </c>
      <c r="D7" s="26" t="s">
        <v>76</v>
      </c>
      <c r="E7" s="15">
        <v>64.5833333333333</v>
      </c>
      <c r="F7" s="15">
        <v>64.5833333333333</v>
      </c>
      <c r="G7" s="26" t="s">
        <v>76</v>
      </c>
      <c r="H7" s="15">
        <v>66.6666666666667</v>
      </c>
      <c r="I7" s="15">
        <v>66.6666666666667</v>
      </c>
      <c r="J7" s="26" t="s">
        <v>76</v>
      </c>
      <c r="K7" s="20" t="s">
        <v>76</v>
      </c>
      <c r="L7" s="20" t="s">
        <v>76</v>
      </c>
      <c r="M7" s="26" t="s">
        <v>76</v>
      </c>
      <c r="N7" s="20" t="s">
        <v>76</v>
      </c>
      <c r="O7" s="20" t="s">
        <v>76</v>
      </c>
      <c r="P7" s="26" t="s">
        <v>76</v>
      </c>
    </row>
    <row r="8" spans="1:16">
      <c r="A8" s="9" t="s">
        <v>167</v>
      </c>
      <c r="B8" s="15">
        <v>82.089552238805993</v>
      </c>
      <c r="C8" s="15">
        <v>82.089552238805993</v>
      </c>
      <c r="D8" s="26" t="s">
        <v>76</v>
      </c>
      <c r="E8" s="15">
        <v>79.310344827586206</v>
      </c>
      <c r="F8" s="15">
        <v>79.310344827586206</v>
      </c>
      <c r="G8" s="26" t="s">
        <v>76</v>
      </c>
      <c r="H8" s="15">
        <v>84.210526315789494</v>
      </c>
      <c r="I8" s="15">
        <v>84.210526315789494</v>
      </c>
      <c r="J8" s="26" t="s">
        <v>76</v>
      </c>
      <c r="K8" s="20" t="s">
        <v>76</v>
      </c>
      <c r="L8" s="20" t="s">
        <v>76</v>
      </c>
      <c r="M8" s="26" t="s">
        <v>76</v>
      </c>
      <c r="N8" s="20" t="s">
        <v>76</v>
      </c>
      <c r="O8" s="20" t="s">
        <v>76</v>
      </c>
      <c r="P8" s="26" t="s">
        <v>76</v>
      </c>
    </row>
    <row r="9" spans="1:16">
      <c r="A9" s="9" t="s">
        <v>168</v>
      </c>
      <c r="B9" s="15">
        <v>78.048780487804905</v>
      </c>
      <c r="C9" s="15">
        <v>78.048780487804905</v>
      </c>
      <c r="D9" s="26" t="s">
        <v>76</v>
      </c>
      <c r="E9" s="15">
        <v>80</v>
      </c>
      <c r="F9" s="15">
        <v>80</v>
      </c>
      <c r="G9" s="26" t="s">
        <v>76</v>
      </c>
      <c r="H9" s="15">
        <v>75.609756097561004</v>
      </c>
      <c r="I9" s="15">
        <v>75.609756097561004</v>
      </c>
      <c r="J9" s="26" t="s">
        <v>76</v>
      </c>
      <c r="K9" s="20" t="s">
        <v>76</v>
      </c>
      <c r="L9" s="20" t="s">
        <v>76</v>
      </c>
      <c r="M9" s="26" t="s">
        <v>76</v>
      </c>
      <c r="N9" s="20" t="s">
        <v>76</v>
      </c>
      <c r="O9" s="20" t="s">
        <v>76</v>
      </c>
      <c r="P9" s="26" t="s">
        <v>76</v>
      </c>
    </row>
    <row r="10" spans="1:16">
      <c r="A10" s="9" t="s">
        <v>169</v>
      </c>
      <c r="B10" s="15">
        <v>80</v>
      </c>
      <c r="C10" s="15">
        <v>80</v>
      </c>
      <c r="D10" s="26" t="s">
        <v>76</v>
      </c>
      <c r="E10" s="15">
        <v>76.470588235294102</v>
      </c>
      <c r="F10" s="15">
        <v>76.470588235294102</v>
      </c>
      <c r="G10" s="26" t="s">
        <v>76</v>
      </c>
      <c r="H10" s="15">
        <v>82.608695652173907</v>
      </c>
      <c r="I10" s="15">
        <v>82.608695652173907</v>
      </c>
      <c r="J10" s="26" t="s">
        <v>76</v>
      </c>
      <c r="K10" s="20" t="s">
        <v>76</v>
      </c>
      <c r="L10" s="20" t="s">
        <v>76</v>
      </c>
      <c r="M10" s="26" t="s">
        <v>76</v>
      </c>
      <c r="N10" s="20" t="s">
        <v>76</v>
      </c>
      <c r="O10" s="20" t="s">
        <v>76</v>
      </c>
      <c r="P10" s="26" t="s">
        <v>76</v>
      </c>
    </row>
    <row r="11" spans="1:16">
      <c r="A11" s="9" t="s">
        <v>170</v>
      </c>
      <c r="B11" s="15">
        <v>85.185185185185205</v>
      </c>
      <c r="C11" s="15">
        <v>85.185185185185205</v>
      </c>
      <c r="D11" s="26" t="s">
        <v>76</v>
      </c>
      <c r="E11" s="15">
        <v>87.804878048780495</v>
      </c>
      <c r="F11" s="15">
        <v>87.804878048780495</v>
      </c>
      <c r="G11" s="26" t="s">
        <v>76</v>
      </c>
      <c r="H11" s="15">
        <v>83.783783783783804</v>
      </c>
      <c r="I11" s="15">
        <v>83.783783783783804</v>
      </c>
      <c r="J11" s="26" t="s">
        <v>76</v>
      </c>
      <c r="K11" s="20" t="s">
        <v>76</v>
      </c>
      <c r="L11" s="20" t="s">
        <v>76</v>
      </c>
      <c r="M11" s="26" t="s">
        <v>76</v>
      </c>
      <c r="N11" s="20" t="s">
        <v>76</v>
      </c>
      <c r="O11" s="20" t="s">
        <v>76</v>
      </c>
      <c r="P11" s="26" t="s">
        <v>76</v>
      </c>
    </row>
    <row r="12" spans="1:16">
      <c r="A12" s="9" t="s">
        <v>171</v>
      </c>
      <c r="B12" s="15">
        <v>86</v>
      </c>
      <c r="C12" s="15">
        <v>86</v>
      </c>
      <c r="D12" s="26" t="s">
        <v>76</v>
      </c>
      <c r="E12" s="15">
        <v>75</v>
      </c>
      <c r="F12" s="15">
        <v>75</v>
      </c>
      <c r="G12" s="26" t="s">
        <v>76</v>
      </c>
      <c r="H12" s="15">
        <v>96.153846153846104</v>
      </c>
      <c r="I12" s="15">
        <v>96.153846153846104</v>
      </c>
      <c r="J12" s="26" t="s">
        <v>76</v>
      </c>
      <c r="K12" s="20" t="s">
        <v>76</v>
      </c>
      <c r="L12" s="20" t="s">
        <v>76</v>
      </c>
      <c r="M12" s="26" t="s">
        <v>76</v>
      </c>
      <c r="N12" s="20" t="s">
        <v>76</v>
      </c>
      <c r="O12" s="20" t="s">
        <v>76</v>
      </c>
      <c r="P12" s="26" t="s">
        <v>76</v>
      </c>
    </row>
    <row r="13" spans="1:16">
      <c r="A13" s="9" t="s">
        <v>172</v>
      </c>
      <c r="B13" s="15">
        <v>67.1875</v>
      </c>
      <c r="C13" s="15">
        <v>67.1875</v>
      </c>
      <c r="D13" s="26" t="s">
        <v>76</v>
      </c>
      <c r="E13" s="15">
        <v>73.4375</v>
      </c>
      <c r="F13" s="15">
        <v>73.4375</v>
      </c>
      <c r="G13" s="26" t="s">
        <v>76</v>
      </c>
      <c r="H13" s="15">
        <v>61.016949152542402</v>
      </c>
      <c r="I13" s="15">
        <v>61.016949152542402</v>
      </c>
      <c r="J13" s="26" t="s">
        <v>76</v>
      </c>
      <c r="K13" s="20" t="s">
        <v>76</v>
      </c>
      <c r="L13" s="20" t="s">
        <v>76</v>
      </c>
      <c r="M13" s="26" t="s">
        <v>76</v>
      </c>
      <c r="N13" s="20" t="s">
        <v>76</v>
      </c>
      <c r="O13" s="20" t="s">
        <v>76</v>
      </c>
      <c r="P13" s="26" t="s">
        <v>76</v>
      </c>
    </row>
    <row r="14" spans="1:16">
      <c r="A14" s="9" t="s">
        <v>173</v>
      </c>
      <c r="B14" s="15">
        <v>70.588235294117595</v>
      </c>
      <c r="C14" s="15">
        <v>70.588235294117595</v>
      </c>
      <c r="D14" s="26" t="s">
        <v>76</v>
      </c>
      <c r="E14" s="15">
        <v>76.470588235294102</v>
      </c>
      <c r="F14" s="15">
        <v>76.470588235294102</v>
      </c>
      <c r="G14" s="26" t="s">
        <v>76</v>
      </c>
      <c r="H14" s="15">
        <v>66.6666666666667</v>
      </c>
      <c r="I14" s="15">
        <v>66.6666666666667</v>
      </c>
      <c r="J14" s="26" t="s">
        <v>76</v>
      </c>
      <c r="K14" s="20" t="s">
        <v>76</v>
      </c>
      <c r="L14" s="20" t="s">
        <v>76</v>
      </c>
      <c r="M14" s="26" t="s">
        <v>76</v>
      </c>
      <c r="N14" s="20" t="s">
        <v>76</v>
      </c>
      <c r="O14" s="20" t="s">
        <v>76</v>
      </c>
      <c r="P14" s="26" t="s">
        <v>76</v>
      </c>
    </row>
    <row r="15" spans="1:16">
      <c r="A15" s="9" t="s">
        <v>174</v>
      </c>
      <c r="B15" s="15">
        <v>91.836734693877602</v>
      </c>
      <c r="C15" s="15">
        <v>91.836734693877602</v>
      </c>
      <c r="D15" s="26" t="s">
        <v>76</v>
      </c>
      <c r="E15" s="15">
        <v>92.592592592592595</v>
      </c>
      <c r="F15" s="15">
        <v>92.592592592592595</v>
      </c>
      <c r="G15" s="26" t="s">
        <v>76</v>
      </c>
      <c r="H15" s="15">
        <v>90.909090909090907</v>
      </c>
      <c r="I15" s="15">
        <v>90.909090909090907</v>
      </c>
      <c r="J15" s="26" t="s">
        <v>76</v>
      </c>
      <c r="K15" s="20" t="s">
        <v>76</v>
      </c>
      <c r="L15" s="20" t="s">
        <v>76</v>
      </c>
      <c r="M15" s="26" t="s">
        <v>76</v>
      </c>
      <c r="N15" s="20" t="s">
        <v>76</v>
      </c>
      <c r="O15" s="20" t="s">
        <v>76</v>
      </c>
      <c r="P15" s="26" t="s">
        <v>76</v>
      </c>
    </row>
    <row r="16" spans="1:16">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c r="A17" s="9" t="s">
        <v>176</v>
      </c>
      <c r="B17" s="15">
        <v>68.8888888888889</v>
      </c>
      <c r="C17" s="15">
        <v>68.8888888888889</v>
      </c>
      <c r="D17" s="26" t="s">
        <v>76</v>
      </c>
      <c r="E17" s="15">
        <v>75</v>
      </c>
      <c r="F17" s="15">
        <v>75</v>
      </c>
      <c r="G17" s="26" t="s">
        <v>76</v>
      </c>
      <c r="H17" s="15">
        <v>64.516129032258107</v>
      </c>
      <c r="I17" s="15">
        <v>64.516129032258107</v>
      </c>
      <c r="J17" s="26" t="s">
        <v>76</v>
      </c>
      <c r="K17" s="20" t="s">
        <v>76</v>
      </c>
      <c r="L17" s="20" t="s">
        <v>76</v>
      </c>
      <c r="M17" s="26" t="s">
        <v>76</v>
      </c>
      <c r="N17" s="20" t="s">
        <v>76</v>
      </c>
      <c r="O17" s="20" t="s">
        <v>76</v>
      </c>
      <c r="P17" s="26" t="s">
        <v>76</v>
      </c>
    </row>
    <row r="18" spans="1:16">
      <c r="A18" s="9" t="s">
        <v>177</v>
      </c>
      <c r="B18" s="15">
        <v>85</v>
      </c>
      <c r="C18" s="15">
        <v>85</v>
      </c>
      <c r="D18" s="26" t="s">
        <v>76</v>
      </c>
      <c r="E18" s="15">
        <v>84.375</v>
      </c>
      <c r="F18" s="15">
        <v>84.375</v>
      </c>
      <c r="G18" s="26" t="s">
        <v>76</v>
      </c>
      <c r="H18" s="15">
        <v>85.185185185185205</v>
      </c>
      <c r="I18" s="15">
        <v>85.185185185185205</v>
      </c>
      <c r="J18" s="26" t="s">
        <v>76</v>
      </c>
      <c r="K18" s="20" t="s">
        <v>76</v>
      </c>
      <c r="L18" s="20" t="s">
        <v>76</v>
      </c>
      <c r="M18" s="26" t="s">
        <v>76</v>
      </c>
      <c r="N18" s="20" t="s">
        <v>76</v>
      </c>
      <c r="O18" s="20" t="s">
        <v>76</v>
      </c>
      <c r="P18" s="26" t="s">
        <v>76</v>
      </c>
    </row>
    <row r="19" spans="1:16">
      <c r="A19" s="9" t="s">
        <v>178</v>
      </c>
      <c r="B19" s="15">
        <v>60.439560439560402</v>
      </c>
      <c r="C19" s="15">
        <v>60.439560439560402</v>
      </c>
      <c r="D19" s="26" t="s">
        <v>76</v>
      </c>
      <c r="E19" s="15">
        <v>59.090909090909101</v>
      </c>
      <c r="F19" s="15">
        <v>59.090909090909101</v>
      </c>
      <c r="G19" s="26" t="s">
        <v>76</v>
      </c>
      <c r="H19" s="15">
        <v>62.2222222222222</v>
      </c>
      <c r="I19" s="15">
        <v>62.2222222222222</v>
      </c>
      <c r="J19" s="26" t="s">
        <v>76</v>
      </c>
      <c r="K19" s="20" t="s">
        <v>76</v>
      </c>
      <c r="L19" s="20" t="s">
        <v>76</v>
      </c>
      <c r="M19" s="26" t="s">
        <v>76</v>
      </c>
      <c r="N19" s="20" t="s">
        <v>76</v>
      </c>
      <c r="O19" s="20" t="s">
        <v>76</v>
      </c>
      <c r="P19" s="26" t="s">
        <v>76</v>
      </c>
    </row>
    <row r="20" spans="1:16">
      <c r="A20" s="9" t="s">
        <v>179</v>
      </c>
      <c r="B20" s="15">
        <v>53</v>
      </c>
      <c r="C20" s="15">
        <v>53</v>
      </c>
      <c r="D20" s="26" t="s">
        <v>76</v>
      </c>
      <c r="E20" s="15">
        <v>57.142857142857103</v>
      </c>
      <c r="F20" s="15">
        <v>57.142857142857103</v>
      </c>
      <c r="G20" s="26" t="s">
        <v>76</v>
      </c>
      <c r="H20" s="15">
        <v>49.090909090909101</v>
      </c>
      <c r="I20" s="15">
        <v>49.090909090909101</v>
      </c>
      <c r="J20" s="26" t="s">
        <v>76</v>
      </c>
      <c r="K20" s="20" t="s">
        <v>76</v>
      </c>
      <c r="L20" s="20" t="s">
        <v>76</v>
      </c>
      <c r="M20" s="26" t="s">
        <v>76</v>
      </c>
      <c r="N20" s="20" t="s">
        <v>76</v>
      </c>
      <c r="O20" s="20" t="s">
        <v>76</v>
      </c>
      <c r="P20" s="26" t="s">
        <v>76</v>
      </c>
    </row>
    <row r="21" spans="1:16">
      <c r="A21" s="9" t="s">
        <v>180</v>
      </c>
      <c r="B21" s="15">
        <v>60.606060606060602</v>
      </c>
      <c r="C21" s="15">
        <v>60.606060606060602</v>
      </c>
      <c r="D21" s="26" t="s">
        <v>76</v>
      </c>
      <c r="E21" s="15">
        <v>58.823529411764703</v>
      </c>
      <c r="F21" s="15">
        <v>58.823529411764703</v>
      </c>
      <c r="G21" s="26" t="s">
        <v>76</v>
      </c>
      <c r="H21" s="15">
        <v>62.5</v>
      </c>
      <c r="I21" s="15">
        <v>62.5</v>
      </c>
      <c r="J21" s="26" t="s">
        <v>76</v>
      </c>
      <c r="K21" s="20" t="s">
        <v>76</v>
      </c>
      <c r="L21" s="20" t="s">
        <v>76</v>
      </c>
      <c r="M21" s="26" t="s">
        <v>76</v>
      </c>
      <c r="N21" s="20" t="s">
        <v>76</v>
      </c>
      <c r="O21" s="20" t="s">
        <v>76</v>
      </c>
      <c r="P21" s="26" t="s">
        <v>76</v>
      </c>
    </row>
    <row r="22" spans="1:16">
      <c r="A22" s="9" t="s">
        <v>181</v>
      </c>
      <c r="B22" s="15">
        <v>91.489361702127695</v>
      </c>
      <c r="C22" s="15">
        <v>91.489361702127695</v>
      </c>
      <c r="D22" s="26" t="s">
        <v>76</v>
      </c>
      <c r="E22" s="15">
        <v>95.8333333333333</v>
      </c>
      <c r="F22" s="15">
        <v>95.8333333333333</v>
      </c>
      <c r="G22" s="26" t="s">
        <v>76</v>
      </c>
      <c r="H22" s="15">
        <v>86.956521739130395</v>
      </c>
      <c r="I22" s="15">
        <v>86.956521739130395</v>
      </c>
      <c r="J22" s="26" t="s">
        <v>76</v>
      </c>
      <c r="K22" s="20" t="s">
        <v>76</v>
      </c>
      <c r="L22" s="20" t="s">
        <v>76</v>
      </c>
      <c r="M22" s="26" t="s">
        <v>76</v>
      </c>
      <c r="N22" s="20" t="s">
        <v>76</v>
      </c>
      <c r="O22" s="20" t="s">
        <v>76</v>
      </c>
      <c r="P22" s="26" t="s">
        <v>76</v>
      </c>
    </row>
    <row r="23" spans="1:16">
      <c r="A23" s="9" t="s">
        <v>182</v>
      </c>
      <c r="B23" s="15">
        <v>85.185185185185205</v>
      </c>
      <c r="C23" s="15">
        <v>85.185185185185205</v>
      </c>
      <c r="D23" s="26" t="s">
        <v>76</v>
      </c>
      <c r="E23" s="15">
        <v>77.7777777777778</v>
      </c>
      <c r="F23" s="15">
        <v>77.7777777777778</v>
      </c>
      <c r="G23" s="26" t="s">
        <v>76</v>
      </c>
      <c r="H23" s="15">
        <v>92.592592592592595</v>
      </c>
      <c r="I23" s="15">
        <v>92.592592592592595</v>
      </c>
      <c r="J23" s="26" t="s">
        <v>76</v>
      </c>
      <c r="K23" s="20" t="s">
        <v>76</v>
      </c>
      <c r="L23" s="20" t="s">
        <v>76</v>
      </c>
      <c r="M23" s="26" t="s">
        <v>76</v>
      </c>
      <c r="N23" s="20" t="s">
        <v>76</v>
      </c>
      <c r="O23" s="20" t="s">
        <v>76</v>
      </c>
      <c r="P23" s="26" t="s">
        <v>76</v>
      </c>
    </row>
    <row r="24" spans="1:16">
      <c r="A24" s="9" t="s">
        <v>183</v>
      </c>
      <c r="B24" s="15">
        <v>82.142857142857096</v>
      </c>
      <c r="C24" s="15">
        <v>82.142857142857096</v>
      </c>
      <c r="D24" s="26" t="s">
        <v>76</v>
      </c>
      <c r="E24" s="15">
        <v>85.714285714285694</v>
      </c>
      <c r="F24" s="15">
        <v>85.714285714285694</v>
      </c>
      <c r="G24" s="26" t="s">
        <v>76</v>
      </c>
      <c r="H24" s="15">
        <v>78.571428571428598</v>
      </c>
      <c r="I24" s="15">
        <v>78.571428571428598</v>
      </c>
      <c r="J24" s="26" t="s">
        <v>76</v>
      </c>
      <c r="K24" s="20" t="s">
        <v>76</v>
      </c>
      <c r="L24" s="20" t="s">
        <v>76</v>
      </c>
      <c r="M24" s="26" t="s">
        <v>76</v>
      </c>
      <c r="N24" s="20" t="s">
        <v>76</v>
      </c>
      <c r="O24" s="20" t="s">
        <v>76</v>
      </c>
      <c r="P24" s="26" t="s">
        <v>76</v>
      </c>
    </row>
    <row r="25" spans="1:16">
      <c r="A25" s="9" t="s">
        <v>184</v>
      </c>
      <c r="B25" s="15">
        <v>84.615384615384599</v>
      </c>
      <c r="C25" s="15">
        <v>84.615384615384599</v>
      </c>
      <c r="D25" s="26" t="s">
        <v>76</v>
      </c>
      <c r="E25" s="15">
        <v>85.714285714285694</v>
      </c>
      <c r="F25" s="15">
        <v>85.714285714285694</v>
      </c>
      <c r="G25" s="26" t="s">
        <v>76</v>
      </c>
      <c r="H25" s="15">
        <v>83.636363636363598</v>
      </c>
      <c r="I25" s="15">
        <v>83.636363636363598</v>
      </c>
      <c r="J25" s="26" t="s">
        <v>76</v>
      </c>
      <c r="K25" s="20" t="s">
        <v>76</v>
      </c>
      <c r="L25" s="20" t="s">
        <v>76</v>
      </c>
      <c r="M25" s="26" t="s">
        <v>76</v>
      </c>
      <c r="N25" s="20" t="s">
        <v>76</v>
      </c>
      <c r="O25" s="20" t="s">
        <v>76</v>
      </c>
      <c r="P25" s="26" t="s">
        <v>76</v>
      </c>
    </row>
    <row r="26" spans="1:16">
      <c r="A26" s="9" t="s">
        <v>185</v>
      </c>
      <c r="B26" s="15">
        <v>75.609756097561004</v>
      </c>
      <c r="C26" s="15">
        <v>75.609756097561004</v>
      </c>
      <c r="D26" s="26" t="s">
        <v>76</v>
      </c>
      <c r="E26" s="15">
        <v>70.588235294117595</v>
      </c>
      <c r="F26" s="15">
        <v>70.588235294117595</v>
      </c>
      <c r="G26" s="26" t="s">
        <v>76</v>
      </c>
      <c r="H26" s="15">
        <v>80.952380952380906</v>
      </c>
      <c r="I26" s="15">
        <v>80.952380952380906</v>
      </c>
      <c r="J26" s="26" t="s">
        <v>76</v>
      </c>
      <c r="K26" s="20" t="s">
        <v>76</v>
      </c>
      <c r="L26" s="20" t="s">
        <v>76</v>
      </c>
      <c r="M26" s="26" t="s">
        <v>76</v>
      </c>
      <c r="N26" s="20" t="s">
        <v>76</v>
      </c>
      <c r="O26" s="20" t="s">
        <v>76</v>
      </c>
      <c r="P26" s="26" t="s">
        <v>76</v>
      </c>
    </row>
    <row r="27" spans="1:16">
      <c r="A27" s="9" t="s">
        <v>186</v>
      </c>
      <c r="B27" s="15">
        <v>71.739130434782595</v>
      </c>
      <c r="C27" s="15">
        <v>71.739130434782595</v>
      </c>
      <c r="D27" s="26" t="s">
        <v>76</v>
      </c>
      <c r="E27" s="15">
        <v>73.076923076923094</v>
      </c>
      <c r="F27" s="15">
        <v>73.076923076923094</v>
      </c>
      <c r="G27" s="26" t="s">
        <v>76</v>
      </c>
      <c r="H27" s="15">
        <v>73.684210526315795</v>
      </c>
      <c r="I27" s="15">
        <v>73.684210526315795</v>
      </c>
      <c r="J27" s="26" t="s">
        <v>76</v>
      </c>
      <c r="K27" s="20" t="s">
        <v>76</v>
      </c>
      <c r="L27" s="20" t="s">
        <v>76</v>
      </c>
      <c r="M27" s="26" t="s">
        <v>76</v>
      </c>
      <c r="N27" s="20" t="s">
        <v>76</v>
      </c>
      <c r="O27" s="20" t="s">
        <v>76</v>
      </c>
      <c r="P27" s="26" t="s">
        <v>76</v>
      </c>
    </row>
    <row r="28" spans="1:16">
      <c r="A28" s="9" t="s">
        <v>187</v>
      </c>
      <c r="B28" s="15">
        <v>76.712328767123296</v>
      </c>
      <c r="C28" s="15">
        <v>76.712328767123296</v>
      </c>
      <c r="D28" s="26" t="s">
        <v>76</v>
      </c>
      <c r="E28" s="15">
        <v>80</v>
      </c>
      <c r="F28" s="15">
        <v>80</v>
      </c>
      <c r="G28" s="26" t="s">
        <v>76</v>
      </c>
      <c r="H28" s="15">
        <v>72.972972972972997</v>
      </c>
      <c r="I28" s="15">
        <v>72.972972972972997</v>
      </c>
      <c r="J28" s="26" t="s">
        <v>76</v>
      </c>
      <c r="K28" s="20" t="s">
        <v>76</v>
      </c>
      <c r="L28" s="20" t="s">
        <v>76</v>
      </c>
      <c r="M28" s="26" t="s">
        <v>76</v>
      </c>
      <c r="N28" s="20" t="s">
        <v>76</v>
      </c>
      <c r="O28" s="20" t="s">
        <v>76</v>
      </c>
      <c r="P28" s="26" t="s">
        <v>76</v>
      </c>
    </row>
    <row r="29" spans="1:16">
      <c r="A29" s="9" t="s">
        <v>188</v>
      </c>
      <c r="B29" s="15">
        <v>82.051282051282001</v>
      </c>
      <c r="C29" s="15">
        <v>82.051282051282001</v>
      </c>
      <c r="D29" s="26" t="s">
        <v>76</v>
      </c>
      <c r="E29" s="15">
        <v>88.235294117647101</v>
      </c>
      <c r="F29" s="15">
        <v>88.235294117647101</v>
      </c>
      <c r="G29" s="26" t="s">
        <v>76</v>
      </c>
      <c r="H29" s="15">
        <v>77.272727272727295</v>
      </c>
      <c r="I29" s="15">
        <v>77.272727272727295</v>
      </c>
      <c r="J29" s="26" t="s">
        <v>76</v>
      </c>
      <c r="K29" s="20" t="s">
        <v>76</v>
      </c>
      <c r="L29" s="20" t="s">
        <v>76</v>
      </c>
      <c r="M29" s="26" t="s">
        <v>76</v>
      </c>
      <c r="N29" s="20" t="s">
        <v>76</v>
      </c>
      <c r="O29" s="20" t="s">
        <v>76</v>
      </c>
      <c r="P29" s="26" t="s">
        <v>76</v>
      </c>
    </row>
    <row r="30" spans="1:16">
      <c r="A30" s="9" t="s">
        <v>189</v>
      </c>
      <c r="B30" s="15">
        <v>62.962962962962997</v>
      </c>
      <c r="C30" s="15">
        <v>62.962962962962997</v>
      </c>
      <c r="D30" s="26" t="s">
        <v>76</v>
      </c>
      <c r="E30" s="15">
        <v>63.414634146341498</v>
      </c>
      <c r="F30" s="15">
        <v>63.414634146341498</v>
      </c>
      <c r="G30" s="26" t="s">
        <v>76</v>
      </c>
      <c r="H30" s="15">
        <v>64.102564102564102</v>
      </c>
      <c r="I30" s="15">
        <v>64.102564102564102</v>
      </c>
      <c r="J30" s="26" t="s">
        <v>76</v>
      </c>
      <c r="K30" s="20" t="s">
        <v>76</v>
      </c>
      <c r="L30" s="20" t="s">
        <v>76</v>
      </c>
      <c r="M30" s="26" t="s">
        <v>76</v>
      </c>
      <c r="N30" s="20" t="s">
        <v>76</v>
      </c>
      <c r="O30" s="20" t="s">
        <v>76</v>
      </c>
      <c r="P30" s="26" t="s">
        <v>76</v>
      </c>
    </row>
    <row r="31" spans="1:16">
      <c r="A31" s="9" t="s">
        <v>190</v>
      </c>
      <c r="B31" s="15">
        <v>62.105263157894697</v>
      </c>
      <c r="C31" s="15">
        <v>62.105263157894697</v>
      </c>
      <c r="D31" s="26" t="s">
        <v>76</v>
      </c>
      <c r="E31" s="15">
        <v>61.224489795918402</v>
      </c>
      <c r="F31" s="15">
        <v>61.224489795918402</v>
      </c>
      <c r="G31" s="26" t="s">
        <v>76</v>
      </c>
      <c r="H31" s="15">
        <v>63.043478260869598</v>
      </c>
      <c r="I31" s="15">
        <v>63.043478260869598</v>
      </c>
      <c r="J31" s="26" t="s">
        <v>76</v>
      </c>
      <c r="K31" s="20" t="s">
        <v>76</v>
      </c>
      <c r="L31" s="20" t="s">
        <v>76</v>
      </c>
      <c r="M31" s="26" t="s">
        <v>76</v>
      </c>
      <c r="N31" s="20" t="s">
        <v>76</v>
      </c>
      <c r="O31" s="20" t="s">
        <v>76</v>
      </c>
      <c r="P31" s="26" t="s">
        <v>76</v>
      </c>
    </row>
    <row r="32" spans="1:16">
      <c r="A32" s="9" t="s">
        <v>191</v>
      </c>
      <c r="B32" s="15">
        <v>72.131147540983605</v>
      </c>
      <c r="C32" s="15">
        <v>72.131147540983605</v>
      </c>
      <c r="D32" s="26" t="s">
        <v>76</v>
      </c>
      <c r="E32" s="15">
        <v>83.870967741935502</v>
      </c>
      <c r="F32" s="15">
        <v>83.870967741935502</v>
      </c>
      <c r="G32" s="26" t="s">
        <v>76</v>
      </c>
      <c r="H32" s="15">
        <v>60</v>
      </c>
      <c r="I32" s="15">
        <v>60</v>
      </c>
      <c r="J32" s="26" t="s">
        <v>76</v>
      </c>
      <c r="K32" s="20" t="s">
        <v>76</v>
      </c>
      <c r="L32" s="20" t="s">
        <v>76</v>
      </c>
      <c r="M32" s="26" t="s">
        <v>76</v>
      </c>
      <c r="N32" s="20" t="s">
        <v>76</v>
      </c>
      <c r="O32" s="20" t="s">
        <v>76</v>
      </c>
      <c r="P32" s="26" t="s">
        <v>76</v>
      </c>
    </row>
    <row r="33" spans="1:16">
      <c r="A33" s="9" t="s">
        <v>192</v>
      </c>
      <c r="B33" s="15">
        <v>56.756756756756801</v>
      </c>
      <c r="C33" s="15">
        <v>56.756756756756801</v>
      </c>
      <c r="D33" s="26" t="s">
        <v>76</v>
      </c>
      <c r="E33" s="15">
        <v>64.705882352941202</v>
      </c>
      <c r="F33" s="15">
        <v>64.705882352941202</v>
      </c>
      <c r="G33" s="26" t="s">
        <v>76</v>
      </c>
      <c r="H33" s="15">
        <v>44.4444444444444</v>
      </c>
      <c r="I33" s="15">
        <v>44.4444444444444</v>
      </c>
      <c r="J33" s="26" t="s">
        <v>76</v>
      </c>
      <c r="K33" s="20" t="s">
        <v>76</v>
      </c>
      <c r="L33" s="20" t="s">
        <v>76</v>
      </c>
      <c r="M33" s="26" t="s">
        <v>76</v>
      </c>
      <c r="N33" s="20" t="s">
        <v>76</v>
      </c>
      <c r="O33" s="20" t="s">
        <v>76</v>
      </c>
      <c r="P33" s="26" t="s">
        <v>76</v>
      </c>
    </row>
    <row r="34" spans="1:16" ht="21.95" customHeight="1">
      <c r="A34" s="22" t="s">
        <v>193</v>
      </c>
      <c r="B34" s="15">
        <v>71.649047575171906</v>
      </c>
      <c r="C34" s="20" t="s">
        <v>76</v>
      </c>
      <c r="D34" s="24">
        <v>71.649047575171906</v>
      </c>
      <c r="E34" s="15">
        <v>73.4513792257886</v>
      </c>
      <c r="F34" s="20" t="s">
        <v>76</v>
      </c>
      <c r="G34" s="24">
        <v>73.4513792257886</v>
      </c>
      <c r="H34" s="15">
        <v>71.360677855776601</v>
      </c>
      <c r="I34" s="20" t="s">
        <v>76</v>
      </c>
      <c r="J34" s="24">
        <v>71.360677855776601</v>
      </c>
      <c r="K34" s="20" t="s">
        <v>76</v>
      </c>
      <c r="L34" s="20" t="s">
        <v>76</v>
      </c>
      <c r="M34" s="26" t="s">
        <v>76</v>
      </c>
      <c r="N34" s="20" t="s">
        <v>76</v>
      </c>
      <c r="O34" s="20" t="s">
        <v>76</v>
      </c>
      <c r="P34" s="26" t="s">
        <v>76</v>
      </c>
    </row>
    <row r="35" spans="1:16">
      <c r="A35" s="9" t="s">
        <v>194</v>
      </c>
      <c r="B35" s="15">
        <v>53.6912751677852</v>
      </c>
      <c r="C35" s="20" t="s">
        <v>76</v>
      </c>
      <c r="D35" s="24">
        <v>53.6912751677852</v>
      </c>
      <c r="E35" s="15">
        <v>57.352941176470601</v>
      </c>
      <c r="F35" s="20" t="s">
        <v>76</v>
      </c>
      <c r="G35" s="24">
        <v>57.352941176470601</v>
      </c>
      <c r="H35" s="15">
        <v>51.063829787233999</v>
      </c>
      <c r="I35" s="20" t="s">
        <v>76</v>
      </c>
      <c r="J35" s="24">
        <v>51.063829787233999</v>
      </c>
      <c r="K35" s="15">
        <v>71.428571428571402</v>
      </c>
      <c r="L35" s="20" t="s">
        <v>76</v>
      </c>
      <c r="M35" s="24">
        <v>71.428571428571402</v>
      </c>
      <c r="N35" s="15">
        <v>35.714285714285701</v>
      </c>
      <c r="O35" s="20" t="s">
        <v>76</v>
      </c>
      <c r="P35" s="24">
        <v>35.714285714285701</v>
      </c>
    </row>
    <row r="36" spans="1:16">
      <c r="A36" s="9" t="s">
        <v>195</v>
      </c>
      <c r="B36" s="15">
        <v>75.221238938053105</v>
      </c>
      <c r="C36" s="20" t="s">
        <v>76</v>
      </c>
      <c r="D36" s="24">
        <v>75.221238938053105</v>
      </c>
      <c r="E36" s="15">
        <v>76.683937823834199</v>
      </c>
      <c r="F36" s="20" t="s">
        <v>76</v>
      </c>
      <c r="G36" s="24">
        <v>76.683937823834199</v>
      </c>
      <c r="H36" s="15">
        <v>75.373134328358205</v>
      </c>
      <c r="I36" s="20" t="s">
        <v>76</v>
      </c>
      <c r="J36" s="24">
        <v>75.373134328358205</v>
      </c>
      <c r="K36" s="20" t="s">
        <v>76</v>
      </c>
      <c r="L36" s="20" t="s">
        <v>76</v>
      </c>
      <c r="M36" s="26" t="s">
        <v>76</v>
      </c>
      <c r="N36" s="20" t="s">
        <v>76</v>
      </c>
      <c r="O36" s="20" t="s">
        <v>76</v>
      </c>
      <c r="P36" s="26" t="s">
        <v>76</v>
      </c>
    </row>
    <row r="37" spans="1:16">
      <c r="A37" s="9" t="s">
        <v>196</v>
      </c>
      <c r="B37" s="15">
        <v>71.681415929203496</v>
      </c>
      <c r="C37" s="20" t="s">
        <v>76</v>
      </c>
      <c r="D37" s="24">
        <v>71.681415929203496</v>
      </c>
      <c r="E37" s="15">
        <v>72.455089820359305</v>
      </c>
      <c r="F37" s="20" t="s">
        <v>76</v>
      </c>
      <c r="G37" s="24">
        <v>72.455089820359305</v>
      </c>
      <c r="H37" s="15">
        <v>72.2222222222222</v>
      </c>
      <c r="I37" s="20" t="s">
        <v>76</v>
      </c>
      <c r="J37" s="24">
        <v>72.2222222222222</v>
      </c>
      <c r="K37" s="20" t="s">
        <v>76</v>
      </c>
      <c r="L37" s="20" t="s">
        <v>76</v>
      </c>
      <c r="M37" s="26" t="s">
        <v>76</v>
      </c>
      <c r="N37" s="20" t="s">
        <v>76</v>
      </c>
      <c r="O37" s="20" t="s">
        <v>76</v>
      </c>
      <c r="P37" s="26" t="s">
        <v>76</v>
      </c>
    </row>
    <row r="38" spans="1:16">
      <c r="A38" s="9" t="s">
        <v>197</v>
      </c>
      <c r="B38" s="15">
        <v>62.975778546712803</v>
      </c>
      <c r="C38" s="20" t="s">
        <v>76</v>
      </c>
      <c r="D38" s="24">
        <v>62.975778546712803</v>
      </c>
      <c r="E38" s="15">
        <v>60.544217687074799</v>
      </c>
      <c r="F38" s="20" t="s">
        <v>76</v>
      </c>
      <c r="G38" s="24">
        <v>60.544217687074799</v>
      </c>
      <c r="H38" s="15">
        <v>68.656716417910403</v>
      </c>
      <c r="I38" s="20" t="s">
        <v>76</v>
      </c>
      <c r="J38" s="24">
        <v>68.656716417910403</v>
      </c>
      <c r="K38" s="20" t="s">
        <v>76</v>
      </c>
      <c r="L38" s="20" t="s">
        <v>76</v>
      </c>
      <c r="M38" s="26" t="s">
        <v>76</v>
      </c>
      <c r="N38" s="20" t="s">
        <v>76</v>
      </c>
      <c r="O38" s="20" t="s">
        <v>76</v>
      </c>
      <c r="P38" s="26" t="s">
        <v>76</v>
      </c>
    </row>
    <row r="39" spans="1:16">
      <c r="A39" s="9" t="s">
        <v>198</v>
      </c>
      <c r="B39" s="15">
        <v>75.418994413407802</v>
      </c>
      <c r="C39" s="20" t="s">
        <v>76</v>
      </c>
      <c r="D39" s="24">
        <v>75.418994413407802</v>
      </c>
      <c r="E39" s="15">
        <v>70</v>
      </c>
      <c r="F39" s="20" t="s">
        <v>76</v>
      </c>
      <c r="G39" s="24">
        <v>70</v>
      </c>
      <c r="H39" s="15">
        <v>81.481481481481495</v>
      </c>
      <c r="I39" s="20" t="s">
        <v>76</v>
      </c>
      <c r="J39" s="24">
        <v>81.481481481481495</v>
      </c>
      <c r="K39" s="20" t="s">
        <v>76</v>
      </c>
      <c r="L39" s="20" t="s">
        <v>76</v>
      </c>
      <c r="M39" s="26" t="s">
        <v>76</v>
      </c>
      <c r="N39" s="20" t="s">
        <v>76</v>
      </c>
      <c r="O39" s="20" t="s">
        <v>76</v>
      </c>
      <c r="P39" s="26" t="s">
        <v>76</v>
      </c>
    </row>
    <row r="40" spans="1:16">
      <c r="A40" s="9" t="s">
        <v>199</v>
      </c>
      <c r="B40" s="15">
        <v>77.846153846153797</v>
      </c>
      <c r="C40" s="20" t="s">
        <v>76</v>
      </c>
      <c r="D40" s="24">
        <v>77.846153846153797</v>
      </c>
      <c r="E40" s="15">
        <v>80.263157894736807</v>
      </c>
      <c r="F40" s="20" t="s">
        <v>76</v>
      </c>
      <c r="G40" s="24">
        <v>80.263157894736807</v>
      </c>
      <c r="H40" s="15">
        <v>75.294117647058798</v>
      </c>
      <c r="I40" s="20" t="s">
        <v>76</v>
      </c>
      <c r="J40" s="24">
        <v>75.294117647058798</v>
      </c>
      <c r="K40" s="20" t="s">
        <v>76</v>
      </c>
      <c r="L40" s="20" t="s">
        <v>76</v>
      </c>
      <c r="M40" s="26" t="s">
        <v>76</v>
      </c>
      <c r="N40" s="20" t="s">
        <v>76</v>
      </c>
      <c r="O40" s="20" t="s">
        <v>76</v>
      </c>
      <c r="P40" s="26" t="s">
        <v>76</v>
      </c>
    </row>
    <row r="41" spans="1:16">
      <c r="A41" s="11" t="s">
        <v>200</v>
      </c>
      <c r="B41" s="16">
        <v>76.898734177215204</v>
      </c>
      <c r="C41" s="28" t="s">
        <v>76</v>
      </c>
      <c r="D41" s="25">
        <v>76.898734177215204</v>
      </c>
      <c r="E41" s="16">
        <v>79.487179487179503</v>
      </c>
      <c r="F41" s="28" t="s">
        <v>76</v>
      </c>
      <c r="G41" s="25">
        <v>79.487179487179503</v>
      </c>
      <c r="H41" s="16">
        <v>73.7931034482759</v>
      </c>
      <c r="I41" s="28" t="s">
        <v>76</v>
      </c>
      <c r="J41" s="25">
        <v>73.7931034482759</v>
      </c>
      <c r="K41" s="16">
        <v>100</v>
      </c>
      <c r="L41" s="28" t="s">
        <v>76</v>
      </c>
      <c r="M41" s="25">
        <v>100</v>
      </c>
      <c r="N41" s="16">
        <v>70</v>
      </c>
      <c r="O41" s="28" t="s">
        <v>76</v>
      </c>
      <c r="P41" s="25">
        <v>70</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274</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3.5797931413436901</v>
      </c>
      <c r="C3" s="15">
        <v>3.7163256753165199</v>
      </c>
      <c r="D3" s="24">
        <v>3.4737987546063702</v>
      </c>
      <c r="E3" s="15">
        <v>3.9320432011145701</v>
      </c>
      <c r="F3" s="15">
        <v>4.4897373047099398</v>
      </c>
      <c r="G3" s="24">
        <v>3.4814563870044601</v>
      </c>
      <c r="H3" s="15">
        <v>3.0750327283266898</v>
      </c>
      <c r="I3" s="20" t="s">
        <v>76</v>
      </c>
      <c r="J3" s="24">
        <v>3.2662569569147899</v>
      </c>
      <c r="K3" s="20" t="s">
        <v>76</v>
      </c>
      <c r="L3" s="20" t="s">
        <v>76</v>
      </c>
      <c r="M3" s="26" t="s">
        <v>76</v>
      </c>
      <c r="N3" s="20" t="s">
        <v>76</v>
      </c>
      <c r="O3" s="20" t="s">
        <v>76</v>
      </c>
      <c r="P3" s="26" t="s">
        <v>76</v>
      </c>
    </row>
    <row r="4" spans="1:16">
      <c r="A4" s="9" t="s">
        <v>208</v>
      </c>
      <c r="B4" s="15">
        <v>5.39133973486976</v>
      </c>
      <c r="C4" s="15">
        <v>4.8859993218343396</v>
      </c>
      <c r="D4" s="24">
        <v>5.7836509709883099</v>
      </c>
      <c r="E4" s="15">
        <v>5.2981004176623596</v>
      </c>
      <c r="F4" s="15">
        <v>5.9123468948895797</v>
      </c>
      <c r="G4" s="24">
        <v>4.8018223299654199</v>
      </c>
      <c r="H4" s="15">
        <v>5.3733762724409901</v>
      </c>
      <c r="I4" s="15">
        <v>3.9396014955060701</v>
      </c>
      <c r="J4" s="24">
        <v>6.4850943050019501</v>
      </c>
      <c r="K4" s="20" t="s">
        <v>76</v>
      </c>
      <c r="L4" s="20" t="s">
        <v>76</v>
      </c>
      <c r="M4" s="26" t="s">
        <v>76</v>
      </c>
      <c r="N4" s="20" t="s">
        <v>76</v>
      </c>
      <c r="O4" s="20" t="s">
        <v>76</v>
      </c>
      <c r="P4" s="26" t="s">
        <v>76</v>
      </c>
    </row>
    <row r="5" spans="1:16">
      <c r="A5" s="9" t="s">
        <v>209</v>
      </c>
      <c r="B5" s="15">
        <v>3.75672665002674</v>
      </c>
      <c r="C5" s="15">
        <v>4.0099721212726198</v>
      </c>
      <c r="D5" s="24">
        <v>3.5601244363444402</v>
      </c>
      <c r="E5" s="15">
        <v>3.3639544461142301</v>
      </c>
      <c r="F5" s="15">
        <v>3.9058107084966398</v>
      </c>
      <c r="G5" s="24">
        <v>2.9261637551270501</v>
      </c>
      <c r="H5" s="15">
        <v>4.2524006383594903</v>
      </c>
      <c r="I5" s="15">
        <v>4.2417686230174203</v>
      </c>
      <c r="J5" s="24">
        <v>4.2606444737012703</v>
      </c>
      <c r="K5" s="20" t="s">
        <v>76</v>
      </c>
      <c r="L5" s="20" t="s">
        <v>76</v>
      </c>
      <c r="M5" s="26" t="s">
        <v>76</v>
      </c>
      <c r="N5" s="20" t="s">
        <v>76</v>
      </c>
      <c r="O5" s="20" t="s">
        <v>76</v>
      </c>
      <c r="P5" s="26" t="s">
        <v>76</v>
      </c>
    </row>
    <row r="6" spans="1:16">
      <c r="A6" s="9" t="s">
        <v>210</v>
      </c>
      <c r="B6" s="15">
        <v>6.2943536813136198</v>
      </c>
      <c r="C6" s="15">
        <v>7.4089045712219397</v>
      </c>
      <c r="D6" s="24">
        <v>5.4290936980272599</v>
      </c>
      <c r="E6" s="15">
        <v>8.4399615803926</v>
      </c>
      <c r="F6" s="15">
        <v>10.3367094969358</v>
      </c>
      <c r="G6" s="24">
        <v>6.9074913688996</v>
      </c>
      <c r="H6" s="15">
        <v>4.3146839173995701</v>
      </c>
      <c r="I6" s="15">
        <v>4.4150421081314599</v>
      </c>
      <c r="J6" s="24">
        <v>4.2368683412388899</v>
      </c>
      <c r="K6" s="20" t="s">
        <v>76</v>
      </c>
      <c r="L6" s="20" t="s">
        <v>76</v>
      </c>
      <c r="M6" s="26" t="s">
        <v>76</v>
      </c>
      <c r="N6" s="20" t="s">
        <v>76</v>
      </c>
      <c r="O6" s="20" t="s">
        <v>76</v>
      </c>
      <c r="P6" s="26" t="s">
        <v>76</v>
      </c>
    </row>
    <row r="7" spans="1:16">
      <c r="A7" s="9" t="s">
        <v>211</v>
      </c>
      <c r="B7" s="15">
        <v>1.85787256486672</v>
      </c>
      <c r="C7" s="15">
        <v>2.9963305160409299</v>
      </c>
      <c r="D7" s="26" t="s">
        <v>76</v>
      </c>
      <c r="E7" s="15">
        <v>2.4952436823871702</v>
      </c>
      <c r="F7" s="15">
        <v>4.1055435560198896</v>
      </c>
      <c r="G7" s="26" t="s">
        <v>76</v>
      </c>
      <c r="H7" s="20" t="s">
        <v>76</v>
      </c>
      <c r="I7" s="20" t="s">
        <v>76</v>
      </c>
      <c r="J7" s="26" t="s">
        <v>76</v>
      </c>
      <c r="K7" s="20" t="s">
        <v>76</v>
      </c>
      <c r="L7" s="20" t="s">
        <v>76</v>
      </c>
      <c r="M7" s="26" t="s">
        <v>76</v>
      </c>
      <c r="N7" s="20" t="s">
        <v>76</v>
      </c>
      <c r="O7" s="20" t="s">
        <v>76</v>
      </c>
      <c r="P7" s="26" t="s">
        <v>76</v>
      </c>
    </row>
    <row r="8" spans="1:16">
      <c r="A8" s="9" t="s">
        <v>212</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c r="A9" s="9" t="s">
        <v>213</v>
      </c>
      <c r="B9" s="15">
        <v>1.6344009937299999</v>
      </c>
      <c r="C9" s="15">
        <v>2.0233824648784799</v>
      </c>
      <c r="D9" s="24">
        <v>1.33242276709888</v>
      </c>
      <c r="E9" s="15">
        <v>1.9897974371513101</v>
      </c>
      <c r="F9" s="20" t="s">
        <v>76</v>
      </c>
      <c r="G9" s="26" t="s">
        <v>76</v>
      </c>
      <c r="H9" s="20" t="s">
        <v>76</v>
      </c>
      <c r="I9" s="20" t="s">
        <v>76</v>
      </c>
      <c r="J9" s="26" t="s">
        <v>76</v>
      </c>
      <c r="K9" s="20" t="s">
        <v>76</v>
      </c>
      <c r="L9" s="20" t="s">
        <v>76</v>
      </c>
      <c r="M9" s="26" t="s">
        <v>76</v>
      </c>
      <c r="N9" s="20" t="s">
        <v>76</v>
      </c>
      <c r="O9" s="20" t="s">
        <v>76</v>
      </c>
      <c r="P9" s="26" t="s">
        <v>76</v>
      </c>
    </row>
    <row r="10" spans="1:16">
      <c r="A10" s="9" t="s">
        <v>214</v>
      </c>
      <c r="B10" s="15">
        <v>10.2281345585242</v>
      </c>
      <c r="C10" s="15">
        <v>8.8856173442237996</v>
      </c>
      <c r="D10" s="24">
        <v>11.270371779745</v>
      </c>
      <c r="E10" s="15">
        <v>13.7953917488003</v>
      </c>
      <c r="F10" s="15">
        <v>11.1871344639497</v>
      </c>
      <c r="G10" s="24">
        <v>15.902723228160999</v>
      </c>
      <c r="H10" s="15">
        <v>6.7208561809221399</v>
      </c>
      <c r="I10" s="15">
        <v>6.6361936154883496</v>
      </c>
      <c r="J10" s="24">
        <v>6.7865017078136303</v>
      </c>
      <c r="K10" s="20" t="s">
        <v>76</v>
      </c>
      <c r="L10" s="20" t="s">
        <v>76</v>
      </c>
      <c r="M10" s="26" t="s">
        <v>76</v>
      </c>
      <c r="N10" s="20" t="s">
        <v>76</v>
      </c>
      <c r="O10" s="20" t="s">
        <v>76</v>
      </c>
      <c r="P10" s="26" t="s">
        <v>76</v>
      </c>
    </row>
    <row r="11" spans="1:16">
      <c r="A11" s="9" t="s">
        <v>215</v>
      </c>
      <c r="B11" s="15">
        <v>2.7934553847302701</v>
      </c>
      <c r="C11" s="15">
        <v>2.44368050206569</v>
      </c>
      <c r="D11" s="24">
        <v>3.06499633621902</v>
      </c>
      <c r="E11" s="15">
        <v>2.31667609215167</v>
      </c>
      <c r="F11" s="20" t="s">
        <v>76</v>
      </c>
      <c r="G11" s="24">
        <v>2.4878782916939302</v>
      </c>
      <c r="H11" s="15">
        <v>3.3222995601120902</v>
      </c>
      <c r="I11" s="20" t="s">
        <v>76</v>
      </c>
      <c r="J11" s="24">
        <v>3.7156163984911599</v>
      </c>
      <c r="K11" s="20" t="s">
        <v>76</v>
      </c>
      <c r="L11" s="20" t="s">
        <v>76</v>
      </c>
      <c r="M11" s="26" t="s">
        <v>76</v>
      </c>
      <c r="N11" s="20" t="s">
        <v>76</v>
      </c>
      <c r="O11" s="20" t="s">
        <v>76</v>
      </c>
      <c r="P11" s="26" t="s">
        <v>76</v>
      </c>
    </row>
    <row r="12" spans="1:16">
      <c r="A12" s="9" t="s">
        <v>216</v>
      </c>
      <c r="B12" s="15">
        <v>0.75737419900894498</v>
      </c>
      <c r="C12" s="20" t="s">
        <v>76</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c r="A13" s="9" t="s">
        <v>217</v>
      </c>
      <c r="B13" s="15">
        <v>1.91631918634026</v>
      </c>
      <c r="C13" s="15">
        <v>1.62241075506611</v>
      </c>
      <c r="D13" s="24">
        <v>2.14448930098879</v>
      </c>
      <c r="E13" s="20" t="s">
        <v>76</v>
      </c>
      <c r="F13" s="20" t="s">
        <v>76</v>
      </c>
      <c r="G13" s="26" t="s">
        <v>76</v>
      </c>
      <c r="H13" s="15">
        <v>3.4763299906196701</v>
      </c>
      <c r="I13" s="15">
        <v>2.9478682706443</v>
      </c>
      <c r="J13" s="24">
        <v>3.8860878082810699</v>
      </c>
      <c r="K13" s="20" t="s">
        <v>76</v>
      </c>
      <c r="L13" s="20" t="s">
        <v>76</v>
      </c>
      <c r="M13" s="26" t="s">
        <v>76</v>
      </c>
      <c r="N13" s="20" t="s">
        <v>76</v>
      </c>
      <c r="O13" s="20" t="s">
        <v>76</v>
      </c>
      <c r="P13" s="26" t="s">
        <v>76</v>
      </c>
    </row>
    <row r="14" spans="1:16">
      <c r="A14" s="9" t="s">
        <v>218</v>
      </c>
      <c r="B14" s="15">
        <v>4.1875565448689303</v>
      </c>
      <c r="C14" s="15">
        <v>4.3023693564943999</v>
      </c>
      <c r="D14" s="24">
        <v>4.0984238436458504</v>
      </c>
      <c r="E14" s="15">
        <v>4.3967481328166702</v>
      </c>
      <c r="F14" s="15">
        <v>4.3739976075562002</v>
      </c>
      <c r="G14" s="24">
        <v>4.4151293325287604</v>
      </c>
      <c r="H14" s="15">
        <v>3.9738111370493199</v>
      </c>
      <c r="I14" s="15">
        <v>4.2922967498053604</v>
      </c>
      <c r="J14" s="24">
        <v>3.7268642633087898</v>
      </c>
      <c r="K14" s="20" t="s">
        <v>76</v>
      </c>
      <c r="L14" s="20" t="s">
        <v>76</v>
      </c>
      <c r="M14" s="26" t="s">
        <v>76</v>
      </c>
      <c r="N14" s="20" t="s">
        <v>76</v>
      </c>
      <c r="O14" s="20" t="s">
        <v>76</v>
      </c>
      <c r="P14" s="26" t="s">
        <v>76</v>
      </c>
    </row>
    <row r="15" spans="1:16">
      <c r="A15" s="9" t="s">
        <v>219</v>
      </c>
      <c r="B15" s="15">
        <v>7.5125695350462696</v>
      </c>
      <c r="C15" s="15">
        <v>9.2591573329684902</v>
      </c>
      <c r="D15" s="24">
        <v>6.1566399471539901</v>
      </c>
      <c r="E15" s="15">
        <v>10.2617385825887</v>
      </c>
      <c r="F15" s="15">
        <v>12.4257757054412</v>
      </c>
      <c r="G15" s="24">
        <v>8.5133130810174205</v>
      </c>
      <c r="H15" s="15">
        <v>4.7421486326064999</v>
      </c>
      <c r="I15" s="15">
        <v>5.9687747956032302</v>
      </c>
      <c r="J15" s="24">
        <v>3.7910491666710602</v>
      </c>
      <c r="K15" s="20" t="s">
        <v>76</v>
      </c>
      <c r="L15" s="20" t="s">
        <v>76</v>
      </c>
      <c r="M15" s="26" t="s">
        <v>76</v>
      </c>
      <c r="N15" s="20" t="s">
        <v>76</v>
      </c>
      <c r="O15" s="20" t="s">
        <v>76</v>
      </c>
      <c r="P15" s="26" t="s">
        <v>76</v>
      </c>
    </row>
    <row r="16" spans="1:16">
      <c r="A16" s="9" t="s">
        <v>220</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c r="A17" s="9" t="s">
        <v>221</v>
      </c>
      <c r="B17" s="15">
        <v>4.5243874757753604</v>
      </c>
      <c r="C17" s="15">
        <v>5.3827024418393501</v>
      </c>
      <c r="D17" s="24">
        <v>3.8580512860908698</v>
      </c>
      <c r="E17" s="15">
        <v>5.1579324083913098</v>
      </c>
      <c r="F17" s="15">
        <v>6.2916393830069097</v>
      </c>
      <c r="G17" s="24">
        <v>4.2419582022213103</v>
      </c>
      <c r="H17" s="15">
        <v>4.0239960823817302</v>
      </c>
      <c r="I17" s="15">
        <v>4.4717366759328003</v>
      </c>
      <c r="J17" s="24">
        <v>3.6768276848288202</v>
      </c>
      <c r="K17" s="20" t="s">
        <v>76</v>
      </c>
      <c r="L17" s="20" t="s">
        <v>76</v>
      </c>
      <c r="M17" s="26" t="s">
        <v>76</v>
      </c>
      <c r="N17" s="20" t="s">
        <v>76</v>
      </c>
      <c r="O17" s="20" t="s">
        <v>76</v>
      </c>
      <c r="P17" s="26" t="s">
        <v>76</v>
      </c>
    </row>
    <row r="18" spans="1:16">
      <c r="A18" s="9" t="s">
        <v>222</v>
      </c>
      <c r="B18" s="15">
        <v>12.9055534644646</v>
      </c>
      <c r="C18" s="15">
        <v>14.4429426857698</v>
      </c>
      <c r="D18" s="24">
        <v>11.7120311372421</v>
      </c>
      <c r="E18" s="15">
        <v>2.7132275818981499</v>
      </c>
      <c r="F18" s="15">
        <v>4.6396709255362696</v>
      </c>
      <c r="G18" s="26" t="s">
        <v>76</v>
      </c>
      <c r="H18" s="15">
        <v>23.7041316374373</v>
      </c>
      <c r="I18" s="15">
        <v>25.104412579460501</v>
      </c>
      <c r="J18" s="24">
        <v>22.618384001936001</v>
      </c>
      <c r="K18" s="20" t="s">
        <v>76</v>
      </c>
      <c r="L18" s="20" t="s">
        <v>76</v>
      </c>
      <c r="M18" s="26" t="s">
        <v>76</v>
      </c>
      <c r="N18" s="20" t="s">
        <v>76</v>
      </c>
      <c r="O18" s="20" t="s">
        <v>76</v>
      </c>
      <c r="P18" s="26" t="s">
        <v>76</v>
      </c>
    </row>
    <row r="19" spans="1:16">
      <c r="A19" s="9" t="s">
        <v>223</v>
      </c>
      <c r="B19" s="15">
        <v>6.3637954972136201</v>
      </c>
      <c r="C19" s="15">
        <v>9.2559064092276007</v>
      </c>
      <c r="D19" s="24">
        <v>4.1185612400345804</v>
      </c>
      <c r="E19" s="15">
        <v>6.2729769741351298</v>
      </c>
      <c r="F19" s="15">
        <v>9.1859053519893408</v>
      </c>
      <c r="G19" s="24">
        <v>3.9194876525758802</v>
      </c>
      <c r="H19" s="15">
        <v>6.6229403575899699</v>
      </c>
      <c r="I19" s="15">
        <v>9.5006611159842205</v>
      </c>
      <c r="J19" s="24">
        <v>4.3916177598936503</v>
      </c>
      <c r="K19" s="20" t="s">
        <v>76</v>
      </c>
      <c r="L19" s="20" t="s">
        <v>76</v>
      </c>
      <c r="M19" s="26" t="s">
        <v>76</v>
      </c>
      <c r="N19" s="20" t="s">
        <v>76</v>
      </c>
      <c r="O19" s="20" t="s">
        <v>76</v>
      </c>
      <c r="P19" s="26" t="s">
        <v>76</v>
      </c>
    </row>
    <row r="20" spans="1:16">
      <c r="A20" s="9" t="s">
        <v>224</v>
      </c>
      <c r="B20" s="15">
        <v>0.684269798326685</v>
      </c>
      <c r="C20" s="20" t="s">
        <v>76</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c r="A21" s="9" t="s">
        <v>225</v>
      </c>
      <c r="B21" s="15">
        <v>1.23951698630969</v>
      </c>
      <c r="C21" s="20" t="s">
        <v>76</v>
      </c>
      <c r="D21" s="24">
        <v>1.51225738100018</v>
      </c>
      <c r="E21" s="20" t="s">
        <v>76</v>
      </c>
      <c r="F21" s="20" t="s">
        <v>76</v>
      </c>
      <c r="G21" s="26" t="s">
        <v>76</v>
      </c>
      <c r="H21" s="15">
        <v>1.6456280995941599</v>
      </c>
      <c r="I21" s="20" t="s">
        <v>76</v>
      </c>
      <c r="J21" s="26" t="s">
        <v>76</v>
      </c>
      <c r="K21" s="20" t="s">
        <v>76</v>
      </c>
      <c r="L21" s="20" t="s">
        <v>76</v>
      </c>
      <c r="M21" s="26" t="s">
        <v>76</v>
      </c>
      <c r="N21" s="20" t="s">
        <v>76</v>
      </c>
      <c r="O21" s="20" t="s">
        <v>76</v>
      </c>
      <c r="P21" s="26" t="s">
        <v>76</v>
      </c>
    </row>
    <row r="22" spans="1:16">
      <c r="A22" s="9" t="s">
        <v>226</v>
      </c>
      <c r="B22" s="15">
        <v>0.99530847223175101</v>
      </c>
      <c r="C22" s="20" t="s">
        <v>76</v>
      </c>
      <c r="D22" s="26" t="s">
        <v>76</v>
      </c>
      <c r="E22" s="15">
        <v>1.40212801878891</v>
      </c>
      <c r="F22" s="20" t="s">
        <v>76</v>
      </c>
      <c r="G22" s="26" t="s">
        <v>76</v>
      </c>
      <c r="H22" s="20" t="s">
        <v>76</v>
      </c>
      <c r="I22" s="20" t="s">
        <v>76</v>
      </c>
      <c r="J22" s="26" t="s">
        <v>76</v>
      </c>
      <c r="K22" s="20" t="s">
        <v>76</v>
      </c>
      <c r="L22" s="20" t="s">
        <v>76</v>
      </c>
      <c r="M22" s="26" t="s">
        <v>76</v>
      </c>
      <c r="N22" s="20" t="s">
        <v>76</v>
      </c>
      <c r="O22" s="20" t="s">
        <v>76</v>
      </c>
      <c r="P22" s="26" t="s">
        <v>76</v>
      </c>
    </row>
    <row r="23" spans="1:16">
      <c r="A23" s="9" t="s">
        <v>227</v>
      </c>
      <c r="B23" s="15">
        <v>6.4005001125665597</v>
      </c>
      <c r="C23" s="15">
        <v>3.5235577871917498</v>
      </c>
      <c r="D23" s="24">
        <v>8.6339585314768197</v>
      </c>
      <c r="E23" s="15">
        <v>3.87429815078421</v>
      </c>
      <c r="F23" s="20" t="s">
        <v>76</v>
      </c>
      <c r="G23" s="24">
        <v>5.27876964045831</v>
      </c>
      <c r="H23" s="15">
        <v>8.9911135663700197</v>
      </c>
      <c r="I23" s="15">
        <v>4.8921372984483904</v>
      </c>
      <c r="J23" s="24">
        <v>12.169371341157699</v>
      </c>
      <c r="K23" s="20" t="s">
        <v>76</v>
      </c>
      <c r="L23" s="20" t="s">
        <v>76</v>
      </c>
      <c r="M23" s="26" t="s">
        <v>76</v>
      </c>
      <c r="N23" s="20" t="s">
        <v>76</v>
      </c>
      <c r="O23" s="20" t="s">
        <v>76</v>
      </c>
      <c r="P23" s="26" t="s">
        <v>76</v>
      </c>
    </row>
    <row r="24" spans="1:16">
      <c r="A24" s="9" t="s">
        <v>228</v>
      </c>
      <c r="B24" s="15">
        <v>28.4246063266968</v>
      </c>
      <c r="C24" s="15">
        <v>29.502939835922302</v>
      </c>
      <c r="D24" s="24">
        <v>27.5874630050075</v>
      </c>
      <c r="E24" s="15">
        <v>40.014355937484098</v>
      </c>
      <c r="F24" s="15">
        <v>41.262578484900203</v>
      </c>
      <c r="G24" s="24">
        <v>39.005859313053698</v>
      </c>
      <c r="H24" s="15">
        <v>17.188297785356902</v>
      </c>
      <c r="I24" s="15">
        <v>17.328674030519998</v>
      </c>
      <c r="J24" s="24">
        <v>17.079453073062201</v>
      </c>
      <c r="K24" s="20" t="s">
        <v>76</v>
      </c>
      <c r="L24" s="20" t="s">
        <v>76</v>
      </c>
      <c r="M24" s="26" t="s">
        <v>76</v>
      </c>
      <c r="N24" s="20" t="s">
        <v>76</v>
      </c>
      <c r="O24" s="20" t="s">
        <v>76</v>
      </c>
      <c r="P24" s="26" t="s">
        <v>76</v>
      </c>
    </row>
    <row r="25" spans="1:16">
      <c r="A25" s="9" t="s">
        <v>229</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c r="A26" s="9" t="s">
        <v>230</v>
      </c>
      <c r="B26" s="15">
        <v>3.78991410232477</v>
      </c>
      <c r="C26" s="15">
        <v>3.93828989103377</v>
      </c>
      <c r="D26" s="24">
        <v>3.67472543429633</v>
      </c>
      <c r="E26" s="15">
        <v>4.7472059462849199</v>
      </c>
      <c r="F26" s="15">
        <v>5.1129131262446199</v>
      </c>
      <c r="G26" s="24">
        <v>4.4517342314991497</v>
      </c>
      <c r="H26" s="15">
        <v>2.72334818116666</v>
      </c>
      <c r="I26" s="20" t="s">
        <v>76</v>
      </c>
      <c r="J26" s="26" t="s">
        <v>76</v>
      </c>
      <c r="K26" s="20" t="s">
        <v>76</v>
      </c>
      <c r="L26" s="20" t="s">
        <v>76</v>
      </c>
      <c r="M26" s="26" t="s">
        <v>76</v>
      </c>
      <c r="N26" s="20" t="s">
        <v>76</v>
      </c>
      <c r="O26" s="20" t="s">
        <v>76</v>
      </c>
      <c r="P26" s="26" t="s">
        <v>76</v>
      </c>
    </row>
    <row r="27" spans="1:16">
      <c r="A27" s="9" t="s">
        <v>231</v>
      </c>
      <c r="B27" s="15">
        <v>8.7970219155104097</v>
      </c>
      <c r="C27" s="15">
        <v>10.499077167469601</v>
      </c>
      <c r="D27" s="24">
        <v>7.4756643066318897</v>
      </c>
      <c r="E27" s="15">
        <v>1.90058924067949</v>
      </c>
      <c r="F27" s="15">
        <v>3.3489769994609899</v>
      </c>
      <c r="G27" s="26" t="s">
        <v>76</v>
      </c>
      <c r="H27" s="15">
        <v>16.147840795793101</v>
      </c>
      <c r="I27" s="15">
        <v>18.2181075827515</v>
      </c>
      <c r="J27" s="24">
        <v>14.5426005891033</v>
      </c>
      <c r="K27" s="20" t="s">
        <v>76</v>
      </c>
      <c r="L27" s="20" t="s">
        <v>76</v>
      </c>
      <c r="M27" s="26" t="s">
        <v>76</v>
      </c>
      <c r="N27" s="20" t="s">
        <v>76</v>
      </c>
      <c r="O27" s="20" t="s">
        <v>76</v>
      </c>
      <c r="P27" s="26" t="s">
        <v>76</v>
      </c>
    </row>
    <row r="28" spans="1:16">
      <c r="A28" s="9" t="s">
        <v>232</v>
      </c>
      <c r="B28" s="15">
        <v>4.4086755216562796</v>
      </c>
      <c r="C28" s="15">
        <v>5.4933509545773198</v>
      </c>
      <c r="D28" s="24">
        <v>3.5666087704130001</v>
      </c>
      <c r="E28" s="20" t="s">
        <v>76</v>
      </c>
      <c r="F28" s="20" t="s">
        <v>76</v>
      </c>
      <c r="G28" s="26" t="s">
        <v>76</v>
      </c>
      <c r="H28" s="15">
        <v>8.1128795978606103</v>
      </c>
      <c r="I28" s="15">
        <v>9.8194995579528808</v>
      </c>
      <c r="J28" s="24">
        <v>6.7896032961118804</v>
      </c>
      <c r="K28" s="20" t="s">
        <v>76</v>
      </c>
      <c r="L28" s="20" t="s">
        <v>76</v>
      </c>
      <c r="M28" s="26" t="s">
        <v>76</v>
      </c>
      <c r="N28" s="20" t="s">
        <v>76</v>
      </c>
      <c r="O28" s="20" t="s">
        <v>76</v>
      </c>
      <c r="P28" s="26" t="s">
        <v>76</v>
      </c>
    </row>
    <row r="29" spans="1:16">
      <c r="A29" s="9" t="s">
        <v>233</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c r="A30" s="9" t="s">
        <v>234</v>
      </c>
      <c r="B30" s="15">
        <v>3.9042421178214402</v>
      </c>
      <c r="C30" s="15">
        <v>3.4627641567457998</v>
      </c>
      <c r="D30" s="24">
        <v>4.2469749770209297</v>
      </c>
      <c r="E30" s="15">
        <v>4.8742445437851503</v>
      </c>
      <c r="F30" s="15">
        <v>4.3897925854023203</v>
      </c>
      <c r="G30" s="24">
        <v>5.2656556473092104</v>
      </c>
      <c r="H30" s="15">
        <v>2.9598292330290001</v>
      </c>
      <c r="I30" s="20" t="s">
        <v>76</v>
      </c>
      <c r="J30" s="24">
        <v>3.2548716335983898</v>
      </c>
      <c r="K30" s="20" t="s">
        <v>76</v>
      </c>
      <c r="L30" s="20" t="s">
        <v>76</v>
      </c>
      <c r="M30" s="26" t="s">
        <v>76</v>
      </c>
      <c r="N30" s="20" t="s">
        <v>76</v>
      </c>
      <c r="O30" s="20" t="s">
        <v>76</v>
      </c>
      <c r="P30" s="26" t="s">
        <v>76</v>
      </c>
    </row>
    <row r="31" spans="1:16">
      <c r="A31" s="9" t="s">
        <v>235</v>
      </c>
      <c r="B31" s="15">
        <v>9.0512103148452994</v>
      </c>
      <c r="C31" s="15">
        <v>10.9261197035488</v>
      </c>
      <c r="D31" s="24">
        <v>7.5956607468336799</v>
      </c>
      <c r="E31" s="15">
        <v>9.8823328643830894</v>
      </c>
      <c r="F31" s="15">
        <v>13.808717759278</v>
      </c>
      <c r="G31" s="24">
        <v>6.7100252330935799</v>
      </c>
      <c r="H31" s="15">
        <v>8.1864298321996607</v>
      </c>
      <c r="I31" s="15">
        <v>8.0586144139224807</v>
      </c>
      <c r="J31" s="24">
        <v>8.2855351502900199</v>
      </c>
      <c r="K31" s="20" t="s">
        <v>76</v>
      </c>
      <c r="L31" s="20" t="s">
        <v>76</v>
      </c>
      <c r="M31" s="26" t="s">
        <v>76</v>
      </c>
      <c r="N31" s="20" t="s">
        <v>76</v>
      </c>
      <c r="O31" s="20" t="s">
        <v>76</v>
      </c>
      <c r="P31" s="26" t="s">
        <v>76</v>
      </c>
    </row>
    <row r="32" spans="1:16">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237</v>
      </c>
      <c r="B33" s="15">
        <v>4.46723094343192</v>
      </c>
      <c r="C33" s="15">
        <v>4.6703795813282802</v>
      </c>
      <c r="D33" s="24">
        <v>4.3095204354394996</v>
      </c>
      <c r="E33" s="15">
        <v>3.0431451168095802</v>
      </c>
      <c r="F33" s="15">
        <v>3.57303877202959</v>
      </c>
      <c r="G33" s="24">
        <v>2.61501956844269</v>
      </c>
      <c r="H33" s="15">
        <v>6.10012928996552</v>
      </c>
      <c r="I33" s="15">
        <v>5.7828650907231403</v>
      </c>
      <c r="J33" s="24">
        <v>6.3461291060159697</v>
      </c>
      <c r="K33" s="20" t="s">
        <v>76</v>
      </c>
      <c r="L33" s="20" t="s">
        <v>76</v>
      </c>
      <c r="M33" s="26" t="s">
        <v>76</v>
      </c>
      <c r="N33" s="20" t="s">
        <v>76</v>
      </c>
      <c r="O33" s="20" t="s">
        <v>76</v>
      </c>
      <c r="P33" s="26" t="s">
        <v>76</v>
      </c>
    </row>
    <row r="34" spans="1:16">
      <c r="A34" s="9" t="s">
        <v>238</v>
      </c>
      <c r="B34" s="15">
        <v>1.51677148514567</v>
      </c>
      <c r="C34" s="20" t="s">
        <v>76</v>
      </c>
      <c r="D34" s="24">
        <v>1.66518560412329</v>
      </c>
      <c r="E34" s="15">
        <v>2.1333442111207699</v>
      </c>
      <c r="F34" s="20" t="s">
        <v>76</v>
      </c>
      <c r="G34" s="26" t="s">
        <v>76</v>
      </c>
      <c r="H34" s="20" t="s">
        <v>76</v>
      </c>
      <c r="I34" s="20" t="s">
        <v>76</v>
      </c>
      <c r="J34" s="26" t="s">
        <v>76</v>
      </c>
      <c r="K34" s="20" t="s">
        <v>76</v>
      </c>
      <c r="L34" s="20" t="s">
        <v>76</v>
      </c>
      <c r="M34" s="26" t="s">
        <v>76</v>
      </c>
      <c r="N34" s="20" t="s">
        <v>76</v>
      </c>
      <c r="O34" s="20" t="s">
        <v>76</v>
      </c>
      <c r="P34" s="26" t="s">
        <v>76</v>
      </c>
    </row>
    <row r="35" spans="1:16">
      <c r="A35" s="9" t="s">
        <v>239</v>
      </c>
      <c r="B35" s="15">
        <v>2.5291290610619099</v>
      </c>
      <c r="C35" s="15">
        <v>3.0501165486097102</v>
      </c>
      <c r="D35" s="24">
        <v>2.1246705218873601</v>
      </c>
      <c r="E35" s="15">
        <v>3.49929771009251</v>
      </c>
      <c r="F35" s="15">
        <v>3.6630715365145998</v>
      </c>
      <c r="G35" s="24">
        <v>3.3669772745590998</v>
      </c>
      <c r="H35" s="15">
        <v>1.5758582409406801</v>
      </c>
      <c r="I35" s="20" t="s">
        <v>76</v>
      </c>
      <c r="J35" s="26" t="s">
        <v>76</v>
      </c>
      <c r="K35" s="20" t="s">
        <v>76</v>
      </c>
      <c r="L35" s="20" t="s">
        <v>76</v>
      </c>
      <c r="M35" s="26" t="s">
        <v>76</v>
      </c>
      <c r="N35" s="20" t="s">
        <v>76</v>
      </c>
      <c r="O35" s="20" t="s">
        <v>76</v>
      </c>
      <c r="P35" s="26" t="s">
        <v>76</v>
      </c>
    </row>
    <row r="36" spans="1:16">
      <c r="A36" s="9" t="s">
        <v>240</v>
      </c>
      <c r="B36" s="15">
        <v>11.3161602241686</v>
      </c>
      <c r="C36" s="15">
        <v>8.3135845746350707</v>
      </c>
      <c r="D36" s="24">
        <v>13.647151639504701</v>
      </c>
      <c r="E36" s="20" t="s">
        <v>76</v>
      </c>
      <c r="F36" s="20" t="s">
        <v>76</v>
      </c>
      <c r="G36" s="26" t="s">
        <v>76</v>
      </c>
      <c r="H36" s="15">
        <v>22.204558150656698</v>
      </c>
      <c r="I36" s="15">
        <v>15.016277830162</v>
      </c>
      <c r="J36" s="24">
        <v>27.778195645159599</v>
      </c>
      <c r="K36" s="20" t="s">
        <v>76</v>
      </c>
      <c r="L36" s="20" t="s">
        <v>76</v>
      </c>
      <c r="M36" s="26" t="s">
        <v>76</v>
      </c>
      <c r="N36" s="20" t="s">
        <v>76</v>
      </c>
      <c r="O36" s="20" t="s">
        <v>76</v>
      </c>
      <c r="P36" s="26" t="s">
        <v>76</v>
      </c>
    </row>
    <row r="37" spans="1:16">
      <c r="A37" s="9" t="s">
        <v>241</v>
      </c>
      <c r="B37" s="15">
        <v>2.6499405759114398</v>
      </c>
      <c r="C37" s="15">
        <v>2.4834201103185198</v>
      </c>
      <c r="D37" s="24">
        <v>2.77921551219328</v>
      </c>
      <c r="E37" s="15">
        <v>2.3832151532956298</v>
      </c>
      <c r="F37" s="20" t="s">
        <v>76</v>
      </c>
      <c r="G37" s="26" t="s">
        <v>76</v>
      </c>
      <c r="H37" s="15">
        <v>3.0677981607410798</v>
      </c>
      <c r="I37" s="20" t="s">
        <v>76</v>
      </c>
      <c r="J37" s="24">
        <v>3.73915969476483</v>
      </c>
      <c r="K37" s="20" t="s">
        <v>76</v>
      </c>
      <c r="L37" s="20" t="s">
        <v>76</v>
      </c>
      <c r="M37" s="26" t="s">
        <v>76</v>
      </c>
      <c r="N37" s="20" t="s">
        <v>76</v>
      </c>
      <c r="O37" s="20" t="s">
        <v>76</v>
      </c>
      <c r="P37" s="26" t="s">
        <v>76</v>
      </c>
    </row>
    <row r="38" spans="1:16">
      <c r="A38" s="9" t="s">
        <v>242</v>
      </c>
      <c r="B38" s="15">
        <v>2.88963805980611</v>
      </c>
      <c r="C38" s="15">
        <v>4.5921665904953404</v>
      </c>
      <c r="D38" s="24">
        <v>1.5679130301577</v>
      </c>
      <c r="E38" s="15">
        <v>3.8318719694817802</v>
      </c>
      <c r="F38" s="15">
        <v>5.4363059066050896</v>
      </c>
      <c r="G38" s="24">
        <v>2.5355757176156302</v>
      </c>
      <c r="H38" s="15">
        <v>2.0025143691233098</v>
      </c>
      <c r="I38" s="15">
        <v>3.83106399687445</v>
      </c>
      <c r="J38" s="26" t="s">
        <v>76</v>
      </c>
      <c r="K38" s="20" t="s">
        <v>76</v>
      </c>
      <c r="L38" s="20" t="s">
        <v>76</v>
      </c>
      <c r="M38" s="26" t="s">
        <v>76</v>
      </c>
      <c r="N38" s="20" t="s">
        <v>76</v>
      </c>
      <c r="O38" s="20" t="s">
        <v>76</v>
      </c>
      <c r="P38" s="26" t="s">
        <v>76</v>
      </c>
    </row>
    <row r="39" spans="1:16">
      <c r="A39" s="9" t="s">
        <v>243</v>
      </c>
      <c r="B39" s="15">
        <v>3.8856186487723501</v>
      </c>
      <c r="C39" s="15">
        <v>3.57421591246906</v>
      </c>
      <c r="D39" s="24">
        <v>4.1273701280890904</v>
      </c>
      <c r="E39" s="15">
        <v>5.2057694582147498</v>
      </c>
      <c r="F39" s="15">
        <v>5.1054164361251999</v>
      </c>
      <c r="G39" s="24">
        <v>5.2868492978941397</v>
      </c>
      <c r="H39" s="15">
        <v>2.51297087798191</v>
      </c>
      <c r="I39" s="20" t="s">
        <v>76</v>
      </c>
      <c r="J39" s="24">
        <v>2.8716665831450099</v>
      </c>
      <c r="K39" s="20" t="s">
        <v>76</v>
      </c>
      <c r="L39" s="20" t="s">
        <v>76</v>
      </c>
      <c r="M39" s="26" t="s">
        <v>76</v>
      </c>
      <c r="N39" s="20" t="s">
        <v>76</v>
      </c>
      <c r="O39" s="20" t="s">
        <v>76</v>
      </c>
      <c r="P39" s="26" t="s">
        <v>76</v>
      </c>
    </row>
    <row r="40" spans="1:16">
      <c r="A40" s="9" t="s">
        <v>244</v>
      </c>
      <c r="B40" s="15">
        <v>1.20574063093039</v>
      </c>
      <c r="C40" s="15">
        <v>1.63958805477634</v>
      </c>
      <c r="D40" s="26" t="s">
        <v>76</v>
      </c>
      <c r="E40" s="20" t="s">
        <v>76</v>
      </c>
      <c r="F40" s="20" t="s">
        <v>76</v>
      </c>
      <c r="G40" s="26" t="s">
        <v>76</v>
      </c>
      <c r="H40" s="15">
        <v>1.9526376024562</v>
      </c>
      <c r="I40" s="20" t="s">
        <v>76</v>
      </c>
      <c r="J40" s="26" t="s">
        <v>76</v>
      </c>
      <c r="K40" s="20" t="s">
        <v>76</v>
      </c>
      <c r="L40" s="20" t="s">
        <v>76</v>
      </c>
      <c r="M40" s="26" t="s">
        <v>76</v>
      </c>
      <c r="N40" s="20" t="s">
        <v>76</v>
      </c>
      <c r="O40" s="20" t="s">
        <v>76</v>
      </c>
      <c r="P40" s="26" t="s">
        <v>76</v>
      </c>
    </row>
    <row r="41" spans="1:16">
      <c r="A41" s="9" t="s">
        <v>245</v>
      </c>
      <c r="B41" s="15">
        <v>3.0786228948276002</v>
      </c>
      <c r="C41" s="15">
        <v>3.9741254933482</v>
      </c>
      <c r="D41" s="24">
        <v>2.3834168073850002</v>
      </c>
      <c r="E41" s="15">
        <v>3.5736809501006501</v>
      </c>
      <c r="F41" s="15">
        <v>5.0825867119032901</v>
      </c>
      <c r="G41" s="24">
        <v>2.3545663214540999</v>
      </c>
      <c r="H41" s="15">
        <v>2.60428789222735</v>
      </c>
      <c r="I41" s="20" t="s">
        <v>76</v>
      </c>
      <c r="J41" s="24">
        <v>2.5202958774647399</v>
      </c>
      <c r="K41" s="20" t="s">
        <v>76</v>
      </c>
      <c r="L41" s="20" t="s">
        <v>76</v>
      </c>
      <c r="M41" s="26" t="s">
        <v>76</v>
      </c>
      <c r="N41" s="20" t="s">
        <v>76</v>
      </c>
      <c r="O41" s="20" t="s">
        <v>76</v>
      </c>
      <c r="P41" s="26" t="s">
        <v>76</v>
      </c>
    </row>
    <row r="42" spans="1:16">
      <c r="A42" s="9" t="s">
        <v>246</v>
      </c>
      <c r="B42" s="15">
        <v>1.1346317530590899</v>
      </c>
      <c r="C42" s="20" t="s">
        <v>76</v>
      </c>
      <c r="D42" s="24">
        <v>1.43512498109048</v>
      </c>
      <c r="E42" s="20" t="s">
        <v>76</v>
      </c>
      <c r="F42" s="20" t="s">
        <v>76</v>
      </c>
      <c r="G42" s="26" t="s">
        <v>76</v>
      </c>
      <c r="H42" s="20" t="s">
        <v>76</v>
      </c>
      <c r="I42" s="20" t="s">
        <v>76</v>
      </c>
      <c r="J42" s="26" t="s">
        <v>76</v>
      </c>
      <c r="K42" s="20" t="s">
        <v>76</v>
      </c>
      <c r="L42" s="20" t="s">
        <v>76</v>
      </c>
      <c r="M42" s="26" t="s">
        <v>76</v>
      </c>
      <c r="N42" s="20" t="s">
        <v>76</v>
      </c>
      <c r="O42" s="20" t="s">
        <v>76</v>
      </c>
      <c r="P42" s="26" t="s">
        <v>76</v>
      </c>
    </row>
    <row r="43" spans="1:16">
      <c r="A43" s="9" t="s">
        <v>247</v>
      </c>
      <c r="B43" s="15">
        <v>19.704086500057901</v>
      </c>
      <c r="C43" s="15">
        <v>18.529856896803999</v>
      </c>
      <c r="D43" s="24">
        <v>20.615676895871399</v>
      </c>
      <c r="E43" s="15">
        <v>31.160661770260798</v>
      </c>
      <c r="F43" s="15">
        <v>28.411223385467501</v>
      </c>
      <c r="G43" s="24">
        <v>33.382059978363202</v>
      </c>
      <c r="H43" s="15">
        <v>7.9392364275088303</v>
      </c>
      <c r="I43" s="15">
        <v>8.1717640533450897</v>
      </c>
      <c r="J43" s="24">
        <v>7.7589395225351003</v>
      </c>
      <c r="K43" s="20" t="s">
        <v>76</v>
      </c>
      <c r="L43" s="20" t="s">
        <v>76</v>
      </c>
      <c r="M43" s="26" t="s">
        <v>76</v>
      </c>
      <c r="N43" s="20" t="s">
        <v>76</v>
      </c>
      <c r="O43" s="20" t="s">
        <v>76</v>
      </c>
      <c r="P43" s="26" t="s">
        <v>76</v>
      </c>
    </row>
    <row r="44" spans="1:16">
      <c r="A44" s="9" t="s">
        <v>248</v>
      </c>
      <c r="B44" s="15">
        <v>10.8699706056896</v>
      </c>
      <c r="C44" s="15">
        <v>10.734566708948099</v>
      </c>
      <c r="D44" s="24">
        <v>10.9750887967854</v>
      </c>
      <c r="E44" s="15">
        <v>11.313158084976701</v>
      </c>
      <c r="F44" s="15">
        <v>11.4829499747787</v>
      </c>
      <c r="G44" s="24">
        <v>11.1759753781947</v>
      </c>
      <c r="H44" s="15">
        <v>10.719429247644699</v>
      </c>
      <c r="I44" s="15">
        <v>10.041250466111499</v>
      </c>
      <c r="J44" s="24">
        <v>11.2452744451328</v>
      </c>
      <c r="K44" s="20" t="s">
        <v>76</v>
      </c>
      <c r="L44" s="20" t="s">
        <v>76</v>
      </c>
      <c r="M44" s="26" t="s">
        <v>76</v>
      </c>
      <c r="N44" s="20" t="s">
        <v>76</v>
      </c>
      <c r="O44" s="20" t="s">
        <v>76</v>
      </c>
      <c r="P44" s="26" t="s">
        <v>76</v>
      </c>
    </row>
    <row r="45" spans="1:16">
      <c r="A45" s="9" t="s">
        <v>249</v>
      </c>
      <c r="B45" s="15">
        <v>0.82699623503543795</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c r="A46" s="9" t="s">
        <v>250</v>
      </c>
      <c r="B46" s="15">
        <v>1.3787672360826999</v>
      </c>
      <c r="C46" s="15">
        <v>2.1158261433045</v>
      </c>
      <c r="D46" s="26" t="s">
        <v>76</v>
      </c>
      <c r="E46" s="20" t="s">
        <v>76</v>
      </c>
      <c r="F46" s="20" t="s">
        <v>76</v>
      </c>
      <c r="G46" s="26" t="s">
        <v>76</v>
      </c>
      <c r="H46" s="15">
        <v>1.4857154426933901</v>
      </c>
      <c r="I46" s="20" t="s">
        <v>76</v>
      </c>
      <c r="J46" s="26" t="s">
        <v>76</v>
      </c>
      <c r="K46" s="20" t="s">
        <v>76</v>
      </c>
      <c r="L46" s="20" t="s">
        <v>76</v>
      </c>
      <c r="M46" s="26" t="s">
        <v>76</v>
      </c>
      <c r="N46" s="20" t="s">
        <v>76</v>
      </c>
      <c r="O46" s="20" t="s">
        <v>76</v>
      </c>
      <c r="P46" s="26" t="s">
        <v>76</v>
      </c>
    </row>
    <row r="47" spans="1:16">
      <c r="A47" s="9" t="s">
        <v>251</v>
      </c>
      <c r="B47" s="15">
        <v>0.72684862522799198</v>
      </c>
      <c r="C47" s="20" t="s">
        <v>76</v>
      </c>
      <c r="D47" s="26" t="s">
        <v>76</v>
      </c>
      <c r="E47" s="20" t="s">
        <v>76</v>
      </c>
      <c r="F47" s="20" t="s">
        <v>76</v>
      </c>
      <c r="G47" s="26" t="s">
        <v>76</v>
      </c>
      <c r="H47" s="20" t="s">
        <v>76</v>
      </c>
      <c r="I47" s="20" t="s">
        <v>76</v>
      </c>
      <c r="J47" s="26" t="s">
        <v>76</v>
      </c>
      <c r="K47" s="20" t="s">
        <v>76</v>
      </c>
      <c r="L47" s="20" t="s">
        <v>76</v>
      </c>
      <c r="M47" s="26" t="s">
        <v>76</v>
      </c>
      <c r="N47" s="20" t="s">
        <v>76</v>
      </c>
      <c r="O47" s="20" t="s">
        <v>76</v>
      </c>
      <c r="P47" s="26" t="s">
        <v>76</v>
      </c>
    </row>
    <row r="48" spans="1:16">
      <c r="A48" s="9" t="s">
        <v>252</v>
      </c>
      <c r="B48" s="15">
        <v>1.0433629095625501</v>
      </c>
      <c r="C48" s="20" t="s">
        <v>76</v>
      </c>
      <c r="D48" s="26" t="s">
        <v>76</v>
      </c>
      <c r="E48" s="20" t="s">
        <v>76</v>
      </c>
      <c r="F48" s="20" t="s">
        <v>76</v>
      </c>
      <c r="G48" s="26" t="s">
        <v>76</v>
      </c>
      <c r="H48" s="20" t="s">
        <v>76</v>
      </c>
      <c r="I48" s="20" t="s">
        <v>76</v>
      </c>
      <c r="J48" s="26" t="s">
        <v>76</v>
      </c>
      <c r="K48" s="20" t="s">
        <v>76</v>
      </c>
      <c r="L48" s="20" t="s">
        <v>76</v>
      </c>
      <c r="M48" s="26" t="s">
        <v>76</v>
      </c>
      <c r="N48" s="20" t="s">
        <v>76</v>
      </c>
      <c r="O48" s="20" t="s">
        <v>76</v>
      </c>
      <c r="P48" s="26" t="s">
        <v>76</v>
      </c>
    </row>
    <row r="49" spans="1:16">
      <c r="A49" s="9" t="s">
        <v>253</v>
      </c>
      <c r="B49" s="15">
        <v>4.9404908312181197</v>
      </c>
      <c r="C49" s="15">
        <v>4.7313110057641898</v>
      </c>
      <c r="D49" s="24">
        <v>5.1028835347859296</v>
      </c>
      <c r="E49" s="15">
        <v>4.3399745857475498</v>
      </c>
      <c r="F49" s="15">
        <v>4.8552820403344299</v>
      </c>
      <c r="G49" s="24">
        <v>3.9236339022929601</v>
      </c>
      <c r="H49" s="15">
        <v>5.6614112130817897</v>
      </c>
      <c r="I49" s="15">
        <v>4.6420492379908698</v>
      </c>
      <c r="J49" s="24">
        <v>6.4518024988304097</v>
      </c>
      <c r="K49" s="20" t="s">
        <v>76</v>
      </c>
      <c r="L49" s="20" t="s">
        <v>76</v>
      </c>
      <c r="M49" s="26" t="s">
        <v>76</v>
      </c>
      <c r="N49" s="20" t="s">
        <v>76</v>
      </c>
      <c r="O49" s="20" t="s">
        <v>76</v>
      </c>
      <c r="P49" s="26" t="s">
        <v>76</v>
      </c>
    </row>
    <row r="50" spans="1:16">
      <c r="A50" s="9" t="s">
        <v>254</v>
      </c>
      <c r="B50" s="15">
        <v>20.682066798650698</v>
      </c>
      <c r="C50" s="15">
        <v>27.307537197954701</v>
      </c>
      <c r="D50" s="24">
        <v>15.538511256348199</v>
      </c>
      <c r="E50" s="15">
        <v>17.910354193125901</v>
      </c>
      <c r="F50" s="15">
        <v>25.5158647504492</v>
      </c>
      <c r="G50" s="24">
        <v>11.765511080006799</v>
      </c>
      <c r="H50" s="15">
        <v>24.1586251329962</v>
      </c>
      <c r="I50" s="15">
        <v>29.581348644815801</v>
      </c>
      <c r="J50" s="24">
        <v>19.953962301244001</v>
      </c>
      <c r="K50" s="20" t="s">
        <v>76</v>
      </c>
      <c r="L50" s="20" t="s">
        <v>76</v>
      </c>
      <c r="M50" s="26" t="s">
        <v>76</v>
      </c>
      <c r="N50" s="20" t="s">
        <v>76</v>
      </c>
      <c r="O50" s="20" t="s">
        <v>76</v>
      </c>
      <c r="P50" s="26" t="s">
        <v>76</v>
      </c>
    </row>
    <row r="51" spans="1:16">
      <c r="A51" s="9" t="s">
        <v>255</v>
      </c>
      <c r="B51" s="15">
        <v>3.2517816342938701</v>
      </c>
      <c r="C51" s="15">
        <v>2.7150744817622701</v>
      </c>
      <c r="D51" s="24">
        <v>3.6684438307301099</v>
      </c>
      <c r="E51" s="15">
        <v>4.0222313606561002</v>
      </c>
      <c r="F51" s="15">
        <v>3.3791941514026602</v>
      </c>
      <c r="G51" s="24">
        <v>4.5417708099775602</v>
      </c>
      <c r="H51" s="15">
        <v>2.5201314617205899</v>
      </c>
      <c r="I51" s="20" t="s">
        <v>76</v>
      </c>
      <c r="J51" s="24">
        <v>2.85423874042643</v>
      </c>
      <c r="K51" s="20" t="s">
        <v>76</v>
      </c>
      <c r="L51" s="20" t="s">
        <v>76</v>
      </c>
      <c r="M51" s="26" t="s">
        <v>76</v>
      </c>
      <c r="N51" s="20" t="s">
        <v>76</v>
      </c>
      <c r="O51" s="20" t="s">
        <v>76</v>
      </c>
      <c r="P51" s="26" t="s">
        <v>76</v>
      </c>
    </row>
    <row r="52" spans="1:16">
      <c r="A52" s="9" t="s">
        <v>256</v>
      </c>
      <c r="B52" s="15">
        <v>1.85633034898251</v>
      </c>
      <c r="C52" s="15">
        <v>1.49161755230436</v>
      </c>
      <c r="D52" s="24">
        <v>2.1394680605176202</v>
      </c>
      <c r="E52" s="15">
        <v>2.4168258102405602</v>
      </c>
      <c r="F52" s="20" t="s">
        <v>76</v>
      </c>
      <c r="G52" s="24">
        <v>2.62803601435211</v>
      </c>
      <c r="H52" s="20" t="s">
        <v>76</v>
      </c>
      <c r="I52" s="20" t="s">
        <v>76</v>
      </c>
      <c r="J52" s="26" t="s">
        <v>76</v>
      </c>
      <c r="K52" s="20" t="s">
        <v>76</v>
      </c>
      <c r="L52" s="20" t="s">
        <v>76</v>
      </c>
      <c r="M52" s="26" t="s">
        <v>76</v>
      </c>
      <c r="N52" s="20" t="s">
        <v>76</v>
      </c>
      <c r="O52" s="20" t="s">
        <v>76</v>
      </c>
      <c r="P52" s="26" t="s">
        <v>76</v>
      </c>
    </row>
    <row r="53" spans="1:16">
      <c r="A53" s="9" t="s">
        <v>257</v>
      </c>
      <c r="B53" s="15">
        <v>5.4167897296051999</v>
      </c>
      <c r="C53" s="15">
        <v>6.1375931783184896</v>
      </c>
      <c r="D53" s="24">
        <v>4.8572079414306604</v>
      </c>
      <c r="E53" s="15">
        <v>5.0741156815632102</v>
      </c>
      <c r="F53" s="15">
        <v>6.0647781510300103</v>
      </c>
      <c r="G53" s="24">
        <v>4.2737137352314196</v>
      </c>
      <c r="H53" s="15">
        <v>6.0115410098916202</v>
      </c>
      <c r="I53" s="15">
        <v>6.4000888634000397</v>
      </c>
      <c r="J53" s="24">
        <v>5.7102693860584903</v>
      </c>
      <c r="K53" s="20" t="s">
        <v>76</v>
      </c>
      <c r="L53" s="20" t="s">
        <v>76</v>
      </c>
      <c r="M53" s="26" t="s">
        <v>76</v>
      </c>
      <c r="N53" s="20" t="s">
        <v>76</v>
      </c>
      <c r="O53" s="20" t="s">
        <v>76</v>
      </c>
      <c r="P53" s="26" t="s">
        <v>76</v>
      </c>
    </row>
    <row r="54" spans="1:16">
      <c r="A54" s="9" t="s">
        <v>258</v>
      </c>
      <c r="B54" s="15">
        <v>4.3538794194773001</v>
      </c>
      <c r="C54" s="15">
        <v>4.2426122840092999</v>
      </c>
      <c r="D54" s="24">
        <v>4.4402595037310402</v>
      </c>
      <c r="E54" s="15">
        <v>2.9387130302650499</v>
      </c>
      <c r="F54" s="15">
        <v>3.6166986156150198</v>
      </c>
      <c r="G54" s="26" t="s">
        <v>76</v>
      </c>
      <c r="H54" s="15">
        <v>5.9005465438501803</v>
      </c>
      <c r="I54" s="15">
        <v>5.0373582021984804</v>
      </c>
      <c r="J54" s="24">
        <v>6.5698441632169002</v>
      </c>
      <c r="K54" s="20" t="s">
        <v>76</v>
      </c>
      <c r="L54" s="20" t="s">
        <v>76</v>
      </c>
      <c r="M54" s="26" t="s">
        <v>76</v>
      </c>
      <c r="N54" s="20" t="s">
        <v>76</v>
      </c>
      <c r="O54" s="20" t="s">
        <v>76</v>
      </c>
      <c r="P54" s="26" t="s">
        <v>76</v>
      </c>
    </row>
    <row r="55" spans="1:16">
      <c r="A55" s="9" t="s">
        <v>259</v>
      </c>
      <c r="B55" s="15">
        <v>1.22054799349478</v>
      </c>
      <c r="C55" s="20" t="s">
        <v>76</v>
      </c>
      <c r="D55" s="24">
        <v>1.21414823124786</v>
      </c>
      <c r="E55" s="15">
        <v>1.4185627097719999</v>
      </c>
      <c r="F55" s="20" t="s">
        <v>76</v>
      </c>
      <c r="G55" s="26" t="s">
        <v>76</v>
      </c>
      <c r="H55" s="20" t="s">
        <v>76</v>
      </c>
      <c r="I55" s="20" t="s">
        <v>76</v>
      </c>
      <c r="J55" s="26" t="s">
        <v>76</v>
      </c>
      <c r="K55" s="20" t="s">
        <v>76</v>
      </c>
      <c r="L55" s="20" t="s">
        <v>76</v>
      </c>
      <c r="M55" s="26" t="s">
        <v>76</v>
      </c>
      <c r="N55" s="20" t="s">
        <v>76</v>
      </c>
      <c r="O55" s="20" t="s">
        <v>76</v>
      </c>
      <c r="P55" s="26" t="s">
        <v>76</v>
      </c>
    </row>
    <row r="56" spans="1:16">
      <c r="A56" s="9" t="s">
        <v>260</v>
      </c>
      <c r="B56" s="15">
        <v>1.5631064205467899</v>
      </c>
      <c r="C56" s="15">
        <v>1.62452054798834</v>
      </c>
      <c r="D56" s="24">
        <v>1.51542875291872</v>
      </c>
      <c r="E56" s="15">
        <v>1.4207744312202999</v>
      </c>
      <c r="F56" s="20" t="s">
        <v>76</v>
      </c>
      <c r="G56" s="26" t="s">
        <v>76</v>
      </c>
      <c r="H56" s="15">
        <v>1.72545559484655</v>
      </c>
      <c r="I56" s="20" t="s">
        <v>76</v>
      </c>
      <c r="J56" s="26" t="s">
        <v>76</v>
      </c>
      <c r="K56" s="20" t="s">
        <v>76</v>
      </c>
      <c r="L56" s="20" t="s">
        <v>76</v>
      </c>
      <c r="M56" s="26" t="s">
        <v>76</v>
      </c>
      <c r="N56" s="20" t="s">
        <v>76</v>
      </c>
      <c r="O56" s="20" t="s">
        <v>76</v>
      </c>
      <c r="P56" s="26" t="s">
        <v>76</v>
      </c>
    </row>
    <row r="57" spans="1:16">
      <c r="A57" s="9" t="s">
        <v>261</v>
      </c>
      <c r="B57" s="15">
        <v>1.2681317262975</v>
      </c>
      <c r="C57" s="20" t="s">
        <v>76</v>
      </c>
      <c r="D57" s="24">
        <v>1.1488332392003699</v>
      </c>
      <c r="E57" s="20" t="s">
        <v>76</v>
      </c>
      <c r="F57" s="20" t="s">
        <v>76</v>
      </c>
      <c r="G57" s="26" t="s">
        <v>76</v>
      </c>
      <c r="H57" s="15">
        <v>1.3799820718461</v>
      </c>
      <c r="I57" s="20" t="s">
        <v>76</v>
      </c>
      <c r="J57" s="26" t="s">
        <v>76</v>
      </c>
      <c r="K57" s="20" t="s">
        <v>76</v>
      </c>
      <c r="L57" s="20" t="s">
        <v>76</v>
      </c>
      <c r="M57" s="26" t="s">
        <v>76</v>
      </c>
      <c r="N57" s="20" t="s">
        <v>76</v>
      </c>
      <c r="O57" s="20" t="s">
        <v>76</v>
      </c>
      <c r="P57" s="26" t="s">
        <v>76</v>
      </c>
    </row>
    <row r="58" spans="1:16">
      <c r="A58" s="9" t="s">
        <v>262</v>
      </c>
      <c r="B58" s="15">
        <v>3.2376882083407401</v>
      </c>
      <c r="C58" s="15">
        <v>1.8042275159235801</v>
      </c>
      <c r="D58" s="24">
        <v>4.3505276363049301</v>
      </c>
      <c r="E58" s="15">
        <v>4.3941035178569896</v>
      </c>
      <c r="F58" s="20" t="s">
        <v>76</v>
      </c>
      <c r="G58" s="24">
        <v>5.8040508848320096</v>
      </c>
      <c r="H58" s="15">
        <v>1.9768695645246701</v>
      </c>
      <c r="I58" s="20" t="s">
        <v>76</v>
      </c>
      <c r="J58" s="24">
        <v>2.8167696038127201</v>
      </c>
      <c r="K58" s="20" t="s">
        <v>76</v>
      </c>
      <c r="L58" s="20" t="s">
        <v>76</v>
      </c>
      <c r="M58" s="26" t="s">
        <v>76</v>
      </c>
      <c r="N58" s="20" t="s">
        <v>76</v>
      </c>
      <c r="O58" s="20" t="s">
        <v>76</v>
      </c>
      <c r="P58" s="26" t="s">
        <v>76</v>
      </c>
    </row>
    <row r="59" spans="1:16">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265</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266</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c r="A63" s="9" t="s">
        <v>267</v>
      </c>
      <c r="B63" s="15">
        <v>1.91777037485934</v>
      </c>
      <c r="C63" s="15">
        <v>2.0480210629140201</v>
      </c>
      <c r="D63" s="24">
        <v>1.81665277745785</v>
      </c>
      <c r="E63" s="15">
        <v>2.4997022668148898</v>
      </c>
      <c r="F63" s="20" t="s">
        <v>76</v>
      </c>
      <c r="G63" s="26" t="s">
        <v>76</v>
      </c>
      <c r="H63" s="15">
        <v>1.3349522740215101</v>
      </c>
      <c r="I63" s="20" t="s">
        <v>76</v>
      </c>
      <c r="J63" s="26" t="s">
        <v>76</v>
      </c>
      <c r="K63" s="20" t="s">
        <v>76</v>
      </c>
      <c r="L63" s="20" t="s">
        <v>76</v>
      </c>
      <c r="M63" s="26" t="s">
        <v>76</v>
      </c>
      <c r="N63" s="20" t="s">
        <v>76</v>
      </c>
      <c r="O63" s="20" t="s">
        <v>76</v>
      </c>
      <c r="P63" s="26" t="s">
        <v>76</v>
      </c>
    </row>
    <row r="64" spans="1:16">
      <c r="A64" s="11" t="s">
        <v>268</v>
      </c>
      <c r="B64" s="16">
        <v>3.9770685175394802</v>
      </c>
      <c r="C64" s="16">
        <v>4.0790858417195004</v>
      </c>
      <c r="D64" s="25">
        <v>3.8978693450170101</v>
      </c>
      <c r="E64" s="16">
        <v>4.0222360082235804</v>
      </c>
      <c r="F64" s="16">
        <v>3.9035163340342001</v>
      </c>
      <c r="G64" s="25">
        <v>4.1181551140924002</v>
      </c>
      <c r="H64" s="16">
        <v>3.98031112144445</v>
      </c>
      <c r="I64" s="16">
        <v>4.3890517369819397</v>
      </c>
      <c r="J64" s="25">
        <v>3.6633824655334402</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275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3.61725212941491</v>
      </c>
      <c r="C3" s="32">
        <v>3.5114270312970501</v>
      </c>
      <c r="D3" s="32">
        <v>3.5797931413436901</v>
      </c>
      <c r="E3" s="32">
        <v>3.7163256753165199</v>
      </c>
      <c r="F3" s="20" t="s">
        <v>76</v>
      </c>
      <c r="G3" s="20" t="s">
        <v>76</v>
      </c>
      <c r="H3" s="20" t="s">
        <v>76</v>
      </c>
      <c r="I3" s="20" t="s">
        <v>76</v>
      </c>
      <c r="J3" s="20" t="s">
        <v>76</v>
      </c>
      <c r="K3" s="20" t="s">
        <v>76</v>
      </c>
      <c r="L3" s="15">
        <v>5.46875</v>
      </c>
      <c r="M3" s="20" t="s">
        <v>76</v>
      </c>
      <c r="N3" s="20" t="s">
        <v>76</v>
      </c>
      <c r="O3" s="20" t="s">
        <v>76</v>
      </c>
      <c r="P3" s="20" t="s">
        <v>76</v>
      </c>
      <c r="Q3" s="20" t="s">
        <v>76</v>
      </c>
      <c r="R3" s="15">
        <v>5.4945054945054901</v>
      </c>
      <c r="S3" s="20" t="s">
        <v>76</v>
      </c>
      <c r="T3" s="20" t="s">
        <v>76</v>
      </c>
      <c r="U3" s="20" t="s">
        <v>76</v>
      </c>
      <c r="V3" s="20" t="s">
        <v>76</v>
      </c>
      <c r="W3" s="20" t="s">
        <v>76</v>
      </c>
      <c r="X3" s="20" t="s">
        <v>76</v>
      </c>
      <c r="Y3" s="20" t="s">
        <v>76</v>
      </c>
      <c r="Z3" s="20" t="s">
        <v>76</v>
      </c>
      <c r="AA3" s="20" t="s">
        <v>76</v>
      </c>
      <c r="AB3" s="15">
        <v>7.6923076923076898</v>
      </c>
      <c r="AC3" s="20" t="s">
        <v>76</v>
      </c>
      <c r="AD3" s="20" t="s">
        <v>76</v>
      </c>
      <c r="AE3" s="20" t="s">
        <v>76</v>
      </c>
      <c r="AF3" s="20" t="s">
        <v>76</v>
      </c>
      <c r="AG3" s="32">
        <v>3.4737987546063702</v>
      </c>
      <c r="AH3" s="15">
        <v>3.0201342281879202</v>
      </c>
      <c r="AI3" s="15">
        <v>4.71976401179941</v>
      </c>
      <c r="AJ3" s="15">
        <v>5.6047197640117998</v>
      </c>
      <c r="AK3" s="15">
        <v>4.1522491349481001</v>
      </c>
      <c r="AL3" s="15">
        <v>3.91061452513966</v>
      </c>
      <c r="AM3" s="15">
        <v>1.84615384615385</v>
      </c>
      <c r="AN3" s="24">
        <v>3.4810126582278502</v>
      </c>
      <c r="AO3" s="38"/>
    </row>
    <row r="4" spans="1:41">
      <c r="A4" s="9" t="s">
        <v>208</v>
      </c>
      <c r="B4" s="36">
        <v>5.3549833712101096</v>
      </c>
      <c r="C4" s="32">
        <v>5.50407285022749</v>
      </c>
      <c r="D4" s="32">
        <v>5.39133973486976</v>
      </c>
      <c r="E4" s="32">
        <v>4.8859993218343396</v>
      </c>
      <c r="F4" s="15">
        <v>5.2083333333333304</v>
      </c>
      <c r="G4" s="20" t="s">
        <v>76</v>
      </c>
      <c r="H4" s="20" t="s">
        <v>76</v>
      </c>
      <c r="I4" s="20" t="s">
        <v>76</v>
      </c>
      <c r="J4" s="15">
        <v>9.8765432098765409</v>
      </c>
      <c r="K4" s="15">
        <v>16</v>
      </c>
      <c r="L4" s="15">
        <v>5.46875</v>
      </c>
      <c r="M4" s="20" t="s">
        <v>76</v>
      </c>
      <c r="N4" s="20" t="s">
        <v>76</v>
      </c>
      <c r="O4" s="20" t="s">
        <v>76</v>
      </c>
      <c r="P4" s="15">
        <v>3.7037037037037002</v>
      </c>
      <c r="Q4" s="20" t="s">
        <v>76</v>
      </c>
      <c r="R4" s="15">
        <v>7.6923076923076898</v>
      </c>
      <c r="S4" s="15">
        <v>5</v>
      </c>
      <c r="T4" s="20" t="s">
        <v>76</v>
      </c>
      <c r="U4" s="20" t="s">
        <v>76</v>
      </c>
      <c r="V4" s="20" t="s">
        <v>76</v>
      </c>
      <c r="W4" s="20" t="s">
        <v>76</v>
      </c>
      <c r="X4" s="15">
        <v>4.8076923076923102</v>
      </c>
      <c r="Y4" s="20" t="s">
        <v>76</v>
      </c>
      <c r="Z4" s="20" t="s">
        <v>76</v>
      </c>
      <c r="AA4" s="15">
        <v>10.958904109589</v>
      </c>
      <c r="AB4" s="15">
        <v>8.9743589743589691</v>
      </c>
      <c r="AC4" s="20" t="s">
        <v>76</v>
      </c>
      <c r="AD4" s="20" t="s">
        <v>76</v>
      </c>
      <c r="AE4" s="20" t="s">
        <v>76</v>
      </c>
      <c r="AF4" s="20" t="s">
        <v>76</v>
      </c>
      <c r="AG4" s="32">
        <v>5.7836509709883099</v>
      </c>
      <c r="AH4" s="15">
        <v>3.3557046979865799</v>
      </c>
      <c r="AI4" s="15">
        <v>6.19469026548673</v>
      </c>
      <c r="AJ4" s="15">
        <v>7.3746312684365796</v>
      </c>
      <c r="AK4" s="15">
        <v>3.4602076124567498</v>
      </c>
      <c r="AL4" s="15">
        <v>7.8212290502793298</v>
      </c>
      <c r="AM4" s="15">
        <v>4.6153846153846096</v>
      </c>
      <c r="AN4" s="24">
        <v>7.9113924050632898</v>
      </c>
      <c r="AO4" s="38"/>
    </row>
    <row r="5" spans="1:41">
      <c r="A5" s="9" t="s">
        <v>209</v>
      </c>
      <c r="B5" s="36">
        <v>2.8921024083957101</v>
      </c>
      <c r="C5" s="32">
        <v>2.9566415699313202</v>
      </c>
      <c r="D5" s="32">
        <v>3.75672665002674</v>
      </c>
      <c r="E5" s="32">
        <v>4.0099721212726198</v>
      </c>
      <c r="F5" s="20" t="s">
        <v>76</v>
      </c>
      <c r="G5" s="15">
        <v>11.9402985074627</v>
      </c>
      <c r="H5" s="20" t="s">
        <v>76</v>
      </c>
      <c r="I5" s="20" t="s">
        <v>76</v>
      </c>
      <c r="J5" s="20" t="s">
        <v>76</v>
      </c>
      <c r="K5" s="20" t="s">
        <v>76</v>
      </c>
      <c r="L5" s="20" t="s">
        <v>76</v>
      </c>
      <c r="M5" s="20" t="s">
        <v>76</v>
      </c>
      <c r="N5" s="20" t="s">
        <v>76</v>
      </c>
      <c r="O5" s="20" t="s">
        <v>76</v>
      </c>
      <c r="P5" s="15">
        <v>8.8888888888888893</v>
      </c>
      <c r="Q5" s="20" t="s">
        <v>76</v>
      </c>
      <c r="R5" s="20" t="s">
        <v>76</v>
      </c>
      <c r="S5" s="20" t="s">
        <v>76</v>
      </c>
      <c r="T5" s="20" t="s">
        <v>76</v>
      </c>
      <c r="U5" s="20" t="s">
        <v>76</v>
      </c>
      <c r="V5" s="20" t="s">
        <v>76</v>
      </c>
      <c r="W5" s="15">
        <v>8.9285714285714306</v>
      </c>
      <c r="X5" s="20" t="s">
        <v>76</v>
      </c>
      <c r="Y5" s="20" t="s">
        <v>76</v>
      </c>
      <c r="Z5" s="20" t="s">
        <v>76</v>
      </c>
      <c r="AA5" s="15">
        <v>9.5890410958904102</v>
      </c>
      <c r="AB5" s="15">
        <v>8.9743589743589691</v>
      </c>
      <c r="AC5" s="20" t="s">
        <v>76</v>
      </c>
      <c r="AD5" s="20" t="s">
        <v>76</v>
      </c>
      <c r="AE5" s="20" t="s">
        <v>76</v>
      </c>
      <c r="AF5" s="15">
        <v>18.918918918918902</v>
      </c>
      <c r="AG5" s="32">
        <v>3.5601244363444402</v>
      </c>
      <c r="AH5" s="15">
        <v>7.0469798657718101</v>
      </c>
      <c r="AI5" s="15">
        <v>5.0147492625368697</v>
      </c>
      <c r="AJ5" s="15">
        <v>4.1297935103244798</v>
      </c>
      <c r="AK5" s="15">
        <v>2.0761245674740501</v>
      </c>
      <c r="AL5" s="15">
        <v>5.5865921787709496</v>
      </c>
      <c r="AM5" s="15">
        <v>1.84615384615385</v>
      </c>
      <c r="AN5" s="24">
        <v>2.21518987341772</v>
      </c>
      <c r="AO5" s="38"/>
    </row>
    <row r="6" spans="1:41">
      <c r="A6" s="9" t="s">
        <v>210</v>
      </c>
      <c r="B6" s="36">
        <v>5.9788342681915596</v>
      </c>
      <c r="C6" s="32">
        <v>5.5308032535410003</v>
      </c>
      <c r="D6" s="32">
        <v>6.2943536813136198</v>
      </c>
      <c r="E6" s="32">
        <v>7.4089045712219397</v>
      </c>
      <c r="F6" s="20" t="s">
        <v>76</v>
      </c>
      <c r="G6" s="15">
        <v>8.9552238805970106</v>
      </c>
      <c r="H6" s="20" t="s">
        <v>76</v>
      </c>
      <c r="I6" s="20" t="s">
        <v>76</v>
      </c>
      <c r="J6" s="15">
        <v>7.4074074074074101</v>
      </c>
      <c r="K6" s="20" t="s">
        <v>76</v>
      </c>
      <c r="L6" s="15">
        <v>6.25</v>
      </c>
      <c r="M6" s="20" t="s">
        <v>76</v>
      </c>
      <c r="N6" s="20" t="s">
        <v>76</v>
      </c>
      <c r="O6" s="20" t="s">
        <v>76</v>
      </c>
      <c r="P6" s="15">
        <v>11.1111111111111</v>
      </c>
      <c r="Q6" s="20" t="s">
        <v>76</v>
      </c>
      <c r="R6" s="15">
        <v>10.989010989011</v>
      </c>
      <c r="S6" s="15">
        <v>7</v>
      </c>
      <c r="T6" s="20" t="s">
        <v>76</v>
      </c>
      <c r="U6" s="20" t="s">
        <v>76</v>
      </c>
      <c r="V6" s="20" t="s">
        <v>76</v>
      </c>
      <c r="W6" s="15">
        <v>14.285714285714301</v>
      </c>
      <c r="X6" s="15">
        <v>5.7692307692307701</v>
      </c>
      <c r="Y6" s="20" t="s">
        <v>76</v>
      </c>
      <c r="Z6" s="20" t="s">
        <v>76</v>
      </c>
      <c r="AA6" s="15">
        <v>12.328767123287699</v>
      </c>
      <c r="AB6" s="15">
        <v>8.9743589743589691</v>
      </c>
      <c r="AC6" s="15">
        <v>9.8765432098765409</v>
      </c>
      <c r="AD6" s="15">
        <v>5.2631578947368398</v>
      </c>
      <c r="AE6" s="20" t="s">
        <v>76</v>
      </c>
      <c r="AF6" s="20" t="s">
        <v>76</v>
      </c>
      <c r="AG6" s="32">
        <v>5.4290936980272599</v>
      </c>
      <c r="AH6" s="15">
        <v>3.3557046979865799</v>
      </c>
      <c r="AI6" s="15">
        <v>6.7846607669616503</v>
      </c>
      <c r="AJ6" s="15">
        <v>5.3097345132743401</v>
      </c>
      <c r="AK6" s="15">
        <v>3.4602076124567498</v>
      </c>
      <c r="AL6" s="15">
        <v>4.4692737430167604</v>
      </c>
      <c r="AM6" s="15">
        <v>8</v>
      </c>
      <c r="AN6" s="24">
        <v>4.7468354430379698</v>
      </c>
      <c r="AO6" s="38"/>
    </row>
    <row r="7" spans="1:41">
      <c r="A7" s="9" t="s">
        <v>211</v>
      </c>
      <c r="B7" s="36">
        <v>2.2232601326097501</v>
      </c>
      <c r="C7" s="32">
        <v>2.0591160249773601</v>
      </c>
      <c r="D7" s="32">
        <v>1.85787256486672</v>
      </c>
      <c r="E7" s="32">
        <v>2.9963305160409299</v>
      </c>
      <c r="F7" s="20" t="s">
        <v>76</v>
      </c>
      <c r="G7" s="20" t="s">
        <v>76</v>
      </c>
      <c r="H7" s="20" t="s">
        <v>76</v>
      </c>
      <c r="I7" s="20" t="s">
        <v>76</v>
      </c>
      <c r="J7" s="20" t="s">
        <v>76</v>
      </c>
      <c r="K7" s="20" t="s">
        <v>76</v>
      </c>
      <c r="L7" s="20" t="s">
        <v>76</v>
      </c>
      <c r="M7" s="20" t="s">
        <v>76</v>
      </c>
      <c r="N7" s="20" t="s">
        <v>76</v>
      </c>
      <c r="O7" s="20" t="s">
        <v>76</v>
      </c>
      <c r="P7" s="15">
        <v>3.7037037037037002</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34" t="s">
        <v>76</v>
      </c>
      <c r="AH7" s="20" t="s">
        <v>76</v>
      </c>
      <c r="AI7" s="20" t="s">
        <v>76</v>
      </c>
      <c r="AJ7" s="15">
        <v>2.0648967551622399</v>
      </c>
      <c r="AK7" s="20" t="s">
        <v>76</v>
      </c>
      <c r="AL7" s="20" t="s">
        <v>76</v>
      </c>
      <c r="AM7" s="20" t="s">
        <v>76</v>
      </c>
      <c r="AN7" s="26" t="s">
        <v>76</v>
      </c>
      <c r="AO7" s="38"/>
    </row>
    <row r="8" spans="1:41">
      <c r="A8" s="9" t="s">
        <v>212</v>
      </c>
      <c r="B8" s="36">
        <v>0.28190070093734898</v>
      </c>
      <c r="C8" s="32">
        <v>0.28733195551896001</v>
      </c>
      <c r="D8" s="34" t="s">
        <v>76</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20" t="s">
        <v>76</v>
      </c>
      <c r="AJ8" s="20" t="s">
        <v>76</v>
      </c>
      <c r="AK8" s="20" t="s">
        <v>76</v>
      </c>
      <c r="AL8" s="20" t="s">
        <v>76</v>
      </c>
      <c r="AM8" s="20" t="s">
        <v>76</v>
      </c>
      <c r="AN8" s="26" t="s">
        <v>76</v>
      </c>
      <c r="AO8" s="38"/>
    </row>
    <row r="9" spans="1:41">
      <c r="A9" s="9" t="s">
        <v>213</v>
      </c>
      <c r="B9" s="36">
        <v>1.4944667296380301</v>
      </c>
      <c r="C9" s="32">
        <v>1.4404051904155299</v>
      </c>
      <c r="D9" s="32">
        <v>1.6344009937299999</v>
      </c>
      <c r="E9" s="32">
        <v>2.0233824648784799</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32">
        <v>1.33242276709888</v>
      </c>
      <c r="AH9" s="20" t="s">
        <v>76</v>
      </c>
      <c r="AI9" s="20" t="s">
        <v>76</v>
      </c>
      <c r="AJ9" s="15">
        <v>1.76991150442478</v>
      </c>
      <c r="AK9" s="20" t="s">
        <v>76</v>
      </c>
      <c r="AL9" s="20" t="s">
        <v>76</v>
      </c>
      <c r="AM9" s="20" t="s">
        <v>76</v>
      </c>
      <c r="AN9" s="26" t="s">
        <v>76</v>
      </c>
      <c r="AO9" s="38"/>
    </row>
    <row r="10" spans="1:41">
      <c r="A10" s="9" t="s">
        <v>214</v>
      </c>
      <c r="B10" s="36">
        <v>7.50207043428553</v>
      </c>
      <c r="C10" s="32">
        <v>8.0894842376893408</v>
      </c>
      <c r="D10" s="32">
        <v>10.2281345585242</v>
      </c>
      <c r="E10" s="32">
        <v>8.8856173442237996</v>
      </c>
      <c r="F10" s="15">
        <v>7.2916666666666696</v>
      </c>
      <c r="G10" s="20" t="s">
        <v>76</v>
      </c>
      <c r="H10" s="15">
        <v>13.4146341463415</v>
      </c>
      <c r="I10" s="20" t="s">
        <v>76</v>
      </c>
      <c r="J10" s="15">
        <v>6.1728395061728403</v>
      </c>
      <c r="K10" s="20" t="s">
        <v>76</v>
      </c>
      <c r="L10" s="15">
        <v>7.03125</v>
      </c>
      <c r="M10" s="20" t="s">
        <v>76</v>
      </c>
      <c r="N10" s="15">
        <v>12.244897959183699</v>
      </c>
      <c r="O10" s="15">
        <v>11.9047619047619</v>
      </c>
      <c r="P10" s="15">
        <v>5.92592592592593</v>
      </c>
      <c r="Q10" s="15">
        <v>15</v>
      </c>
      <c r="R10" s="15">
        <v>6.5934065934065904</v>
      </c>
      <c r="S10" s="15">
        <v>5</v>
      </c>
      <c r="T10" s="15">
        <v>33.3333333333333</v>
      </c>
      <c r="U10" s="20" t="s">
        <v>76</v>
      </c>
      <c r="V10" s="15">
        <v>16.6666666666667</v>
      </c>
      <c r="W10" s="20" t="s">
        <v>76</v>
      </c>
      <c r="X10" s="15">
        <v>19.230769230769202</v>
      </c>
      <c r="Y10" s="20" t="s">
        <v>76</v>
      </c>
      <c r="Z10" s="20" t="s">
        <v>76</v>
      </c>
      <c r="AA10" s="20" t="s">
        <v>76</v>
      </c>
      <c r="AB10" s="15">
        <v>14.1025641025641</v>
      </c>
      <c r="AC10" s="15">
        <v>8.6419753086419693</v>
      </c>
      <c r="AD10" s="15">
        <v>8.4210526315789505</v>
      </c>
      <c r="AE10" s="15">
        <v>11.4754098360656</v>
      </c>
      <c r="AF10" s="20" t="s">
        <v>76</v>
      </c>
      <c r="AG10" s="32">
        <v>11.270371779745</v>
      </c>
      <c r="AH10" s="15">
        <v>7.0469798657718101</v>
      </c>
      <c r="AI10" s="15">
        <v>12.094395280236</v>
      </c>
      <c r="AJ10" s="15">
        <v>10.0294985250737</v>
      </c>
      <c r="AK10" s="15">
        <v>9.6885813148788902</v>
      </c>
      <c r="AL10" s="15">
        <v>17.877094972066999</v>
      </c>
      <c r="AM10" s="15">
        <v>14.7692307692308</v>
      </c>
      <c r="AN10" s="24">
        <v>9.1772151898734204</v>
      </c>
      <c r="AO10" s="38"/>
    </row>
    <row r="11" spans="1:41">
      <c r="A11" s="9" t="s">
        <v>215</v>
      </c>
      <c r="B11" s="36">
        <v>2.9373691278334202</v>
      </c>
      <c r="C11" s="32">
        <v>2.8320650708589201</v>
      </c>
      <c r="D11" s="32">
        <v>2.7934553847302701</v>
      </c>
      <c r="E11" s="32">
        <v>2.44368050206569</v>
      </c>
      <c r="F11" s="20" t="s">
        <v>76</v>
      </c>
      <c r="G11" s="20" t="s">
        <v>76</v>
      </c>
      <c r="H11" s="20" t="s">
        <v>76</v>
      </c>
      <c r="I11" s="20" t="s">
        <v>76</v>
      </c>
      <c r="J11" s="20" t="s">
        <v>76</v>
      </c>
      <c r="K11" s="20" t="s">
        <v>76</v>
      </c>
      <c r="L11" s="15">
        <v>3.90625</v>
      </c>
      <c r="M11" s="20" t="s">
        <v>76</v>
      </c>
      <c r="N11" s="20" t="s">
        <v>76</v>
      </c>
      <c r="O11" s="20" t="s">
        <v>76</v>
      </c>
      <c r="P11" s="20" t="s">
        <v>76</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32">
        <v>3.06499633621902</v>
      </c>
      <c r="AH11" s="15">
        <v>5.7046979865771803</v>
      </c>
      <c r="AI11" s="15">
        <v>2.0648967551622399</v>
      </c>
      <c r="AJ11" s="15">
        <v>3.24483775811209</v>
      </c>
      <c r="AK11" s="15">
        <v>3.1141868512110702</v>
      </c>
      <c r="AL11" s="20" t="s">
        <v>76</v>
      </c>
      <c r="AM11" s="15">
        <v>3.6923076923076898</v>
      </c>
      <c r="AN11" s="24">
        <v>2.5316455696202498</v>
      </c>
      <c r="AO11" s="38"/>
    </row>
    <row r="12" spans="1:41">
      <c r="A12" s="9" t="s">
        <v>216</v>
      </c>
      <c r="B12" s="36">
        <v>1.08491258147811</v>
      </c>
      <c r="C12" s="32">
        <v>0.82726310238612799</v>
      </c>
      <c r="D12" s="32">
        <v>0.75737419900894498</v>
      </c>
      <c r="E12" s="34" t="s">
        <v>76</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34" t="s">
        <v>76</v>
      </c>
      <c r="AH12" s="20" t="s">
        <v>76</v>
      </c>
      <c r="AI12" s="20" t="s">
        <v>76</v>
      </c>
      <c r="AJ12" s="20" t="s">
        <v>76</v>
      </c>
      <c r="AK12" s="20" t="s">
        <v>76</v>
      </c>
      <c r="AL12" s="20" t="s">
        <v>76</v>
      </c>
      <c r="AM12" s="20" t="s">
        <v>76</v>
      </c>
      <c r="AN12" s="24">
        <v>3.4810126582278502</v>
      </c>
      <c r="AO12" s="38"/>
    </row>
    <row r="13" spans="1:41">
      <c r="A13" s="9" t="s">
        <v>217</v>
      </c>
      <c r="B13" s="36">
        <v>2.0714048944577201</v>
      </c>
      <c r="C13" s="32">
        <v>1.7191208420978801</v>
      </c>
      <c r="D13" s="32">
        <v>1.91631918634026</v>
      </c>
      <c r="E13" s="32">
        <v>1.62241075506611</v>
      </c>
      <c r="F13" s="20" t="s">
        <v>76</v>
      </c>
      <c r="G13" s="20" t="s">
        <v>76</v>
      </c>
      <c r="H13" s="20" t="s">
        <v>76</v>
      </c>
      <c r="I13" s="20" t="s">
        <v>76</v>
      </c>
      <c r="J13" s="15">
        <v>6.1728395061728403</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15">
        <v>4.8076923076923102</v>
      </c>
      <c r="Y13" s="20" t="s">
        <v>76</v>
      </c>
      <c r="Z13" s="20" t="s">
        <v>76</v>
      </c>
      <c r="AA13" s="20" t="s">
        <v>76</v>
      </c>
      <c r="AB13" s="20" t="s">
        <v>76</v>
      </c>
      <c r="AC13" s="20" t="s">
        <v>76</v>
      </c>
      <c r="AD13" s="20" t="s">
        <v>76</v>
      </c>
      <c r="AE13" s="20" t="s">
        <v>76</v>
      </c>
      <c r="AF13" s="20" t="s">
        <v>76</v>
      </c>
      <c r="AG13" s="32">
        <v>2.14448930098879</v>
      </c>
      <c r="AH13" s="20" t="s">
        <v>76</v>
      </c>
      <c r="AI13" s="15">
        <v>2.9498525073746298</v>
      </c>
      <c r="AJ13" s="15">
        <v>2.65486725663717</v>
      </c>
      <c r="AK13" s="15">
        <v>1.73010380622837</v>
      </c>
      <c r="AL13" s="20" t="s">
        <v>76</v>
      </c>
      <c r="AM13" s="15">
        <v>1.5384615384615401</v>
      </c>
      <c r="AN13" s="24">
        <v>3.79746835443038</v>
      </c>
      <c r="AO13" s="38"/>
    </row>
    <row r="14" spans="1:41">
      <c r="A14" s="9" t="s">
        <v>218</v>
      </c>
      <c r="B14" s="36">
        <v>4.3841922039719003</v>
      </c>
      <c r="C14" s="32">
        <v>4.5386710990181802</v>
      </c>
      <c r="D14" s="32">
        <v>4.1875565448689303</v>
      </c>
      <c r="E14" s="32">
        <v>4.3023693564943999</v>
      </c>
      <c r="F14" s="20" t="s">
        <v>76</v>
      </c>
      <c r="G14" s="15">
        <v>10.4477611940298</v>
      </c>
      <c r="H14" s="20" t="s">
        <v>76</v>
      </c>
      <c r="I14" s="20" t="s">
        <v>76</v>
      </c>
      <c r="J14" s="15">
        <v>6.1728395061728403</v>
      </c>
      <c r="K14" s="15">
        <v>10</v>
      </c>
      <c r="L14" s="15">
        <v>4.6875</v>
      </c>
      <c r="M14" s="20" t="s">
        <v>76</v>
      </c>
      <c r="N14" s="20" t="s">
        <v>76</v>
      </c>
      <c r="O14" s="20" t="s">
        <v>76</v>
      </c>
      <c r="P14" s="20" t="s">
        <v>76</v>
      </c>
      <c r="Q14" s="20" t="s">
        <v>76</v>
      </c>
      <c r="R14" s="20" t="s">
        <v>76</v>
      </c>
      <c r="S14" s="20" t="s">
        <v>76</v>
      </c>
      <c r="T14" s="20" t="s">
        <v>76</v>
      </c>
      <c r="U14" s="20" t="s">
        <v>76</v>
      </c>
      <c r="V14" s="20" t="s">
        <v>76</v>
      </c>
      <c r="W14" s="15">
        <v>8.9285714285714306</v>
      </c>
      <c r="X14" s="15">
        <v>9.6153846153846096</v>
      </c>
      <c r="Y14" s="20" t="s">
        <v>76</v>
      </c>
      <c r="Z14" s="20" t="s">
        <v>76</v>
      </c>
      <c r="AA14" s="15">
        <v>8.2191780821917799</v>
      </c>
      <c r="AB14" s="20" t="s">
        <v>76</v>
      </c>
      <c r="AC14" s="20" t="s">
        <v>76</v>
      </c>
      <c r="AD14" s="20" t="s">
        <v>76</v>
      </c>
      <c r="AE14" s="20" t="s">
        <v>76</v>
      </c>
      <c r="AF14" s="20" t="s">
        <v>76</v>
      </c>
      <c r="AG14" s="32">
        <v>4.0984238436458504</v>
      </c>
      <c r="AH14" s="15">
        <v>4.0268456375838904</v>
      </c>
      <c r="AI14" s="15">
        <v>2.9498525073746298</v>
      </c>
      <c r="AJ14" s="15">
        <v>3.8348082595870201</v>
      </c>
      <c r="AK14" s="15">
        <v>3.1141868512110702</v>
      </c>
      <c r="AL14" s="15">
        <v>3.3519553072625698</v>
      </c>
      <c r="AM14" s="15">
        <v>2.7692307692307701</v>
      </c>
      <c r="AN14" s="24">
        <v>9.1772151898734204</v>
      </c>
      <c r="AO14" s="38"/>
    </row>
    <row r="15" spans="1:41">
      <c r="A15" s="9" t="s">
        <v>219</v>
      </c>
      <c r="B15" s="36">
        <v>6.1267677042598097</v>
      </c>
      <c r="C15" s="32">
        <v>8.2963470880712897</v>
      </c>
      <c r="D15" s="32">
        <v>7.5125695350462696</v>
      </c>
      <c r="E15" s="32">
        <v>9.2591573329684902</v>
      </c>
      <c r="F15" s="15">
        <v>6.25</v>
      </c>
      <c r="G15" s="15">
        <v>20.8955223880597</v>
      </c>
      <c r="H15" s="20" t="s">
        <v>76</v>
      </c>
      <c r="I15" s="20" t="s">
        <v>76</v>
      </c>
      <c r="J15" s="15">
        <v>11.1111111111111</v>
      </c>
      <c r="K15" s="15">
        <v>12</v>
      </c>
      <c r="L15" s="15">
        <v>6.25</v>
      </c>
      <c r="M15" s="15">
        <v>13.235294117647101</v>
      </c>
      <c r="N15" s="20" t="s">
        <v>76</v>
      </c>
      <c r="O15" s="20" t="s">
        <v>76</v>
      </c>
      <c r="P15" s="15">
        <v>8.8888888888888893</v>
      </c>
      <c r="Q15" s="15">
        <v>8.3333333333333304</v>
      </c>
      <c r="R15" s="20" t="s">
        <v>76</v>
      </c>
      <c r="S15" s="15">
        <v>7</v>
      </c>
      <c r="T15" s="20" t="s">
        <v>76</v>
      </c>
      <c r="U15" s="15">
        <v>10.6382978723404</v>
      </c>
      <c r="V15" s="15">
        <v>12.962962962962999</v>
      </c>
      <c r="W15" s="15">
        <v>30.3571428571429</v>
      </c>
      <c r="X15" s="15">
        <v>9.6153846153846096</v>
      </c>
      <c r="Y15" s="20" t="s">
        <v>76</v>
      </c>
      <c r="Z15" s="20" t="s">
        <v>76</v>
      </c>
      <c r="AA15" s="15">
        <v>16.438356164383599</v>
      </c>
      <c r="AB15" s="15">
        <v>7.6923076923076898</v>
      </c>
      <c r="AC15" s="15">
        <v>6.1728395061728403</v>
      </c>
      <c r="AD15" s="15">
        <v>8.4210526315789505</v>
      </c>
      <c r="AE15" s="20" t="s">
        <v>76</v>
      </c>
      <c r="AF15" s="20" t="s">
        <v>76</v>
      </c>
      <c r="AG15" s="32">
        <v>6.1566399471539901</v>
      </c>
      <c r="AH15" s="15">
        <v>4.6979865771812097</v>
      </c>
      <c r="AI15" s="15">
        <v>7.6696165191740402</v>
      </c>
      <c r="AJ15" s="15">
        <v>5.8997050147492596</v>
      </c>
      <c r="AK15" s="15">
        <v>3.4602076124567498</v>
      </c>
      <c r="AL15" s="15">
        <v>7.8212290502793298</v>
      </c>
      <c r="AM15" s="15">
        <v>7.3846153846153904</v>
      </c>
      <c r="AN15" s="24">
        <v>7.2784810126582302</v>
      </c>
      <c r="AO15" s="38"/>
    </row>
    <row r="16" spans="1:41">
      <c r="A16" s="9" t="s">
        <v>220</v>
      </c>
      <c r="B16" s="36">
        <v>0.40361937654808799</v>
      </c>
      <c r="C16" s="32">
        <v>0.39201245976104199</v>
      </c>
      <c r="D16" s="34" t="s">
        <v>76</v>
      </c>
      <c r="E16" s="34"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c r="A17" s="9" t="s">
        <v>221</v>
      </c>
      <c r="B17" s="36">
        <v>3.8286353927064298</v>
      </c>
      <c r="C17" s="32">
        <v>4.0806950105366502</v>
      </c>
      <c r="D17" s="32">
        <v>4.5243874757753604</v>
      </c>
      <c r="E17" s="32">
        <v>5.3827024418393501</v>
      </c>
      <c r="F17" s="20" t="s">
        <v>76</v>
      </c>
      <c r="G17" s="20" t="s">
        <v>76</v>
      </c>
      <c r="H17" s="15">
        <v>6.0975609756097597</v>
      </c>
      <c r="I17" s="20" t="s">
        <v>76</v>
      </c>
      <c r="J17" s="20" t="s">
        <v>76</v>
      </c>
      <c r="K17" s="20" t="s">
        <v>76</v>
      </c>
      <c r="L17" s="15">
        <v>4.6875</v>
      </c>
      <c r="M17" s="20" t="s">
        <v>76</v>
      </c>
      <c r="N17" s="15">
        <v>10.2040816326531</v>
      </c>
      <c r="O17" s="20" t="s">
        <v>76</v>
      </c>
      <c r="P17" s="15">
        <v>3.7037037037037002</v>
      </c>
      <c r="Q17" s="20" t="s">
        <v>76</v>
      </c>
      <c r="R17" s="15">
        <v>5.4945054945054901</v>
      </c>
      <c r="S17" s="20" t="s">
        <v>76</v>
      </c>
      <c r="T17" s="20" t="s">
        <v>76</v>
      </c>
      <c r="U17" s="20" t="s">
        <v>76</v>
      </c>
      <c r="V17" s="20" t="s">
        <v>76</v>
      </c>
      <c r="W17" s="20" t="s">
        <v>76</v>
      </c>
      <c r="X17" s="20" t="s">
        <v>76</v>
      </c>
      <c r="Y17" s="15">
        <v>12.1951219512195</v>
      </c>
      <c r="Z17" s="20" t="s">
        <v>76</v>
      </c>
      <c r="AA17" s="15">
        <v>17.808219178082201</v>
      </c>
      <c r="AB17" s="15">
        <v>8.9743589743589691</v>
      </c>
      <c r="AC17" s="20" t="s">
        <v>76</v>
      </c>
      <c r="AD17" s="20" t="s">
        <v>76</v>
      </c>
      <c r="AE17" s="20" t="s">
        <v>76</v>
      </c>
      <c r="AF17" s="20" t="s">
        <v>76</v>
      </c>
      <c r="AG17" s="32">
        <v>3.8580512860908698</v>
      </c>
      <c r="AH17" s="15">
        <v>3.3557046979865799</v>
      </c>
      <c r="AI17" s="15">
        <v>3.5398230088495599</v>
      </c>
      <c r="AJ17" s="15">
        <v>2.0648967551622399</v>
      </c>
      <c r="AK17" s="15">
        <v>3.1141868512110702</v>
      </c>
      <c r="AL17" s="15">
        <v>3.91061452513966</v>
      </c>
      <c r="AM17" s="15">
        <v>4.6153846153846096</v>
      </c>
      <c r="AN17" s="24">
        <v>5.37974683544304</v>
      </c>
      <c r="AO17" s="38"/>
    </row>
    <row r="18" spans="1:41">
      <c r="A18" s="9" t="s">
        <v>222</v>
      </c>
      <c r="B18" s="36">
        <v>10.915436754923</v>
      </c>
      <c r="C18" s="32">
        <v>10.9677886659719</v>
      </c>
      <c r="D18" s="32">
        <v>12.9055534644646</v>
      </c>
      <c r="E18" s="32">
        <v>14.4429426857698</v>
      </c>
      <c r="F18" s="15">
        <v>22.9166666666667</v>
      </c>
      <c r="G18" s="15">
        <v>25.373134328358201</v>
      </c>
      <c r="H18" s="15">
        <v>12.1951219512195</v>
      </c>
      <c r="I18" s="15">
        <v>32.5</v>
      </c>
      <c r="J18" s="15">
        <v>16.049382716049401</v>
      </c>
      <c r="K18" s="15">
        <v>14</v>
      </c>
      <c r="L18" s="15">
        <v>10.9375</v>
      </c>
      <c r="M18" s="15">
        <v>14.705882352941201</v>
      </c>
      <c r="N18" s="15">
        <v>10.2040816326531</v>
      </c>
      <c r="O18" s="20" t="s">
        <v>76</v>
      </c>
      <c r="P18" s="15">
        <v>13.3333333333333</v>
      </c>
      <c r="Q18" s="15">
        <v>18.3333333333333</v>
      </c>
      <c r="R18" s="15">
        <v>8.7912087912087902</v>
      </c>
      <c r="S18" s="15">
        <v>12</v>
      </c>
      <c r="T18" s="15">
        <v>18.181818181818201</v>
      </c>
      <c r="U18" s="15">
        <v>21.2765957446809</v>
      </c>
      <c r="V18" s="15">
        <v>16.6666666666667</v>
      </c>
      <c r="W18" s="15">
        <v>23.214285714285701</v>
      </c>
      <c r="X18" s="15">
        <v>13.461538461538501</v>
      </c>
      <c r="Y18" s="15">
        <v>24.390243902439</v>
      </c>
      <c r="Z18" s="15">
        <v>15.2173913043478</v>
      </c>
      <c r="AA18" s="15">
        <v>13.698630136986299</v>
      </c>
      <c r="AB18" s="15">
        <v>23.076923076923102</v>
      </c>
      <c r="AC18" s="15">
        <v>14.814814814814801</v>
      </c>
      <c r="AD18" s="15">
        <v>6.3157894736842097</v>
      </c>
      <c r="AE18" s="15">
        <v>8.1967213114754092</v>
      </c>
      <c r="AF18" s="15">
        <v>13.5135135135135</v>
      </c>
      <c r="AG18" s="32">
        <v>11.7120311372421</v>
      </c>
      <c r="AH18" s="15">
        <v>7.0469798657718101</v>
      </c>
      <c r="AI18" s="15">
        <v>10.6194690265487</v>
      </c>
      <c r="AJ18" s="15">
        <v>11.2094395280236</v>
      </c>
      <c r="AK18" s="15">
        <v>14.532871972318301</v>
      </c>
      <c r="AL18" s="15">
        <v>13.407821229050301</v>
      </c>
      <c r="AM18" s="15">
        <v>11.692307692307701</v>
      </c>
      <c r="AN18" s="24">
        <v>16.139240506329099</v>
      </c>
      <c r="AO18" s="38"/>
    </row>
    <row r="19" spans="1:41">
      <c r="A19" s="9" t="s">
        <v>223</v>
      </c>
      <c r="B19" s="36">
        <v>4.9115167681525396</v>
      </c>
      <c r="C19" s="32">
        <v>4.8009034006615199</v>
      </c>
      <c r="D19" s="32">
        <v>6.3637954972136201</v>
      </c>
      <c r="E19" s="32">
        <v>9.2559064092276007</v>
      </c>
      <c r="F19" s="15">
        <v>9.375</v>
      </c>
      <c r="G19" s="15">
        <v>8.9552238805970106</v>
      </c>
      <c r="H19" s="15">
        <v>9.7560975609756095</v>
      </c>
      <c r="I19" s="20" t="s">
        <v>76</v>
      </c>
      <c r="J19" s="15">
        <v>6.1728395061728403</v>
      </c>
      <c r="K19" s="20" t="s">
        <v>76</v>
      </c>
      <c r="L19" s="15">
        <v>11.71875</v>
      </c>
      <c r="M19" s="15">
        <v>7.3529411764705896</v>
      </c>
      <c r="N19" s="20" t="s">
        <v>76</v>
      </c>
      <c r="O19" s="20" t="s">
        <v>76</v>
      </c>
      <c r="P19" s="15">
        <v>14.814814814814801</v>
      </c>
      <c r="Q19" s="20" t="s">
        <v>76</v>
      </c>
      <c r="R19" s="15">
        <v>12.0879120879121</v>
      </c>
      <c r="S19" s="15">
        <v>8</v>
      </c>
      <c r="T19" s="20" t="s">
        <v>76</v>
      </c>
      <c r="U19" s="20" t="s">
        <v>76</v>
      </c>
      <c r="V19" s="15">
        <v>12.962962962962999</v>
      </c>
      <c r="W19" s="15">
        <v>14.285714285714301</v>
      </c>
      <c r="X19" s="15">
        <v>6.7307692307692299</v>
      </c>
      <c r="Y19" s="20" t="s">
        <v>76</v>
      </c>
      <c r="Z19" s="15">
        <v>13.0434782608696</v>
      </c>
      <c r="AA19" s="15">
        <v>9.5890410958904102</v>
      </c>
      <c r="AB19" s="15">
        <v>11.538461538461499</v>
      </c>
      <c r="AC19" s="15">
        <v>7.4074074074074101</v>
      </c>
      <c r="AD19" s="20" t="s">
        <v>76</v>
      </c>
      <c r="AE19" s="15">
        <v>8.1967213114754092</v>
      </c>
      <c r="AF19" s="15">
        <v>16.2162162162162</v>
      </c>
      <c r="AG19" s="32">
        <v>4.1185612400345804</v>
      </c>
      <c r="AH19" s="15">
        <v>5.0335570469798698</v>
      </c>
      <c r="AI19" s="15">
        <v>3.8348082595870201</v>
      </c>
      <c r="AJ19" s="15">
        <v>5.0147492625368697</v>
      </c>
      <c r="AK19" s="15">
        <v>4.1522491349481001</v>
      </c>
      <c r="AL19" s="15">
        <v>2.7932960893854699</v>
      </c>
      <c r="AM19" s="15">
        <v>5.5384615384615401</v>
      </c>
      <c r="AN19" s="24">
        <v>3.4810126582278502</v>
      </c>
      <c r="AO19" s="38"/>
    </row>
    <row r="20" spans="1:41">
      <c r="A20" s="9" t="s">
        <v>224</v>
      </c>
      <c r="B20" s="36">
        <v>0.85494288457628098</v>
      </c>
      <c r="C20" s="32">
        <v>0.73649025128619705</v>
      </c>
      <c r="D20" s="32">
        <v>0.684269798326685</v>
      </c>
      <c r="E20" s="34" t="s">
        <v>76</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4" t="s">
        <v>76</v>
      </c>
      <c r="AH20" s="20" t="s">
        <v>76</v>
      </c>
      <c r="AI20" s="20" t="s">
        <v>76</v>
      </c>
      <c r="AJ20" s="20" t="s">
        <v>76</v>
      </c>
      <c r="AK20" s="20" t="s">
        <v>76</v>
      </c>
      <c r="AL20" s="20" t="s">
        <v>76</v>
      </c>
      <c r="AM20" s="20" t="s">
        <v>76</v>
      </c>
      <c r="AN20" s="26" t="s">
        <v>76</v>
      </c>
      <c r="AO20" s="38"/>
    </row>
    <row r="21" spans="1:41">
      <c r="A21" s="9" t="s">
        <v>225</v>
      </c>
      <c r="B21" s="36">
        <v>2.55943123551581</v>
      </c>
      <c r="C21" s="32">
        <v>2.5340038644260101</v>
      </c>
      <c r="D21" s="32">
        <v>1.23951698630969</v>
      </c>
      <c r="E21" s="34" t="s">
        <v>76</v>
      </c>
      <c r="F21" s="20" t="s">
        <v>76</v>
      </c>
      <c r="G21" s="20" t="s">
        <v>76</v>
      </c>
      <c r="H21" s="20" t="s">
        <v>76</v>
      </c>
      <c r="I21" s="20" t="s">
        <v>76</v>
      </c>
      <c r="J21" s="20" t="s">
        <v>76</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20" t="s">
        <v>76</v>
      </c>
      <c r="AA21" s="20" t="s">
        <v>76</v>
      </c>
      <c r="AB21" s="20" t="s">
        <v>76</v>
      </c>
      <c r="AC21" s="20" t="s">
        <v>76</v>
      </c>
      <c r="AD21" s="20" t="s">
        <v>76</v>
      </c>
      <c r="AE21" s="20" t="s">
        <v>76</v>
      </c>
      <c r="AF21" s="20" t="s">
        <v>76</v>
      </c>
      <c r="AG21" s="32">
        <v>1.51225738100018</v>
      </c>
      <c r="AH21" s="20" t="s">
        <v>76</v>
      </c>
      <c r="AI21" s="20" t="s">
        <v>76</v>
      </c>
      <c r="AJ21" s="20" t="s">
        <v>76</v>
      </c>
      <c r="AK21" s="20" t="s">
        <v>76</v>
      </c>
      <c r="AL21" s="20" t="s">
        <v>76</v>
      </c>
      <c r="AM21" s="15">
        <v>1.84615384615385</v>
      </c>
      <c r="AN21" s="24">
        <v>5.0632911392405102</v>
      </c>
      <c r="AO21" s="38"/>
    </row>
    <row r="22" spans="1:41">
      <c r="A22" s="9" t="s">
        <v>226</v>
      </c>
      <c r="B22" s="36">
        <v>1.0363360376879001</v>
      </c>
      <c r="C22" s="32">
        <v>0.97575428546424103</v>
      </c>
      <c r="D22" s="32">
        <v>0.99530847223175101</v>
      </c>
      <c r="E22" s="34"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34" t="s">
        <v>76</v>
      </c>
      <c r="AH22" s="20" t="s">
        <v>76</v>
      </c>
      <c r="AI22" s="15">
        <v>1.47492625368732</v>
      </c>
      <c r="AJ22" s="20" t="s">
        <v>76</v>
      </c>
      <c r="AK22" s="20" t="s">
        <v>76</v>
      </c>
      <c r="AL22" s="20" t="s">
        <v>76</v>
      </c>
      <c r="AM22" s="20" t="s">
        <v>76</v>
      </c>
      <c r="AN22" s="26" t="s">
        <v>76</v>
      </c>
      <c r="AO22" s="38"/>
    </row>
    <row r="23" spans="1:41">
      <c r="A23" s="9" t="s">
        <v>227</v>
      </c>
      <c r="B23" s="36">
        <v>5.5703404785507198</v>
      </c>
      <c r="C23" s="32">
        <v>6.0201998618334303</v>
      </c>
      <c r="D23" s="32">
        <v>6.4005001125665597</v>
      </c>
      <c r="E23" s="32">
        <v>3.5235577871917498</v>
      </c>
      <c r="F23" s="20" t="s">
        <v>76</v>
      </c>
      <c r="G23" s="20" t="s">
        <v>76</v>
      </c>
      <c r="H23" s="20" t="s">
        <v>76</v>
      </c>
      <c r="I23" s="20" t="s">
        <v>76</v>
      </c>
      <c r="J23" s="20" t="s">
        <v>76</v>
      </c>
      <c r="K23" s="20" t="s">
        <v>76</v>
      </c>
      <c r="L23" s="20" t="s">
        <v>76</v>
      </c>
      <c r="M23" s="20" t="s">
        <v>76</v>
      </c>
      <c r="N23" s="20" t="s">
        <v>76</v>
      </c>
      <c r="O23" s="20" t="s">
        <v>76</v>
      </c>
      <c r="P23" s="20" t="s">
        <v>76</v>
      </c>
      <c r="Q23" s="15">
        <v>8.3333333333333304</v>
      </c>
      <c r="R23" s="20" t="s">
        <v>76</v>
      </c>
      <c r="S23" s="20" t="s">
        <v>76</v>
      </c>
      <c r="T23" s="20" t="s">
        <v>76</v>
      </c>
      <c r="U23" s="20" t="s">
        <v>76</v>
      </c>
      <c r="V23" s="20" t="s">
        <v>76</v>
      </c>
      <c r="W23" s="20" t="s">
        <v>76</v>
      </c>
      <c r="X23" s="15">
        <v>9.6153846153846096</v>
      </c>
      <c r="Y23" s="20" t="s">
        <v>76</v>
      </c>
      <c r="Z23" s="20" t="s">
        <v>76</v>
      </c>
      <c r="AA23" s="15">
        <v>6.8493150684931496</v>
      </c>
      <c r="AB23" s="15">
        <v>10.2564102564103</v>
      </c>
      <c r="AC23" s="20" t="s">
        <v>76</v>
      </c>
      <c r="AD23" s="20" t="s">
        <v>76</v>
      </c>
      <c r="AE23" s="20" t="s">
        <v>76</v>
      </c>
      <c r="AF23" s="20" t="s">
        <v>76</v>
      </c>
      <c r="AG23" s="32">
        <v>8.6339585314768197</v>
      </c>
      <c r="AH23" s="15">
        <v>4.6979865771812097</v>
      </c>
      <c r="AI23" s="15">
        <v>6.7846607669616503</v>
      </c>
      <c r="AJ23" s="15">
        <v>5.8997050147492596</v>
      </c>
      <c r="AK23" s="15">
        <v>7.9584775086505202</v>
      </c>
      <c r="AL23" s="15">
        <v>8.9385474860335208</v>
      </c>
      <c r="AM23" s="15">
        <v>8.9230769230769198</v>
      </c>
      <c r="AN23" s="24">
        <v>10.4430379746835</v>
      </c>
      <c r="AO23" s="38"/>
    </row>
    <row r="24" spans="1:41">
      <c r="A24" s="9" t="s">
        <v>228</v>
      </c>
      <c r="B24" s="36">
        <v>22.940609912452601</v>
      </c>
      <c r="C24" s="32">
        <v>24.233381867303802</v>
      </c>
      <c r="D24" s="32">
        <v>28.4246063266968</v>
      </c>
      <c r="E24" s="32">
        <v>29.502939835922302</v>
      </c>
      <c r="F24" s="15">
        <v>23.9583333333333</v>
      </c>
      <c r="G24" s="15">
        <v>34.328358208955201</v>
      </c>
      <c r="H24" s="15">
        <v>39.024390243902403</v>
      </c>
      <c r="I24" s="15">
        <v>15</v>
      </c>
      <c r="J24" s="15">
        <v>39.506172839506199</v>
      </c>
      <c r="K24" s="15">
        <v>22</v>
      </c>
      <c r="L24" s="15">
        <v>27.34375</v>
      </c>
      <c r="M24" s="15">
        <v>17.647058823529399</v>
      </c>
      <c r="N24" s="15">
        <v>46.938775510204103</v>
      </c>
      <c r="O24" s="15">
        <v>19.047619047619001</v>
      </c>
      <c r="P24" s="15">
        <v>25.925925925925899</v>
      </c>
      <c r="Q24" s="15">
        <v>31.6666666666667</v>
      </c>
      <c r="R24" s="15">
        <v>29.6703296703297</v>
      </c>
      <c r="S24" s="15">
        <v>14</v>
      </c>
      <c r="T24" s="15">
        <v>24.2424242424242</v>
      </c>
      <c r="U24" s="15">
        <v>44.680851063829799</v>
      </c>
      <c r="V24" s="15">
        <v>62.962962962962997</v>
      </c>
      <c r="W24" s="15">
        <v>37.5</v>
      </c>
      <c r="X24" s="15">
        <v>38.461538461538503</v>
      </c>
      <c r="Y24" s="15">
        <v>17.0731707317073</v>
      </c>
      <c r="Z24" s="15">
        <v>26.086956521739101</v>
      </c>
      <c r="AA24" s="15">
        <v>24.657534246575299</v>
      </c>
      <c r="AB24" s="15">
        <v>28.205128205128201</v>
      </c>
      <c r="AC24" s="15">
        <v>23.456790123456798</v>
      </c>
      <c r="AD24" s="15">
        <v>30.526315789473699</v>
      </c>
      <c r="AE24" s="15">
        <v>27.868852459016399</v>
      </c>
      <c r="AF24" s="15">
        <v>27.027027027027</v>
      </c>
      <c r="AG24" s="32">
        <v>27.5874630050075</v>
      </c>
      <c r="AH24" s="15">
        <v>17.785234899328898</v>
      </c>
      <c r="AI24" s="15">
        <v>36.578171091445398</v>
      </c>
      <c r="AJ24" s="15">
        <v>23.8938053097345</v>
      </c>
      <c r="AK24" s="15">
        <v>21.799307958477499</v>
      </c>
      <c r="AL24" s="15">
        <v>34.636871508379897</v>
      </c>
      <c r="AM24" s="15">
        <v>34.153846153846203</v>
      </c>
      <c r="AN24" s="24">
        <v>23.4177215189873</v>
      </c>
      <c r="AO24" s="38"/>
    </row>
    <row r="25" spans="1:41">
      <c r="A25" s="9" t="s">
        <v>229</v>
      </c>
      <c r="B25" s="36">
        <v>0.40052593877834902</v>
      </c>
      <c r="C25" s="32">
        <v>0.36467915110829402</v>
      </c>
      <c r="D25" s="34" t="s">
        <v>76</v>
      </c>
      <c r="E25" s="34"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c r="A26" s="9" t="s">
        <v>230</v>
      </c>
      <c r="B26" s="36">
        <v>3.6371770846970901</v>
      </c>
      <c r="C26" s="32">
        <v>3.7720087784054299</v>
      </c>
      <c r="D26" s="32">
        <v>3.78991410232477</v>
      </c>
      <c r="E26" s="32">
        <v>3.93828989103377</v>
      </c>
      <c r="F26" s="20" t="s">
        <v>76</v>
      </c>
      <c r="G26" s="20" t="s">
        <v>76</v>
      </c>
      <c r="H26" s="20" t="s">
        <v>76</v>
      </c>
      <c r="I26" s="20" t="s">
        <v>76</v>
      </c>
      <c r="J26" s="15">
        <v>8.6419753086419693</v>
      </c>
      <c r="K26" s="20" t="s">
        <v>76</v>
      </c>
      <c r="L26" s="15">
        <v>5.46875</v>
      </c>
      <c r="M26" s="20" t="s">
        <v>76</v>
      </c>
      <c r="N26" s="20" t="s">
        <v>76</v>
      </c>
      <c r="O26" s="20" t="s">
        <v>76</v>
      </c>
      <c r="P26" s="20" t="s">
        <v>76</v>
      </c>
      <c r="Q26" s="20" t="s">
        <v>76</v>
      </c>
      <c r="R26" s="15">
        <v>5.4945054945054901</v>
      </c>
      <c r="S26" s="20" t="s">
        <v>76</v>
      </c>
      <c r="T26" s="20" t="s">
        <v>76</v>
      </c>
      <c r="U26" s="20" t="s">
        <v>76</v>
      </c>
      <c r="V26" s="20" t="s">
        <v>76</v>
      </c>
      <c r="W26" s="20" t="s">
        <v>76</v>
      </c>
      <c r="X26" s="20" t="s">
        <v>76</v>
      </c>
      <c r="Y26" s="20" t="s">
        <v>76</v>
      </c>
      <c r="Z26" s="20" t="s">
        <v>76</v>
      </c>
      <c r="AA26" s="20" t="s">
        <v>76</v>
      </c>
      <c r="AB26" s="20" t="s">
        <v>76</v>
      </c>
      <c r="AC26" s="15">
        <v>7.4074074074074101</v>
      </c>
      <c r="AD26" s="20" t="s">
        <v>76</v>
      </c>
      <c r="AE26" s="20" t="s">
        <v>76</v>
      </c>
      <c r="AF26" s="20" t="s">
        <v>76</v>
      </c>
      <c r="AG26" s="32">
        <v>3.67472543429633</v>
      </c>
      <c r="AH26" s="15">
        <v>2.3489932885906</v>
      </c>
      <c r="AI26" s="15">
        <v>4.4247787610619502</v>
      </c>
      <c r="AJ26" s="15">
        <v>2.65486725663717</v>
      </c>
      <c r="AK26" s="15">
        <v>2.4221453287197199</v>
      </c>
      <c r="AL26" s="20" t="s">
        <v>76</v>
      </c>
      <c r="AM26" s="15">
        <v>1.84615384615385</v>
      </c>
      <c r="AN26" s="24">
        <v>7.59493670886076</v>
      </c>
      <c r="AO26" s="38"/>
    </row>
    <row r="27" spans="1:41">
      <c r="A27" s="9" t="s">
        <v>231</v>
      </c>
      <c r="B27" s="36">
        <v>7.9378004050992903</v>
      </c>
      <c r="C27" s="32">
        <v>7.5579949097710903</v>
      </c>
      <c r="D27" s="32">
        <v>8.7970219155104097</v>
      </c>
      <c r="E27" s="32">
        <v>10.499077167469601</v>
      </c>
      <c r="F27" s="15">
        <v>12.5</v>
      </c>
      <c r="G27" s="15">
        <v>16.417910447761201</v>
      </c>
      <c r="H27" s="15">
        <v>14.634146341463399</v>
      </c>
      <c r="I27" s="15">
        <v>12.5</v>
      </c>
      <c r="J27" s="15">
        <v>13.580246913580201</v>
      </c>
      <c r="K27" s="15">
        <v>22</v>
      </c>
      <c r="L27" s="15">
        <v>6.25</v>
      </c>
      <c r="M27" s="20" t="s">
        <v>76</v>
      </c>
      <c r="N27" s="20" t="s">
        <v>76</v>
      </c>
      <c r="O27" s="20" t="s">
        <v>76</v>
      </c>
      <c r="P27" s="15">
        <v>11.851851851851899</v>
      </c>
      <c r="Q27" s="15">
        <v>8.3333333333333304</v>
      </c>
      <c r="R27" s="15">
        <v>8.7912087912087902</v>
      </c>
      <c r="S27" s="15">
        <v>6</v>
      </c>
      <c r="T27" s="20" t="s">
        <v>76</v>
      </c>
      <c r="U27" s="15">
        <v>10.6382978723404</v>
      </c>
      <c r="V27" s="15">
        <v>20.370370370370399</v>
      </c>
      <c r="W27" s="15">
        <v>17.8571428571429</v>
      </c>
      <c r="X27" s="15">
        <v>17.307692307692299</v>
      </c>
      <c r="Y27" s="20" t="s">
        <v>76</v>
      </c>
      <c r="Z27" s="20" t="s">
        <v>76</v>
      </c>
      <c r="AA27" s="15">
        <v>13.698630136986299</v>
      </c>
      <c r="AB27" s="15">
        <v>11.538461538461499</v>
      </c>
      <c r="AC27" s="15">
        <v>9.8765432098765409</v>
      </c>
      <c r="AD27" s="15">
        <v>7.3684210526315796</v>
      </c>
      <c r="AE27" s="15">
        <v>9.8360655737704903</v>
      </c>
      <c r="AF27" s="20" t="s">
        <v>76</v>
      </c>
      <c r="AG27" s="32">
        <v>7.4756643066318897</v>
      </c>
      <c r="AH27" s="15">
        <v>4.0268456375838904</v>
      </c>
      <c r="AI27" s="15">
        <v>5.8997050147492596</v>
      </c>
      <c r="AJ27" s="15">
        <v>7.3746312684365796</v>
      </c>
      <c r="AK27" s="15">
        <v>8.3044982698961896</v>
      </c>
      <c r="AL27" s="15">
        <v>13.966480446927401</v>
      </c>
      <c r="AM27" s="15">
        <v>8</v>
      </c>
      <c r="AN27" s="24">
        <v>5.0632911392405102</v>
      </c>
      <c r="AO27" s="38"/>
    </row>
    <row r="28" spans="1:41">
      <c r="A28" s="9" t="s">
        <v>232</v>
      </c>
      <c r="B28" s="36">
        <v>4.3991788642041403</v>
      </c>
      <c r="C28" s="32">
        <v>4.1892384964413303</v>
      </c>
      <c r="D28" s="32">
        <v>4.4086755216562796</v>
      </c>
      <c r="E28" s="32">
        <v>5.4933509545773198</v>
      </c>
      <c r="F28" s="15">
        <v>8.3333333333333304</v>
      </c>
      <c r="G28" s="15">
        <v>14.9253731343284</v>
      </c>
      <c r="H28" s="20" t="s">
        <v>76</v>
      </c>
      <c r="I28" s="15">
        <v>12.5</v>
      </c>
      <c r="J28" s="15">
        <v>6.1728395061728403</v>
      </c>
      <c r="K28" s="20" t="s">
        <v>76</v>
      </c>
      <c r="L28" s="15">
        <v>3.90625</v>
      </c>
      <c r="M28" s="20" t="s">
        <v>76</v>
      </c>
      <c r="N28" s="15">
        <v>14.285714285714301</v>
      </c>
      <c r="O28" s="20" t="s">
        <v>76</v>
      </c>
      <c r="P28" s="20" t="s">
        <v>76</v>
      </c>
      <c r="Q28" s="15">
        <v>8.3333333333333304</v>
      </c>
      <c r="R28" s="20" t="s">
        <v>76</v>
      </c>
      <c r="S28" s="20" t="s">
        <v>76</v>
      </c>
      <c r="T28" s="20" t="s">
        <v>76</v>
      </c>
      <c r="U28" s="20" t="s">
        <v>76</v>
      </c>
      <c r="V28" s="15">
        <v>9.2592592592592595</v>
      </c>
      <c r="W28" s="20" t="s">
        <v>76</v>
      </c>
      <c r="X28" s="20" t="s">
        <v>76</v>
      </c>
      <c r="Y28" s="15">
        <v>12.1951219512195</v>
      </c>
      <c r="Z28" s="20" t="s">
        <v>76</v>
      </c>
      <c r="AA28" s="15">
        <v>6.8493150684931496</v>
      </c>
      <c r="AB28" s="20" t="s">
        <v>76</v>
      </c>
      <c r="AC28" s="15">
        <v>6.1728395061728403</v>
      </c>
      <c r="AD28" s="20" t="s">
        <v>76</v>
      </c>
      <c r="AE28" s="20" t="s">
        <v>76</v>
      </c>
      <c r="AF28" s="20" t="s">
        <v>76</v>
      </c>
      <c r="AG28" s="32">
        <v>3.5666087704130001</v>
      </c>
      <c r="AH28" s="15">
        <v>2.0134228187919501</v>
      </c>
      <c r="AI28" s="15">
        <v>4.71976401179941</v>
      </c>
      <c r="AJ28" s="15">
        <v>2.0648967551622399</v>
      </c>
      <c r="AK28" s="15">
        <v>5.8823529411764701</v>
      </c>
      <c r="AL28" s="15">
        <v>2.7932960893854699</v>
      </c>
      <c r="AM28" s="15">
        <v>4.9230769230769198</v>
      </c>
      <c r="AN28" s="24">
        <v>4.1139240506329102</v>
      </c>
      <c r="AO28" s="38"/>
    </row>
    <row r="29" spans="1:41">
      <c r="A29" s="9" t="s">
        <v>233</v>
      </c>
      <c r="B29" s="36">
        <v>0.60444325089101603</v>
      </c>
      <c r="C29" s="32">
        <v>0.47065422944235602</v>
      </c>
      <c r="D29" s="34" t="s">
        <v>76</v>
      </c>
      <c r="E29" s="34"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34" t="s">
        <v>76</v>
      </c>
      <c r="AH29" s="20" t="s">
        <v>76</v>
      </c>
      <c r="AI29" s="20" t="s">
        <v>76</v>
      </c>
      <c r="AJ29" s="20" t="s">
        <v>76</v>
      </c>
      <c r="AK29" s="20" t="s">
        <v>76</v>
      </c>
      <c r="AL29" s="20" t="s">
        <v>76</v>
      </c>
      <c r="AM29" s="20" t="s">
        <v>76</v>
      </c>
      <c r="AN29" s="26" t="s">
        <v>76</v>
      </c>
      <c r="AO29" s="38"/>
    </row>
    <row r="30" spans="1:41">
      <c r="A30" s="9" t="s">
        <v>234</v>
      </c>
      <c r="B30" s="36">
        <v>2.9308780981006999</v>
      </c>
      <c r="C30" s="32">
        <v>3.6870288411453802</v>
      </c>
      <c r="D30" s="32">
        <v>3.9042421178214402</v>
      </c>
      <c r="E30" s="32">
        <v>3.4627641567457998</v>
      </c>
      <c r="F30" s="20" t="s">
        <v>76</v>
      </c>
      <c r="G30" s="20" t="s">
        <v>76</v>
      </c>
      <c r="H30" s="20" t="s">
        <v>76</v>
      </c>
      <c r="I30" s="15">
        <v>12.5</v>
      </c>
      <c r="J30" s="20" t="s">
        <v>76</v>
      </c>
      <c r="K30" s="20" t="s">
        <v>76</v>
      </c>
      <c r="L30" s="20" t="s">
        <v>76</v>
      </c>
      <c r="M30" s="20" t="s">
        <v>76</v>
      </c>
      <c r="N30" s="20" t="s">
        <v>76</v>
      </c>
      <c r="O30" s="20" t="s">
        <v>76</v>
      </c>
      <c r="P30" s="15">
        <v>7.4074074074074101</v>
      </c>
      <c r="Q30" s="20" t="s">
        <v>76</v>
      </c>
      <c r="R30" s="15">
        <v>5.4945054945054901</v>
      </c>
      <c r="S30" s="20" t="s">
        <v>76</v>
      </c>
      <c r="T30" s="20" t="s">
        <v>76</v>
      </c>
      <c r="U30" s="20" t="s">
        <v>76</v>
      </c>
      <c r="V30" s="20" t="s">
        <v>76</v>
      </c>
      <c r="W30" s="20" t="s">
        <v>76</v>
      </c>
      <c r="X30" s="20" t="s">
        <v>76</v>
      </c>
      <c r="Y30" s="20" t="s">
        <v>76</v>
      </c>
      <c r="Z30" s="20" t="s">
        <v>76</v>
      </c>
      <c r="AA30" s="20" t="s">
        <v>76</v>
      </c>
      <c r="AB30" s="15">
        <v>6.4102564102564097</v>
      </c>
      <c r="AC30" s="20" t="s">
        <v>76</v>
      </c>
      <c r="AD30" s="20" t="s">
        <v>76</v>
      </c>
      <c r="AE30" s="20" t="s">
        <v>76</v>
      </c>
      <c r="AF30" s="20" t="s">
        <v>76</v>
      </c>
      <c r="AG30" s="32">
        <v>4.2469749770209297</v>
      </c>
      <c r="AH30" s="15">
        <v>5.3691275167785202</v>
      </c>
      <c r="AI30" s="15">
        <v>5.8997050147492596</v>
      </c>
      <c r="AJ30" s="15">
        <v>4.4247787610619502</v>
      </c>
      <c r="AK30" s="15">
        <v>3.1141868512110702</v>
      </c>
      <c r="AL30" s="15">
        <v>7.2625698324022299</v>
      </c>
      <c r="AM30" s="15">
        <v>3.6923076923076898</v>
      </c>
      <c r="AN30" s="24">
        <v>2.84810126582278</v>
      </c>
      <c r="AO30" s="38"/>
    </row>
    <row r="31" spans="1:41">
      <c r="A31" s="9" t="s">
        <v>235</v>
      </c>
      <c r="B31" s="36">
        <v>6.9949084674478703</v>
      </c>
      <c r="C31" s="32">
        <v>7.2235261424613002</v>
      </c>
      <c r="D31" s="32">
        <v>9.0512103148452994</v>
      </c>
      <c r="E31" s="32">
        <v>10.9261197035488</v>
      </c>
      <c r="F31" s="15">
        <v>6.25</v>
      </c>
      <c r="G31" s="20" t="s">
        <v>76</v>
      </c>
      <c r="H31" s="15">
        <v>12.1951219512195</v>
      </c>
      <c r="I31" s="20" t="s">
        <v>76</v>
      </c>
      <c r="J31" s="15">
        <v>17.283950617283899</v>
      </c>
      <c r="K31" s="15">
        <v>20</v>
      </c>
      <c r="L31" s="15">
        <v>9.375</v>
      </c>
      <c r="M31" s="20" t="s">
        <v>76</v>
      </c>
      <c r="N31" s="15">
        <v>30.612244897959201</v>
      </c>
      <c r="O31" s="20" t="s">
        <v>76</v>
      </c>
      <c r="P31" s="15">
        <v>5.92592592592593</v>
      </c>
      <c r="Q31" s="15">
        <v>18.3333333333333</v>
      </c>
      <c r="R31" s="15">
        <v>14.285714285714301</v>
      </c>
      <c r="S31" s="15">
        <v>7</v>
      </c>
      <c r="T31" s="20" t="s">
        <v>76</v>
      </c>
      <c r="U31" s="15">
        <v>17.021276595744698</v>
      </c>
      <c r="V31" s="15">
        <v>20.370370370370399</v>
      </c>
      <c r="W31" s="20" t="s">
        <v>76</v>
      </c>
      <c r="X31" s="15">
        <v>18.269230769230798</v>
      </c>
      <c r="Y31" s="20" t="s">
        <v>76</v>
      </c>
      <c r="Z31" s="20" t="s">
        <v>76</v>
      </c>
      <c r="AA31" s="15">
        <v>8.2191780821917799</v>
      </c>
      <c r="AB31" s="15">
        <v>10.2564102564103</v>
      </c>
      <c r="AC31" s="15">
        <v>14.814814814814801</v>
      </c>
      <c r="AD31" s="15">
        <v>8.4210526315789505</v>
      </c>
      <c r="AE31" s="15">
        <v>19.672131147540998</v>
      </c>
      <c r="AF31" s="20" t="s">
        <v>76</v>
      </c>
      <c r="AG31" s="32">
        <v>7.5956607468336799</v>
      </c>
      <c r="AH31" s="15">
        <v>4.6979865771812097</v>
      </c>
      <c r="AI31" s="15">
        <v>7.0796460176991101</v>
      </c>
      <c r="AJ31" s="15">
        <v>9.1445427728613602</v>
      </c>
      <c r="AK31" s="15">
        <v>5.5363321799307998</v>
      </c>
      <c r="AL31" s="15">
        <v>18.994413407821199</v>
      </c>
      <c r="AM31" s="15">
        <v>6.4615384615384599</v>
      </c>
      <c r="AN31" s="24">
        <v>4.43037974683544</v>
      </c>
      <c r="AO31" s="38"/>
    </row>
    <row r="32" spans="1:41">
      <c r="A32" s="9" t="s">
        <v>236</v>
      </c>
      <c r="B32" s="36">
        <v>0.31382264659037301</v>
      </c>
      <c r="C32" s="32">
        <v>0.244420662868859</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c r="A33" s="9" t="s">
        <v>237</v>
      </c>
      <c r="B33" s="36">
        <v>4.5538298587018904</v>
      </c>
      <c r="C33" s="32">
        <v>4.7386506015965599</v>
      </c>
      <c r="D33" s="32">
        <v>4.46723094343192</v>
      </c>
      <c r="E33" s="32">
        <v>4.6703795813282802</v>
      </c>
      <c r="F33" s="20" t="s">
        <v>76</v>
      </c>
      <c r="G33" s="20" t="s">
        <v>76</v>
      </c>
      <c r="H33" s="20" t="s">
        <v>76</v>
      </c>
      <c r="I33" s="20" t="s">
        <v>76</v>
      </c>
      <c r="J33" s="15">
        <v>8.6419753086419693</v>
      </c>
      <c r="K33" s="15">
        <v>20</v>
      </c>
      <c r="L33" s="15">
        <v>7.8125</v>
      </c>
      <c r="M33" s="20" t="s">
        <v>76</v>
      </c>
      <c r="N33" s="20" t="s">
        <v>76</v>
      </c>
      <c r="O33" s="20" t="s">
        <v>76</v>
      </c>
      <c r="P33" s="20" t="s">
        <v>76</v>
      </c>
      <c r="Q33" s="20" t="s">
        <v>76</v>
      </c>
      <c r="R33" s="20" t="s">
        <v>76</v>
      </c>
      <c r="S33" s="20" t="s">
        <v>76</v>
      </c>
      <c r="T33" s="20" t="s">
        <v>76</v>
      </c>
      <c r="U33" s="20" t="s">
        <v>76</v>
      </c>
      <c r="V33" s="15">
        <v>16.6666666666667</v>
      </c>
      <c r="W33" s="20" t="s">
        <v>76</v>
      </c>
      <c r="X33" s="15">
        <v>9.6153846153846096</v>
      </c>
      <c r="Y33" s="20" t="s">
        <v>76</v>
      </c>
      <c r="Z33" s="20" t="s">
        <v>76</v>
      </c>
      <c r="AA33" s="15">
        <v>6.8493150684931496</v>
      </c>
      <c r="AB33" s="15">
        <v>6.4102564102564097</v>
      </c>
      <c r="AC33" s="20" t="s">
        <v>76</v>
      </c>
      <c r="AD33" s="20" t="s">
        <v>76</v>
      </c>
      <c r="AE33" s="20" t="s">
        <v>76</v>
      </c>
      <c r="AF33" s="20" t="s">
        <v>76</v>
      </c>
      <c r="AG33" s="32">
        <v>4.3095204354394996</v>
      </c>
      <c r="AH33" s="15">
        <v>4.0268456375838904</v>
      </c>
      <c r="AI33" s="15">
        <v>2.9498525073746298</v>
      </c>
      <c r="AJ33" s="15">
        <v>7.0796460176991101</v>
      </c>
      <c r="AK33" s="15">
        <v>2.4221453287197199</v>
      </c>
      <c r="AL33" s="15">
        <v>2.7932960893854699</v>
      </c>
      <c r="AM33" s="15">
        <v>3.6923076923076898</v>
      </c>
      <c r="AN33" s="24">
        <v>4.7468354430379698</v>
      </c>
      <c r="AO33" s="38"/>
    </row>
    <row r="34" spans="1:41">
      <c r="A34" s="9" t="s">
        <v>238</v>
      </c>
      <c r="B34" s="36">
        <v>1.9410735335935601</v>
      </c>
      <c r="C34" s="32">
        <v>2.1038550325886498</v>
      </c>
      <c r="D34" s="32">
        <v>1.51677148514567</v>
      </c>
      <c r="E34" s="34" t="s">
        <v>76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32">
        <v>1.66518560412329</v>
      </c>
      <c r="AH34" s="15">
        <v>1.6778523489932899</v>
      </c>
      <c r="AI34" s="20" t="s">
        <v>76</v>
      </c>
      <c r="AJ34" s="15">
        <v>1.76991150442478</v>
      </c>
      <c r="AK34" s="20" t="s">
        <v>76</v>
      </c>
      <c r="AL34" s="20" t="s">
        <v>76</v>
      </c>
      <c r="AM34" s="15">
        <v>1.5384615384615401</v>
      </c>
      <c r="AN34" s="24">
        <v>2.84810126582278</v>
      </c>
      <c r="AO34" s="38"/>
    </row>
    <row r="35" spans="1:41">
      <c r="A35" s="9" t="s">
        <v>239</v>
      </c>
      <c r="B35" s="36">
        <v>2.0413571216700799</v>
      </c>
      <c r="C35" s="32">
        <v>1.94985326147461</v>
      </c>
      <c r="D35" s="32">
        <v>2.5291290610619099</v>
      </c>
      <c r="E35" s="32">
        <v>3.0501165486097102</v>
      </c>
      <c r="F35" s="20" t="s">
        <v>76</v>
      </c>
      <c r="G35" s="20" t="s">
        <v>76</v>
      </c>
      <c r="H35" s="15">
        <v>7.3170731707317103</v>
      </c>
      <c r="I35" s="20" t="s">
        <v>76</v>
      </c>
      <c r="J35" s="20" t="s">
        <v>76</v>
      </c>
      <c r="K35" s="20" t="s">
        <v>76</v>
      </c>
      <c r="L35" s="20" t="s">
        <v>76</v>
      </c>
      <c r="M35" s="20" t="s">
        <v>76</v>
      </c>
      <c r="N35" s="20" t="s">
        <v>76</v>
      </c>
      <c r="O35" s="20" t="s">
        <v>76</v>
      </c>
      <c r="P35" s="20" t="s">
        <v>76</v>
      </c>
      <c r="Q35" s="15">
        <v>18.3333333333333</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32">
        <v>2.1246705218873601</v>
      </c>
      <c r="AH35" s="15">
        <v>1.6778523489932899</v>
      </c>
      <c r="AI35" s="15">
        <v>1.76991150442478</v>
      </c>
      <c r="AJ35" s="15">
        <v>1.47492625368732</v>
      </c>
      <c r="AK35" s="15">
        <v>1.73010380622837</v>
      </c>
      <c r="AL35" s="20" t="s">
        <v>76</v>
      </c>
      <c r="AM35" s="15">
        <v>3.3846153846153801</v>
      </c>
      <c r="AN35" s="24">
        <v>2.84810126582278</v>
      </c>
      <c r="AO35" s="38"/>
    </row>
    <row r="36" spans="1:41">
      <c r="A36" s="9" t="s">
        <v>240</v>
      </c>
      <c r="B36" s="36">
        <v>6.3406467851349397</v>
      </c>
      <c r="C36" s="32">
        <v>7.8251222294372003</v>
      </c>
      <c r="D36" s="32">
        <v>11.3161602241686</v>
      </c>
      <c r="E36" s="32">
        <v>8.3135845746350707</v>
      </c>
      <c r="F36" s="15">
        <v>9.375</v>
      </c>
      <c r="G36" s="15">
        <v>25.373134328358201</v>
      </c>
      <c r="H36" s="15">
        <v>8.5365853658536608</v>
      </c>
      <c r="I36" s="20" t="s">
        <v>76</v>
      </c>
      <c r="J36" s="15">
        <v>11.1111111111111</v>
      </c>
      <c r="K36" s="15">
        <v>18</v>
      </c>
      <c r="L36" s="15">
        <v>4.6875</v>
      </c>
      <c r="M36" s="15">
        <v>14.705882352941201</v>
      </c>
      <c r="N36" s="15">
        <v>22.4489795918367</v>
      </c>
      <c r="O36" s="20" t="s">
        <v>76</v>
      </c>
      <c r="P36" s="15">
        <v>6.6666666666666696</v>
      </c>
      <c r="Q36" s="20" t="s">
        <v>76</v>
      </c>
      <c r="R36" s="20" t="s">
        <v>76</v>
      </c>
      <c r="S36" s="20" t="s">
        <v>76</v>
      </c>
      <c r="T36" s="20" t="s">
        <v>76</v>
      </c>
      <c r="U36" s="20" t="s">
        <v>76</v>
      </c>
      <c r="V36" s="20" t="s">
        <v>76</v>
      </c>
      <c r="W36" s="15">
        <v>26.785714285714299</v>
      </c>
      <c r="X36" s="15">
        <v>12.5</v>
      </c>
      <c r="Y36" s="20" t="s">
        <v>76</v>
      </c>
      <c r="Z36" s="15">
        <v>10.869565217391299</v>
      </c>
      <c r="AA36" s="15">
        <v>10.958904109589</v>
      </c>
      <c r="AB36" s="15">
        <v>10.2564102564103</v>
      </c>
      <c r="AC36" s="15">
        <v>6.1728395061728403</v>
      </c>
      <c r="AD36" s="20" t="s">
        <v>76</v>
      </c>
      <c r="AE36" s="20" t="s">
        <v>76</v>
      </c>
      <c r="AF36" s="15">
        <v>18.918918918918902</v>
      </c>
      <c r="AG36" s="32">
        <v>13.647151639504701</v>
      </c>
      <c r="AH36" s="15">
        <v>6.71140939597315</v>
      </c>
      <c r="AI36" s="15">
        <v>9.1445427728613602</v>
      </c>
      <c r="AJ36" s="15">
        <v>11.5044247787611</v>
      </c>
      <c r="AK36" s="15">
        <v>7.6124567474048401</v>
      </c>
      <c r="AL36" s="15">
        <v>16.201117318435799</v>
      </c>
      <c r="AM36" s="15">
        <v>19.076923076923102</v>
      </c>
      <c r="AN36" s="24">
        <v>13.6075949367089</v>
      </c>
      <c r="AO36" s="38"/>
    </row>
    <row r="37" spans="1:41">
      <c r="A37" s="9" t="s">
        <v>241</v>
      </c>
      <c r="B37" s="36">
        <v>1.9725799011287199</v>
      </c>
      <c r="C37" s="32">
        <v>2.4600902329626799</v>
      </c>
      <c r="D37" s="32">
        <v>2.6499405759114398</v>
      </c>
      <c r="E37" s="32">
        <v>2.4834201103185198</v>
      </c>
      <c r="F37" s="20" t="s">
        <v>76</v>
      </c>
      <c r="G37" s="20" t="s">
        <v>76</v>
      </c>
      <c r="H37" s="20" t="s">
        <v>76</v>
      </c>
      <c r="I37" s="20" t="s">
        <v>76</v>
      </c>
      <c r="J37" s="15">
        <v>7.4074074074074101</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15">
        <v>8.2191780821917799</v>
      </c>
      <c r="AB37" s="20" t="s">
        <v>76</v>
      </c>
      <c r="AC37" s="20" t="s">
        <v>76</v>
      </c>
      <c r="AD37" s="20" t="s">
        <v>76</v>
      </c>
      <c r="AE37" s="20" t="s">
        <v>76</v>
      </c>
      <c r="AF37" s="20" t="s">
        <v>76</v>
      </c>
      <c r="AG37" s="32">
        <v>2.77921551219328</v>
      </c>
      <c r="AH37" s="15">
        <v>2.6845637583892601</v>
      </c>
      <c r="AI37" s="15">
        <v>1.47492625368732</v>
      </c>
      <c r="AJ37" s="15">
        <v>2.65486725663717</v>
      </c>
      <c r="AK37" s="15">
        <v>3.8062283737024201</v>
      </c>
      <c r="AL37" s="20" t="s">
        <v>76</v>
      </c>
      <c r="AM37" s="15">
        <v>4</v>
      </c>
      <c r="AN37" s="24">
        <v>1.89873417721519</v>
      </c>
      <c r="AO37" s="38"/>
    </row>
    <row r="38" spans="1:41">
      <c r="A38" s="9" t="s">
        <v>242</v>
      </c>
      <c r="B38" s="36">
        <v>3.0236775374030498</v>
      </c>
      <c r="C38" s="32">
        <v>2.93644987875166</v>
      </c>
      <c r="D38" s="32">
        <v>2.88963805980611</v>
      </c>
      <c r="E38" s="32">
        <v>4.5921665904953404</v>
      </c>
      <c r="F38" s="15">
        <v>5.2083333333333304</v>
      </c>
      <c r="G38" s="20" t="s">
        <v>76</v>
      </c>
      <c r="H38" s="20" t="s">
        <v>76</v>
      </c>
      <c r="I38" s="20" t="s">
        <v>76</v>
      </c>
      <c r="J38" s="20" t="s">
        <v>76</v>
      </c>
      <c r="K38" s="20" t="s">
        <v>76</v>
      </c>
      <c r="L38" s="15">
        <v>3.90625</v>
      </c>
      <c r="M38" s="20" t="s">
        <v>76</v>
      </c>
      <c r="N38" s="20" t="s">
        <v>76</v>
      </c>
      <c r="O38" s="20" t="s">
        <v>76</v>
      </c>
      <c r="P38" s="15">
        <v>6.6666666666666696</v>
      </c>
      <c r="Q38" s="20" t="s">
        <v>76</v>
      </c>
      <c r="R38" s="15">
        <v>5.4945054945054901</v>
      </c>
      <c r="S38" s="20" t="s">
        <v>76</v>
      </c>
      <c r="T38" s="20" t="s">
        <v>76</v>
      </c>
      <c r="U38" s="15">
        <v>12.7659574468085</v>
      </c>
      <c r="V38" s="20" t="s">
        <v>76</v>
      </c>
      <c r="W38" s="15">
        <v>8.9285714285714306</v>
      </c>
      <c r="X38" s="20" t="s">
        <v>76</v>
      </c>
      <c r="Y38" s="20" t="s">
        <v>76</v>
      </c>
      <c r="Z38" s="20" t="s">
        <v>76</v>
      </c>
      <c r="AA38" s="20" t="s">
        <v>76</v>
      </c>
      <c r="AB38" s="15">
        <v>6.4102564102564097</v>
      </c>
      <c r="AC38" s="20" t="s">
        <v>76</v>
      </c>
      <c r="AD38" s="20" t="s">
        <v>76</v>
      </c>
      <c r="AE38" s="20" t="s">
        <v>76</v>
      </c>
      <c r="AF38" s="20" t="s">
        <v>76</v>
      </c>
      <c r="AG38" s="32">
        <v>1.5679130301577</v>
      </c>
      <c r="AH38" s="15">
        <v>2.0134228187919501</v>
      </c>
      <c r="AI38" s="15">
        <v>1.76991150442478</v>
      </c>
      <c r="AJ38" s="15">
        <v>1.76991150442478</v>
      </c>
      <c r="AK38" s="20" t="s">
        <v>76</v>
      </c>
      <c r="AL38" s="20" t="s">
        <v>76</v>
      </c>
      <c r="AM38" s="20" t="s">
        <v>76</v>
      </c>
      <c r="AN38" s="24">
        <v>1.89873417721519</v>
      </c>
      <c r="AO38" s="38"/>
    </row>
    <row r="39" spans="1:41">
      <c r="A39" s="9" t="s">
        <v>243</v>
      </c>
      <c r="B39" s="36">
        <v>3.2807781621161101</v>
      </c>
      <c r="C39" s="32">
        <v>3.20806120656583</v>
      </c>
      <c r="D39" s="32">
        <v>3.8856186487723501</v>
      </c>
      <c r="E39" s="32">
        <v>3.57421591246906</v>
      </c>
      <c r="F39" s="15">
        <v>5.2083333333333304</v>
      </c>
      <c r="G39" s="20" t="s">
        <v>76</v>
      </c>
      <c r="H39" s="20" t="s">
        <v>76</v>
      </c>
      <c r="I39" s="20" t="s">
        <v>76</v>
      </c>
      <c r="J39" s="20" t="s">
        <v>76</v>
      </c>
      <c r="K39" s="20" t="s">
        <v>76</v>
      </c>
      <c r="L39" s="15">
        <v>6.25</v>
      </c>
      <c r="M39" s="20" t="s">
        <v>76</v>
      </c>
      <c r="N39" s="20" t="s">
        <v>76</v>
      </c>
      <c r="O39" s="20" t="s">
        <v>76</v>
      </c>
      <c r="P39" s="20" t="s">
        <v>76</v>
      </c>
      <c r="Q39" s="20" t="s">
        <v>76</v>
      </c>
      <c r="R39" s="20" t="s">
        <v>76</v>
      </c>
      <c r="S39" s="20" t="s">
        <v>76</v>
      </c>
      <c r="T39" s="20" t="s">
        <v>76</v>
      </c>
      <c r="U39" s="20" t="s">
        <v>76</v>
      </c>
      <c r="V39" s="15">
        <v>9.2592592592592595</v>
      </c>
      <c r="W39" s="20" t="s">
        <v>76</v>
      </c>
      <c r="X39" s="20" t="s">
        <v>76</v>
      </c>
      <c r="Y39" s="20" t="s">
        <v>76</v>
      </c>
      <c r="Z39" s="20" t="s">
        <v>76</v>
      </c>
      <c r="AA39" s="20" t="s">
        <v>76</v>
      </c>
      <c r="AB39" s="20" t="s">
        <v>76</v>
      </c>
      <c r="AC39" s="20" t="s">
        <v>76</v>
      </c>
      <c r="AD39" s="20" t="s">
        <v>76</v>
      </c>
      <c r="AE39" s="20" t="s">
        <v>76</v>
      </c>
      <c r="AF39" s="20" t="s">
        <v>76</v>
      </c>
      <c r="AG39" s="32">
        <v>4.1273701280890904</v>
      </c>
      <c r="AH39" s="15">
        <v>2.6845637583892601</v>
      </c>
      <c r="AI39" s="15">
        <v>5.8997050147492596</v>
      </c>
      <c r="AJ39" s="15">
        <v>3.5398230088495599</v>
      </c>
      <c r="AK39" s="15">
        <v>6.2283737024221404</v>
      </c>
      <c r="AL39" s="20" t="s">
        <v>76</v>
      </c>
      <c r="AM39" s="15">
        <v>2.7692307692307701</v>
      </c>
      <c r="AN39" s="24">
        <v>3.79746835443038</v>
      </c>
      <c r="AO39" s="38"/>
    </row>
    <row r="40" spans="1:41">
      <c r="A40" s="9" t="s">
        <v>244</v>
      </c>
      <c r="B40" s="36">
        <v>1.2878032030773501</v>
      </c>
      <c r="C40" s="32">
        <v>1.1420933034185901</v>
      </c>
      <c r="D40" s="32">
        <v>1.20574063093039</v>
      </c>
      <c r="E40" s="32">
        <v>1.63958805477634</v>
      </c>
      <c r="F40" s="20" t="s">
        <v>76</v>
      </c>
      <c r="G40" s="20" t="s">
        <v>76</v>
      </c>
      <c r="H40" s="20" t="s">
        <v>76</v>
      </c>
      <c r="I40" s="20" t="s">
        <v>76</v>
      </c>
      <c r="J40" s="20" t="s">
        <v>76</v>
      </c>
      <c r="K40" s="20" t="s">
        <v>76</v>
      </c>
      <c r="L40" s="15">
        <v>4.6875</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34" t="s">
        <v>76</v>
      </c>
      <c r="AH40" s="20" t="s">
        <v>76</v>
      </c>
      <c r="AI40" s="20" t="s">
        <v>76</v>
      </c>
      <c r="AJ40" s="20" t="s">
        <v>76</v>
      </c>
      <c r="AK40" s="20" t="s">
        <v>76</v>
      </c>
      <c r="AL40" s="20" t="s">
        <v>76</v>
      </c>
      <c r="AM40" s="15">
        <v>1.84615384615385</v>
      </c>
      <c r="AN40" s="26" t="s">
        <v>76</v>
      </c>
      <c r="AO40" s="38"/>
    </row>
    <row r="41" spans="1:41">
      <c r="A41" s="9" t="s">
        <v>245</v>
      </c>
      <c r="B41" s="36">
        <v>3.03330481375529</v>
      </c>
      <c r="C41" s="32">
        <v>2.9900210093774802</v>
      </c>
      <c r="D41" s="32">
        <v>3.0786228948276002</v>
      </c>
      <c r="E41" s="32">
        <v>3.9741254933482</v>
      </c>
      <c r="F41" s="20" t="s">
        <v>76</v>
      </c>
      <c r="G41" s="20" t="s">
        <v>76</v>
      </c>
      <c r="H41" s="20" t="s">
        <v>76</v>
      </c>
      <c r="I41" s="20" t="s">
        <v>76</v>
      </c>
      <c r="J41" s="20" t="s">
        <v>76</v>
      </c>
      <c r="K41" s="20" t="s">
        <v>76</v>
      </c>
      <c r="L41" s="20" t="s">
        <v>76</v>
      </c>
      <c r="M41" s="20" t="s">
        <v>76</v>
      </c>
      <c r="N41" s="20" t="s">
        <v>76</v>
      </c>
      <c r="O41" s="20" t="s">
        <v>76</v>
      </c>
      <c r="P41" s="15">
        <v>7.4074074074074101</v>
      </c>
      <c r="Q41" s="20" t="s">
        <v>76</v>
      </c>
      <c r="R41" s="20" t="s">
        <v>76</v>
      </c>
      <c r="S41" s="20" t="s">
        <v>76</v>
      </c>
      <c r="T41" s="20" t="s">
        <v>76</v>
      </c>
      <c r="U41" s="20" t="s">
        <v>76</v>
      </c>
      <c r="V41" s="20" t="s">
        <v>76</v>
      </c>
      <c r="W41" s="20" t="s">
        <v>76</v>
      </c>
      <c r="X41" s="15">
        <v>5.7692307692307701</v>
      </c>
      <c r="Y41" s="20" t="s">
        <v>76</v>
      </c>
      <c r="Z41" s="20" t="s">
        <v>76</v>
      </c>
      <c r="AA41" s="20" t="s">
        <v>76</v>
      </c>
      <c r="AB41" s="20" t="s">
        <v>76</v>
      </c>
      <c r="AC41" s="20" t="s">
        <v>76</v>
      </c>
      <c r="AD41" s="20" t="s">
        <v>76</v>
      </c>
      <c r="AE41" s="20" t="s">
        <v>76</v>
      </c>
      <c r="AF41" s="20" t="s">
        <v>76</v>
      </c>
      <c r="AG41" s="32">
        <v>2.3834168073850002</v>
      </c>
      <c r="AH41" s="15">
        <v>2.0134228187919501</v>
      </c>
      <c r="AI41" s="15">
        <v>3.24483775811209</v>
      </c>
      <c r="AJ41" s="15">
        <v>3.8348082595870201</v>
      </c>
      <c r="AK41" s="15">
        <v>2.0761245674740501</v>
      </c>
      <c r="AL41" s="15">
        <v>2.7932960893854699</v>
      </c>
      <c r="AM41" s="15">
        <v>2.1538461538461502</v>
      </c>
      <c r="AN41" s="24">
        <v>1.58227848101266</v>
      </c>
      <c r="AO41" s="38"/>
    </row>
    <row r="42" spans="1:41">
      <c r="A42" s="9" t="s">
        <v>246</v>
      </c>
      <c r="B42" s="36">
        <v>1.2276474341044501</v>
      </c>
      <c r="C42" s="32">
        <v>1.25508747554933</v>
      </c>
      <c r="D42" s="32">
        <v>1.1346317530590899</v>
      </c>
      <c r="E42" s="34" t="s">
        <v>76</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20" t="s">
        <v>76</v>
      </c>
      <c r="AD42" s="20" t="s">
        <v>76</v>
      </c>
      <c r="AE42" s="20" t="s">
        <v>76</v>
      </c>
      <c r="AF42" s="20" t="s">
        <v>76</v>
      </c>
      <c r="AG42" s="32">
        <v>1.43512498109048</v>
      </c>
      <c r="AH42" s="15">
        <v>2.3489932885906</v>
      </c>
      <c r="AI42" s="20" t="s">
        <v>76</v>
      </c>
      <c r="AJ42" s="15">
        <v>2.0648967551622399</v>
      </c>
      <c r="AK42" s="15">
        <v>2.7681660899653999</v>
      </c>
      <c r="AL42" s="20" t="s">
        <v>76</v>
      </c>
      <c r="AM42" s="15">
        <v>1.5384615384615401</v>
      </c>
      <c r="AN42" s="26" t="s">
        <v>76</v>
      </c>
      <c r="AO42" s="38"/>
    </row>
    <row r="43" spans="1:41">
      <c r="A43" s="9" t="s">
        <v>247</v>
      </c>
      <c r="B43" s="36">
        <v>12.193386761295899</v>
      </c>
      <c r="C43" s="32">
        <v>16.894908401515401</v>
      </c>
      <c r="D43" s="32">
        <v>19.704086500057901</v>
      </c>
      <c r="E43" s="32">
        <v>18.529856896803999</v>
      </c>
      <c r="F43" s="15">
        <v>7.2916666666666696</v>
      </c>
      <c r="G43" s="15">
        <v>14.9253731343284</v>
      </c>
      <c r="H43" s="15">
        <v>15.853658536585399</v>
      </c>
      <c r="I43" s="15">
        <v>22.5</v>
      </c>
      <c r="J43" s="15">
        <v>29.629629629629601</v>
      </c>
      <c r="K43" s="15">
        <v>20</v>
      </c>
      <c r="L43" s="15">
        <v>16.40625</v>
      </c>
      <c r="M43" s="15">
        <v>22.0588235294118</v>
      </c>
      <c r="N43" s="15">
        <v>22.4489795918367</v>
      </c>
      <c r="O43" s="15">
        <v>11.9047619047619</v>
      </c>
      <c r="P43" s="15">
        <v>17.7777777777778</v>
      </c>
      <c r="Q43" s="15">
        <v>26.6666666666667</v>
      </c>
      <c r="R43" s="15">
        <v>15.384615384615399</v>
      </c>
      <c r="S43" s="15">
        <v>5</v>
      </c>
      <c r="T43" s="20" t="s">
        <v>76</v>
      </c>
      <c r="U43" s="15">
        <v>12.7659574468085</v>
      </c>
      <c r="V43" s="15">
        <v>24.074074074074101</v>
      </c>
      <c r="W43" s="15">
        <v>32.142857142857103</v>
      </c>
      <c r="X43" s="15">
        <v>21.153846153846199</v>
      </c>
      <c r="Y43" s="15">
        <v>26.829268292682901</v>
      </c>
      <c r="Z43" s="15">
        <v>23.913043478260899</v>
      </c>
      <c r="AA43" s="15">
        <v>16.438356164383599</v>
      </c>
      <c r="AB43" s="15">
        <v>23.076923076923102</v>
      </c>
      <c r="AC43" s="15">
        <v>14.814814814814801</v>
      </c>
      <c r="AD43" s="15">
        <v>25.2631578947368</v>
      </c>
      <c r="AE43" s="15">
        <v>22.9508196721311</v>
      </c>
      <c r="AF43" s="15">
        <v>21.6216216216216</v>
      </c>
      <c r="AG43" s="32">
        <v>20.615676895871399</v>
      </c>
      <c r="AH43" s="15">
        <v>13.087248322147699</v>
      </c>
      <c r="AI43" s="15">
        <v>18.289085545722699</v>
      </c>
      <c r="AJ43" s="15">
        <v>16.519174041297902</v>
      </c>
      <c r="AK43" s="15">
        <v>11.4186851211073</v>
      </c>
      <c r="AL43" s="15">
        <v>14.525139664804501</v>
      </c>
      <c r="AM43" s="15">
        <v>25.846153846153801</v>
      </c>
      <c r="AN43" s="24">
        <v>32.278481012658197</v>
      </c>
      <c r="AO43" s="38"/>
    </row>
    <row r="44" spans="1:41">
      <c r="A44" s="9" t="s">
        <v>248</v>
      </c>
      <c r="B44" s="36">
        <v>9.3784669420420101</v>
      </c>
      <c r="C44" s="32">
        <v>9.9293494597654295</v>
      </c>
      <c r="D44" s="32">
        <v>10.8699706056896</v>
      </c>
      <c r="E44" s="32">
        <v>10.734566708948099</v>
      </c>
      <c r="F44" s="15">
        <v>6.25</v>
      </c>
      <c r="G44" s="15">
        <v>14.9253731343284</v>
      </c>
      <c r="H44" s="15">
        <v>9.7560975609756095</v>
      </c>
      <c r="I44" s="20" t="s">
        <v>76</v>
      </c>
      <c r="J44" s="15">
        <v>16.049382716049401</v>
      </c>
      <c r="K44" s="15">
        <v>20</v>
      </c>
      <c r="L44" s="15">
        <v>10.15625</v>
      </c>
      <c r="M44" s="15">
        <v>10.294117647058799</v>
      </c>
      <c r="N44" s="20" t="s">
        <v>76</v>
      </c>
      <c r="O44" s="20" t="s">
        <v>76</v>
      </c>
      <c r="P44" s="15">
        <v>6.6666666666666696</v>
      </c>
      <c r="Q44" s="15">
        <v>15</v>
      </c>
      <c r="R44" s="15">
        <v>9.8901098901098905</v>
      </c>
      <c r="S44" s="15">
        <v>13</v>
      </c>
      <c r="T44" s="20" t="s">
        <v>76</v>
      </c>
      <c r="U44" s="15">
        <v>10.6382978723404</v>
      </c>
      <c r="V44" s="15">
        <v>16.6666666666667</v>
      </c>
      <c r="W44" s="15">
        <v>14.285714285714301</v>
      </c>
      <c r="X44" s="15">
        <v>13.461538461538501</v>
      </c>
      <c r="Y44" s="20" t="s">
        <v>76</v>
      </c>
      <c r="Z44" s="15">
        <v>26.086956521739101</v>
      </c>
      <c r="AA44" s="15">
        <v>10.958904109589</v>
      </c>
      <c r="AB44" s="15">
        <v>14.1025641025641</v>
      </c>
      <c r="AC44" s="20" t="s">
        <v>76</v>
      </c>
      <c r="AD44" s="15">
        <v>5.2631578947368398</v>
      </c>
      <c r="AE44" s="15">
        <v>13.1147540983607</v>
      </c>
      <c r="AF44" s="15">
        <v>16.2162162162162</v>
      </c>
      <c r="AG44" s="32">
        <v>10.9750887967854</v>
      </c>
      <c r="AH44" s="15">
        <v>8.3892617449664399</v>
      </c>
      <c r="AI44" s="15">
        <v>10.914454277286101</v>
      </c>
      <c r="AJ44" s="15">
        <v>12.389380530973501</v>
      </c>
      <c r="AK44" s="15">
        <v>7.2664359861591699</v>
      </c>
      <c r="AL44" s="15">
        <v>12.849162011173201</v>
      </c>
      <c r="AM44" s="15">
        <v>9.8461538461538503</v>
      </c>
      <c r="AN44" s="24">
        <v>15.506329113924</v>
      </c>
      <c r="AO44" s="38"/>
    </row>
    <row r="45" spans="1:41">
      <c r="A45" s="9" t="s">
        <v>249</v>
      </c>
      <c r="B45" s="36">
        <v>1.14425758213735</v>
      </c>
      <c r="C45" s="32">
        <v>1.18989321757543</v>
      </c>
      <c r="D45" s="32">
        <v>0.82699623503543795</v>
      </c>
      <c r="E45" s="34"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34" t="s">
        <v>76</v>
      </c>
      <c r="AH45" s="20" t="s">
        <v>76</v>
      </c>
      <c r="AI45" s="20" t="s">
        <v>76</v>
      </c>
      <c r="AJ45" s="20" t="s">
        <v>76</v>
      </c>
      <c r="AK45" s="15">
        <v>1.73010380622837</v>
      </c>
      <c r="AL45" s="20" t="s">
        <v>76</v>
      </c>
      <c r="AM45" s="20" t="s">
        <v>76</v>
      </c>
      <c r="AN45" s="26" t="s">
        <v>76</v>
      </c>
      <c r="AO45" s="38"/>
    </row>
    <row r="46" spans="1:41">
      <c r="A46" s="9" t="s">
        <v>250</v>
      </c>
      <c r="B46" s="36">
        <v>1.6461325806109699</v>
      </c>
      <c r="C46" s="32">
        <v>1.6818185781747099</v>
      </c>
      <c r="D46" s="32">
        <v>1.3787672360826999</v>
      </c>
      <c r="E46" s="32">
        <v>2.1158261433045</v>
      </c>
      <c r="F46" s="20" t="s">
        <v>76</v>
      </c>
      <c r="G46" s="20" t="s">
        <v>76</v>
      </c>
      <c r="H46" s="20" t="s">
        <v>76</v>
      </c>
      <c r="I46" s="20" t="s">
        <v>76</v>
      </c>
      <c r="J46" s="20" t="s">
        <v>76</v>
      </c>
      <c r="K46" s="20" t="s">
        <v>76</v>
      </c>
      <c r="L46" s="15">
        <v>4.6875</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34" t="s">
        <v>76</v>
      </c>
      <c r="AH46" s="20" t="s">
        <v>76</v>
      </c>
      <c r="AI46" s="20" t="s">
        <v>76</v>
      </c>
      <c r="AJ46" s="20" t="s">
        <v>76</v>
      </c>
      <c r="AK46" s="20" t="s">
        <v>76</v>
      </c>
      <c r="AL46" s="20" t="s">
        <v>76</v>
      </c>
      <c r="AM46" s="20" t="s">
        <v>76</v>
      </c>
      <c r="AN46" s="26" t="s">
        <v>76</v>
      </c>
      <c r="AO46" s="38"/>
    </row>
    <row r="47" spans="1:41">
      <c r="A47" s="9" t="s">
        <v>251</v>
      </c>
      <c r="B47" s="36">
        <v>1.1547718029535099</v>
      </c>
      <c r="C47" s="32">
        <v>1.18623984423218</v>
      </c>
      <c r="D47" s="32">
        <v>0.72684862522799198</v>
      </c>
      <c r="E47" s="34" t="s">
        <v>76</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34" t="s">
        <v>76</v>
      </c>
      <c r="AH47" s="20" t="s">
        <v>76</v>
      </c>
      <c r="AI47" s="20" t="s">
        <v>76</v>
      </c>
      <c r="AJ47" s="20" t="s">
        <v>76</v>
      </c>
      <c r="AK47" s="20" t="s">
        <v>76</v>
      </c>
      <c r="AL47" s="20" t="s">
        <v>76</v>
      </c>
      <c r="AM47" s="20" t="s">
        <v>76</v>
      </c>
      <c r="AN47" s="24">
        <v>2.5316455696202498</v>
      </c>
      <c r="AO47" s="38"/>
    </row>
    <row r="48" spans="1:41">
      <c r="A48" s="9" t="s">
        <v>252</v>
      </c>
      <c r="B48" s="36">
        <v>1.3297298045799599</v>
      </c>
      <c r="C48" s="32">
        <v>1.32074886064129</v>
      </c>
      <c r="D48" s="32">
        <v>1.0433629095625501</v>
      </c>
      <c r="E48" s="34" t="s">
        <v>76</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34" t="s">
        <v>76</v>
      </c>
      <c r="AH48" s="20" t="s">
        <v>76</v>
      </c>
      <c r="AI48" s="20" t="s">
        <v>76</v>
      </c>
      <c r="AJ48" s="15">
        <v>1.47492625368732</v>
      </c>
      <c r="AK48" s="20" t="s">
        <v>76</v>
      </c>
      <c r="AL48" s="20" t="s">
        <v>76</v>
      </c>
      <c r="AM48" s="20" t="s">
        <v>76</v>
      </c>
      <c r="AN48" s="24">
        <v>1.89873417721519</v>
      </c>
      <c r="AO48" s="38"/>
    </row>
    <row r="49" spans="1:41">
      <c r="A49" s="9" t="s">
        <v>253</v>
      </c>
      <c r="B49" s="36">
        <v>2.0571930750704599</v>
      </c>
      <c r="C49" s="32">
        <v>3.7169524439339501</v>
      </c>
      <c r="D49" s="32">
        <v>4.9404908312181197</v>
      </c>
      <c r="E49" s="32">
        <v>4.7313110057641898</v>
      </c>
      <c r="F49" s="20" t="s">
        <v>76</v>
      </c>
      <c r="G49" s="20" t="s">
        <v>76</v>
      </c>
      <c r="H49" s="15">
        <v>9.7560975609756095</v>
      </c>
      <c r="I49" s="20" t="s">
        <v>76</v>
      </c>
      <c r="J49" s="15">
        <v>8.6419753086419693</v>
      </c>
      <c r="K49" s="20" t="s">
        <v>76</v>
      </c>
      <c r="L49" s="15">
        <v>7.03125</v>
      </c>
      <c r="M49" s="20" t="s">
        <v>76</v>
      </c>
      <c r="N49" s="15">
        <v>10.2040816326531</v>
      </c>
      <c r="O49" s="20" t="s">
        <v>76</v>
      </c>
      <c r="P49" s="20" t="s">
        <v>76</v>
      </c>
      <c r="Q49" s="20" t="s">
        <v>76</v>
      </c>
      <c r="R49" s="20" t="s">
        <v>76</v>
      </c>
      <c r="S49" s="20" t="s">
        <v>76</v>
      </c>
      <c r="T49" s="20" t="s">
        <v>76</v>
      </c>
      <c r="U49" s="20" t="s">
        <v>76</v>
      </c>
      <c r="V49" s="15">
        <v>9.2592592592592595</v>
      </c>
      <c r="W49" s="20" t="s">
        <v>76</v>
      </c>
      <c r="X49" s="15">
        <v>8.6538461538461497</v>
      </c>
      <c r="Y49" s="20" t="s">
        <v>76</v>
      </c>
      <c r="Z49" s="20" t="s">
        <v>76</v>
      </c>
      <c r="AA49" s="15">
        <v>9.5890410958904102</v>
      </c>
      <c r="AB49" s="15">
        <v>14.1025641025641</v>
      </c>
      <c r="AC49" s="20" t="s">
        <v>76</v>
      </c>
      <c r="AD49" s="20" t="s">
        <v>76</v>
      </c>
      <c r="AE49" s="20" t="s">
        <v>76</v>
      </c>
      <c r="AF49" s="20" t="s">
        <v>76</v>
      </c>
      <c r="AG49" s="32">
        <v>5.1028835347859296</v>
      </c>
      <c r="AH49" s="15">
        <v>3.69127516778524</v>
      </c>
      <c r="AI49" s="15">
        <v>5.3097345132743401</v>
      </c>
      <c r="AJ49" s="15">
        <v>3.8348082595870201</v>
      </c>
      <c r="AK49" s="15">
        <v>2.0761245674740501</v>
      </c>
      <c r="AL49" s="15">
        <v>8.3798882681564208</v>
      </c>
      <c r="AM49" s="15">
        <v>2.7692307692307701</v>
      </c>
      <c r="AN49" s="24">
        <v>6.64556962025316</v>
      </c>
      <c r="AO49" s="38"/>
    </row>
    <row r="50" spans="1:41">
      <c r="A50" s="9" t="s">
        <v>254</v>
      </c>
      <c r="B50" s="36">
        <v>19.057013844204398</v>
      </c>
      <c r="C50" s="32">
        <v>19.6136806211825</v>
      </c>
      <c r="D50" s="32">
        <v>20.682066798650698</v>
      </c>
      <c r="E50" s="32">
        <v>27.307537197954701</v>
      </c>
      <c r="F50" s="15">
        <v>22.9166666666667</v>
      </c>
      <c r="G50" s="15">
        <v>44.776119402985103</v>
      </c>
      <c r="H50" s="15">
        <v>20.731707317073202</v>
      </c>
      <c r="I50" s="15">
        <v>40</v>
      </c>
      <c r="J50" s="15">
        <v>30.8641975308642</v>
      </c>
      <c r="K50" s="15">
        <v>34</v>
      </c>
      <c r="L50" s="15">
        <v>19.53125</v>
      </c>
      <c r="M50" s="15">
        <v>19.117647058823501</v>
      </c>
      <c r="N50" s="15">
        <v>42.857142857142897</v>
      </c>
      <c r="O50" s="15">
        <v>16.6666666666667</v>
      </c>
      <c r="P50" s="15">
        <v>18.518518518518501</v>
      </c>
      <c r="Q50" s="15">
        <v>30</v>
      </c>
      <c r="R50" s="15">
        <v>18.6813186813187</v>
      </c>
      <c r="S50" s="15">
        <v>9</v>
      </c>
      <c r="T50" s="15">
        <v>21.2121212121212</v>
      </c>
      <c r="U50" s="15">
        <v>44.680851063829799</v>
      </c>
      <c r="V50" s="15">
        <v>46.296296296296298</v>
      </c>
      <c r="W50" s="15">
        <v>33.928571428571402</v>
      </c>
      <c r="X50" s="15">
        <v>54.807692307692299</v>
      </c>
      <c r="Y50" s="15">
        <v>21.951219512195099</v>
      </c>
      <c r="Z50" s="15">
        <v>30.434782608695699</v>
      </c>
      <c r="AA50" s="15">
        <v>46.575342465753401</v>
      </c>
      <c r="AB50" s="15">
        <v>32.051282051282101</v>
      </c>
      <c r="AC50" s="15">
        <v>20.987654320987701</v>
      </c>
      <c r="AD50" s="15">
        <v>17.894736842105299</v>
      </c>
      <c r="AE50" s="15">
        <v>14.7540983606557</v>
      </c>
      <c r="AF50" s="15">
        <v>21.6216216216216</v>
      </c>
      <c r="AG50" s="32">
        <v>15.538511256348199</v>
      </c>
      <c r="AH50" s="15">
        <v>8.0536912751677896</v>
      </c>
      <c r="AI50" s="15">
        <v>15.044247787610599</v>
      </c>
      <c r="AJ50" s="15">
        <v>17.699115044247801</v>
      </c>
      <c r="AK50" s="15">
        <v>10.726643598615899</v>
      </c>
      <c r="AL50" s="15">
        <v>24.022346368715102</v>
      </c>
      <c r="AM50" s="15">
        <v>15.692307692307701</v>
      </c>
      <c r="AN50" s="24">
        <v>19.3037974683544</v>
      </c>
      <c r="AO50" s="38"/>
    </row>
    <row r="51" spans="1:41">
      <c r="A51" s="9" t="s">
        <v>255</v>
      </c>
      <c r="B51" s="36">
        <v>3.2453803719383001</v>
      </c>
      <c r="C51" s="32">
        <v>2.9749820012858499</v>
      </c>
      <c r="D51" s="32">
        <v>3.2517816342938701</v>
      </c>
      <c r="E51" s="32">
        <v>2.7150744817622701</v>
      </c>
      <c r="F51" s="15">
        <v>5.2083333333333304</v>
      </c>
      <c r="G51" s="20" t="s">
        <v>76</v>
      </c>
      <c r="H51" s="20" t="s">
        <v>76</v>
      </c>
      <c r="I51" s="20" t="s">
        <v>76</v>
      </c>
      <c r="J51" s="20" t="s">
        <v>76</v>
      </c>
      <c r="K51" s="20" t="s">
        <v>76</v>
      </c>
      <c r="L51" s="15">
        <v>5.46875</v>
      </c>
      <c r="M51" s="20" t="s">
        <v>76</v>
      </c>
      <c r="N51" s="20" t="s">
        <v>76</v>
      </c>
      <c r="O51" s="20" t="s">
        <v>76</v>
      </c>
      <c r="P51" s="20" t="s">
        <v>76</v>
      </c>
      <c r="Q51" s="20" t="s">
        <v>76</v>
      </c>
      <c r="R51" s="20" t="s">
        <v>76</v>
      </c>
      <c r="S51" s="20" t="s">
        <v>76</v>
      </c>
      <c r="T51" s="20" t="s">
        <v>76</v>
      </c>
      <c r="U51" s="20" t="s">
        <v>76</v>
      </c>
      <c r="V51" s="20" t="s">
        <v>76</v>
      </c>
      <c r="W51" s="20" t="s">
        <v>76</v>
      </c>
      <c r="X51" s="15">
        <v>4.8076923076923102</v>
      </c>
      <c r="Y51" s="20" t="s">
        <v>76</v>
      </c>
      <c r="Z51" s="20" t="s">
        <v>76</v>
      </c>
      <c r="AA51" s="20" t="s">
        <v>76</v>
      </c>
      <c r="AB51" s="20" t="s">
        <v>76</v>
      </c>
      <c r="AC51" s="20" t="s">
        <v>76</v>
      </c>
      <c r="AD51" s="20" t="s">
        <v>76</v>
      </c>
      <c r="AE51" s="20" t="s">
        <v>76</v>
      </c>
      <c r="AF51" s="20" t="s">
        <v>76</v>
      </c>
      <c r="AG51" s="32">
        <v>3.6684438307301099</v>
      </c>
      <c r="AH51" s="15">
        <v>2.0134228187919501</v>
      </c>
      <c r="AI51" s="15">
        <v>4.4247787610619502</v>
      </c>
      <c r="AJ51" s="15">
        <v>4.1297935103244798</v>
      </c>
      <c r="AK51" s="15">
        <v>6.2283737024221404</v>
      </c>
      <c r="AL51" s="20" t="s">
        <v>76</v>
      </c>
      <c r="AM51" s="15">
        <v>4</v>
      </c>
      <c r="AN51" s="24">
        <v>1.89873417721519</v>
      </c>
      <c r="AO51" s="38"/>
    </row>
    <row r="52" spans="1:41">
      <c r="A52" s="9" t="s">
        <v>256</v>
      </c>
      <c r="B52" s="36">
        <v>2.1709497229103798</v>
      </c>
      <c r="C52" s="32">
        <v>2.2056477513734198</v>
      </c>
      <c r="D52" s="32">
        <v>1.85633034898251</v>
      </c>
      <c r="E52" s="32">
        <v>1.49161755230436</v>
      </c>
      <c r="F52" s="20" t="s">
        <v>76</v>
      </c>
      <c r="G52" s="20" t="s">
        <v>76</v>
      </c>
      <c r="H52" s="20" t="s">
        <v>76</v>
      </c>
      <c r="I52" s="20" t="s">
        <v>76</v>
      </c>
      <c r="J52" s="20" t="s">
        <v>76</v>
      </c>
      <c r="K52" s="20" t="s">
        <v>76</v>
      </c>
      <c r="L52" s="20" t="s">
        <v>76</v>
      </c>
      <c r="M52" s="20" t="s">
        <v>76</v>
      </c>
      <c r="N52" s="20" t="s">
        <v>76</v>
      </c>
      <c r="O52" s="20" t="s">
        <v>76</v>
      </c>
      <c r="P52" s="20" t="s">
        <v>76</v>
      </c>
      <c r="Q52" s="20" t="s">
        <v>76</v>
      </c>
      <c r="R52" s="15">
        <v>5.4945054945054901</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32">
        <v>2.1394680605176202</v>
      </c>
      <c r="AH52" s="20" t="s">
        <v>76</v>
      </c>
      <c r="AI52" s="15">
        <v>3.5398230088495599</v>
      </c>
      <c r="AJ52" s="15">
        <v>4.1297935103244798</v>
      </c>
      <c r="AK52" s="15">
        <v>3.4602076124567498</v>
      </c>
      <c r="AL52" s="20" t="s">
        <v>76</v>
      </c>
      <c r="AM52" s="20" t="s">
        <v>76</v>
      </c>
      <c r="AN52" s="24">
        <v>1.89873417721519</v>
      </c>
      <c r="AO52" s="38"/>
    </row>
    <row r="53" spans="1:41">
      <c r="A53" s="9" t="s">
        <v>257</v>
      </c>
      <c r="B53" s="36">
        <v>5.6523380700152401</v>
      </c>
      <c r="C53" s="32">
        <v>5.1969807139321196</v>
      </c>
      <c r="D53" s="32">
        <v>5.4167897296051999</v>
      </c>
      <c r="E53" s="32">
        <v>6.1375931783184896</v>
      </c>
      <c r="F53" s="15">
        <v>8.3333333333333304</v>
      </c>
      <c r="G53" s="15">
        <v>7.4626865671641802</v>
      </c>
      <c r="H53" s="20" t="s">
        <v>76</v>
      </c>
      <c r="I53" s="20" t="s">
        <v>76</v>
      </c>
      <c r="J53" s="15">
        <v>8.6419753086419693</v>
      </c>
      <c r="K53" s="20" t="s">
        <v>76</v>
      </c>
      <c r="L53" s="15">
        <v>6.25</v>
      </c>
      <c r="M53" s="20" t="s">
        <v>76</v>
      </c>
      <c r="N53" s="20" t="s">
        <v>76</v>
      </c>
      <c r="O53" s="20" t="s">
        <v>76</v>
      </c>
      <c r="P53" s="15">
        <v>9.6296296296296298</v>
      </c>
      <c r="Q53" s="20" t="s">
        <v>76</v>
      </c>
      <c r="R53" s="15">
        <v>6.5934065934065904</v>
      </c>
      <c r="S53" s="20" t="s">
        <v>76</v>
      </c>
      <c r="T53" s="20" t="s">
        <v>76</v>
      </c>
      <c r="U53" s="20" t="s">
        <v>76</v>
      </c>
      <c r="V53" s="20" t="s">
        <v>76</v>
      </c>
      <c r="W53" s="15">
        <v>16.071428571428601</v>
      </c>
      <c r="X53" s="15">
        <v>7.6923076923076898</v>
      </c>
      <c r="Y53" s="20" t="s">
        <v>76</v>
      </c>
      <c r="Z53" s="20" t="s">
        <v>76</v>
      </c>
      <c r="AA53" s="15">
        <v>6.8493150684931496</v>
      </c>
      <c r="AB53" s="15">
        <v>7.6923076923076898</v>
      </c>
      <c r="AC53" s="15">
        <v>6.1728395061728403</v>
      </c>
      <c r="AD53" s="20" t="s">
        <v>76</v>
      </c>
      <c r="AE53" s="20" t="s">
        <v>76</v>
      </c>
      <c r="AF53" s="20" t="s">
        <v>76</v>
      </c>
      <c r="AG53" s="32">
        <v>4.8572079414306604</v>
      </c>
      <c r="AH53" s="15">
        <v>4.0268456375838904</v>
      </c>
      <c r="AI53" s="15">
        <v>4.71976401179941</v>
      </c>
      <c r="AJ53" s="15">
        <v>6.19469026548673</v>
      </c>
      <c r="AK53" s="15">
        <v>4.8442906574394504</v>
      </c>
      <c r="AL53" s="15">
        <v>3.91061452513966</v>
      </c>
      <c r="AM53" s="15">
        <v>2.7692307692307701</v>
      </c>
      <c r="AN53" s="24">
        <v>8.2278481012658204</v>
      </c>
      <c r="AO53" s="38"/>
    </row>
    <row r="54" spans="1:41">
      <c r="A54" s="9" t="s">
        <v>258</v>
      </c>
      <c r="B54" s="36">
        <v>3.5753889155289502</v>
      </c>
      <c r="C54" s="32">
        <v>3.3707402013005501</v>
      </c>
      <c r="D54" s="32">
        <v>4.3538794194773001</v>
      </c>
      <c r="E54" s="32">
        <v>4.2426122840092999</v>
      </c>
      <c r="F54" s="15">
        <v>5.2083333333333304</v>
      </c>
      <c r="G54" s="15">
        <v>8.9552238805970106</v>
      </c>
      <c r="H54" s="20" t="s">
        <v>76</v>
      </c>
      <c r="I54" s="20" t="s">
        <v>76</v>
      </c>
      <c r="J54" s="15">
        <v>6.1728395061728403</v>
      </c>
      <c r="K54" s="20" t="s">
        <v>76</v>
      </c>
      <c r="L54" s="20" t="s">
        <v>76</v>
      </c>
      <c r="M54" s="20" t="s">
        <v>76</v>
      </c>
      <c r="N54" s="20" t="s">
        <v>76</v>
      </c>
      <c r="O54" s="20" t="s">
        <v>76</v>
      </c>
      <c r="P54" s="15">
        <v>4.4444444444444402</v>
      </c>
      <c r="Q54" s="20" t="s">
        <v>76</v>
      </c>
      <c r="R54" s="20" t="s">
        <v>76</v>
      </c>
      <c r="S54" s="20" t="s">
        <v>76</v>
      </c>
      <c r="T54" s="20" t="s">
        <v>76</v>
      </c>
      <c r="U54" s="20" t="s">
        <v>76</v>
      </c>
      <c r="V54" s="15">
        <v>12.962962962962999</v>
      </c>
      <c r="W54" s="20" t="s">
        <v>76</v>
      </c>
      <c r="X54" s="15">
        <v>6.7307692307692299</v>
      </c>
      <c r="Y54" s="20" t="s">
        <v>76</v>
      </c>
      <c r="Z54" s="20" t="s">
        <v>76</v>
      </c>
      <c r="AA54" s="20" t="s">
        <v>76</v>
      </c>
      <c r="AB54" s="20" t="s">
        <v>76</v>
      </c>
      <c r="AC54" s="20" t="s">
        <v>76</v>
      </c>
      <c r="AD54" s="20" t="s">
        <v>76</v>
      </c>
      <c r="AE54" s="20" t="s">
        <v>76</v>
      </c>
      <c r="AF54" s="20" t="s">
        <v>76</v>
      </c>
      <c r="AG54" s="32">
        <v>4.4402595037310402</v>
      </c>
      <c r="AH54" s="15">
        <v>1.6778523489932899</v>
      </c>
      <c r="AI54" s="15">
        <v>3.24483775811209</v>
      </c>
      <c r="AJ54" s="15">
        <v>6.4896755162241897</v>
      </c>
      <c r="AK54" s="15">
        <v>5.1903114186851198</v>
      </c>
      <c r="AL54" s="15">
        <v>6.7039106145251397</v>
      </c>
      <c r="AM54" s="15">
        <v>4.3076923076923102</v>
      </c>
      <c r="AN54" s="24">
        <v>4.43037974683544</v>
      </c>
      <c r="AO54" s="38"/>
    </row>
    <row r="55" spans="1:41">
      <c r="A55" s="9" t="s">
        <v>259</v>
      </c>
      <c r="B55" s="36">
        <v>1.2495533652047699</v>
      </c>
      <c r="C55" s="32">
        <v>1.4526856853819301</v>
      </c>
      <c r="D55" s="32">
        <v>1.22054799349478</v>
      </c>
      <c r="E55" s="34" t="s">
        <v>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2">
        <v>1.21414823124786</v>
      </c>
      <c r="AH55" s="15">
        <v>1.6778523489932899</v>
      </c>
      <c r="AI55" s="20" t="s">
        <v>76</v>
      </c>
      <c r="AJ55" s="15">
        <v>1.76991150442478</v>
      </c>
      <c r="AK55" s="15">
        <v>2.0761245674740501</v>
      </c>
      <c r="AL55" s="20" t="s">
        <v>76</v>
      </c>
      <c r="AM55" s="20" t="s">
        <v>76</v>
      </c>
      <c r="AN55" s="24">
        <v>1.89873417721519</v>
      </c>
      <c r="AO55" s="38"/>
    </row>
    <row r="56" spans="1:41">
      <c r="A56" s="9" t="s">
        <v>260</v>
      </c>
      <c r="B56" s="36">
        <v>1.4857600982311501</v>
      </c>
      <c r="C56" s="32">
        <v>1.3351085047777</v>
      </c>
      <c r="D56" s="32">
        <v>1.5631064205467899</v>
      </c>
      <c r="E56" s="32">
        <v>1.62452054798834</v>
      </c>
      <c r="F56" s="20" t="s">
        <v>76</v>
      </c>
      <c r="G56" s="20" t="s">
        <v>76</v>
      </c>
      <c r="H56" s="20" t="s">
        <v>76</v>
      </c>
      <c r="I56" s="20" t="s">
        <v>76</v>
      </c>
      <c r="J56" s="20" t="s">
        <v>76</v>
      </c>
      <c r="K56" s="20" t="s">
        <v>76</v>
      </c>
      <c r="L56" s="20" t="s">
        <v>76</v>
      </c>
      <c r="M56" s="20" t="s">
        <v>76</v>
      </c>
      <c r="N56" s="20" t="s">
        <v>76</v>
      </c>
      <c r="O56" s="20" t="s">
        <v>76</v>
      </c>
      <c r="P56" s="15">
        <v>4.4444444444444402</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32">
        <v>1.51542875291872</v>
      </c>
      <c r="AH56" s="20" t="s">
        <v>76</v>
      </c>
      <c r="AI56" s="15">
        <v>1.47492625368732</v>
      </c>
      <c r="AJ56" s="15">
        <v>2.0648967551622399</v>
      </c>
      <c r="AK56" s="20" t="s">
        <v>76</v>
      </c>
      <c r="AL56" s="20" t="s">
        <v>76</v>
      </c>
      <c r="AM56" s="20" t="s">
        <v>76</v>
      </c>
      <c r="AN56" s="26" t="s">
        <v>76</v>
      </c>
      <c r="AO56" s="38"/>
    </row>
    <row r="57" spans="1:41">
      <c r="A57" s="9" t="s">
        <v>261</v>
      </c>
      <c r="B57" s="36">
        <v>1.93464618753541</v>
      </c>
      <c r="C57" s="32">
        <v>1.8981811633529799</v>
      </c>
      <c r="D57" s="32">
        <v>1.2681317262975</v>
      </c>
      <c r="E57" s="34" t="s">
        <v>76</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20" t="s">
        <v>76</v>
      </c>
      <c r="U57" s="20" t="s">
        <v>76</v>
      </c>
      <c r="V57" s="20" t="s">
        <v>76</v>
      </c>
      <c r="W57" s="20" t="s">
        <v>76</v>
      </c>
      <c r="X57" s="20" t="s">
        <v>76</v>
      </c>
      <c r="Y57" s="20" t="s">
        <v>76</v>
      </c>
      <c r="Z57" s="20" t="s">
        <v>76</v>
      </c>
      <c r="AA57" s="20" t="s">
        <v>76</v>
      </c>
      <c r="AB57" s="20" t="s">
        <v>76</v>
      </c>
      <c r="AC57" s="20" t="s">
        <v>76</v>
      </c>
      <c r="AD57" s="20" t="s">
        <v>76</v>
      </c>
      <c r="AE57" s="20" t="s">
        <v>76</v>
      </c>
      <c r="AF57" s="20" t="s">
        <v>76</v>
      </c>
      <c r="AG57" s="32">
        <v>1.1488332392003699</v>
      </c>
      <c r="AH57" s="20" t="s">
        <v>76</v>
      </c>
      <c r="AI57" s="20" t="s">
        <v>76</v>
      </c>
      <c r="AJ57" s="20" t="s">
        <v>76</v>
      </c>
      <c r="AK57" s="20" t="s">
        <v>76</v>
      </c>
      <c r="AL57" s="20" t="s">
        <v>76</v>
      </c>
      <c r="AM57" s="20" t="s">
        <v>76</v>
      </c>
      <c r="AN57" s="24">
        <v>3.4810126582278502</v>
      </c>
      <c r="AO57" s="38"/>
    </row>
    <row r="58" spans="1:41">
      <c r="A58" s="9" t="s">
        <v>262</v>
      </c>
      <c r="B58" s="36">
        <v>3.40924805856416</v>
      </c>
      <c r="C58" s="32">
        <v>3.70540195502404</v>
      </c>
      <c r="D58" s="32">
        <v>3.2376882083407401</v>
      </c>
      <c r="E58" s="32">
        <v>1.8042275159235801</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32">
        <v>4.3505276363049301</v>
      </c>
      <c r="AH58" s="15">
        <v>1.6778523489932899</v>
      </c>
      <c r="AI58" s="15">
        <v>4.4247787610619502</v>
      </c>
      <c r="AJ58" s="15">
        <v>3.8348082595870201</v>
      </c>
      <c r="AK58" s="15">
        <v>2.4221453287197199</v>
      </c>
      <c r="AL58" s="15">
        <v>2.7932960893854699</v>
      </c>
      <c r="AM58" s="15">
        <v>4.9230769230769198</v>
      </c>
      <c r="AN58" s="24">
        <v>3.79746835443038</v>
      </c>
      <c r="AO58" s="38"/>
    </row>
    <row r="59" spans="1:41">
      <c r="A59" s="9" t="s">
        <v>263</v>
      </c>
      <c r="B59" s="36">
        <v>0.33741277691758897</v>
      </c>
      <c r="C59" s="32">
        <v>0.25973849335280202</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20" t="s">
        <v>76</v>
      </c>
      <c r="AJ59" s="20" t="s">
        <v>76</v>
      </c>
      <c r="AK59" s="20" t="s">
        <v>76</v>
      </c>
      <c r="AL59" s="20" t="s">
        <v>76</v>
      </c>
      <c r="AM59" s="20" t="s">
        <v>76</v>
      </c>
      <c r="AN59" s="26" t="s">
        <v>76</v>
      </c>
      <c r="AO59" s="38"/>
    </row>
    <row r="60" spans="1:41">
      <c r="A60" s="9" t="s">
        <v>264</v>
      </c>
      <c r="B60" s="36">
        <v>0.26052818060632599</v>
      </c>
      <c r="C60" s="32">
        <v>0.201817745528929</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c r="A61" s="9" t="s">
        <v>265</v>
      </c>
      <c r="B61" s="36">
        <v>0.25084235537058402</v>
      </c>
      <c r="C61" s="32">
        <v>0.234580420505072</v>
      </c>
      <c r="D61" s="34" t="s">
        <v>76</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20" t="s">
        <v>76</v>
      </c>
      <c r="AJ61" s="20" t="s">
        <v>76</v>
      </c>
      <c r="AK61" s="20" t="s">
        <v>76</v>
      </c>
      <c r="AL61" s="20" t="s">
        <v>76</v>
      </c>
      <c r="AM61" s="20" t="s">
        <v>76</v>
      </c>
      <c r="AN61" s="26" t="s">
        <v>76</v>
      </c>
      <c r="AO61" s="38"/>
    </row>
    <row r="62" spans="1:41">
      <c r="A62" s="9" t="s">
        <v>266</v>
      </c>
      <c r="B62" s="36">
        <v>0.50204599585685095</v>
      </c>
      <c r="C62" s="32">
        <v>0.60903491496210704</v>
      </c>
      <c r="D62" s="34" t="s">
        <v>76</v>
      </c>
      <c r="E62" s="34"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34" t="s">
        <v>76</v>
      </c>
      <c r="AH62" s="20" t="s">
        <v>76</v>
      </c>
      <c r="AI62" s="20" t="s">
        <v>76</v>
      </c>
      <c r="AJ62" s="20" t="s">
        <v>76</v>
      </c>
      <c r="AK62" s="20" t="s">
        <v>76</v>
      </c>
      <c r="AL62" s="20" t="s">
        <v>76</v>
      </c>
      <c r="AM62" s="20" t="s">
        <v>76</v>
      </c>
      <c r="AN62" s="26" t="s">
        <v>76</v>
      </c>
      <c r="AO62" s="38"/>
    </row>
    <row r="63" spans="1:41">
      <c r="A63" s="9" t="s">
        <v>267</v>
      </c>
      <c r="B63" s="36">
        <v>1.9283527759491299</v>
      </c>
      <c r="C63" s="32">
        <v>1.80299030862903</v>
      </c>
      <c r="D63" s="32">
        <v>1.91777037485934</v>
      </c>
      <c r="E63" s="32">
        <v>2.0480210629140201</v>
      </c>
      <c r="F63" s="20" t="s">
        <v>76</v>
      </c>
      <c r="G63" s="20" t="s">
        <v>76</v>
      </c>
      <c r="H63" s="20" t="s">
        <v>76</v>
      </c>
      <c r="I63" s="20" t="s">
        <v>76</v>
      </c>
      <c r="J63" s="20" t="s">
        <v>76</v>
      </c>
      <c r="K63" s="20" t="s">
        <v>76</v>
      </c>
      <c r="L63" s="15">
        <v>4.6875</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32">
        <v>1.81665277745785</v>
      </c>
      <c r="AH63" s="15">
        <v>2.0134228187919501</v>
      </c>
      <c r="AI63" s="15">
        <v>2.65486725663717</v>
      </c>
      <c r="AJ63" s="20" t="s">
        <v>76</v>
      </c>
      <c r="AK63" s="20" t="s">
        <v>76</v>
      </c>
      <c r="AL63" s="15">
        <v>3.3519553072625698</v>
      </c>
      <c r="AM63" s="15">
        <v>1.84615384615385</v>
      </c>
      <c r="AN63" s="26" t="s">
        <v>76</v>
      </c>
      <c r="AO63" s="38"/>
    </row>
    <row r="64" spans="1:41">
      <c r="A64" s="11" t="s">
        <v>268</v>
      </c>
      <c r="B64" s="37">
        <v>3.71292305971033</v>
      </c>
      <c r="C64" s="33">
        <v>3.5395523870619199</v>
      </c>
      <c r="D64" s="33">
        <v>3.9770685175394802</v>
      </c>
      <c r="E64" s="33">
        <v>4.0790858417195004</v>
      </c>
      <c r="F64" s="16">
        <v>5.2083333333333304</v>
      </c>
      <c r="G64" s="28" t="s">
        <v>76</v>
      </c>
      <c r="H64" s="28" t="s">
        <v>76</v>
      </c>
      <c r="I64" s="28" t="s">
        <v>76</v>
      </c>
      <c r="J64" s="16">
        <v>14.814814814814801</v>
      </c>
      <c r="K64" s="28" t="s">
        <v>76</v>
      </c>
      <c r="L64" s="16">
        <v>3.90625</v>
      </c>
      <c r="M64" s="28" t="s">
        <v>76</v>
      </c>
      <c r="N64" s="28" t="s">
        <v>76</v>
      </c>
      <c r="O64" s="28" t="s">
        <v>76</v>
      </c>
      <c r="P64" s="28" t="s">
        <v>76</v>
      </c>
      <c r="Q64" s="16">
        <v>10</v>
      </c>
      <c r="R64" s="28" t="s">
        <v>76</v>
      </c>
      <c r="S64" s="28" t="s">
        <v>76</v>
      </c>
      <c r="T64" s="28" t="s">
        <v>76</v>
      </c>
      <c r="U64" s="28" t="s">
        <v>76</v>
      </c>
      <c r="V64" s="28" t="s">
        <v>76</v>
      </c>
      <c r="W64" s="28" t="s">
        <v>76</v>
      </c>
      <c r="X64" s="28" t="s">
        <v>76</v>
      </c>
      <c r="Y64" s="28" t="s">
        <v>76</v>
      </c>
      <c r="Z64" s="28" t="s">
        <v>76</v>
      </c>
      <c r="AA64" s="16">
        <v>6.8493150684931496</v>
      </c>
      <c r="AB64" s="28" t="s">
        <v>76</v>
      </c>
      <c r="AC64" s="28" t="s">
        <v>76</v>
      </c>
      <c r="AD64" s="16">
        <v>6.3157894736842097</v>
      </c>
      <c r="AE64" s="28" t="s">
        <v>76</v>
      </c>
      <c r="AF64" s="28" t="s">
        <v>76</v>
      </c>
      <c r="AG64" s="33">
        <v>3.8978693450170101</v>
      </c>
      <c r="AH64" s="16">
        <v>2.3489932885906</v>
      </c>
      <c r="AI64" s="16">
        <v>7.3746312684365796</v>
      </c>
      <c r="AJ64" s="16">
        <v>2.65486725663717</v>
      </c>
      <c r="AK64" s="16">
        <v>3.8062283737024201</v>
      </c>
      <c r="AL64" s="16">
        <v>5.0279329608938497</v>
      </c>
      <c r="AM64" s="16">
        <v>4</v>
      </c>
      <c r="AN64" s="25">
        <v>4.43037974683544</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276</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c r="A3" s="22" t="s">
        <v>68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5" customHeight="1">
      <c r="A4" s="22" t="s">
        <v>69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5" customHeight="1">
      <c r="A5" s="22" t="s">
        <v>70</v>
      </c>
      <c r="B5" s="15">
        <v>90.154604559663298</v>
      </c>
      <c r="C5" s="15">
        <v>88.627304660600402</v>
      </c>
      <c r="D5" s="24">
        <v>91.340294237094795</v>
      </c>
      <c r="E5" s="15">
        <v>91.442100066926699</v>
      </c>
      <c r="F5" s="15">
        <v>90.164110521175701</v>
      </c>
      <c r="G5" s="24">
        <v>92.4746468236049</v>
      </c>
      <c r="H5" s="15">
        <v>88.657849641005896</v>
      </c>
      <c r="I5" s="15">
        <v>86.915106262385095</v>
      </c>
      <c r="J5" s="24">
        <v>90.0091352622252</v>
      </c>
      <c r="K5" s="15">
        <v>98.188106835589593</v>
      </c>
      <c r="L5" s="20" t="s">
        <v>76</v>
      </c>
      <c r="M5" s="24">
        <v>97.789370970841006</v>
      </c>
      <c r="N5" s="15">
        <v>90.565357924425996</v>
      </c>
      <c r="O5" s="20" t="s">
        <v>76</v>
      </c>
      <c r="P5" s="24">
        <v>91.470239184974005</v>
      </c>
    </row>
    <row r="6" spans="1:16" ht="21.95" customHeight="1">
      <c r="A6" s="22" t="s">
        <v>165</v>
      </c>
      <c r="B6" s="15">
        <v>88.627304660600402</v>
      </c>
      <c r="C6" s="15">
        <v>88.627304660600402</v>
      </c>
      <c r="D6" s="26" t="s">
        <v>76</v>
      </c>
      <c r="E6" s="15">
        <v>90.164110521175701</v>
      </c>
      <c r="F6" s="15">
        <v>90.164110521175701</v>
      </c>
      <c r="G6" s="26" t="s">
        <v>76</v>
      </c>
      <c r="H6" s="15">
        <v>86.915106262385095</v>
      </c>
      <c r="I6" s="15">
        <v>86.915106262385095</v>
      </c>
      <c r="J6" s="26" t="s">
        <v>76</v>
      </c>
      <c r="K6" s="20" t="s">
        <v>76</v>
      </c>
      <c r="L6" s="20" t="s">
        <v>76</v>
      </c>
      <c r="M6" s="26" t="s">
        <v>76</v>
      </c>
      <c r="N6" s="20" t="s">
        <v>76</v>
      </c>
      <c r="O6" s="20" t="s">
        <v>76</v>
      </c>
      <c r="P6" s="26" t="s">
        <v>76</v>
      </c>
    </row>
    <row r="7" spans="1:16">
      <c r="A7" s="9" t="s">
        <v>166</v>
      </c>
      <c r="B7" s="15">
        <v>94.7916666666667</v>
      </c>
      <c r="C7" s="15">
        <v>94.7916666666667</v>
      </c>
      <c r="D7" s="26" t="s">
        <v>76</v>
      </c>
      <c r="E7" s="15">
        <v>95.8333333333333</v>
      </c>
      <c r="F7" s="15">
        <v>95.8333333333333</v>
      </c>
      <c r="G7" s="26" t="s">
        <v>76</v>
      </c>
      <c r="H7" s="15">
        <v>93.75</v>
      </c>
      <c r="I7" s="15">
        <v>93.75</v>
      </c>
      <c r="J7" s="26" t="s">
        <v>76</v>
      </c>
      <c r="K7" s="20" t="s">
        <v>76</v>
      </c>
      <c r="L7" s="20" t="s">
        <v>76</v>
      </c>
      <c r="M7" s="26" t="s">
        <v>76</v>
      </c>
      <c r="N7" s="20" t="s">
        <v>76</v>
      </c>
      <c r="O7" s="20" t="s">
        <v>76</v>
      </c>
      <c r="P7" s="26" t="s">
        <v>76</v>
      </c>
    </row>
    <row r="8" spans="1:16">
      <c r="A8" s="9" t="s">
        <v>167</v>
      </c>
      <c r="B8" s="15">
        <v>91.044776119402997</v>
      </c>
      <c r="C8" s="15">
        <v>91.044776119402997</v>
      </c>
      <c r="D8" s="26" t="s">
        <v>76</v>
      </c>
      <c r="E8" s="15">
        <v>89.655172413793096</v>
      </c>
      <c r="F8" s="15">
        <v>89.655172413793096</v>
      </c>
      <c r="G8" s="26" t="s">
        <v>76</v>
      </c>
      <c r="H8" s="15">
        <v>92.105263157894697</v>
      </c>
      <c r="I8" s="15">
        <v>92.105263157894697</v>
      </c>
      <c r="J8" s="26" t="s">
        <v>76</v>
      </c>
      <c r="K8" s="20" t="s">
        <v>76</v>
      </c>
      <c r="L8" s="20" t="s">
        <v>76</v>
      </c>
      <c r="M8" s="26" t="s">
        <v>76</v>
      </c>
      <c r="N8" s="20" t="s">
        <v>76</v>
      </c>
      <c r="O8" s="20" t="s">
        <v>76</v>
      </c>
      <c r="P8" s="26" t="s">
        <v>76</v>
      </c>
    </row>
    <row r="9" spans="1:16">
      <c r="A9" s="9" t="s">
        <v>168</v>
      </c>
      <c r="B9" s="15">
        <v>84.146341463414601</v>
      </c>
      <c r="C9" s="15">
        <v>84.146341463414601</v>
      </c>
      <c r="D9" s="26" t="s">
        <v>76</v>
      </c>
      <c r="E9" s="15">
        <v>92.5</v>
      </c>
      <c r="F9" s="15">
        <v>92.5</v>
      </c>
      <c r="G9" s="26" t="s">
        <v>76</v>
      </c>
      <c r="H9" s="15">
        <v>78.048780487804905</v>
      </c>
      <c r="I9" s="15">
        <v>78.048780487804905</v>
      </c>
      <c r="J9" s="26" t="s">
        <v>76</v>
      </c>
      <c r="K9" s="20" t="s">
        <v>76</v>
      </c>
      <c r="L9" s="20" t="s">
        <v>76</v>
      </c>
      <c r="M9" s="26" t="s">
        <v>76</v>
      </c>
      <c r="N9" s="20" t="s">
        <v>76</v>
      </c>
      <c r="O9" s="20" t="s">
        <v>76</v>
      </c>
      <c r="P9" s="26" t="s">
        <v>76</v>
      </c>
    </row>
    <row r="10" spans="1:16">
      <c r="A10" s="9" t="s">
        <v>169</v>
      </c>
      <c r="B10" s="15">
        <v>82.5</v>
      </c>
      <c r="C10" s="15">
        <v>82.5</v>
      </c>
      <c r="D10" s="26" t="s">
        <v>76</v>
      </c>
      <c r="E10" s="15">
        <v>76.470588235294102</v>
      </c>
      <c r="F10" s="15">
        <v>76.470588235294102</v>
      </c>
      <c r="G10" s="26" t="s">
        <v>76</v>
      </c>
      <c r="H10" s="15">
        <v>86.956521739130395</v>
      </c>
      <c r="I10" s="15">
        <v>86.956521739130395</v>
      </c>
      <c r="J10" s="26" t="s">
        <v>76</v>
      </c>
      <c r="K10" s="20" t="s">
        <v>76</v>
      </c>
      <c r="L10" s="20" t="s">
        <v>76</v>
      </c>
      <c r="M10" s="26" t="s">
        <v>76</v>
      </c>
      <c r="N10" s="20" t="s">
        <v>76</v>
      </c>
      <c r="O10" s="20" t="s">
        <v>76</v>
      </c>
      <c r="P10" s="26" t="s">
        <v>76</v>
      </c>
    </row>
    <row r="11" spans="1:16">
      <c r="A11" s="9" t="s">
        <v>170</v>
      </c>
      <c r="B11" s="15">
        <v>95.061728395061706</v>
      </c>
      <c r="C11" s="15">
        <v>95.061728395061706</v>
      </c>
      <c r="D11" s="26" t="s">
        <v>76</v>
      </c>
      <c r="E11" s="15">
        <v>100</v>
      </c>
      <c r="F11" s="15">
        <v>100</v>
      </c>
      <c r="G11" s="26" t="s">
        <v>76</v>
      </c>
      <c r="H11" s="15">
        <v>91.891891891891902</v>
      </c>
      <c r="I11" s="15">
        <v>91.891891891891902</v>
      </c>
      <c r="J11" s="26" t="s">
        <v>76</v>
      </c>
      <c r="K11" s="20" t="s">
        <v>76</v>
      </c>
      <c r="L11" s="20" t="s">
        <v>76</v>
      </c>
      <c r="M11" s="26" t="s">
        <v>76</v>
      </c>
      <c r="N11" s="20" t="s">
        <v>76</v>
      </c>
      <c r="O11" s="20" t="s">
        <v>76</v>
      </c>
      <c r="P11" s="26" t="s">
        <v>76</v>
      </c>
    </row>
    <row r="12" spans="1:16">
      <c r="A12" s="9" t="s">
        <v>171</v>
      </c>
      <c r="B12" s="15">
        <v>80</v>
      </c>
      <c r="C12" s="15">
        <v>80</v>
      </c>
      <c r="D12" s="26" t="s">
        <v>76</v>
      </c>
      <c r="E12" s="15">
        <v>79.1666666666667</v>
      </c>
      <c r="F12" s="15">
        <v>79.1666666666667</v>
      </c>
      <c r="G12" s="26" t="s">
        <v>76</v>
      </c>
      <c r="H12" s="15">
        <v>80.769230769230802</v>
      </c>
      <c r="I12" s="15">
        <v>80.769230769230802</v>
      </c>
      <c r="J12" s="26" t="s">
        <v>76</v>
      </c>
      <c r="K12" s="20" t="s">
        <v>76</v>
      </c>
      <c r="L12" s="20" t="s">
        <v>76</v>
      </c>
      <c r="M12" s="26" t="s">
        <v>76</v>
      </c>
      <c r="N12" s="20" t="s">
        <v>76</v>
      </c>
      <c r="O12" s="20" t="s">
        <v>76</v>
      </c>
      <c r="P12" s="26" t="s">
        <v>76</v>
      </c>
    </row>
    <row r="13" spans="1:16">
      <c r="A13" s="9" t="s">
        <v>172</v>
      </c>
      <c r="B13" s="15">
        <v>81.25</v>
      </c>
      <c r="C13" s="15">
        <v>81.25</v>
      </c>
      <c r="D13" s="26" t="s">
        <v>76</v>
      </c>
      <c r="E13" s="15">
        <v>85.9375</v>
      </c>
      <c r="F13" s="15">
        <v>85.9375</v>
      </c>
      <c r="G13" s="26" t="s">
        <v>76</v>
      </c>
      <c r="H13" s="15">
        <v>76.271186440677994</v>
      </c>
      <c r="I13" s="15">
        <v>76.271186440677994</v>
      </c>
      <c r="J13" s="26" t="s">
        <v>76</v>
      </c>
      <c r="K13" s="20" t="s">
        <v>76</v>
      </c>
      <c r="L13" s="20" t="s">
        <v>76</v>
      </c>
      <c r="M13" s="26" t="s">
        <v>76</v>
      </c>
      <c r="N13" s="20" t="s">
        <v>76</v>
      </c>
      <c r="O13" s="20" t="s">
        <v>76</v>
      </c>
      <c r="P13" s="26" t="s">
        <v>76</v>
      </c>
    </row>
    <row r="14" spans="1:16">
      <c r="A14" s="9" t="s">
        <v>173</v>
      </c>
      <c r="B14" s="15">
        <v>92.647058823529406</v>
      </c>
      <c r="C14" s="15">
        <v>92.647058823529406</v>
      </c>
      <c r="D14" s="26" t="s">
        <v>76</v>
      </c>
      <c r="E14" s="15">
        <v>97.058823529411796</v>
      </c>
      <c r="F14" s="15">
        <v>97.058823529411796</v>
      </c>
      <c r="G14" s="26" t="s">
        <v>76</v>
      </c>
      <c r="H14" s="15">
        <v>87.878787878787904</v>
      </c>
      <c r="I14" s="15">
        <v>87.878787878787904</v>
      </c>
      <c r="J14" s="26" t="s">
        <v>76</v>
      </c>
      <c r="K14" s="20" t="s">
        <v>76</v>
      </c>
      <c r="L14" s="20" t="s">
        <v>76</v>
      </c>
      <c r="M14" s="26" t="s">
        <v>76</v>
      </c>
      <c r="N14" s="20" t="s">
        <v>76</v>
      </c>
      <c r="O14" s="20" t="s">
        <v>76</v>
      </c>
      <c r="P14" s="26" t="s">
        <v>76</v>
      </c>
    </row>
    <row r="15" spans="1:16">
      <c r="A15" s="9" t="s">
        <v>174</v>
      </c>
      <c r="B15" s="15">
        <v>93.877551020408205</v>
      </c>
      <c r="C15" s="15">
        <v>93.877551020408205</v>
      </c>
      <c r="D15" s="26" t="s">
        <v>76</v>
      </c>
      <c r="E15" s="15">
        <v>92.592592592592595</v>
      </c>
      <c r="F15" s="15">
        <v>92.592592592592595</v>
      </c>
      <c r="G15" s="26" t="s">
        <v>76</v>
      </c>
      <c r="H15" s="15">
        <v>95.454545454545496</v>
      </c>
      <c r="I15" s="15">
        <v>95.454545454545496</v>
      </c>
      <c r="J15" s="26" t="s">
        <v>76</v>
      </c>
      <c r="K15" s="20" t="s">
        <v>76</v>
      </c>
      <c r="L15" s="20" t="s">
        <v>76</v>
      </c>
      <c r="M15" s="26" t="s">
        <v>76</v>
      </c>
      <c r="N15" s="20" t="s">
        <v>76</v>
      </c>
      <c r="O15" s="20" t="s">
        <v>76</v>
      </c>
      <c r="P15" s="26" t="s">
        <v>76</v>
      </c>
    </row>
    <row r="16" spans="1:16">
      <c r="A16" s="9" t="s">
        <v>175</v>
      </c>
      <c r="B16" s="15">
        <v>92.857142857142904</v>
      </c>
      <c r="C16" s="15">
        <v>92.857142857142904</v>
      </c>
      <c r="D16" s="26" t="s">
        <v>76</v>
      </c>
      <c r="E16" s="15">
        <v>95.238095238095198</v>
      </c>
      <c r="F16" s="15">
        <v>95.238095238095198</v>
      </c>
      <c r="G16" s="26" t="s">
        <v>76</v>
      </c>
      <c r="H16" s="15">
        <v>90.476190476190496</v>
      </c>
      <c r="I16" s="15">
        <v>90.476190476190496</v>
      </c>
      <c r="J16" s="26" t="s">
        <v>76</v>
      </c>
      <c r="K16" s="20" t="s">
        <v>76</v>
      </c>
      <c r="L16" s="20" t="s">
        <v>76</v>
      </c>
      <c r="M16" s="26" t="s">
        <v>76</v>
      </c>
      <c r="N16" s="20" t="s">
        <v>76</v>
      </c>
      <c r="O16" s="20" t="s">
        <v>76</v>
      </c>
      <c r="P16" s="26" t="s">
        <v>76</v>
      </c>
    </row>
    <row r="17" spans="1:16">
      <c r="A17" s="9" t="s">
        <v>176</v>
      </c>
      <c r="B17" s="15">
        <v>87.407407407407405</v>
      </c>
      <c r="C17" s="15">
        <v>87.407407407407405</v>
      </c>
      <c r="D17" s="26" t="s">
        <v>76</v>
      </c>
      <c r="E17" s="15">
        <v>86.764705882352899</v>
      </c>
      <c r="F17" s="15">
        <v>86.764705882352899</v>
      </c>
      <c r="G17" s="26" t="s">
        <v>76</v>
      </c>
      <c r="H17" s="15">
        <v>87.096774193548399</v>
      </c>
      <c r="I17" s="15">
        <v>87.096774193548399</v>
      </c>
      <c r="J17" s="26" t="s">
        <v>76</v>
      </c>
      <c r="K17" s="20" t="s">
        <v>76</v>
      </c>
      <c r="L17" s="20" t="s">
        <v>76</v>
      </c>
      <c r="M17" s="26" t="s">
        <v>76</v>
      </c>
      <c r="N17" s="20" t="s">
        <v>76</v>
      </c>
      <c r="O17" s="20" t="s">
        <v>76</v>
      </c>
      <c r="P17" s="26" t="s">
        <v>76</v>
      </c>
    </row>
    <row r="18" spans="1:16">
      <c r="A18" s="9" t="s">
        <v>177</v>
      </c>
      <c r="B18" s="15">
        <v>98.3333333333333</v>
      </c>
      <c r="C18" s="15">
        <v>98.3333333333333</v>
      </c>
      <c r="D18" s="26" t="s">
        <v>76</v>
      </c>
      <c r="E18" s="15">
        <v>96.875</v>
      </c>
      <c r="F18" s="15">
        <v>96.875</v>
      </c>
      <c r="G18" s="26" t="s">
        <v>76</v>
      </c>
      <c r="H18" s="15">
        <v>100</v>
      </c>
      <c r="I18" s="15">
        <v>100</v>
      </c>
      <c r="J18" s="26" t="s">
        <v>76</v>
      </c>
      <c r="K18" s="20" t="s">
        <v>76</v>
      </c>
      <c r="L18" s="20" t="s">
        <v>76</v>
      </c>
      <c r="M18" s="26" t="s">
        <v>76</v>
      </c>
      <c r="N18" s="20" t="s">
        <v>76</v>
      </c>
      <c r="O18" s="20" t="s">
        <v>76</v>
      </c>
      <c r="P18" s="26" t="s">
        <v>76</v>
      </c>
    </row>
    <row r="19" spans="1:16">
      <c r="A19" s="9" t="s">
        <v>178</v>
      </c>
      <c r="B19" s="15">
        <v>94.505494505494497</v>
      </c>
      <c r="C19" s="15">
        <v>94.505494505494497</v>
      </c>
      <c r="D19" s="26" t="s">
        <v>76</v>
      </c>
      <c r="E19" s="15">
        <v>93.181818181818201</v>
      </c>
      <c r="F19" s="15">
        <v>93.181818181818201</v>
      </c>
      <c r="G19" s="26" t="s">
        <v>76</v>
      </c>
      <c r="H19" s="15">
        <v>95.5555555555556</v>
      </c>
      <c r="I19" s="15">
        <v>95.5555555555556</v>
      </c>
      <c r="J19" s="26" t="s">
        <v>76</v>
      </c>
      <c r="K19" s="20" t="s">
        <v>76</v>
      </c>
      <c r="L19" s="20" t="s">
        <v>76</v>
      </c>
      <c r="M19" s="26" t="s">
        <v>76</v>
      </c>
      <c r="N19" s="20" t="s">
        <v>76</v>
      </c>
      <c r="O19" s="20" t="s">
        <v>76</v>
      </c>
      <c r="P19" s="26" t="s">
        <v>76</v>
      </c>
    </row>
    <row r="20" spans="1:16">
      <c r="A20" s="9" t="s">
        <v>179</v>
      </c>
      <c r="B20" s="15">
        <v>93</v>
      </c>
      <c r="C20" s="15">
        <v>93</v>
      </c>
      <c r="D20" s="26" t="s">
        <v>76</v>
      </c>
      <c r="E20" s="15">
        <v>95.238095238095198</v>
      </c>
      <c r="F20" s="15">
        <v>95.238095238095198</v>
      </c>
      <c r="G20" s="26" t="s">
        <v>76</v>
      </c>
      <c r="H20" s="15">
        <v>90.909090909090907</v>
      </c>
      <c r="I20" s="15">
        <v>90.909090909090907</v>
      </c>
      <c r="J20" s="26" t="s">
        <v>76</v>
      </c>
      <c r="K20" s="20" t="s">
        <v>76</v>
      </c>
      <c r="L20" s="20" t="s">
        <v>76</v>
      </c>
      <c r="M20" s="26" t="s">
        <v>76</v>
      </c>
      <c r="N20" s="20" t="s">
        <v>76</v>
      </c>
      <c r="O20" s="20" t="s">
        <v>76</v>
      </c>
      <c r="P20" s="26" t="s">
        <v>76</v>
      </c>
    </row>
    <row r="21" spans="1:16">
      <c r="A21" s="9" t="s">
        <v>180</v>
      </c>
      <c r="B21" s="15">
        <v>96.969696969696997</v>
      </c>
      <c r="C21" s="15">
        <v>96.969696969696997</v>
      </c>
      <c r="D21" s="26" t="s">
        <v>76</v>
      </c>
      <c r="E21" s="15">
        <v>100</v>
      </c>
      <c r="F21" s="15">
        <v>100</v>
      </c>
      <c r="G21" s="26" t="s">
        <v>76</v>
      </c>
      <c r="H21" s="15">
        <v>93.75</v>
      </c>
      <c r="I21" s="15">
        <v>93.75</v>
      </c>
      <c r="J21" s="26" t="s">
        <v>76</v>
      </c>
      <c r="K21" s="20" t="s">
        <v>76</v>
      </c>
      <c r="L21" s="20" t="s">
        <v>76</v>
      </c>
      <c r="M21" s="26" t="s">
        <v>76</v>
      </c>
      <c r="N21" s="20" t="s">
        <v>76</v>
      </c>
      <c r="O21" s="20" t="s">
        <v>76</v>
      </c>
      <c r="P21" s="26" t="s">
        <v>76</v>
      </c>
    </row>
    <row r="22" spans="1:16">
      <c r="A22" s="9" t="s">
        <v>181</v>
      </c>
      <c r="B22" s="15">
        <v>97.872340425531902</v>
      </c>
      <c r="C22" s="15">
        <v>97.872340425531902</v>
      </c>
      <c r="D22" s="26" t="s">
        <v>76</v>
      </c>
      <c r="E22" s="15">
        <v>100</v>
      </c>
      <c r="F22" s="15">
        <v>100</v>
      </c>
      <c r="G22" s="26" t="s">
        <v>76</v>
      </c>
      <c r="H22" s="15">
        <v>95.652173913043498</v>
      </c>
      <c r="I22" s="15">
        <v>95.652173913043498</v>
      </c>
      <c r="J22" s="26" t="s">
        <v>76</v>
      </c>
      <c r="K22" s="20" t="s">
        <v>76</v>
      </c>
      <c r="L22" s="20" t="s">
        <v>76</v>
      </c>
      <c r="M22" s="26" t="s">
        <v>76</v>
      </c>
      <c r="N22" s="20" t="s">
        <v>76</v>
      </c>
      <c r="O22" s="20" t="s">
        <v>76</v>
      </c>
      <c r="P22" s="26" t="s">
        <v>76</v>
      </c>
    </row>
    <row r="23" spans="1:16">
      <c r="A23" s="9" t="s">
        <v>182</v>
      </c>
      <c r="B23" s="15">
        <v>90.740740740740705</v>
      </c>
      <c r="C23" s="15">
        <v>90.740740740740705</v>
      </c>
      <c r="D23" s="26" t="s">
        <v>76</v>
      </c>
      <c r="E23" s="15">
        <v>92.592592592592595</v>
      </c>
      <c r="F23" s="15">
        <v>92.592592592592595</v>
      </c>
      <c r="G23" s="26" t="s">
        <v>76</v>
      </c>
      <c r="H23" s="15">
        <v>88.8888888888889</v>
      </c>
      <c r="I23" s="15">
        <v>88.8888888888889</v>
      </c>
      <c r="J23" s="26" t="s">
        <v>76</v>
      </c>
      <c r="K23" s="20" t="s">
        <v>76</v>
      </c>
      <c r="L23" s="20" t="s">
        <v>76</v>
      </c>
      <c r="M23" s="26" t="s">
        <v>76</v>
      </c>
      <c r="N23" s="20" t="s">
        <v>76</v>
      </c>
      <c r="O23" s="20" t="s">
        <v>76</v>
      </c>
      <c r="P23" s="26" t="s">
        <v>76</v>
      </c>
    </row>
    <row r="24" spans="1:16">
      <c r="A24" s="9" t="s">
        <v>183</v>
      </c>
      <c r="B24" s="15">
        <v>92.857142857142804</v>
      </c>
      <c r="C24" s="15">
        <v>92.857142857142804</v>
      </c>
      <c r="D24" s="26" t="s">
        <v>76</v>
      </c>
      <c r="E24" s="15">
        <v>92.857142857142804</v>
      </c>
      <c r="F24" s="15">
        <v>92.857142857142804</v>
      </c>
      <c r="G24" s="26" t="s">
        <v>76</v>
      </c>
      <c r="H24" s="15">
        <v>92.857142857142804</v>
      </c>
      <c r="I24" s="15">
        <v>92.857142857142804</v>
      </c>
      <c r="J24" s="26" t="s">
        <v>76</v>
      </c>
      <c r="K24" s="20" t="s">
        <v>76</v>
      </c>
      <c r="L24" s="20" t="s">
        <v>76</v>
      </c>
      <c r="M24" s="26" t="s">
        <v>76</v>
      </c>
      <c r="N24" s="20" t="s">
        <v>76</v>
      </c>
      <c r="O24" s="20" t="s">
        <v>76</v>
      </c>
      <c r="P24" s="26" t="s">
        <v>76</v>
      </c>
    </row>
    <row r="25" spans="1:16">
      <c r="A25" s="9" t="s">
        <v>184</v>
      </c>
      <c r="B25" s="15">
        <v>68.269230769230802</v>
      </c>
      <c r="C25" s="15">
        <v>68.269230769230802</v>
      </c>
      <c r="D25" s="26" t="s">
        <v>76</v>
      </c>
      <c r="E25" s="15">
        <v>67.346938775510196</v>
      </c>
      <c r="F25" s="15">
        <v>67.346938775510196</v>
      </c>
      <c r="G25" s="26" t="s">
        <v>76</v>
      </c>
      <c r="H25" s="15">
        <v>69.090909090909093</v>
      </c>
      <c r="I25" s="15">
        <v>69.090909090909093</v>
      </c>
      <c r="J25" s="26" t="s">
        <v>76</v>
      </c>
      <c r="K25" s="20" t="s">
        <v>76</v>
      </c>
      <c r="L25" s="20" t="s">
        <v>76</v>
      </c>
      <c r="M25" s="26" t="s">
        <v>76</v>
      </c>
      <c r="N25" s="20" t="s">
        <v>76</v>
      </c>
      <c r="O25" s="20" t="s">
        <v>76</v>
      </c>
      <c r="P25" s="26" t="s">
        <v>76</v>
      </c>
    </row>
    <row r="26" spans="1:16">
      <c r="A26" s="9" t="s">
        <v>185</v>
      </c>
      <c r="B26" s="15">
        <v>80.487804878048806</v>
      </c>
      <c r="C26" s="15">
        <v>80.487804878048806</v>
      </c>
      <c r="D26" s="26" t="s">
        <v>76</v>
      </c>
      <c r="E26" s="15">
        <v>100</v>
      </c>
      <c r="F26" s="15">
        <v>100</v>
      </c>
      <c r="G26" s="26" t="s">
        <v>76</v>
      </c>
      <c r="H26" s="15">
        <v>61.904761904761898</v>
      </c>
      <c r="I26" s="15">
        <v>61.904761904761898</v>
      </c>
      <c r="J26" s="26" t="s">
        <v>76</v>
      </c>
      <c r="K26" s="20" t="s">
        <v>76</v>
      </c>
      <c r="L26" s="20" t="s">
        <v>76</v>
      </c>
      <c r="M26" s="26" t="s">
        <v>76</v>
      </c>
      <c r="N26" s="20" t="s">
        <v>76</v>
      </c>
      <c r="O26" s="20" t="s">
        <v>76</v>
      </c>
      <c r="P26" s="26" t="s">
        <v>76</v>
      </c>
    </row>
    <row r="27" spans="1:16">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c r="A28" s="9" t="s">
        <v>187</v>
      </c>
      <c r="B28" s="15">
        <v>95.890410958904098</v>
      </c>
      <c r="C28" s="15">
        <v>95.890410958904098</v>
      </c>
      <c r="D28" s="26" t="s">
        <v>76</v>
      </c>
      <c r="E28" s="15">
        <v>91.428571428571402</v>
      </c>
      <c r="F28" s="15">
        <v>91.428571428571402</v>
      </c>
      <c r="G28" s="26" t="s">
        <v>76</v>
      </c>
      <c r="H28" s="15">
        <v>100</v>
      </c>
      <c r="I28" s="15">
        <v>100</v>
      </c>
      <c r="J28" s="26" t="s">
        <v>76</v>
      </c>
      <c r="K28" s="20" t="s">
        <v>76</v>
      </c>
      <c r="L28" s="20" t="s">
        <v>76</v>
      </c>
      <c r="M28" s="26" t="s">
        <v>76</v>
      </c>
      <c r="N28" s="20" t="s">
        <v>76</v>
      </c>
      <c r="O28" s="20" t="s">
        <v>76</v>
      </c>
      <c r="P28" s="26" t="s">
        <v>76</v>
      </c>
    </row>
    <row r="29" spans="1:16">
      <c r="A29" s="9" t="s">
        <v>188</v>
      </c>
      <c r="B29" s="15">
        <v>94.871794871794904</v>
      </c>
      <c r="C29" s="15">
        <v>94.871794871794904</v>
      </c>
      <c r="D29" s="26" t="s">
        <v>76</v>
      </c>
      <c r="E29" s="15">
        <v>97.058823529411796</v>
      </c>
      <c r="F29" s="15">
        <v>97.058823529411796</v>
      </c>
      <c r="G29" s="26" t="s">
        <v>76</v>
      </c>
      <c r="H29" s="15">
        <v>93.181818181818201</v>
      </c>
      <c r="I29" s="15">
        <v>93.181818181818201</v>
      </c>
      <c r="J29" s="26" t="s">
        <v>76</v>
      </c>
      <c r="K29" s="20" t="s">
        <v>76</v>
      </c>
      <c r="L29" s="20" t="s">
        <v>76</v>
      </c>
      <c r="M29" s="26" t="s">
        <v>76</v>
      </c>
      <c r="N29" s="20" t="s">
        <v>76</v>
      </c>
      <c r="O29" s="20" t="s">
        <v>76</v>
      </c>
      <c r="P29" s="26" t="s">
        <v>76</v>
      </c>
    </row>
    <row r="30" spans="1:16">
      <c r="A30" s="9" t="s">
        <v>189</v>
      </c>
      <c r="B30" s="15">
        <v>82.716049382716093</v>
      </c>
      <c r="C30" s="15">
        <v>82.716049382716093</v>
      </c>
      <c r="D30" s="26" t="s">
        <v>76</v>
      </c>
      <c r="E30" s="15">
        <v>82.926829268292707</v>
      </c>
      <c r="F30" s="15">
        <v>82.926829268292707</v>
      </c>
      <c r="G30" s="26" t="s">
        <v>76</v>
      </c>
      <c r="H30" s="15">
        <v>82.051282051282001</v>
      </c>
      <c r="I30" s="15">
        <v>82.051282051282001</v>
      </c>
      <c r="J30" s="26" t="s">
        <v>76</v>
      </c>
      <c r="K30" s="20" t="s">
        <v>76</v>
      </c>
      <c r="L30" s="20" t="s">
        <v>76</v>
      </c>
      <c r="M30" s="26" t="s">
        <v>76</v>
      </c>
      <c r="N30" s="20" t="s">
        <v>76</v>
      </c>
      <c r="O30" s="20" t="s">
        <v>76</v>
      </c>
      <c r="P30" s="26" t="s">
        <v>76</v>
      </c>
    </row>
    <row r="31" spans="1:16">
      <c r="A31" s="9" t="s">
        <v>190</v>
      </c>
      <c r="B31" s="15">
        <v>85.263157894736807</v>
      </c>
      <c r="C31" s="15">
        <v>85.263157894736807</v>
      </c>
      <c r="D31" s="26" t="s">
        <v>76</v>
      </c>
      <c r="E31" s="15">
        <v>83.673469387755105</v>
      </c>
      <c r="F31" s="15">
        <v>83.673469387755105</v>
      </c>
      <c r="G31" s="26" t="s">
        <v>76</v>
      </c>
      <c r="H31" s="15">
        <v>86.956521739130395</v>
      </c>
      <c r="I31" s="15">
        <v>86.956521739130395</v>
      </c>
      <c r="J31" s="26" t="s">
        <v>76</v>
      </c>
      <c r="K31" s="20" t="s">
        <v>76</v>
      </c>
      <c r="L31" s="20" t="s">
        <v>76</v>
      </c>
      <c r="M31" s="26" t="s">
        <v>76</v>
      </c>
      <c r="N31" s="20" t="s">
        <v>76</v>
      </c>
      <c r="O31" s="20" t="s">
        <v>76</v>
      </c>
      <c r="P31" s="26" t="s">
        <v>76</v>
      </c>
    </row>
    <row r="32" spans="1:16">
      <c r="A32" s="9" t="s">
        <v>191</v>
      </c>
      <c r="B32" s="15">
        <v>91.8032786885246</v>
      </c>
      <c r="C32" s="15">
        <v>91.8032786885246</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c r="A33" s="9" t="s">
        <v>192</v>
      </c>
      <c r="B33" s="15">
        <v>94.594594594594597</v>
      </c>
      <c r="C33" s="15">
        <v>94.594594594594597</v>
      </c>
      <c r="D33" s="26" t="s">
        <v>76</v>
      </c>
      <c r="E33" s="15">
        <v>88.235294117647101</v>
      </c>
      <c r="F33" s="15">
        <v>88.235294117647101</v>
      </c>
      <c r="G33" s="26" t="s">
        <v>76</v>
      </c>
      <c r="H33" s="15">
        <v>100</v>
      </c>
      <c r="I33" s="15">
        <v>100</v>
      </c>
      <c r="J33" s="26" t="s">
        <v>76</v>
      </c>
      <c r="K33" s="20" t="s">
        <v>76</v>
      </c>
      <c r="L33" s="20" t="s">
        <v>76</v>
      </c>
      <c r="M33" s="26" t="s">
        <v>76</v>
      </c>
      <c r="N33" s="20" t="s">
        <v>76</v>
      </c>
      <c r="O33" s="20" t="s">
        <v>76</v>
      </c>
      <c r="P33" s="26" t="s">
        <v>76</v>
      </c>
    </row>
    <row r="34" spans="1:16" ht="21.95" customHeight="1">
      <c r="A34" s="22" t="s">
        <v>193</v>
      </c>
      <c r="B34" s="15">
        <v>91.340294237094795</v>
      </c>
      <c r="C34" s="20" t="s">
        <v>76</v>
      </c>
      <c r="D34" s="24">
        <v>91.340294237094795</v>
      </c>
      <c r="E34" s="15">
        <v>92.4746468236049</v>
      </c>
      <c r="F34" s="20" t="s">
        <v>76</v>
      </c>
      <c r="G34" s="24">
        <v>92.4746468236049</v>
      </c>
      <c r="H34" s="15">
        <v>90.0091352622252</v>
      </c>
      <c r="I34" s="20" t="s">
        <v>76</v>
      </c>
      <c r="J34" s="24">
        <v>90.0091352622252</v>
      </c>
      <c r="K34" s="15">
        <v>97.789370970841006</v>
      </c>
      <c r="L34" s="20" t="s">
        <v>76</v>
      </c>
      <c r="M34" s="24">
        <v>97.789370970841006</v>
      </c>
      <c r="N34" s="15">
        <v>91.470239184974005</v>
      </c>
      <c r="O34" s="20" t="s">
        <v>76</v>
      </c>
      <c r="P34" s="24">
        <v>91.470239184974005</v>
      </c>
    </row>
    <row r="35" spans="1:16">
      <c r="A35" s="9" t="s">
        <v>194</v>
      </c>
      <c r="B35" s="15">
        <v>83.557046979865802</v>
      </c>
      <c r="C35" s="20" t="s">
        <v>76</v>
      </c>
      <c r="D35" s="24">
        <v>83.557046979865802</v>
      </c>
      <c r="E35" s="15">
        <v>86.029411764705898</v>
      </c>
      <c r="F35" s="20" t="s">
        <v>76</v>
      </c>
      <c r="G35" s="24">
        <v>86.029411764705898</v>
      </c>
      <c r="H35" s="15">
        <v>80.141843971631204</v>
      </c>
      <c r="I35" s="20" t="s">
        <v>76</v>
      </c>
      <c r="J35" s="24">
        <v>80.141843971631204</v>
      </c>
      <c r="K35" s="15">
        <v>100</v>
      </c>
      <c r="L35" s="20" t="s">
        <v>76</v>
      </c>
      <c r="M35" s="24">
        <v>100</v>
      </c>
      <c r="N35" s="15">
        <v>85.714285714285694</v>
      </c>
      <c r="O35" s="20" t="s">
        <v>76</v>
      </c>
      <c r="P35" s="24">
        <v>85.714285714285694</v>
      </c>
    </row>
    <row r="36" spans="1:16">
      <c r="A36" s="9" t="s">
        <v>195</v>
      </c>
      <c r="B36" s="15">
        <v>93.805309734513301</v>
      </c>
      <c r="C36" s="20" t="s">
        <v>76</v>
      </c>
      <c r="D36" s="24">
        <v>93.805309734513301</v>
      </c>
      <c r="E36" s="15">
        <v>93.782383419689097</v>
      </c>
      <c r="F36" s="20" t="s">
        <v>76</v>
      </c>
      <c r="G36" s="24">
        <v>93.782383419689097</v>
      </c>
      <c r="H36" s="15">
        <v>93.283582089552198</v>
      </c>
      <c r="I36" s="20" t="s">
        <v>76</v>
      </c>
      <c r="J36" s="24">
        <v>93.283582089552198</v>
      </c>
      <c r="K36" s="20" t="s">
        <v>76</v>
      </c>
      <c r="L36" s="20" t="s">
        <v>76</v>
      </c>
      <c r="M36" s="26" t="s">
        <v>76</v>
      </c>
      <c r="N36" s="15">
        <v>100</v>
      </c>
      <c r="O36" s="20" t="s">
        <v>76</v>
      </c>
      <c r="P36" s="24">
        <v>100</v>
      </c>
    </row>
    <row r="37" spans="1:16">
      <c r="A37" s="9" t="s">
        <v>196</v>
      </c>
      <c r="B37" s="15">
        <v>90.855457227138601</v>
      </c>
      <c r="C37" s="20" t="s">
        <v>76</v>
      </c>
      <c r="D37" s="24">
        <v>90.855457227138601</v>
      </c>
      <c r="E37" s="15">
        <v>94.610778443113801</v>
      </c>
      <c r="F37" s="20" t="s">
        <v>76</v>
      </c>
      <c r="G37" s="24">
        <v>94.610778443113801</v>
      </c>
      <c r="H37" s="15">
        <v>87.037037037036995</v>
      </c>
      <c r="I37" s="20" t="s">
        <v>76</v>
      </c>
      <c r="J37" s="24">
        <v>87.037037037036995</v>
      </c>
      <c r="K37" s="20" t="s">
        <v>76</v>
      </c>
      <c r="L37" s="20" t="s">
        <v>76</v>
      </c>
      <c r="M37" s="26" t="s">
        <v>76</v>
      </c>
      <c r="N37" s="15">
        <v>100</v>
      </c>
      <c r="O37" s="20" t="s">
        <v>76</v>
      </c>
      <c r="P37" s="24">
        <v>100</v>
      </c>
    </row>
    <row r="38" spans="1:16">
      <c r="A38" s="9" t="s">
        <v>197</v>
      </c>
      <c r="B38" s="15">
        <v>89.619377162629803</v>
      </c>
      <c r="C38" s="20" t="s">
        <v>76</v>
      </c>
      <c r="D38" s="24">
        <v>89.619377162629803</v>
      </c>
      <c r="E38" s="15">
        <v>93.197278911564595</v>
      </c>
      <c r="F38" s="20" t="s">
        <v>76</v>
      </c>
      <c r="G38" s="24">
        <v>93.197278911564595</v>
      </c>
      <c r="H38" s="15">
        <v>86.567164179104495</v>
      </c>
      <c r="I38" s="20" t="s">
        <v>76</v>
      </c>
      <c r="J38" s="24">
        <v>86.567164179104495</v>
      </c>
      <c r="K38" s="20" t="s">
        <v>76</v>
      </c>
      <c r="L38" s="20" t="s">
        <v>76</v>
      </c>
      <c r="M38" s="26" t="s">
        <v>76</v>
      </c>
      <c r="N38" s="20" t="s">
        <v>76</v>
      </c>
      <c r="O38" s="20" t="s">
        <v>76</v>
      </c>
      <c r="P38" s="26" t="s">
        <v>76</v>
      </c>
    </row>
    <row r="39" spans="1:16">
      <c r="A39" s="9" t="s">
        <v>198</v>
      </c>
      <c r="B39" s="15">
        <v>96.6480446927374</v>
      </c>
      <c r="C39" s="20" t="s">
        <v>76</v>
      </c>
      <c r="D39" s="24">
        <v>96.6480446927374</v>
      </c>
      <c r="E39" s="15">
        <v>96.6666666666667</v>
      </c>
      <c r="F39" s="20" t="s">
        <v>76</v>
      </c>
      <c r="G39" s="24">
        <v>96.6666666666667</v>
      </c>
      <c r="H39" s="15">
        <v>96.296296296296305</v>
      </c>
      <c r="I39" s="20" t="s">
        <v>76</v>
      </c>
      <c r="J39" s="24">
        <v>96.296296296296305</v>
      </c>
      <c r="K39" s="20" t="s">
        <v>76</v>
      </c>
      <c r="L39" s="20" t="s">
        <v>76</v>
      </c>
      <c r="M39" s="26" t="s">
        <v>76</v>
      </c>
      <c r="N39" s="15">
        <v>100</v>
      </c>
      <c r="O39" s="20" t="s">
        <v>76</v>
      </c>
      <c r="P39" s="24">
        <v>100</v>
      </c>
    </row>
    <row r="40" spans="1:16">
      <c r="A40" s="9" t="s">
        <v>199</v>
      </c>
      <c r="B40" s="15">
        <v>94.153846153846203</v>
      </c>
      <c r="C40" s="20" t="s">
        <v>76</v>
      </c>
      <c r="D40" s="24">
        <v>94.153846153846203</v>
      </c>
      <c r="E40" s="15">
        <v>96.710526315789494</v>
      </c>
      <c r="F40" s="20" t="s">
        <v>76</v>
      </c>
      <c r="G40" s="24">
        <v>96.710526315789494</v>
      </c>
      <c r="H40" s="15">
        <v>91.764705882352899</v>
      </c>
      <c r="I40" s="20" t="s">
        <v>76</v>
      </c>
      <c r="J40" s="24">
        <v>91.764705882352899</v>
      </c>
      <c r="K40" s="20" t="s">
        <v>76</v>
      </c>
      <c r="L40" s="20" t="s">
        <v>76</v>
      </c>
      <c r="M40" s="26" t="s">
        <v>76</v>
      </c>
      <c r="N40" s="20" t="s">
        <v>76</v>
      </c>
      <c r="O40" s="20" t="s">
        <v>76</v>
      </c>
      <c r="P40" s="26" t="s">
        <v>76</v>
      </c>
    </row>
    <row r="41" spans="1:16">
      <c r="A41" s="11" t="s">
        <v>200</v>
      </c>
      <c r="B41" s="16">
        <v>93.037974683544306</v>
      </c>
      <c r="C41" s="28" t="s">
        <v>76</v>
      </c>
      <c r="D41" s="25">
        <v>93.037974683544306</v>
      </c>
      <c r="E41" s="16">
        <v>91.025641025640994</v>
      </c>
      <c r="F41" s="28" t="s">
        <v>76</v>
      </c>
      <c r="G41" s="25">
        <v>91.025641025640994</v>
      </c>
      <c r="H41" s="16">
        <v>94.482758620689694</v>
      </c>
      <c r="I41" s="28" t="s">
        <v>76</v>
      </c>
      <c r="J41" s="25">
        <v>94.482758620689694</v>
      </c>
      <c r="K41" s="16">
        <v>100</v>
      </c>
      <c r="L41" s="28" t="s">
        <v>76</v>
      </c>
      <c r="M41" s="25">
        <v>100</v>
      </c>
      <c r="N41" s="16">
        <v>100</v>
      </c>
      <c r="O41" s="28" t="s">
        <v>76</v>
      </c>
      <c r="P41" s="25">
        <v>100</v>
      </c>
    </row>
    <row r="42" spans="1:16" ht="30" customHeight="1">
      <c r="A42" t="s">
        <v>201</v>
      </c>
    </row>
    <row r="43" spans="1:16">
      <c r="A43" t="s">
        <v>143</v>
      </c>
    </row>
    <row r="44" spans="1:16">
      <c r="A44" t="s">
        <v>144</v>
      </c>
    </row>
    <row r="45" spans="1:16">
      <c r="A45" t="s">
        <v>145</v>
      </c>
    </row>
    <row r="46" spans="1:16">
      <c r="A46" t="s">
        <v>146</v>
      </c>
    </row>
    <row r="47" spans="1:16">
      <c r="A47" t="s">
        <v>147</v>
      </c>
    </row>
    <row r="48" spans="1:16">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277</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15.7213140674681</v>
      </c>
      <c r="C3" s="15">
        <v>16.288590983143202</v>
      </c>
      <c r="D3" s="24">
        <v>15.280919627860101</v>
      </c>
      <c r="E3" s="15">
        <v>15.624825251928501</v>
      </c>
      <c r="F3" s="15">
        <v>18.2648497081911</v>
      </c>
      <c r="G3" s="24">
        <v>13.4918276081464</v>
      </c>
      <c r="H3" s="15">
        <v>15.628417356183601</v>
      </c>
      <c r="I3" s="15">
        <v>14.145086663937301</v>
      </c>
      <c r="J3" s="24">
        <v>16.778559976454002</v>
      </c>
      <c r="K3" s="20" t="s">
        <v>76</v>
      </c>
      <c r="L3" s="20" t="s">
        <v>76</v>
      </c>
      <c r="M3" s="26" t="s">
        <v>76</v>
      </c>
      <c r="N3" s="20" t="s">
        <v>76</v>
      </c>
      <c r="O3" s="20" t="s">
        <v>76</v>
      </c>
      <c r="P3" s="26" t="s">
        <v>76</v>
      </c>
    </row>
    <row r="4" spans="1:16">
      <c r="A4" s="9" t="s">
        <v>208</v>
      </c>
      <c r="B4" s="15">
        <v>12.9040041500384</v>
      </c>
      <c r="C4" s="15">
        <v>12.535993558361699</v>
      </c>
      <c r="D4" s="24">
        <v>13.189702040809101</v>
      </c>
      <c r="E4" s="15">
        <v>13.288016156491601</v>
      </c>
      <c r="F4" s="15">
        <v>12.361502422065</v>
      </c>
      <c r="G4" s="24">
        <v>14.036589378143301</v>
      </c>
      <c r="H4" s="15">
        <v>12.6565192112833</v>
      </c>
      <c r="I4" s="15">
        <v>12.942339794332799</v>
      </c>
      <c r="J4" s="24">
        <v>12.434900096925199</v>
      </c>
      <c r="K4" s="20" t="s">
        <v>76</v>
      </c>
      <c r="L4" s="20" t="s">
        <v>76</v>
      </c>
      <c r="M4" s="26" t="s">
        <v>76</v>
      </c>
      <c r="N4" s="20" t="s">
        <v>76</v>
      </c>
      <c r="O4" s="20" t="s">
        <v>76</v>
      </c>
      <c r="P4" s="26" t="s">
        <v>76</v>
      </c>
    </row>
    <row r="5" spans="1:16">
      <c r="A5" s="9" t="s">
        <v>209</v>
      </c>
      <c r="B5" s="15">
        <v>17.879922237189199</v>
      </c>
      <c r="C5" s="15">
        <v>12.516787922963699</v>
      </c>
      <c r="D5" s="24">
        <v>22.043487624025001</v>
      </c>
      <c r="E5" s="15">
        <v>16.1949095228236</v>
      </c>
      <c r="F5" s="15">
        <v>13.4325670560288</v>
      </c>
      <c r="G5" s="24">
        <v>18.426733534535199</v>
      </c>
      <c r="H5" s="15">
        <v>19.3968161116148</v>
      </c>
      <c r="I5" s="15">
        <v>11.347939665690699</v>
      </c>
      <c r="J5" s="24">
        <v>25.6377412769451</v>
      </c>
      <c r="K5" s="20" t="s">
        <v>76</v>
      </c>
      <c r="L5" s="20" t="s">
        <v>76</v>
      </c>
      <c r="M5" s="26" t="s">
        <v>76</v>
      </c>
      <c r="N5" s="20" t="s">
        <v>76</v>
      </c>
      <c r="O5" s="20" t="s">
        <v>76</v>
      </c>
      <c r="P5" s="26" t="s">
        <v>76</v>
      </c>
    </row>
    <row r="6" spans="1:16">
      <c r="A6" s="9" t="s">
        <v>210</v>
      </c>
      <c r="B6" s="15">
        <v>31.921900525184</v>
      </c>
      <c r="C6" s="15">
        <v>32.279266671312598</v>
      </c>
      <c r="D6" s="24">
        <v>31.6444662434244</v>
      </c>
      <c r="E6" s="15">
        <v>38.5579483596307</v>
      </c>
      <c r="F6" s="15">
        <v>37.896089989338002</v>
      </c>
      <c r="G6" s="24">
        <v>39.092694293897601</v>
      </c>
      <c r="H6" s="15">
        <v>25.164348055428398</v>
      </c>
      <c r="I6" s="15">
        <v>26.307868463058501</v>
      </c>
      <c r="J6" s="24">
        <v>24.277686999441901</v>
      </c>
      <c r="K6" s="20" t="s">
        <v>76</v>
      </c>
      <c r="L6" s="20" t="s">
        <v>76</v>
      </c>
      <c r="M6" s="26" t="s">
        <v>76</v>
      </c>
      <c r="N6" s="20" t="s">
        <v>76</v>
      </c>
      <c r="O6" s="20" t="s">
        <v>76</v>
      </c>
      <c r="P6" s="26" t="s">
        <v>76</v>
      </c>
    </row>
    <row r="7" spans="1:16">
      <c r="A7" s="9" t="s">
        <v>211</v>
      </c>
      <c r="B7" s="15">
        <v>18.957567940773998</v>
      </c>
      <c r="C7" s="15">
        <v>25.195777094310898</v>
      </c>
      <c r="D7" s="24">
        <v>14.114655161465899</v>
      </c>
      <c r="E7" s="15">
        <v>23.927281987505399</v>
      </c>
      <c r="F7" s="15">
        <v>30.279279461817701</v>
      </c>
      <c r="G7" s="24">
        <v>18.795209966779101</v>
      </c>
      <c r="H7" s="15">
        <v>13.5898337019376</v>
      </c>
      <c r="I7" s="15">
        <v>19.555046589472202</v>
      </c>
      <c r="J7" s="24">
        <v>8.9645363108689704</v>
      </c>
      <c r="K7" s="20" t="s">
        <v>76</v>
      </c>
      <c r="L7" s="20" t="s">
        <v>76</v>
      </c>
      <c r="M7" s="26" t="s">
        <v>76</v>
      </c>
      <c r="N7" s="20" t="s">
        <v>76</v>
      </c>
      <c r="O7" s="20" t="s">
        <v>76</v>
      </c>
      <c r="P7" s="26" t="s">
        <v>76</v>
      </c>
    </row>
    <row r="8" spans="1:16">
      <c r="A8" s="9" t="s">
        <v>212</v>
      </c>
      <c r="B8" s="15">
        <v>1.11216965647184</v>
      </c>
      <c r="C8" s="20" t="s">
        <v>76</v>
      </c>
      <c r="D8" s="26" t="s">
        <v>76</v>
      </c>
      <c r="E8" s="15">
        <v>1.50797455167534</v>
      </c>
      <c r="F8" s="20" t="s">
        <v>76</v>
      </c>
      <c r="G8" s="26" t="s">
        <v>76</v>
      </c>
      <c r="H8" s="20" t="s">
        <v>76</v>
      </c>
      <c r="I8" s="20" t="s">
        <v>76</v>
      </c>
      <c r="J8" s="26" t="s">
        <v>76</v>
      </c>
      <c r="K8" s="20" t="s">
        <v>76</v>
      </c>
      <c r="L8" s="20" t="s">
        <v>76</v>
      </c>
      <c r="M8" s="26" t="s">
        <v>76</v>
      </c>
      <c r="N8" s="20" t="s">
        <v>76</v>
      </c>
      <c r="O8" s="20" t="s">
        <v>76</v>
      </c>
      <c r="P8" s="26" t="s">
        <v>76</v>
      </c>
    </row>
    <row r="9" spans="1:16">
      <c r="A9" s="9" t="s">
        <v>213</v>
      </c>
      <c r="B9" s="15">
        <v>11.560856810928099</v>
      </c>
      <c r="C9" s="15">
        <v>14.3760979754381</v>
      </c>
      <c r="D9" s="24">
        <v>9.3752988924813607</v>
      </c>
      <c r="E9" s="15">
        <v>12.040891165082799</v>
      </c>
      <c r="F9" s="15">
        <v>14.912299660526701</v>
      </c>
      <c r="G9" s="24">
        <v>9.7209476734272808</v>
      </c>
      <c r="H9" s="15">
        <v>10.9005991118051</v>
      </c>
      <c r="I9" s="15">
        <v>13.431309813319199</v>
      </c>
      <c r="J9" s="24">
        <v>8.9383406264921597</v>
      </c>
      <c r="K9" s="20" t="s">
        <v>76</v>
      </c>
      <c r="L9" s="20" t="s">
        <v>76</v>
      </c>
      <c r="M9" s="26" t="s">
        <v>76</v>
      </c>
      <c r="N9" s="20" t="s">
        <v>76</v>
      </c>
      <c r="O9" s="20" t="s">
        <v>76</v>
      </c>
      <c r="P9" s="26" t="s">
        <v>76</v>
      </c>
    </row>
    <row r="10" spans="1:16">
      <c r="A10" s="9" t="s">
        <v>214</v>
      </c>
      <c r="B10" s="15">
        <v>9.3422104911191699</v>
      </c>
      <c r="C10" s="15">
        <v>9.1717318218916208</v>
      </c>
      <c r="D10" s="24">
        <v>9.4745583020824196</v>
      </c>
      <c r="E10" s="15">
        <v>13.0584622367258</v>
      </c>
      <c r="F10" s="15">
        <v>13.819664642872</v>
      </c>
      <c r="G10" s="24">
        <v>12.443451669342901</v>
      </c>
      <c r="H10" s="15">
        <v>5.4071964006637598</v>
      </c>
      <c r="I10" s="15">
        <v>4.2598079667653801</v>
      </c>
      <c r="J10" s="24">
        <v>6.2968566407773396</v>
      </c>
      <c r="K10" s="20" t="s">
        <v>76</v>
      </c>
      <c r="L10" s="20" t="s">
        <v>76</v>
      </c>
      <c r="M10" s="26" t="s">
        <v>76</v>
      </c>
      <c r="N10" s="20" t="s">
        <v>76</v>
      </c>
      <c r="O10" s="20" t="s">
        <v>76</v>
      </c>
      <c r="P10" s="26" t="s">
        <v>76</v>
      </c>
    </row>
    <row r="11" spans="1:16">
      <c r="A11" s="9" t="s">
        <v>215</v>
      </c>
      <c r="B11" s="15">
        <v>14.3528669493042</v>
      </c>
      <c r="C11" s="15">
        <v>13.5515619690898</v>
      </c>
      <c r="D11" s="24">
        <v>14.974944541333</v>
      </c>
      <c r="E11" s="15">
        <v>14.097840240877201</v>
      </c>
      <c r="F11" s="15">
        <v>13.206772964309099</v>
      </c>
      <c r="G11" s="24">
        <v>14.817774632720701</v>
      </c>
      <c r="H11" s="15">
        <v>14.536823323994</v>
      </c>
      <c r="I11" s="15">
        <v>13.9459081535291</v>
      </c>
      <c r="J11" s="24">
        <v>14.9950061999154</v>
      </c>
      <c r="K11" s="20" t="s">
        <v>76</v>
      </c>
      <c r="L11" s="20" t="s">
        <v>76</v>
      </c>
      <c r="M11" s="26" t="s">
        <v>76</v>
      </c>
      <c r="N11" s="20" t="s">
        <v>76</v>
      </c>
      <c r="O11" s="20" t="s">
        <v>76</v>
      </c>
      <c r="P11" s="26" t="s">
        <v>76</v>
      </c>
    </row>
    <row r="12" spans="1:16">
      <c r="A12" s="9" t="s">
        <v>216</v>
      </c>
      <c r="B12" s="15">
        <v>4.4737179925665496</v>
      </c>
      <c r="C12" s="15">
        <v>4.4156924436097604</v>
      </c>
      <c r="D12" s="24">
        <v>4.5187650029589399</v>
      </c>
      <c r="E12" s="15">
        <v>4.72837437630354</v>
      </c>
      <c r="F12" s="15">
        <v>4.9675456883198397</v>
      </c>
      <c r="G12" s="24">
        <v>4.5351368311812301</v>
      </c>
      <c r="H12" s="15">
        <v>4.0514439186233204</v>
      </c>
      <c r="I12" s="15">
        <v>3.7446301658040899</v>
      </c>
      <c r="J12" s="24">
        <v>4.2893406839549</v>
      </c>
      <c r="K12" s="20" t="s">
        <v>76</v>
      </c>
      <c r="L12" s="20" t="s">
        <v>76</v>
      </c>
      <c r="M12" s="26" t="s">
        <v>76</v>
      </c>
      <c r="N12" s="20" t="s">
        <v>76</v>
      </c>
      <c r="O12" s="20" t="s">
        <v>76</v>
      </c>
      <c r="P12" s="26" t="s">
        <v>76</v>
      </c>
    </row>
    <row r="13" spans="1:16">
      <c r="A13" s="9" t="s">
        <v>217</v>
      </c>
      <c r="B13" s="15">
        <v>2.8798231700234198</v>
      </c>
      <c r="C13" s="15">
        <v>3.75786184022764</v>
      </c>
      <c r="D13" s="24">
        <v>2.1981748648767798</v>
      </c>
      <c r="E13" s="20" t="s">
        <v>76</v>
      </c>
      <c r="F13" s="20" t="s">
        <v>76</v>
      </c>
      <c r="G13" s="26" t="s">
        <v>76</v>
      </c>
      <c r="H13" s="15">
        <v>4.6984429404336696</v>
      </c>
      <c r="I13" s="15">
        <v>6.5296696757528601</v>
      </c>
      <c r="J13" s="24">
        <v>3.2785492331987198</v>
      </c>
      <c r="K13" s="20" t="s">
        <v>76</v>
      </c>
      <c r="L13" s="20" t="s">
        <v>76</v>
      </c>
      <c r="M13" s="26" t="s">
        <v>76</v>
      </c>
      <c r="N13" s="20" t="s">
        <v>76</v>
      </c>
      <c r="O13" s="20" t="s">
        <v>76</v>
      </c>
      <c r="P13" s="26" t="s">
        <v>76</v>
      </c>
    </row>
    <row r="14" spans="1:16">
      <c r="A14" s="9" t="s">
        <v>218</v>
      </c>
      <c r="B14" s="15">
        <v>21.864157375284599</v>
      </c>
      <c r="C14" s="15">
        <v>25.105145591074699</v>
      </c>
      <c r="D14" s="24">
        <v>19.348078984591599</v>
      </c>
      <c r="E14" s="15">
        <v>22.305132205459799</v>
      </c>
      <c r="F14" s="15">
        <v>25.962429822960601</v>
      </c>
      <c r="G14" s="24">
        <v>19.350232608892</v>
      </c>
      <c r="H14" s="15">
        <v>21.155960699274399</v>
      </c>
      <c r="I14" s="15">
        <v>24.376002095062798</v>
      </c>
      <c r="J14" s="24">
        <v>18.6592100639037</v>
      </c>
      <c r="K14" s="20" t="s">
        <v>76</v>
      </c>
      <c r="L14" s="20" t="s">
        <v>76</v>
      </c>
      <c r="M14" s="26" t="s">
        <v>76</v>
      </c>
      <c r="N14" s="20" t="s">
        <v>76</v>
      </c>
      <c r="O14" s="20" t="s">
        <v>76</v>
      </c>
      <c r="P14" s="26" t="s">
        <v>76</v>
      </c>
    </row>
    <row r="15" spans="1:16">
      <c r="A15" s="9" t="s">
        <v>219</v>
      </c>
      <c r="B15" s="15">
        <v>18.1460208362444</v>
      </c>
      <c r="C15" s="15">
        <v>18.172841786472699</v>
      </c>
      <c r="D15" s="24">
        <v>18.125198911326901</v>
      </c>
      <c r="E15" s="15">
        <v>21.570603359715101</v>
      </c>
      <c r="F15" s="15">
        <v>22.145055619817501</v>
      </c>
      <c r="G15" s="24">
        <v>21.1064768572666</v>
      </c>
      <c r="H15" s="15">
        <v>14.830893968852401</v>
      </c>
      <c r="I15" s="15">
        <v>14.219480038108101</v>
      </c>
      <c r="J15" s="24">
        <v>15.304971141294001</v>
      </c>
      <c r="K15" s="20" t="s">
        <v>76</v>
      </c>
      <c r="L15" s="20" t="s">
        <v>76</v>
      </c>
      <c r="M15" s="26" t="s">
        <v>76</v>
      </c>
      <c r="N15" s="20" t="s">
        <v>76</v>
      </c>
      <c r="O15" s="20" t="s">
        <v>76</v>
      </c>
      <c r="P15" s="26" t="s">
        <v>76</v>
      </c>
    </row>
    <row r="16" spans="1:16">
      <c r="A16" s="9" t="s">
        <v>220</v>
      </c>
      <c r="B16" s="15">
        <v>1.4674833402621901</v>
      </c>
      <c r="C16" s="15">
        <v>2.3234418516309798</v>
      </c>
      <c r="D16" s="26" t="s">
        <v>76</v>
      </c>
      <c r="E16" s="15">
        <v>1.8279166623104099</v>
      </c>
      <c r="F16" s="20" t="s">
        <v>76</v>
      </c>
      <c r="G16" s="26" t="s">
        <v>76</v>
      </c>
      <c r="H16" s="20" t="s">
        <v>76</v>
      </c>
      <c r="I16" s="20" t="s">
        <v>76</v>
      </c>
      <c r="J16" s="26" t="s">
        <v>76</v>
      </c>
      <c r="K16" s="20" t="s">
        <v>76</v>
      </c>
      <c r="L16" s="20" t="s">
        <v>76</v>
      </c>
      <c r="M16" s="26" t="s">
        <v>76</v>
      </c>
      <c r="N16" s="20" t="s">
        <v>76</v>
      </c>
      <c r="O16" s="20" t="s">
        <v>76</v>
      </c>
      <c r="P16" s="26" t="s">
        <v>76</v>
      </c>
    </row>
    <row r="17" spans="1:16">
      <c r="A17" s="9" t="s">
        <v>221</v>
      </c>
      <c r="B17" s="15">
        <v>54.772112970357398</v>
      </c>
      <c r="C17" s="15">
        <v>52.587551115092602</v>
      </c>
      <c r="D17" s="24">
        <v>56.468055229691899</v>
      </c>
      <c r="E17" s="15">
        <v>58.0125808077062</v>
      </c>
      <c r="F17" s="15">
        <v>54.230884526968303</v>
      </c>
      <c r="G17" s="24">
        <v>61.067987827584098</v>
      </c>
      <c r="H17" s="15">
        <v>51.491748071014001</v>
      </c>
      <c r="I17" s="15">
        <v>50.950842662173599</v>
      </c>
      <c r="J17" s="24">
        <v>51.911154456585201</v>
      </c>
      <c r="K17" s="20" t="s">
        <v>76</v>
      </c>
      <c r="L17" s="20" t="s">
        <v>76</v>
      </c>
      <c r="M17" s="26" t="s">
        <v>76</v>
      </c>
      <c r="N17" s="15">
        <v>51.560083129921999</v>
      </c>
      <c r="O17" s="20" t="s">
        <v>76</v>
      </c>
      <c r="P17" s="24">
        <v>51.248710204015403</v>
      </c>
    </row>
    <row r="18" spans="1:16">
      <c r="A18" s="9" t="s">
        <v>222</v>
      </c>
      <c r="B18" s="15">
        <v>19.353525037038398</v>
      </c>
      <c r="C18" s="15">
        <v>22.144202021090798</v>
      </c>
      <c r="D18" s="24">
        <v>17.1870370440339</v>
      </c>
      <c r="E18" s="15">
        <v>12.6619438605744</v>
      </c>
      <c r="F18" s="15">
        <v>17.594761981812599</v>
      </c>
      <c r="G18" s="24">
        <v>8.6764923603627295</v>
      </c>
      <c r="H18" s="15">
        <v>25.8106604443668</v>
      </c>
      <c r="I18" s="15">
        <v>26.8133644114573</v>
      </c>
      <c r="J18" s="24">
        <v>25.033185418674201</v>
      </c>
      <c r="K18" s="20" t="s">
        <v>76</v>
      </c>
      <c r="L18" s="20" t="s">
        <v>76</v>
      </c>
      <c r="M18" s="26" t="s">
        <v>76</v>
      </c>
      <c r="N18" s="20" t="s">
        <v>76</v>
      </c>
      <c r="O18" s="20" t="s">
        <v>76</v>
      </c>
      <c r="P18" s="26" t="s">
        <v>76</v>
      </c>
    </row>
    <row r="19" spans="1:16">
      <c r="A19" s="9" t="s">
        <v>223</v>
      </c>
      <c r="B19" s="15">
        <v>22.7437320711234</v>
      </c>
      <c r="C19" s="15">
        <v>25.0457109531139</v>
      </c>
      <c r="D19" s="24">
        <v>20.956635378642702</v>
      </c>
      <c r="E19" s="15">
        <v>23.713153137706101</v>
      </c>
      <c r="F19" s="15">
        <v>26.170698307431401</v>
      </c>
      <c r="G19" s="24">
        <v>21.7275889342847</v>
      </c>
      <c r="H19" s="15">
        <v>21.6927243718096</v>
      </c>
      <c r="I19" s="15">
        <v>23.7232416904518</v>
      </c>
      <c r="J19" s="24">
        <v>20.1183050453742</v>
      </c>
      <c r="K19" s="20" t="s">
        <v>76</v>
      </c>
      <c r="L19" s="20" t="s">
        <v>76</v>
      </c>
      <c r="M19" s="26" t="s">
        <v>76</v>
      </c>
      <c r="N19" s="20" t="s">
        <v>76</v>
      </c>
      <c r="O19" s="20" t="s">
        <v>76</v>
      </c>
      <c r="P19" s="26" t="s">
        <v>76</v>
      </c>
    </row>
    <row r="20" spans="1:16">
      <c r="A20" s="9" t="s">
        <v>224</v>
      </c>
      <c r="B20" s="15">
        <v>1.8472341561733101</v>
      </c>
      <c r="C20" s="15">
        <v>2.2102390543238299</v>
      </c>
      <c r="D20" s="24">
        <v>1.5654223385609101</v>
      </c>
      <c r="E20" s="15">
        <v>2.48697957815885</v>
      </c>
      <c r="F20" s="20" t="s">
        <v>76</v>
      </c>
      <c r="G20" s="26" t="s">
        <v>76</v>
      </c>
      <c r="H20" s="20" t="s">
        <v>76</v>
      </c>
      <c r="I20" s="20" t="s">
        <v>76</v>
      </c>
      <c r="J20" s="26" t="s">
        <v>76</v>
      </c>
      <c r="K20" s="20" t="s">
        <v>76</v>
      </c>
      <c r="L20" s="20" t="s">
        <v>76</v>
      </c>
      <c r="M20" s="26" t="s">
        <v>76</v>
      </c>
      <c r="N20" s="20" t="s">
        <v>76</v>
      </c>
      <c r="O20" s="20" t="s">
        <v>76</v>
      </c>
      <c r="P20" s="26" t="s">
        <v>76</v>
      </c>
    </row>
    <row r="21" spans="1:16">
      <c r="A21" s="9" t="s">
        <v>225</v>
      </c>
      <c r="B21" s="15">
        <v>4.1990444146546304</v>
      </c>
      <c r="C21" s="15">
        <v>4.5236770494241201</v>
      </c>
      <c r="D21" s="24">
        <v>3.94702216006025</v>
      </c>
      <c r="E21" s="15">
        <v>4.4313761929552502</v>
      </c>
      <c r="F21" s="15">
        <v>5.1762203777524496</v>
      </c>
      <c r="G21" s="24">
        <v>3.8295821878321199</v>
      </c>
      <c r="H21" s="15">
        <v>4.1285823183677</v>
      </c>
      <c r="I21" s="15">
        <v>3.96466155148376</v>
      </c>
      <c r="J21" s="24">
        <v>4.2556829449010296</v>
      </c>
      <c r="K21" s="20" t="s">
        <v>76</v>
      </c>
      <c r="L21" s="20" t="s">
        <v>76</v>
      </c>
      <c r="M21" s="26" t="s">
        <v>76</v>
      </c>
      <c r="N21" s="20" t="s">
        <v>76</v>
      </c>
      <c r="O21" s="20" t="s">
        <v>76</v>
      </c>
      <c r="P21" s="26" t="s">
        <v>76</v>
      </c>
    </row>
    <row r="22" spans="1:16">
      <c r="A22" s="9" t="s">
        <v>226</v>
      </c>
      <c r="B22" s="15">
        <v>14.003712456371799</v>
      </c>
      <c r="C22" s="15">
        <v>13.856204742598299</v>
      </c>
      <c r="D22" s="24">
        <v>14.118227211247399</v>
      </c>
      <c r="E22" s="15">
        <v>19.285487760993799</v>
      </c>
      <c r="F22" s="15">
        <v>18.337685183786899</v>
      </c>
      <c r="G22" s="24">
        <v>20.051261221598502</v>
      </c>
      <c r="H22" s="15">
        <v>8.0085626150290992</v>
      </c>
      <c r="I22" s="15">
        <v>9.0620068834764904</v>
      </c>
      <c r="J22" s="24">
        <v>7.1917446542371302</v>
      </c>
      <c r="K22" s="20" t="s">
        <v>76</v>
      </c>
      <c r="L22" s="20" t="s">
        <v>76</v>
      </c>
      <c r="M22" s="26" t="s">
        <v>76</v>
      </c>
      <c r="N22" s="20" t="s">
        <v>76</v>
      </c>
      <c r="O22" s="20" t="s">
        <v>76</v>
      </c>
      <c r="P22" s="26" t="s">
        <v>76</v>
      </c>
    </row>
    <row r="23" spans="1:16">
      <c r="A23" s="9" t="s">
        <v>227</v>
      </c>
      <c r="B23" s="15">
        <v>13.676680826422601</v>
      </c>
      <c r="C23" s="15">
        <v>10.6385672792391</v>
      </c>
      <c r="D23" s="24">
        <v>16.0352613998717</v>
      </c>
      <c r="E23" s="15">
        <v>10.1685444225896</v>
      </c>
      <c r="F23" s="15">
        <v>9.9659579968061998</v>
      </c>
      <c r="G23" s="24">
        <v>10.3322233490605</v>
      </c>
      <c r="H23" s="15">
        <v>17.2613595560818</v>
      </c>
      <c r="I23" s="15">
        <v>11.469890984951</v>
      </c>
      <c r="J23" s="24">
        <v>21.751939352233801</v>
      </c>
      <c r="K23" s="20" t="s">
        <v>76</v>
      </c>
      <c r="L23" s="20" t="s">
        <v>76</v>
      </c>
      <c r="M23" s="26" t="s">
        <v>76</v>
      </c>
      <c r="N23" s="20" t="s">
        <v>76</v>
      </c>
      <c r="O23" s="20" t="s">
        <v>76</v>
      </c>
      <c r="P23" s="26" t="s">
        <v>76</v>
      </c>
    </row>
    <row r="24" spans="1:16">
      <c r="A24" s="9" t="s">
        <v>228</v>
      </c>
      <c r="B24" s="15">
        <v>33.921007313570499</v>
      </c>
      <c r="C24" s="15">
        <v>32.241902770675701</v>
      </c>
      <c r="D24" s="24">
        <v>35.224547584253699</v>
      </c>
      <c r="E24" s="15">
        <v>39.482776990837699</v>
      </c>
      <c r="F24" s="15">
        <v>38.755740744350902</v>
      </c>
      <c r="G24" s="24">
        <v>40.070183140436797</v>
      </c>
      <c r="H24" s="15">
        <v>27.954294187091399</v>
      </c>
      <c r="I24" s="15">
        <v>25.407605324945099</v>
      </c>
      <c r="J24" s="24">
        <v>29.9289417934766</v>
      </c>
      <c r="K24" s="20" t="s">
        <v>76</v>
      </c>
      <c r="L24" s="20" t="s">
        <v>76</v>
      </c>
      <c r="M24" s="26" t="s">
        <v>76</v>
      </c>
      <c r="N24" s="20" t="s">
        <v>76</v>
      </c>
      <c r="O24" s="20" t="s">
        <v>76</v>
      </c>
      <c r="P24" s="26" t="s">
        <v>76</v>
      </c>
    </row>
    <row r="25" spans="1:16">
      <c r="A25" s="9" t="s">
        <v>229</v>
      </c>
      <c r="B25" s="15">
        <v>1.1998053888584499</v>
      </c>
      <c r="C25" s="15">
        <v>1.88879489572286</v>
      </c>
      <c r="D25" s="26" t="s">
        <v>76</v>
      </c>
      <c r="E25" s="15">
        <v>1.483815540078</v>
      </c>
      <c r="F25" s="20" t="s">
        <v>76</v>
      </c>
      <c r="G25" s="26" t="s">
        <v>76</v>
      </c>
      <c r="H25" s="20" t="s">
        <v>76</v>
      </c>
      <c r="I25" s="20" t="s">
        <v>76</v>
      </c>
      <c r="J25" s="26" t="s">
        <v>76</v>
      </c>
      <c r="K25" s="20" t="s">
        <v>76</v>
      </c>
      <c r="L25" s="20" t="s">
        <v>76</v>
      </c>
      <c r="M25" s="26" t="s">
        <v>76</v>
      </c>
      <c r="N25" s="20" t="s">
        <v>76</v>
      </c>
      <c r="O25" s="20" t="s">
        <v>76</v>
      </c>
      <c r="P25" s="26" t="s">
        <v>76</v>
      </c>
    </row>
    <row r="26" spans="1:16">
      <c r="A26" s="9" t="s">
        <v>230</v>
      </c>
      <c r="B26" s="15">
        <v>27.427906849528998</v>
      </c>
      <c r="C26" s="15">
        <v>28.5983649315205</v>
      </c>
      <c r="D26" s="24">
        <v>26.519244401155198</v>
      </c>
      <c r="E26" s="15">
        <v>31.281408980853499</v>
      </c>
      <c r="F26" s="15">
        <v>32.316964143471701</v>
      </c>
      <c r="G26" s="24">
        <v>30.444736155103101</v>
      </c>
      <c r="H26" s="15">
        <v>23.6051735528841</v>
      </c>
      <c r="I26" s="15">
        <v>24.491201302230799</v>
      </c>
      <c r="J26" s="24">
        <v>22.918166749483699</v>
      </c>
      <c r="K26" s="20" t="s">
        <v>76</v>
      </c>
      <c r="L26" s="20" t="s">
        <v>76</v>
      </c>
      <c r="M26" s="26" t="s">
        <v>76</v>
      </c>
      <c r="N26" s="20" t="s">
        <v>76</v>
      </c>
      <c r="O26" s="20" t="s">
        <v>76</v>
      </c>
      <c r="P26" s="26" t="s">
        <v>76</v>
      </c>
    </row>
    <row r="27" spans="1:16">
      <c r="A27" s="9" t="s">
        <v>231</v>
      </c>
      <c r="B27" s="15">
        <v>7.4999827667505299</v>
      </c>
      <c r="C27" s="15">
        <v>9.9937365324664302</v>
      </c>
      <c r="D27" s="24">
        <v>5.5640053599035904</v>
      </c>
      <c r="E27" s="15">
        <v>2.70955546854784</v>
      </c>
      <c r="F27" s="15">
        <v>3.5073969047404399</v>
      </c>
      <c r="G27" s="26" t="s">
        <v>76</v>
      </c>
      <c r="H27" s="15">
        <v>12.2112621892297</v>
      </c>
      <c r="I27" s="15">
        <v>16.778176019029601</v>
      </c>
      <c r="J27" s="24">
        <v>8.6701757233383407</v>
      </c>
      <c r="K27" s="20" t="s">
        <v>76</v>
      </c>
      <c r="L27" s="20" t="s">
        <v>76</v>
      </c>
      <c r="M27" s="26" t="s">
        <v>76</v>
      </c>
      <c r="N27" s="20" t="s">
        <v>76</v>
      </c>
      <c r="O27" s="20" t="s">
        <v>76</v>
      </c>
      <c r="P27" s="26" t="s">
        <v>76</v>
      </c>
    </row>
    <row r="28" spans="1:16">
      <c r="A28" s="9" t="s">
        <v>232</v>
      </c>
      <c r="B28" s="15">
        <v>11.457392428307701</v>
      </c>
      <c r="C28" s="15">
        <v>13.215667175891999</v>
      </c>
      <c r="D28" s="24">
        <v>10.0923899035395</v>
      </c>
      <c r="E28" s="15">
        <v>6.3578032623854099</v>
      </c>
      <c r="F28" s="15">
        <v>8.2376452787844396</v>
      </c>
      <c r="G28" s="24">
        <v>4.83899210813638</v>
      </c>
      <c r="H28" s="15">
        <v>16.759733634443201</v>
      </c>
      <c r="I28" s="15">
        <v>18.6982133125729</v>
      </c>
      <c r="J28" s="24">
        <v>15.256678309019801</v>
      </c>
      <c r="K28" s="20" t="s">
        <v>76</v>
      </c>
      <c r="L28" s="20" t="s">
        <v>76</v>
      </c>
      <c r="M28" s="26" t="s">
        <v>76</v>
      </c>
      <c r="N28" s="20" t="s">
        <v>76</v>
      </c>
      <c r="O28" s="20" t="s">
        <v>76</v>
      </c>
      <c r="P28" s="26" t="s">
        <v>76</v>
      </c>
    </row>
    <row r="29" spans="1:16">
      <c r="A29" s="9" t="s">
        <v>233</v>
      </c>
      <c r="B29" s="15">
        <v>1.5679557378181199</v>
      </c>
      <c r="C29" s="15">
        <v>2.20766875558978</v>
      </c>
      <c r="D29" s="26" t="s">
        <v>76</v>
      </c>
      <c r="E29" s="15">
        <v>2.3229364731673798</v>
      </c>
      <c r="F29" s="15">
        <v>3.2109475425315899</v>
      </c>
      <c r="G29" s="26" t="s">
        <v>76</v>
      </c>
      <c r="H29" s="20" t="s">
        <v>76</v>
      </c>
      <c r="I29" s="20" t="s">
        <v>76</v>
      </c>
      <c r="J29" s="26" t="s">
        <v>76</v>
      </c>
      <c r="K29" s="20" t="s">
        <v>76</v>
      </c>
      <c r="L29" s="20" t="s">
        <v>76</v>
      </c>
      <c r="M29" s="26" t="s">
        <v>76</v>
      </c>
      <c r="N29" s="20" t="s">
        <v>76</v>
      </c>
      <c r="O29" s="20" t="s">
        <v>76</v>
      </c>
      <c r="P29" s="26" t="s">
        <v>76</v>
      </c>
    </row>
    <row r="30" spans="1:16">
      <c r="A30" s="9" t="s">
        <v>234</v>
      </c>
      <c r="B30" s="15">
        <v>2.5306170153563499</v>
      </c>
      <c r="C30" s="15">
        <v>2.6474844548668899</v>
      </c>
      <c r="D30" s="24">
        <v>2.43988924359356</v>
      </c>
      <c r="E30" s="15">
        <v>3.1079148091195501</v>
      </c>
      <c r="F30" s="15">
        <v>2.9787451585519502</v>
      </c>
      <c r="G30" s="24">
        <v>3.2122769333624701</v>
      </c>
      <c r="H30" s="15">
        <v>1.86252341676049</v>
      </c>
      <c r="I30" s="20" t="s">
        <v>76</v>
      </c>
      <c r="J30" s="26" t="s">
        <v>76</v>
      </c>
      <c r="K30" s="20" t="s">
        <v>76</v>
      </c>
      <c r="L30" s="20" t="s">
        <v>76</v>
      </c>
      <c r="M30" s="26" t="s">
        <v>76</v>
      </c>
      <c r="N30" s="20" t="s">
        <v>76</v>
      </c>
      <c r="O30" s="20" t="s">
        <v>76</v>
      </c>
      <c r="P30" s="26" t="s">
        <v>76</v>
      </c>
    </row>
    <row r="31" spans="1:16">
      <c r="A31" s="9" t="s">
        <v>235</v>
      </c>
      <c r="B31" s="15">
        <v>5.0041715015224302</v>
      </c>
      <c r="C31" s="15">
        <v>6.6955920021127797</v>
      </c>
      <c r="D31" s="24">
        <v>3.6910699757667</v>
      </c>
      <c r="E31" s="15">
        <v>6.2700417417691101</v>
      </c>
      <c r="F31" s="15">
        <v>8.4846549427361193</v>
      </c>
      <c r="G31" s="24">
        <v>4.4807534916750802</v>
      </c>
      <c r="H31" s="15">
        <v>3.5470650202167402</v>
      </c>
      <c r="I31" s="15">
        <v>4.7783399523526704</v>
      </c>
      <c r="J31" s="24">
        <v>2.59236099897428</v>
      </c>
      <c r="K31" s="20" t="s">
        <v>76</v>
      </c>
      <c r="L31" s="20" t="s">
        <v>76</v>
      </c>
      <c r="M31" s="26" t="s">
        <v>76</v>
      </c>
      <c r="N31" s="20" t="s">
        <v>76</v>
      </c>
      <c r="O31" s="20" t="s">
        <v>76</v>
      </c>
      <c r="P31" s="26" t="s">
        <v>76</v>
      </c>
    </row>
    <row r="32" spans="1:16">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c r="A33" s="9" t="s">
        <v>237</v>
      </c>
      <c r="B33" s="15">
        <v>4.0834757639289903</v>
      </c>
      <c r="C33" s="15">
        <v>5.1147755766267098</v>
      </c>
      <c r="D33" s="24">
        <v>3.2828461410218899</v>
      </c>
      <c r="E33" s="15">
        <v>4.2356052569688103</v>
      </c>
      <c r="F33" s="15">
        <v>5.2322946334494</v>
      </c>
      <c r="G33" s="24">
        <v>3.43033389420824</v>
      </c>
      <c r="H33" s="15">
        <v>3.5537868058319</v>
      </c>
      <c r="I33" s="15">
        <v>5.0481376201243604</v>
      </c>
      <c r="J33" s="24">
        <v>2.3950994206537701</v>
      </c>
      <c r="K33" s="20" t="s">
        <v>76</v>
      </c>
      <c r="L33" s="20" t="s">
        <v>76</v>
      </c>
      <c r="M33" s="26" t="s">
        <v>76</v>
      </c>
      <c r="N33" s="20" t="s">
        <v>76</v>
      </c>
      <c r="O33" s="20" t="s">
        <v>76</v>
      </c>
      <c r="P33" s="26" t="s">
        <v>76</v>
      </c>
    </row>
    <row r="34" spans="1:16">
      <c r="A34" s="9" t="s">
        <v>238</v>
      </c>
      <c r="B34" s="15">
        <v>17.025097715360001</v>
      </c>
      <c r="C34" s="15">
        <v>14.430227853752999</v>
      </c>
      <c r="D34" s="24">
        <v>19.0395746436132</v>
      </c>
      <c r="E34" s="15">
        <v>22.080166364264599</v>
      </c>
      <c r="F34" s="15">
        <v>19.394244770174399</v>
      </c>
      <c r="G34" s="24">
        <v>24.250246424692701</v>
      </c>
      <c r="H34" s="15">
        <v>11.761359455570901</v>
      </c>
      <c r="I34" s="15">
        <v>9.3539568749023001</v>
      </c>
      <c r="J34" s="24">
        <v>13.6280074839904</v>
      </c>
      <c r="K34" s="20" t="s">
        <v>76</v>
      </c>
      <c r="L34" s="20" t="s">
        <v>76</v>
      </c>
      <c r="M34" s="26" t="s">
        <v>76</v>
      </c>
      <c r="N34" s="20" t="s">
        <v>76</v>
      </c>
      <c r="O34" s="20" t="s">
        <v>76</v>
      </c>
      <c r="P34" s="26" t="s">
        <v>76</v>
      </c>
    </row>
    <row r="35" spans="1:16">
      <c r="A35" s="9" t="s">
        <v>239</v>
      </c>
      <c r="B35" s="15">
        <v>24.6518943875157</v>
      </c>
      <c r="C35" s="15">
        <v>20.631285962244501</v>
      </c>
      <c r="D35" s="24">
        <v>27.773215818731199</v>
      </c>
      <c r="E35" s="15">
        <v>33.300891548410497</v>
      </c>
      <c r="F35" s="15">
        <v>26.298200830143099</v>
      </c>
      <c r="G35" s="24">
        <v>38.958688682360297</v>
      </c>
      <c r="H35" s="15">
        <v>15.5487785281417</v>
      </c>
      <c r="I35" s="15">
        <v>14.9161408998298</v>
      </c>
      <c r="J35" s="24">
        <v>16.039312097838401</v>
      </c>
      <c r="K35" s="20" t="s">
        <v>76</v>
      </c>
      <c r="L35" s="20" t="s">
        <v>76</v>
      </c>
      <c r="M35" s="26" t="s">
        <v>76</v>
      </c>
      <c r="N35" s="20" t="s">
        <v>76</v>
      </c>
      <c r="O35" s="20" t="s">
        <v>76</v>
      </c>
      <c r="P35" s="26" t="s">
        <v>76</v>
      </c>
    </row>
    <row r="36" spans="1:16">
      <c r="A36" s="9" t="s">
        <v>240</v>
      </c>
      <c r="B36" s="15">
        <v>11.8160639555856</v>
      </c>
      <c r="C36" s="15">
        <v>12.399962453495901</v>
      </c>
      <c r="D36" s="24">
        <v>11.362765672737099</v>
      </c>
      <c r="E36" s="15">
        <v>6.77148453343134</v>
      </c>
      <c r="F36" s="15">
        <v>10.368553664867701</v>
      </c>
      <c r="G36" s="24">
        <v>3.8652463114047402</v>
      </c>
      <c r="H36" s="15">
        <v>16.9172615499862</v>
      </c>
      <c r="I36" s="15">
        <v>14.561245205321599</v>
      </c>
      <c r="J36" s="24">
        <v>18.744065799515099</v>
      </c>
      <c r="K36" s="20" t="s">
        <v>76</v>
      </c>
      <c r="L36" s="20" t="s">
        <v>76</v>
      </c>
      <c r="M36" s="26" t="s">
        <v>76</v>
      </c>
      <c r="N36" s="20" t="s">
        <v>76</v>
      </c>
      <c r="O36" s="20" t="s">
        <v>76</v>
      </c>
      <c r="P36" s="26" t="s">
        <v>76</v>
      </c>
    </row>
    <row r="37" spans="1:16">
      <c r="A37" s="9" t="s">
        <v>241</v>
      </c>
      <c r="B37" s="15">
        <v>17.985251507505499</v>
      </c>
      <c r="C37" s="15">
        <v>14.219909051031999</v>
      </c>
      <c r="D37" s="24">
        <v>20.908402150921699</v>
      </c>
      <c r="E37" s="15">
        <v>15.6373194937209</v>
      </c>
      <c r="F37" s="15">
        <v>13.8289830224879</v>
      </c>
      <c r="G37" s="24">
        <v>17.0983580167375</v>
      </c>
      <c r="H37" s="15">
        <v>20.738315530665702</v>
      </c>
      <c r="I37" s="15">
        <v>14.8067054898502</v>
      </c>
      <c r="J37" s="24">
        <v>25.337557999270999</v>
      </c>
      <c r="K37" s="20" t="s">
        <v>76</v>
      </c>
      <c r="L37" s="20" t="s">
        <v>76</v>
      </c>
      <c r="M37" s="26" t="s">
        <v>76</v>
      </c>
      <c r="N37" s="20" t="s">
        <v>76</v>
      </c>
      <c r="O37" s="20" t="s">
        <v>76</v>
      </c>
      <c r="P37" s="26" t="s">
        <v>76</v>
      </c>
    </row>
    <row r="38" spans="1:16">
      <c r="A38" s="9" t="s">
        <v>242</v>
      </c>
      <c r="B38" s="15">
        <v>17.796710517251299</v>
      </c>
      <c r="C38" s="15">
        <v>24.2478609363177</v>
      </c>
      <c r="D38" s="24">
        <v>12.7884849132697</v>
      </c>
      <c r="E38" s="15">
        <v>23.1940694970259</v>
      </c>
      <c r="F38" s="15">
        <v>30.974194499161399</v>
      </c>
      <c r="G38" s="24">
        <v>16.908147312282601</v>
      </c>
      <c r="H38" s="15">
        <v>11.5955973448309</v>
      </c>
      <c r="I38" s="15">
        <v>16.9268818180289</v>
      </c>
      <c r="J38" s="24">
        <v>7.4618343710974102</v>
      </c>
      <c r="K38" s="20" t="s">
        <v>76</v>
      </c>
      <c r="L38" s="20" t="s">
        <v>76</v>
      </c>
      <c r="M38" s="26" t="s">
        <v>76</v>
      </c>
      <c r="N38" s="20" t="s">
        <v>76</v>
      </c>
      <c r="O38" s="20" t="s">
        <v>76</v>
      </c>
      <c r="P38" s="26" t="s">
        <v>76</v>
      </c>
    </row>
    <row r="39" spans="1:16">
      <c r="A39" s="9" t="s">
        <v>243</v>
      </c>
      <c r="B39" s="15">
        <v>36.824482159356997</v>
      </c>
      <c r="C39" s="15">
        <v>28.8854815558675</v>
      </c>
      <c r="D39" s="24">
        <v>42.987771419348398</v>
      </c>
      <c r="E39" s="15">
        <v>43.548529989995501</v>
      </c>
      <c r="F39" s="15">
        <v>36.687514007393702</v>
      </c>
      <c r="G39" s="24">
        <v>49.091861564112499</v>
      </c>
      <c r="H39" s="15">
        <v>29.515762200396299</v>
      </c>
      <c r="I39" s="15">
        <v>20.224869565490799</v>
      </c>
      <c r="J39" s="24">
        <v>36.719719925816101</v>
      </c>
      <c r="K39" s="20" t="s">
        <v>76</v>
      </c>
      <c r="L39" s="20" t="s">
        <v>76</v>
      </c>
      <c r="M39" s="26" t="s">
        <v>76</v>
      </c>
      <c r="N39" s="20" t="s">
        <v>76</v>
      </c>
      <c r="O39" s="20" t="s">
        <v>76</v>
      </c>
      <c r="P39" s="26" t="s">
        <v>76</v>
      </c>
    </row>
    <row r="40" spans="1:16">
      <c r="A40" s="9" t="s">
        <v>244</v>
      </c>
      <c r="B40" s="15">
        <v>11.9010624817871</v>
      </c>
      <c r="C40" s="15">
        <v>14.395876648110599</v>
      </c>
      <c r="D40" s="24">
        <v>9.9642618534790994</v>
      </c>
      <c r="E40" s="15">
        <v>5.3903897723593897</v>
      </c>
      <c r="F40" s="15">
        <v>7.6782642994670596</v>
      </c>
      <c r="G40" s="24">
        <v>3.5419103145219202</v>
      </c>
      <c r="H40" s="15">
        <v>18.051831337838902</v>
      </c>
      <c r="I40" s="15">
        <v>21.1789673932056</v>
      </c>
      <c r="J40" s="24">
        <v>15.6271174992716</v>
      </c>
      <c r="K40" s="20" t="s">
        <v>76</v>
      </c>
      <c r="L40" s="20" t="s">
        <v>76</v>
      </c>
      <c r="M40" s="26" t="s">
        <v>76</v>
      </c>
      <c r="N40" s="20" t="s">
        <v>76</v>
      </c>
      <c r="O40" s="20" t="s">
        <v>76</v>
      </c>
      <c r="P40" s="26" t="s">
        <v>76</v>
      </c>
    </row>
    <row r="41" spans="1:16">
      <c r="A41" s="9" t="s">
        <v>245</v>
      </c>
      <c r="B41" s="15">
        <v>18.957374560935399</v>
      </c>
      <c r="C41" s="15">
        <v>15.9994127842583</v>
      </c>
      <c r="D41" s="24">
        <v>21.253730860700099</v>
      </c>
      <c r="E41" s="15">
        <v>19.833252008460001</v>
      </c>
      <c r="F41" s="15">
        <v>17.482136392674001</v>
      </c>
      <c r="G41" s="24">
        <v>21.732826861577198</v>
      </c>
      <c r="H41" s="15">
        <v>18.0505460631482</v>
      </c>
      <c r="I41" s="15">
        <v>14.425028786451399</v>
      </c>
      <c r="J41" s="24">
        <v>20.8616939496256</v>
      </c>
      <c r="K41" s="20" t="s">
        <v>76</v>
      </c>
      <c r="L41" s="20" t="s">
        <v>76</v>
      </c>
      <c r="M41" s="26" t="s">
        <v>76</v>
      </c>
      <c r="N41" s="20" t="s">
        <v>76</v>
      </c>
      <c r="O41" s="20" t="s">
        <v>76</v>
      </c>
      <c r="P41" s="26" t="s">
        <v>76</v>
      </c>
    </row>
    <row r="42" spans="1:16">
      <c r="A42" s="9" t="s">
        <v>246</v>
      </c>
      <c r="B42" s="15">
        <v>4.2494617610950902</v>
      </c>
      <c r="C42" s="15">
        <v>5.7017475370709096</v>
      </c>
      <c r="D42" s="24">
        <v>3.1220078443419101</v>
      </c>
      <c r="E42" s="15">
        <v>4.6010011034369196</v>
      </c>
      <c r="F42" s="15">
        <v>5.8994324731907897</v>
      </c>
      <c r="G42" s="24">
        <v>3.5519384533815299</v>
      </c>
      <c r="H42" s="15">
        <v>3.9008336446489298</v>
      </c>
      <c r="I42" s="15">
        <v>5.5021549673030403</v>
      </c>
      <c r="J42" s="24">
        <v>2.6592036348613202</v>
      </c>
      <c r="K42" s="20" t="s">
        <v>76</v>
      </c>
      <c r="L42" s="20" t="s">
        <v>76</v>
      </c>
      <c r="M42" s="26" t="s">
        <v>76</v>
      </c>
      <c r="N42" s="20" t="s">
        <v>76</v>
      </c>
      <c r="O42" s="20" t="s">
        <v>76</v>
      </c>
      <c r="P42" s="26" t="s">
        <v>76</v>
      </c>
    </row>
    <row r="43" spans="1:16">
      <c r="A43" s="9" t="s">
        <v>247</v>
      </c>
      <c r="B43" s="15">
        <v>20.9648955563013</v>
      </c>
      <c r="C43" s="15">
        <v>19.037058266172899</v>
      </c>
      <c r="D43" s="24">
        <v>22.461534674836798</v>
      </c>
      <c r="E43" s="15">
        <v>26.669070994895101</v>
      </c>
      <c r="F43" s="15">
        <v>25.048214686535001</v>
      </c>
      <c r="G43" s="24">
        <v>27.978635638677101</v>
      </c>
      <c r="H43" s="15">
        <v>14.8087094987201</v>
      </c>
      <c r="I43" s="15">
        <v>12.392826027161</v>
      </c>
      <c r="J43" s="24">
        <v>16.6819334269858</v>
      </c>
      <c r="K43" s="20" t="s">
        <v>76</v>
      </c>
      <c r="L43" s="20" t="s">
        <v>76</v>
      </c>
      <c r="M43" s="26" t="s">
        <v>76</v>
      </c>
      <c r="N43" s="20" t="s">
        <v>76</v>
      </c>
      <c r="O43" s="20" t="s">
        <v>76</v>
      </c>
      <c r="P43" s="26" t="s">
        <v>76</v>
      </c>
    </row>
    <row r="44" spans="1:16">
      <c r="A44" s="9" t="s">
        <v>248</v>
      </c>
      <c r="B44" s="15">
        <v>55.9655827577105</v>
      </c>
      <c r="C44" s="15">
        <v>50.900922486616899</v>
      </c>
      <c r="D44" s="24">
        <v>59.897433605613998</v>
      </c>
      <c r="E44" s="15">
        <v>57.6336508822193</v>
      </c>
      <c r="F44" s="15">
        <v>54.918997452722799</v>
      </c>
      <c r="G44" s="24">
        <v>59.8269447189735</v>
      </c>
      <c r="H44" s="15">
        <v>54.184228835080198</v>
      </c>
      <c r="I44" s="15">
        <v>46.2928000538435</v>
      </c>
      <c r="J44" s="24">
        <v>60.303072477682299</v>
      </c>
      <c r="K44" s="20" t="s">
        <v>76</v>
      </c>
      <c r="L44" s="20" t="s">
        <v>76</v>
      </c>
      <c r="M44" s="26" t="s">
        <v>76</v>
      </c>
      <c r="N44" s="15">
        <v>57.492019438375898</v>
      </c>
      <c r="O44" s="20" t="s">
        <v>76</v>
      </c>
      <c r="P44" s="24">
        <v>56.771496123007097</v>
      </c>
    </row>
    <row r="45" spans="1:16">
      <c r="A45" s="9" t="s">
        <v>249</v>
      </c>
      <c r="B45" s="15">
        <v>3.3860709555910402</v>
      </c>
      <c r="C45" s="15">
        <v>3.9862014810975999</v>
      </c>
      <c r="D45" s="24">
        <v>2.92017125269621</v>
      </c>
      <c r="E45" s="15">
        <v>3.45681379212551</v>
      </c>
      <c r="F45" s="15">
        <v>4.3640728304389098</v>
      </c>
      <c r="G45" s="24">
        <v>2.7237973284211701</v>
      </c>
      <c r="H45" s="15">
        <v>3.2955405203432799</v>
      </c>
      <c r="I45" s="15">
        <v>3.7036634028140201</v>
      </c>
      <c r="J45" s="24">
        <v>2.9790908413264598</v>
      </c>
      <c r="K45" s="20" t="s">
        <v>76</v>
      </c>
      <c r="L45" s="20" t="s">
        <v>76</v>
      </c>
      <c r="M45" s="26" t="s">
        <v>76</v>
      </c>
      <c r="N45" s="20" t="s">
        <v>76</v>
      </c>
      <c r="O45" s="20" t="s">
        <v>76</v>
      </c>
      <c r="P45" s="26" t="s">
        <v>76</v>
      </c>
    </row>
    <row r="46" spans="1:16">
      <c r="A46" s="9" t="s">
        <v>250</v>
      </c>
      <c r="B46" s="15">
        <v>18.2773371207293</v>
      </c>
      <c r="C46" s="15">
        <v>21.373569394021398</v>
      </c>
      <c r="D46" s="24">
        <v>15.873637200611901</v>
      </c>
      <c r="E46" s="15">
        <v>15.6876159380682</v>
      </c>
      <c r="F46" s="15">
        <v>20.402817353322501</v>
      </c>
      <c r="G46" s="24">
        <v>11.877987021624801</v>
      </c>
      <c r="H46" s="15">
        <v>20.8781588436308</v>
      </c>
      <c r="I46" s="15">
        <v>22.701671199082401</v>
      </c>
      <c r="J46" s="24">
        <v>19.464246700130101</v>
      </c>
      <c r="K46" s="20" t="s">
        <v>76</v>
      </c>
      <c r="L46" s="20" t="s">
        <v>76</v>
      </c>
      <c r="M46" s="26" t="s">
        <v>76</v>
      </c>
      <c r="N46" s="20" t="s">
        <v>76</v>
      </c>
      <c r="O46" s="20" t="s">
        <v>76</v>
      </c>
      <c r="P46" s="26" t="s">
        <v>76</v>
      </c>
    </row>
    <row r="47" spans="1:16">
      <c r="A47" s="9" t="s">
        <v>251</v>
      </c>
      <c r="B47" s="15">
        <v>5.8074730547528697</v>
      </c>
      <c r="C47" s="15">
        <v>5.13027569706846</v>
      </c>
      <c r="D47" s="24">
        <v>6.3332020992469999</v>
      </c>
      <c r="E47" s="15">
        <v>6.2881191768721196</v>
      </c>
      <c r="F47" s="15">
        <v>5.86300746451926</v>
      </c>
      <c r="G47" s="24">
        <v>6.6315865559874299</v>
      </c>
      <c r="H47" s="15">
        <v>5.3788030335585404</v>
      </c>
      <c r="I47" s="15">
        <v>4.5040925396917499</v>
      </c>
      <c r="J47" s="24">
        <v>6.0570346811962903</v>
      </c>
      <c r="K47" s="20" t="s">
        <v>76</v>
      </c>
      <c r="L47" s="20" t="s">
        <v>76</v>
      </c>
      <c r="M47" s="26" t="s">
        <v>76</v>
      </c>
      <c r="N47" s="20" t="s">
        <v>76</v>
      </c>
      <c r="O47" s="20" t="s">
        <v>76</v>
      </c>
      <c r="P47" s="26" t="s">
        <v>76</v>
      </c>
    </row>
    <row r="48" spans="1:16">
      <c r="A48" s="9" t="s">
        <v>252</v>
      </c>
      <c r="B48" s="15">
        <v>4.2131282429111101</v>
      </c>
      <c r="C48" s="15">
        <v>4.3830487754115897</v>
      </c>
      <c r="D48" s="24">
        <v>4.08121373057919</v>
      </c>
      <c r="E48" s="15">
        <v>4.5867719795538902</v>
      </c>
      <c r="F48" s="15">
        <v>4.7397146372555996</v>
      </c>
      <c r="G48" s="24">
        <v>4.4632025452868502</v>
      </c>
      <c r="H48" s="15">
        <v>3.9361185512363601</v>
      </c>
      <c r="I48" s="15">
        <v>4.0236166236082997</v>
      </c>
      <c r="J48" s="24">
        <v>3.8682744334327501</v>
      </c>
      <c r="K48" s="20" t="s">
        <v>76</v>
      </c>
      <c r="L48" s="20" t="s">
        <v>76</v>
      </c>
      <c r="M48" s="26" t="s">
        <v>76</v>
      </c>
      <c r="N48" s="20" t="s">
        <v>76</v>
      </c>
      <c r="O48" s="20" t="s">
        <v>76</v>
      </c>
      <c r="P48" s="26" t="s">
        <v>76</v>
      </c>
    </row>
    <row r="49" spans="1:16">
      <c r="A49" s="9" t="s">
        <v>253</v>
      </c>
      <c r="B49" s="15">
        <v>12.120824580967501</v>
      </c>
      <c r="C49" s="15">
        <v>10.347492094510899</v>
      </c>
      <c r="D49" s="24">
        <v>13.497516889489001</v>
      </c>
      <c r="E49" s="15">
        <v>11.920260057379201</v>
      </c>
      <c r="F49" s="15">
        <v>10.490473657718701</v>
      </c>
      <c r="G49" s="24">
        <v>13.075450500541001</v>
      </c>
      <c r="H49" s="15">
        <v>12.297194419897901</v>
      </c>
      <c r="I49" s="15">
        <v>10.2544519060963</v>
      </c>
      <c r="J49" s="24">
        <v>13.8810928989373</v>
      </c>
      <c r="K49" s="20" t="s">
        <v>76</v>
      </c>
      <c r="L49" s="20" t="s">
        <v>76</v>
      </c>
      <c r="M49" s="26" t="s">
        <v>76</v>
      </c>
      <c r="N49" s="20" t="s">
        <v>76</v>
      </c>
      <c r="O49" s="20" t="s">
        <v>76</v>
      </c>
      <c r="P49" s="26" t="s">
        <v>76</v>
      </c>
    </row>
    <row r="50" spans="1:16">
      <c r="A50" s="9" t="s">
        <v>254</v>
      </c>
      <c r="B50" s="15">
        <v>37.819541654114801</v>
      </c>
      <c r="C50" s="15">
        <v>35.554364681683303</v>
      </c>
      <c r="D50" s="24">
        <v>39.578067897333597</v>
      </c>
      <c r="E50" s="15">
        <v>36.948814465748299</v>
      </c>
      <c r="F50" s="15">
        <v>33.865566632751801</v>
      </c>
      <c r="G50" s="24">
        <v>39.439912738484999</v>
      </c>
      <c r="H50" s="15">
        <v>38.288230109092098</v>
      </c>
      <c r="I50" s="15">
        <v>37.029635023706</v>
      </c>
      <c r="J50" s="24">
        <v>39.264117587812798</v>
      </c>
      <c r="K50" s="20" t="s">
        <v>76</v>
      </c>
      <c r="L50" s="20" t="s">
        <v>76</v>
      </c>
      <c r="M50" s="26" t="s">
        <v>76</v>
      </c>
      <c r="N50" s="15">
        <v>43.764476348558198</v>
      </c>
      <c r="O50" s="20" t="s">
        <v>76</v>
      </c>
      <c r="P50" s="26" t="s">
        <v>76</v>
      </c>
    </row>
    <row r="51" spans="1:16">
      <c r="A51" s="9" t="s">
        <v>255</v>
      </c>
      <c r="B51" s="15">
        <v>27.6769549116717</v>
      </c>
      <c r="C51" s="15">
        <v>22.701891863832799</v>
      </c>
      <c r="D51" s="24">
        <v>31.539248691703399</v>
      </c>
      <c r="E51" s="15">
        <v>30.789620975952602</v>
      </c>
      <c r="F51" s="15">
        <v>27.227413590742898</v>
      </c>
      <c r="G51" s="24">
        <v>33.667692783693496</v>
      </c>
      <c r="H51" s="15">
        <v>24.369621092543799</v>
      </c>
      <c r="I51" s="15">
        <v>17.786876938097802</v>
      </c>
      <c r="J51" s="24">
        <v>29.473738906554601</v>
      </c>
      <c r="K51" s="20" t="s">
        <v>76</v>
      </c>
      <c r="L51" s="20" t="s">
        <v>76</v>
      </c>
      <c r="M51" s="26" t="s">
        <v>76</v>
      </c>
      <c r="N51" s="20" t="s">
        <v>76</v>
      </c>
      <c r="O51" s="20" t="s">
        <v>76</v>
      </c>
      <c r="P51" s="26" t="s">
        <v>76</v>
      </c>
    </row>
    <row r="52" spans="1:16">
      <c r="A52" s="9" t="s">
        <v>256</v>
      </c>
      <c r="B52" s="15">
        <v>11.9686695843917</v>
      </c>
      <c r="C52" s="15">
        <v>11.631998328740501</v>
      </c>
      <c r="D52" s="24">
        <v>12.2300377889981</v>
      </c>
      <c r="E52" s="15">
        <v>15.183725213198301</v>
      </c>
      <c r="F52" s="15">
        <v>15.288345164800599</v>
      </c>
      <c r="G52" s="24">
        <v>15.0991979241685</v>
      </c>
      <c r="H52" s="15">
        <v>8.4050581740474897</v>
      </c>
      <c r="I52" s="15">
        <v>7.6441559761622404</v>
      </c>
      <c r="J52" s="24">
        <v>8.9950453240604507</v>
      </c>
      <c r="K52" s="20" t="s">
        <v>76</v>
      </c>
      <c r="L52" s="20" t="s">
        <v>76</v>
      </c>
      <c r="M52" s="26" t="s">
        <v>76</v>
      </c>
      <c r="N52" s="20" t="s">
        <v>76</v>
      </c>
      <c r="O52" s="20" t="s">
        <v>76</v>
      </c>
      <c r="P52" s="26" t="s">
        <v>76</v>
      </c>
    </row>
    <row r="53" spans="1:16">
      <c r="A53" s="9" t="s">
        <v>257</v>
      </c>
      <c r="B53" s="15">
        <v>23.301600687096101</v>
      </c>
      <c r="C53" s="15">
        <v>20.725776516305501</v>
      </c>
      <c r="D53" s="24">
        <v>25.301291862391199</v>
      </c>
      <c r="E53" s="15">
        <v>24.087991720552498</v>
      </c>
      <c r="F53" s="15">
        <v>23.330803172740101</v>
      </c>
      <c r="G53" s="24">
        <v>24.699759306474501</v>
      </c>
      <c r="H53" s="15">
        <v>22.657774232423101</v>
      </c>
      <c r="I53" s="15">
        <v>18.195592783640901</v>
      </c>
      <c r="J53" s="24">
        <v>26.117653469366399</v>
      </c>
      <c r="K53" s="20" t="s">
        <v>76</v>
      </c>
      <c r="L53" s="20" t="s">
        <v>76</v>
      </c>
      <c r="M53" s="26" t="s">
        <v>76</v>
      </c>
      <c r="N53" s="20" t="s">
        <v>76</v>
      </c>
      <c r="O53" s="20" t="s">
        <v>76</v>
      </c>
      <c r="P53" s="26" t="s">
        <v>76</v>
      </c>
    </row>
    <row r="54" spans="1:16">
      <c r="A54" s="9" t="s">
        <v>258</v>
      </c>
      <c r="B54" s="15">
        <v>31.813761148181602</v>
      </c>
      <c r="C54" s="15">
        <v>39.0629721752818</v>
      </c>
      <c r="D54" s="24">
        <v>26.1859766576376</v>
      </c>
      <c r="E54" s="15">
        <v>31.476525513668701</v>
      </c>
      <c r="F54" s="15">
        <v>39.614845493473602</v>
      </c>
      <c r="G54" s="24">
        <v>24.901201069195999</v>
      </c>
      <c r="H54" s="15">
        <v>31.936541766057999</v>
      </c>
      <c r="I54" s="15">
        <v>38.234180267066101</v>
      </c>
      <c r="J54" s="24">
        <v>27.053488725406901</v>
      </c>
      <c r="K54" s="20" t="s">
        <v>76</v>
      </c>
      <c r="L54" s="20" t="s">
        <v>76</v>
      </c>
      <c r="M54" s="26" t="s">
        <v>76</v>
      </c>
      <c r="N54" s="15">
        <v>39.168623225295001</v>
      </c>
      <c r="O54" s="20" t="s">
        <v>76</v>
      </c>
      <c r="P54" s="26" t="s">
        <v>76</v>
      </c>
    </row>
    <row r="55" spans="1:16">
      <c r="A55" s="9" t="s">
        <v>259</v>
      </c>
      <c r="B55" s="15">
        <v>2.39857359906601</v>
      </c>
      <c r="C55" s="15">
        <v>3.0328189081148502</v>
      </c>
      <c r="D55" s="24">
        <v>1.9061895451156301</v>
      </c>
      <c r="E55" s="15">
        <v>2.8084148401187199</v>
      </c>
      <c r="F55" s="15">
        <v>3.2776152991798102</v>
      </c>
      <c r="G55" s="24">
        <v>2.4293261270332298</v>
      </c>
      <c r="H55" s="15">
        <v>1.90995029364466</v>
      </c>
      <c r="I55" s="20" t="s">
        <v>76</v>
      </c>
      <c r="J55" s="26" t="s">
        <v>76</v>
      </c>
      <c r="K55" s="20" t="s">
        <v>76</v>
      </c>
      <c r="L55" s="20" t="s">
        <v>76</v>
      </c>
      <c r="M55" s="26" t="s">
        <v>76</v>
      </c>
      <c r="N55" s="20" t="s">
        <v>76</v>
      </c>
      <c r="O55" s="20" t="s">
        <v>76</v>
      </c>
      <c r="P55" s="26" t="s">
        <v>76</v>
      </c>
    </row>
    <row r="56" spans="1:16">
      <c r="A56" s="9" t="s">
        <v>260</v>
      </c>
      <c r="B56" s="15">
        <v>9.7620011488040603</v>
      </c>
      <c r="C56" s="15">
        <v>10.3269643795115</v>
      </c>
      <c r="D56" s="24">
        <v>9.3234028936812994</v>
      </c>
      <c r="E56" s="15">
        <v>8.1897588943956201</v>
      </c>
      <c r="F56" s="15">
        <v>10.846864479371799</v>
      </c>
      <c r="G56" s="24">
        <v>6.0429606181182196</v>
      </c>
      <c r="H56" s="15">
        <v>11.674166162305401</v>
      </c>
      <c r="I56" s="15">
        <v>9.9726762958950896</v>
      </c>
      <c r="J56" s="24">
        <v>12.9934647000798</v>
      </c>
      <c r="K56" s="20" t="s">
        <v>76</v>
      </c>
      <c r="L56" s="20" t="s">
        <v>76</v>
      </c>
      <c r="M56" s="26" t="s">
        <v>76</v>
      </c>
      <c r="N56" s="20" t="s">
        <v>76</v>
      </c>
      <c r="O56" s="20" t="s">
        <v>76</v>
      </c>
      <c r="P56" s="26" t="s">
        <v>76</v>
      </c>
    </row>
    <row r="57" spans="1:16">
      <c r="A57" s="9" t="s">
        <v>261</v>
      </c>
      <c r="B57" s="15">
        <v>6.9288921819144997</v>
      </c>
      <c r="C57" s="15">
        <v>8.3602975511216897</v>
      </c>
      <c r="D57" s="24">
        <v>5.81764836429205</v>
      </c>
      <c r="E57" s="15">
        <v>6.7917263624153801</v>
      </c>
      <c r="F57" s="15">
        <v>8.6915716493927704</v>
      </c>
      <c r="G57" s="24">
        <v>5.25675364234813</v>
      </c>
      <c r="H57" s="15">
        <v>7.10953280128422</v>
      </c>
      <c r="I57" s="15">
        <v>7.7595954983984496</v>
      </c>
      <c r="J57" s="24">
        <v>6.6054882091328304</v>
      </c>
      <c r="K57" s="20" t="s">
        <v>76</v>
      </c>
      <c r="L57" s="20" t="s">
        <v>76</v>
      </c>
      <c r="M57" s="26" t="s">
        <v>76</v>
      </c>
      <c r="N57" s="20" t="s">
        <v>76</v>
      </c>
      <c r="O57" s="20" t="s">
        <v>76</v>
      </c>
      <c r="P57" s="26" t="s">
        <v>76</v>
      </c>
    </row>
    <row r="58" spans="1:16">
      <c r="A58" s="9" t="s">
        <v>262</v>
      </c>
      <c r="B58" s="15">
        <v>20.3509762815446</v>
      </c>
      <c r="C58" s="15">
        <v>14.096847042795</v>
      </c>
      <c r="D58" s="24">
        <v>25.206248310474901</v>
      </c>
      <c r="E58" s="15">
        <v>28.359076007662399</v>
      </c>
      <c r="F58" s="15">
        <v>19.323701855524199</v>
      </c>
      <c r="G58" s="24">
        <v>35.659171933472301</v>
      </c>
      <c r="H58" s="15">
        <v>11.4949031156382</v>
      </c>
      <c r="I58" s="15">
        <v>8.3174534042705197</v>
      </c>
      <c r="J58" s="24">
        <v>13.9586290776995</v>
      </c>
      <c r="K58" s="20" t="s">
        <v>76</v>
      </c>
      <c r="L58" s="20" t="s">
        <v>76</v>
      </c>
      <c r="M58" s="26" t="s">
        <v>76</v>
      </c>
      <c r="N58" s="20" t="s">
        <v>76</v>
      </c>
      <c r="O58" s="20" t="s">
        <v>76</v>
      </c>
      <c r="P58" s="26" t="s">
        <v>76</v>
      </c>
    </row>
    <row r="59" spans="1:16">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c r="A61" s="9" t="s">
        <v>265</v>
      </c>
      <c r="B61" s="15">
        <v>0.742330515795528</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c r="A62" s="9" t="s">
        <v>266</v>
      </c>
      <c r="B62" s="15">
        <v>1.8050039627382299</v>
      </c>
      <c r="C62" s="15">
        <v>1.78737674904324</v>
      </c>
      <c r="D62" s="24">
        <v>1.8186885084733899</v>
      </c>
      <c r="E62" s="15">
        <v>2.05544776391941</v>
      </c>
      <c r="F62" s="20" t="s">
        <v>76</v>
      </c>
      <c r="G62" s="26" t="s">
        <v>76</v>
      </c>
      <c r="H62" s="15">
        <v>1.3664134291688099</v>
      </c>
      <c r="I62" s="20" t="s">
        <v>76</v>
      </c>
      <c r="J62" s="26" t="s">
        <v>76</v>
      </c>
      <c r="K62" s="20" t="s">
        <v>76</v>
      </c>
      <c r="L62" s="20" t="s">
        <v>76</v>
      </c>
      <c r="M62" s="26" t="s">
        <v>76</v>
      </c>
      <c r="N62" s="20" t="s">
        <v>76</v>
      </c>
      <c r="O62" s="20" t="s">
        <v>76</v>
      </c>
      <c r="P62" s="26" t="s">
        <v>76</v>
      </c>
    </row>
    <row r="63" spans="1:16">
      <c r="A63" s="9" t="s">
        <v>267</v>
      </c>
      <c r="B63" s="15">
        <v>6.7115187728847898</v>
      </c>
      <c r="C63" s="15">
        <v>8.6608758447696204</v>
      </c>
      <c r="D63" s="24">
        <v>5.1981731888379397</v>
      </c>
      <c r="E63" s="15">
        <v>8.9028506618117191</v>
      </c>
      <c r="F63" s="15">
        <v>11.649622658343</v>
      </c>
      <c r="G63" s="24">
        <v>6.6836067518889299</v>
      </c>
      <c r="H63" s="15">
        <v>4.2903650609524497</v>
      </c>
      <c r="I63" s="15">
        <v>5.2763814721720896</v>
      </c>
      <c r="J63" s="24">
        <v>3.5258292060971401</v>
      </c>
      <c r="K63" s="20" t="s">
        <v>76</v>
      </c>
      <c r="L63" s="20" t="s">
        <v>76</v>
      </c>
      <c r="M63" s="26" t="s">
        <v>76</v>
      </c>
      <c r="N63" s="20" t="s">
        <v>76</v>
      </c>
      <c r="O63" s="20" t="s">
        <v>76</v>
      </c>
      <c r="P63" s="26" t="s">
        <v>76</v>
      </c>
    </row>
    <row r="64" spans="1:16">
      <c r="A64" s="11" t="s">
        <v>268</v>
      </c>
      <c r="B64" s="16">
        <v>4.1815863283049497</v>
      </c>
      <c r="C64" s="16">
        <v>4.1979950905355796</v>
      </c>
      <c r="D64" s="25">
        <v>4.1688477037504503</v>
      </c>
      <c r="E64" s="16">
        <v>4.6297290472849104</v>
      </c>
      <c r="F64" s="16">
        <v>4.5342536356894199</v>
      </c>
      <c r="G64" s="25">
        <v>4.7068680402549301</v>
      </c>
      <c r="H64" s="16">
        <v>3.7695479575668198</v>
      </c>
      <c r="I64" s="16">
        <v>3.85151526920344</v>
      </c>
      <c r="J64" s="25">
        <v>3.7059922723274799</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278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16.7394572593169</v>
      </c>
      <c r="C3" s="32">
        <v>18.4693664923496</v>
      </c>
      <c r="D3" s="32">
        <v>15.7213140674681</v>
      </c>
      <c r="E3" s="32">
        <v>16.288590983143202</v>
      </c>
      <c r="F3" s="15">
        <v>16.6666666666667</v>
      </c>
      <c r="G3" s="15">
        <v>20.8955223880597</v>
      </c>
      <c r="H3" s="15">
        <v>6.0975609756097597</v>
      </c>
      <c r="I3" s="15">
        <v>25</v>
      </c>
      <c r="J3" s="15">
        <v>18.518518518518501</v>
      </c>
      <c r="K3" s="15">
        <v>24</v>
      </c>
      <c r="L3" s="15">
        <v>9.375</v>
      </c>
      <c r="M3" s="15">
        <v>10.294117647058799</v>
      </c>
      <c r="N3" s="15">
        <v>14.285714285714301</v>
      </c>
      <c r="O3" s="15">
        <v>14.285714285714301</v>
      </c>
      <c r="P3" s="15">
        <v>14.814814814814801</v>
      </c>
      <c r="Q3" s="15">
        <v>23.3333333333333</v>
      </c>
      <c r="R3" s="15">
        <v>20.879120879120901</v>
      </c>
      <c r="S3" s="15">
        <v>6</v>
      </c>
      <c r="T3" s="20" t="s">
        <v>76</v>
      </c>
      <c r="U3" s="15">
        <v>27.659574468085101</v>
      </c>
      <c r="V3" s="15">
        <v>18.518518518518501</v>
      </c>
      <c r="W3" s="15">
        <v>19.6428571428571</v>
      </c>
      <c r="X3" s="15">
        <v>11.538461538461499</v>
      </c>
      <c r="Y3" s="20" t="s">
        <v>76</v>
      </c>
      <c r="Z3" s="15">
        <v>19.565217391304301</v>
      </c>
      <c r="AA3" s="15">
        <v>38.356164383561598</v>
      </c>
      <c r="AB3" s="15">
        <v>21.794871794871799</v>
      </c>
      <c r="AC3" s="15">
        <v>7.4074074074074101</v>
      </c>
      <c r="AD3" s="15">
        <v>10.526315789473699</v>
      </c>
      <c r="AE3" s="15">
        <v>19.672131147540998</v>
      </c>
      <c r="AF3" s="15">
        <v>29.729729729729701</v>
      </c>
      <c r="AG3" s="32">
        <v>15.280919627860101</v>
      </c>
      <c r="AH3" s="15">
        <v>18.7919463087248</v>
      </c>
      <c r="AI3" s="15">
        <v>15.929203539823</v>
      </c>
      <c r="AJ3" s="15">
        <v>13.864306784660799</v>
      </c>
      <c r="AK3" s="15">
        <v>17.993079584775099</v>
      </c>
      <c r="AL3" s="15">
        <v>18.435754189944099</v>
      </c>
      <c r="AM3" s="15">
        <v>13.538461538461499</v>
      </c>
      <c r="AN3" s="24">
        <v>20.8860759493671</v>
      </c>
      <c r="AO3" s="38"/>
    </row>
    <row r="4" spans="1:41">
      <c r="A4" s="9" t="s">
        <v>208</v>
      </c>
      <c r="B4" s="36">
        <v>14.7652964548281</v>
      </c>
      <c r="C4" s="32">
        <v>14.770257436798699</v>
      </c>
      <c r="D4" s="32">
        <v>12.9040041500384</v>
      </c>
      <c r="E4" s="32">
        <v>12.535993558361699</v>
      </c>
      <c r="F4" s="15">
        <v>12.5</v>
      </c>
      <c r="G4" s="15">
        <v>14.9253731343284</v>
      </c>
      <c r="H4" s="15">
        <v>10.975609756097599</v>
      </c>
      <c r="I4" s="15">
        <v>12.5</v>
      </c>
      <c r="J4" s="15">
        <v>19.7530864197531</v>
      </c>
      <c r="K4" s="15">
        <v>10</v>
      </c>
      <c r="L4" s="15">
        <v>7.8125</v>
      </c>
      <c r="M4" s="15">
        <v>8.8235294117646994</v>
      </c>
      <c r="N4" s="15">
        <v>12.244897959183699</v>
      </c>
      <c r="O4" s="15">
        <v>23.8095238095238</v>
      </c>
      <c r="P4" s="15">
        <v>8.8888888888888893</v>
      </c>
      <c r="Q4" s="15">
        <v>16.6666666666667</v>
      </c>
      <c r="R4" s="15">
        <v>13.1868131868132</v>
      </c>
      <c r="S4" s="15">
        <v>12</v>
      </c>
      <c r="T4" s="20" t="s">
        <v>76</v>
      </c>
      <c r="U4" s="20" t="s">
        <v>76</v>
      </c>
      <c r="V4" s="15">
        <v>12.962962962962999</v>
      </c>
      <c r="W4" s="15">
        <v>19.6428571428571</v>
      </c>
      <c r="X4" s="15">
        <v>15.384615384615399</v>
      </c>
      <c r="Y4" s="20" t="s">
        <v>76</v>
      </c>
      <c r="Z4" s="15">
        <v>19.565217391304301</v>
      </c>
      <c r="AA4" s="15">
        <v>9.5890410958904102</v>
      </c>
      <c r="AB4" s="15">
        <v>19.230769230769202</v>
      </c>
      <c r="AC4" s="15">
        <v>8.6419753086419693</v>
      </c>
      <c r="AD4" s="15">
        <v>9.4736842105263204</v>
      </c>
      <c r="AE4" s="15">
        <v>21.311475409836099</v>
      </c>
      <c r="AF4" s="20" t="s">
        <v>76</v>
      </c>
      <c r="AG4" s="32">
        <v>13.189702040809101</v>
      </c>
      <c r="AH4" s="15">
        <v>9.0604026845637602</v>
      </c>
      <c r="AI4" s="15">
        <v>14.159292035398201</v>
      </c>
      <c r="AJ4" s="15">
        <v>15.929203539823</v>
      </c>
      <c r="AK4" s="15">
        <v>8.6505190311418705</v>
      </c>
      <c r="AL4" s="15">
        <v>20.670391061452499</v>
      </c>
      <c r="AM4" s="15">
        <v>12.615384615384601</v>
      </c>
      <c r="AN4" s="24">
        <v>15.506329113924</v>
      </c>
      <c r="AO4" s="38"/>
    </row>
    <row r="5" spans="1:41">
      <c r="A5" s="9" t="s">
        <v>209</v>
      </c>
      <c r="B5" s="36">
        <v>21.645741689917799</v>
      </c>
      <c r="C5" s="32">
        <v>21.242596158900501</v>
      </c>
      <c r="D5" s="32">
        <v>17.879922237189199</v>
      </c>
      <c r="E5" s="32">
        <v>12.516787922963699</v>
      </c>
      <c r="F5" s="15">
        <v>18.75</v>
      </c>
      <c r="G5" s="15">
        <v>13.4328358208955</v>
      </c>
      <c r="H5" s="20" t="s">
        <v>76</v>
      </c>
      <c r="I5" s="15">
        <v>22.5</v>
      </c>
      <c r="J5" s="15">
        <v>19.7530864197531</v>
      </c>
      <c r="K5" s="15">
        <v>20</v>
      </c>
      <c r="L5" s="15">
        <v>14.0625</v>
      </c>
      <c r="M5" s="15">
        <v>13.235294117647101</v>
      </c>
      <c r="N5" s="15">
        <v>12.244897959183699</v>
      </c>
      <c r="O5" s="15">
        <v>16.6666666666667</v>
      </c>
      <c r="P5" s="15">
        <v>11.851851851851899</v>
      </c>
      <c r="Q5" s="15">
        <v>20</v>
      </c>
      <c r="R5" s="15">
        <v>9.8901098901098905</v>
      </c>
      <c r="S5" s="15">
        <v>5</v>
      </c>
      <c r="T5" s="20" t="s">
        <v>76</v>
      </c>
      <c r="U5" s="15">
        <v>19.148936170212799</v>
      </c>
      <c r="V5" s="20" t="s">
        <v>76</v>
      </c>
      <c r="W5" s="15">
        <v>21.428571428571399</v>
      </c>
      <c r="X5" s="15">
        <v>5.7692307692307701</v>
      </c>
      <c r="Y5" s="15">
        <v>12.1951219512195</v>
      </c>
      <c r="Z5" s="15">
        <v>19.565217391304301</v>
      </c>
      <c r="AA5" s="15">
        <v>13.698630136986299</v>
      </c>
      <c r="AB5" s="15">
        <v>15.384615384615399</v>
      </c>
      <c r="AC5" s="15">
        <v>8.6419753086419693</v>
      </c>
      <c r="AD5" s="15">
        <v>7.3684210526315796</v>
      </c>
      <c r="AE5" s="15">
        <v>11.4754098360656</v>
      </c>
      <c r="AF5" s="15">
        <v>27.027027027027</v>
      </c>
      <c r="AG5" s="32">
        <v>22.043487624025001</v>
      </c>
      <c r="AH5" s="15">
        <v>18.120805369127499</v>
      </c>
      <c r="AI5" s="15">
        <v>21.828908554572301</v>
      </c>
      <c r="AJ5" s="15">
        <v>28.023598820059</v>
      </c>
      <c r="AK5" s="15">
        <v>12.1107266435986</v>
      </c>
      <c r="AL5" s="15">
        <v>32.402234636871498</v>
      </c>
      <c r="AM5" s="15">
        <v>14.461538461538501</v>
      </c>
      <c r="AN5" s="24">
        <v>30.379746835443001</v>
      </c>
      <c r="AO5" s="38"/>
    </row>
    <row r="6" spans="1:41">
      <c r="A6" s="9" t="s">
        <v>210</v>
      </c>
      <c r="B6" s="36">
        <v>36.4037104077753</v>
      </c>
      <c r="C6" s="32">
        <v>35.776965511014502</v>
      </c>
      <c r="D6" s="32">
        <v>31.921900525184</v>
      </c>
      <c r="E6" s="32">
        <v>32.279266671312598</v>
      </c>
      <c r="F6" s="15">
        <v>40.625</v>
      </c>
      <c r="G6" s="15">
        <v>23.880597014925399</v>
      </c>
      <c r="H6" s="15">
        <v>15.853658536585399</v>
      </c>
      <c r="I6" s="15">
        <v>37.5</v>
      </c>
      <c r="J6" s="15">
        <v>40.740740740740698</v>
      </c>
      <c r="K6" s="15">
        <v>30</v>
      </c>
      <c r="L6" s="15">
        <v>26.5625</v>
      </c>
      <c r="M6" s="15">
        <v>20.588235294117599</v>
      </c>
      <c r="N6" s="15">
        <v>38.775510204081598</v>
      </c>
      <c r="O6" s="15">
        <v>50</v>
      </c>
      <c r="P6" s="15">
        <v>27.407407407407401</v>
      </c>
      <c r="Q6" s="15">
        <v>48.3333333333333</v>
      </c>
      <c r="R6" s="15">
        <v>31.868131868131901</v>
      </c>
      <c r="S6" s="15">
        <v>28</v>
      </c>
      <c r="T6" s="15">
        <v>48.484848484848499</v>
      </c>
      <c r="U6" s="15">
        <v>59.574468085106403</v>
      </c>
      <c r="V6" s="15">
        <v>27.7777777777778</v>
      </c>
      <c r="W6" s="15">
        <v>41.071428571428598</v>
      </c>
      <c r="X6" s="15">
        <v>19.230769230769202</v>
      </c>
      <c r="Y6" s="15">
        <v>24.390243902439</v>
      </c>
      <c r="Z6" s="15">
        <v>41.304347826087003</v>
      </c>
      <c r="AA6" s="15">
        <v>35.616438356164402</v>
      </c>
      <c r="AB6" s="15">
        <v>25.6410256410256</v>
      </c>
      <c r="AC6" s="15">
        <v>18.518518518518501</v>
      </c>
      <c r="AD6" s="15">
        <v>38.947368421052602</v>
      </c>
      <c r="AE6" s="15">
        <v>39.344262295081997</v>
      </c>
      <c r="AF6" s="15">
        <v>32.4324324324324</v>
      </c>
      <c r="AG6" s="32">
        <v>31.6444662434244</v>
      </c>
      <c r="AH6" s="15">
        <v>23.825503355704701</v>
      </c>
      <c r="AI6" s="15">
        <v>34.8082595870207</v>
      </c>
      <c r="AJ6" s="15">
        <v>32.743362831858398</v>
      </c>
      <c r="AK6" s="15">
        <v>29.065743944636701</v>
      </c>
      <c r="AL6" s="15">
        <v>44.134078212290497</v>
      </c>
      <c r="AM6" s="15">
        <v>33.230769230769198</v>
      </c>
      <c r="AN6" s="24">
        <v>41.772151898734201</v>
      </c>
      <c r="AO6" s="38"/>
    </row>
    <row r="7" spans="1:41">
      <c r="A7" s="9" t="s">
        <v>211</v>
      </c>
      <c r="B7" s="36">
        <v>20.182452894325198</v>
      </c>
      <c r="C7" s="32">
        <v>20.531308704640502</v>
      </c>
      <c r="D7" s="32">
        <v>18.957567940773998</v>
      </c>
      <c r="E7" s="32">
        <v>25.195777094310898</v>
      </c>
      <c r="F7" s="15">
        <v>26.0416666666667</v>
      </c>
      <c r="G7" s="15">
        <v>23.880597014925399</v>
      </c>
      <c r="H7" s="15">
        <v>25.609756097561</v>
      </c>
      <c r="I7" s="15">
        <v>30</v>
      </c>
      <c r="J7" s="15">
        <v>25.925925925925899</v>
      </c>
      <c r="K7" s="15">
        <v>32</v>
      </c>
      <c r="L7" s="15">
        <v>20.3125</v>
      </c>
      <c r="M7" s="15">
        <v>20.588235294117599</v>
      </c>
      <c r="N7" s="15">
        <v>28.571428571428601</v>
      </c>
      <c r="O7" s="15">
        <v>38.095238095238102</v>
      </c>
      <c r="P7" s="15">
        <v>24.4444444444444</v>
      </c>
      <c r="Q7" s="15">
        <v>40</v>
      </c>
      <c r="R7" s="15">
        <v>20.879120879120901</v>
      </c>
      <c r="S7" s="15">
        <v>17</v>
      </c>
      <c r="T7" s="15">
        <v>45.454545454545503</v>
      </c>
      <c r="U7" s="15">
        <v>17.021276595744698</v>
      </c>
      <c r="V7" s="15">
        <v>31.481481481481499</v>
      </c>
      <c r="W7" s="15">
        <v>26.785714285714299</v>
      </c>
      <c r="X7" s="15">
        <v>15.384615384615399</v>
      </c>
      <c r="Y7" s="15">
        <v>21.951219512195099</v>
      </c>
      <c r="Z7" s="15">
        <v>28.260869565217401</v>
      </c>
      <c r="AA7" s="15">
        <v>26.027397260274</v>
      </c>
      <c r="AB7" s="15">
        <v>30.769230769230798</v>
      </c>
      <c r="AC7" s="15">
        <v>18.518518518518501</v>
      </c>
      <c r="AD7" s="15">
        <v>29.473684210526301</v>
      </c>
      <c r="AE7" s="15">
        <v>34.426229508196698</v>
      </c>
      <c r="AF7" s="15">
        <v>18.918918918918902</v>
      </c>
      <c r="AG7" s="32">
        <v>14.114655161465899</v>
      </c>
      <c r="AH7" s="15">
        <v>11.4093959731544</v>
      </c>
      <c r="AI7" s="15">
        <v>16.519174041297902</v>
      </c>
      <c r="AJ7" s="15">
        <v>14.7492625368732</v>
      </c>
      <c r="AK7" s="15">
        <v>20.0692041522491</v>
      </c>
      <c r="AL7" s="15">
        <v>24.581005586592202</v>
      </c>
      <c r="AM7" s="15">
        <v>12</v>
      </c>
      <c r="AN7" s="24">
        <v>20.8860759493671</v>
      </c>
      <c r="AO7" s="38"/>
    </row>
    <row r="8" spans="1:41">
      <c r="A8" s="9" t="s">
        <v>212</v>
      </c>
      <c r="B8" s="36">
        <v>1.2677834979592399</v>
      </c>
      <c r="C8" s="32">
        <v>1.1819180645448899</v>
      </c>
      <c r="D8" s="32">
        <v>1.11216965647184</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15">
        <v>1.76991150442478</v>
      </c>
      <c r="AJ8" s="20" t="s">
        <v>76</v>
      </c>
      <c r="AK8" s="20" t="s">
        <v>76</v>
      </c>
      <c r="AL8" s="20" t="s">
        <v>76</v>
      </c>
      <c r="AM8" s="20" t="s">
        <v>76</v>
      </c>
      <c r="AN8" s="24">
        <v>3.4810126582278502</v>
      </c>
      <c r="AO8" s="38"/>
    </row>
    <row r="9" spans="1:41">
      <c r="A9" s="9" t="s">
        <v>213</v>
      </c>
      <c r="B9" s="36">
        <v>13.4054548643908</v>
      </c>
      <c r="C9" s="32">
        <v>13.051738325457199</v>
      </c>
      <c r="D9" s="32">
        <v>11.560856810928099</v>
      </c>
      <c r="E9" s="32">
        <v>14.3760979754381</v>
      </c>
      <c r="F9" s="15">
        <v>19.7916666666667</v>
      </c>
      <c r="G9" s="15">
        <v>16.417910447761201</v>
      </c>
      <c r="H9" s="15">
        <v>8.5365853658536608</v>
      </c>
      <c r="I9" s="15">
        <v>17.5</v>
      </c>
      <c r="J9" s="15">
        <v>25.925925925925899</v>
      </c>
      <c r="K9" s="15">
        <v>18</v>
      </c>
      <c r="L9" s="15">
        <v>6.25</v>
      </c>
      <c r="M9" s="15">
        <v>7.3529411764705896</v>
      </c>
      <c r="N9" s="20" t="s">
        <v>76</v>
      </c>
      <c r="O9" s="15">
        <v>21.428571428571399</v>
      </c>
      <c r="P9" s="15">
        <v>14.814814814814801</v>
      </c>
      <c r="Q9" s="15">
        <v>25</v>
      </c>
      <c r="R9" s="15">
        <v>13.1868131868132</v>
      </c>
      <c r="S9" s="15">
        <v>16</v>
      </c>
      <c r="T9" s="20" t="s">
        <v>76</v>
      </c>
      <c r="U9" s="15">
        <v>17.021276595744698</v>
      </c>
      <c r="V9" s="15">
        <v>11.1111111111111</v>
      </c>
      <c r="W9" s="15">
        <v>17.8571428571429</v>
      </c>
      <c r="X9" s="15">
        <v>8.6538461538461497</v>
      </c>
      <c r="Y9" s="15">
        <v>14.634146341463399</v>
      </c>
      <c r="Z9" s="15">
        <v>30.434782608695699</v>
      </c>
      <c r="AA9" s="15">
        <v>19.178082191780799</v>
      </c>
      <c r="AB9" s="15">
        <v>17.948717948717899</v>
      </c>
      <c r="AC9" s="15">
        <v>8.6419753086419693</v>
      </c>
      <c r="AD9" s="15">
        <v>7.3684210526315796</v>
      </c>
      <c r="AE9" s="15">
        <v>24.590163934426201</v>
      </c>
      <c r="AF9" s="15">
        <v>16.2162162162162</v>
      </c>
      <c r="AG9" s="32">
        <v>9.3752988924813607</v>
      </c>
      <c r="AH9" s="15">
        <v>9.0604026845637602</v>
      </c>
      <c r="AI9" s="15">
        <v>7.6696165191740402</v>
      </c>
      <c r="AJ9" s="15">
        <v>9.7345132743362797</v>
      </c>
      <c r="AK9" s="15">
        <v>12.1107266435986</v>
      </c>
      <c r="AL9" s="15">
        <v>15.083798882681601</v>
      </c>
      <c r="AM9" s="15">
        <v>9.8461538461538503</v>
      </c>
      <c r="AN9" s="24">
        <v>14.2405063291139</v>
      </c>
      <c r="AO9" s="38"/>
    </row>
    <row r="10" spans="1:41">
      <c r="A10" s="9" t="s">
        <v>214</v>
      </c>
      <c r="B10" s="36">
        <v>10.881211770667299</v>
      </c>
      <c r="C10" s="32">
        <v>10.0548340543646</v>
      </c>
      <c r="D10" s="32">
        <v>9.3422104911191699</v>
      </c>
      <c r="E10" s="32">
        <v>9.1717318218916208</v>
      </c>
      <c r="F10" s="15">
        <v>11.4583333333333</v>
      </c>
      <c r="G10" s="20" t="s">
        <v>76</v>
      </c>
      <c r="H10" s="20" t="s">
        <v>76</v>
      </c>
      <c r="I10" s="20" t="s">
        <v>76</v>
      </c>
      <c r="J10" s="20" t="s">
        <v>76</v>
      </c>
      <c r="K10" s="20" t="s">
        <v>76</v>
      </c>
      <c r="L10" s="15">
        <v>7.03125</v>
      </c>
      <c r="M10" s="20" t="s">
        <v>76</v>
      </c>
      <c r="N10" s="20" t="s">
        <v>76</v>
      </c>
      <c r="O10" s="15">
        <v>30.952380952380999</v>
      </c>
      <c r="P10" s="15">
        <v>5.1851851851851896</v>
      </c>
      <c r="Q10" s="15">
        <v>16.6666666666667</v>
      </c>
      <c r="R10" s="15">
        <v>6.5934065934065904</v>
      </c>
      <c r="S10" s="15">
        <v>5</v>
      </c>
      <c r="T10" s="15">
        <v>33.3333333333333</v>
      </c>
      <c r="U10" s="15">
        <v>14.893617021276601</v>
      </c>
      <c r="V10" s="15">
        <v>9.2592592592592595</v>
      </c>
      <c r="W10" s="15">
        <v>10.714285714285699</v>
      </c>
      <c r="X10" s="15">
        <v>9.6153846153846096</v>
      </c>
      <c r="Y10" s="20" t="s">
        <v>76</v>
      </c>
      <c r="Z10" s="15">
        <v>13.0434782608696</v>
      </c>
      <c r="AA10" s="20" t="s">
        <v>76</v>
      </c>
      <c r="AB10" s="15">
        <v>7.6923076923076898</v>
      </c>
      <c r="AC10" s="15">
        <v>6.1728395061728403</v>
      </c>
      <c r="AD10" s="15">
        <v>9.4736842105263204</v>
      </c>
      <c r="AE10" s="15">
        <v>8.1967213114754092</v>
      </c>
      <c r="AF10" s="20" t="s">
        <v>76</v>
      </c>
      <c r="AG10" s="32">
        <v>9.4745583020824196</v>
      </c>
      <c r="AH10" s="15">
        <v>7.3825503355704702</v>
      </c>
      <c r="AI10" s="15">
        <v>10.6194690265487</v>
      </c>
      <c r="AJ10" s="15">
        <v>12.094395280236</v>
      </c>
      <c r="AK10" s="15">
        <v>8.6505190311418705</v>
      </c>
      <c r="AL10" s="15">
        <v>12.290502793296101</v>
      </c>
      <c r="AM10" s="15">
        <v>12.615384615384601</v>
      </c>
      <c r="AN10" s="24">
        <v>9.81012658227848</v>
      </c>
      <c r="AO10" s="38"/>
    </row>
    <row r="11" spans="1:41">
      <c r="A11" s="9" t="s">
        <v>215</v>
      </c>
      <c r="B11" s="36">
        <v>17.162541479838499</v>
      </c>
      <c r="C11" s="32">
        <v>17.112331593807301</v>
      </c>
      <c r="D11" s="32">
        <v>14.3528669493042</v>
      </c>
      <c r="E11" s="32">
        <v>13.5515619690898</v>
      </c>
      <c r="F11" s="15">
        <v>10.4166666666667</v>
      </c>
      <c r="G11" s="15">
        <v>17.910447761194</v>
      </c>
      <c r="H11" s="15">
        <v>6.0975609756097597</v>
      </c>
      <c r="I11" s="15">
        <v>12.5</v>
      </c>
      <c r="J11" s="15">
        <v>30.8641975308642</v>
      </c>
      <c r="K11" s="15">
        <v>18</v>
      </c>
      <c r="L11" s="15">
        <v>7.03125</v>
      </c>
      <c r="M11" s="15">
        <v>7.3529411764705896</v>
      </c>
      <c r="N11" s="20" t="s">
        <v>76</v>
      </c>
      <c r="O11" s="20" t="s">
        <v>76</v>
      </c>
      <c r="P11" s="15">
        <v>8.1481481481481506</v>
      </c>
      <c r="Q11" s="15">
        <v>11.6666666666667</v>
      </c>
      <c r="R11" s="15">
        <v>23.076923076923102</v>
      </c>
      <c r="S11" s="15">
        <v>8</v>
      </c>
      <c r="T11" s="20" t="s">
        <v>76</v>
      </c>
      <c r="U11" s="15">
        <v>19.148936170212799</v>
      </c>
      <c r="V11" s="15">
        <v>22.2222222222222</v>
      </c>
      <c r="W11" s="15">
        <v>16.071428571428601</v>
      </c>
      <c r="X11" s="15">
        <v>12.5</v>
      </c>
      <c r="Y11" s="15">
        <v>12.1951219512195</v>
      </c>
      <c r="Z11" s="15">
        <v>26.086956521739101</v>
      </c>
      <c r="AA11" s="15">
        <v>38.356164383561598</v>
      </c>
      <c r="AB11" s="15">
        <v>20.5128205128205</v>
      </c>
      <c r="AC11" s="15">
        <v>6.1728395061728403</v>
      </c>
      <c r="AD11" s="15">
        <v>5.2631578947368398</v>
      </c>
      <c r="AE11" s="20" t="s">
        <v>76</v>
      </c>
      <c r="AF11" s="15">
        <v>24.324324324324301</v>
      </c>
      <c r="AG11" s="32">
        <v>14.974944541333</v>
      </c>
      <c r="AH11" s="15">
        <v>9.3959731543624194</v>
      </c>
      <c r="AI11" s="15">
        <v>17.109144542772899</v>
      </c>
      <c r="AJ11" s="15">
        <v>12.094395280236</v>
      </c>
      <c r="AK11" s="15">
        <v>15.5709342560554</v>
      </c>
      <c r="AL11" s="15">
        <v>12.290502793296101</v>
      </c>
      <c r="AM11" s="15">
        <v>17.846153846153801</v>
      </c>
      <c r="AN11" s="24">
        <v>28.481012658227801</v>
      </c>
      <c r="AO11" s="38"/>
    </row>
    <row r="12" spans="1:41">
      <c r="A12" s="9" t="s">
        <v>216</v>
      </c>
      <c r="B12" s="36">
        <v>6.6058484668144697</v>
      </c>
      <c r="C12" s="32">
        <v>5.5170846032503702</v>
      </c>
      <c r="D12" s="32">
        <v>4.4737179925665496</v>
      </c>
      <c r="E12" s="32">
        <v>4.4156924436097604</v>
      </c>
      <c r="F12" s="15">
        <v>5.2083333333333304</v>
      </c>
      <c r="G12" s="15">
        <v>7.4626865671641802</v>
      </c>
      <c r="H12" s="20" t="s">
        <v>76</v>
      </c>
      <c r="I12" s="20" t="s">
        <v>76</v>
      </c>
      <c r="J12" s="20" t="s">
        <v>76</v>
      </c>
      <c r="K12" s="20" t="s">
        <v>76</v>
      </c>
      <c r="L12" s="20" t="s">
        <v>76</v>
      </c>
      <c r="M12" s="20" t="s">
        <v>76</v>
      </c>
      <c r="N12" s="20" t="s">
        <v>76</v>
      </c>
      <c r="O12" s="15">
        <v>11.9047619047619</v>
      </c>
      <c r="P12" s="20" t="s">
        <v>76</v>
      </c>
      <c r="Q12" s="15">
        <v>8.3333333333333304</v>
      </c>
      <c r="R12" s="15">
        <v>6.5934065934065904</v>
      </c>
      <c r="S12" s="15">
        <v>14</v>
      </c>
      <c r="T12" s="20" t="s">
        <v>76</v>
      </c>
      <c r="U12" s="20" t="s">
        <v>76</v>
      </c>
      <c r="V12" s="20" t="s">
        <v>76</v>
      </c>
      <c r="W12" s="20" t="s">
        <v>76</v>
      </c>
      <c r="X12" s="20" t="s">
        <v>76</v>
      </c>
      <c r="Y12" s="20" t="s">
        <v>76</v>
      </c>
      <c r="Z12" s="20" t="s">
        <v>76</v>
      </c>
      <c r="AA12" s="15">
        <v>6.8493150684931496</v>
      </c>
      <c r="AB12" s="20" t="s">
        <v>76</v>
      </c>
      <c r="AC12" s="20" t="s">
        <v>76</v>
      </c>
      <c r="AD12" s="15">
        <v>6.3157894736842097</v>
      </c>
      <c r="AE12" s="20" t="s">
        <v>76</v>
      </c>
      <c r="AF12" s="20" t="s">
        <v>76</v>
      </c>
      <c r="AG12" s="32">
        <v>4.5187650029589399</v>
      </c>
      <c r="AH12" s="15">
        <v>3.0201342281879202</v>
      </c>
      <c r="AI12" s="15">
        <v>6.19469026548673</v>
      </c>
      <c r="AJ12" s="15">
        <v>5.0147492625368697</v>
      </c>
      <c r="AK12" s="15">
        <v>6.9204152249134898</v>
      </c>
      <c r="AL12" s="15">
        <v>2.7932960893854699</v>
      </c>
      <c r="AM12" s="15">
        <v>5.2307692307692299</v>
      </c>
      <c r="AN12" s="24">
        <v>7.59493670886076</v>
      </c>
      <c r="AO12" s="38"/>
    </row>
    <row r="13" spans="1:41">
      <c r="A13" s="9" t="s">
        <v>217</v>
      </c>
      <c r="B13" s="36">
        <v>3.6226789776799802</v>
      </c>
      <c r="C13" s="32">
        <v>3.1365579341666798</v>
      </c>
      <c r="D13" s="32">
        <v>2.8798231700234198</v>
      </c>
      <c r="E13" s="32">
        <v>3.75786184022764</v>
      </c>
      <c r="F13" s="20" t="s">
        <v>76</v>
      </c>
      <c r="G13" s="20" t="s">
        <v>76</v>
      </c>
      <c r="H13" s="20" t="s">
        <v>76</v>
      </c>
      <c r="I13" s="20" t="s">
        <v>76</v>
      </c>
      <c r="J13" s="20" t="s">
        <v>76</v>
      </c>
      <c r="K13" s="20" t="s">
        <v>76</v>
      </c>
      <c r="L13" s="20" t="s">
        <v>76</v>
      </c>
      <c r="M13" s="20" t="s">
        <v>76</v>
      </c>
      <c r="N13" s="20" t="s">
        <v>76</v>
      </c>
      <c r="O13" s="20" t="s">
        <v>76</v>
      </c>
      <c r="P13" s="15">
        <v>7.4074074074074101</v>
      </c>
      <c r="Q13" s="20" t="s">
        <v>76</v>
      </c>
      <c r="R13" s="15">
        <v>5.4945054945054901</v>
      </c>
      <c r="S13" s="15">
        <v>7</v>
      </c>
      <c r="T13" s="20" t="s">
        <v>76</v>
      </c>
      <c r="U13" s="20" t="s">
        <v>76</v>
      </c>
      <c r="V13" s="20" t="s">
        <v>76</v>
      </c>
      <c r="W13" s="15">
        <v>8.9285714285714306</v>
      </c>
      <c r="X13" s="15">
        <v>7.6923076923076898</v>
      </c>
      <c r="Y13" s="20" t="s">
        <v>76</v>
      </c>
      <c r="Z13" s="20" t="s">
        <v>76</v>
      </c>
      <c r="AA13" s="20" t="s">
        <v>76</v>
      </c>
      <c r="AB13" s="20" t="s">
        <v>76</v>
      </c>
      <c r="AC13" s="20" t="s">
        <v>76</v>
      </c>
      <c r="AD13" s="20" t="s">
        <v>76</v>
      </c>
      <c r="AE13" s="20" t="s">
        <v>76</v>
      </c>
      <c r="AF13" s="20" t="s">
        <v>76</v>
      </c>
      <c r="AG13" s="32">
        <v>2.1981748648767798</v>
      </c>
      <c r="AH13" s="15">
        <v>2.3489932885906</v>
      </c>
      <c r="AI13" s="15">
        <v>3.24483775811209</v>
      </c>
      <c r="AJ13" s="15">
        <v>2.65486725663717</v>
      </c>
      <c r="AK13" s="20" t="s">
        <v>76</v>
      </c>
      <c r="AL13" s="15">
        <v>4.4692737430167604</v>
      </c>
      <c r="AM13" s="15">
        <v>2.1538461538461502</v>
      </c>
      <c r="AN13" s="24">
        <v>3.4810126582278502</v>
      </c>
      <c r="AO13" s="38"/>
    </row>
    <row r="14" spans="1:41">
      <c r="A14" s="9" t="s">
        <v>218</v>
      </c>
      <c r="B14" s="36">
        <v>24.676383500216101</v>
      </c>
      <c r="C14" s="32">
        <v>24.792106251281002</v>
      </c>
      <c r="D14" s="32">
        <v>21.864157375284599</v>
      </c>
      <c r="E14" s="32">
        <v>25.105145591074699</v>
      </c>
      <c r="F14" s="15">
        <v>28.125</v>
      </c>
      <c r="G14" s="15">
        <v>17.910447761194</v>
      </c>
      <c r="H14" s="15">
        <v>17.0731707317073</v>
      </c>
      <c r="I14" s="15">
        <v>35</v>
      </c>
      <c r="J14" s="15">
        <v>41.975308641975303</v>
      </c>
      <c r="K14" s="15">
        <v>24</v>
      </c>
      <c r="L14" s="15">
        <v>21.875</v>
      </c>
      <c r="M14" s="15">
        <v>22.0588235294118</v>
      </c>
      <c r="N14" s="15">
        <v>30.612244897959201</v>
      </c>
      <c r="O14" s="15">
        <v>28.571428571428601</v>
      </c>
      <c r="P14" s="15">
        <v>14.074074074074099</v>
      </c>
      <c r="Q14" s="15">
        <v>35</v>
      </c>
      <c r="R14" s="15">
        <v>25.274725274725299</v>
      </c>
      <c r="S14" s="15">
        <v>18</v>
      </c>
      <c r="T14" s="15">
        <v>21.2121212121212</v>
      </c>
      <c r="U14" s="15">
        <v>21.2765957446809</v>
      </c>
      <c r="V14" s="15">
        <v>31.481481481481499</v>
      </c>
      <c r="W14" s="15">
        <v>35.714285714285701</v>
      </c>
      <c r="X14" s="15">
        <v>24.038461538461501</v>
      </c>
      <c r="Y14" s="15">
        <v>14.634146341463399</v>
      </c>
      <c r="Z14" s="15">
        <v>36.956521739130402</v>
      </c>
      <c r="AA14" s="15">
        <v>43.835616438356197</v>
      </c>
      <c r="AB14" s="15">
        <v>29.4871794871795</v>
      </c>
      <c r="AC14" s="15">
        <v>20.987654320987701</v>
      </c>
      <c r="AD14" s="15">
        <v>17.894736842105299</v>
      </c>
      <c r="AE14" s="15">
        <v>29.508196721311499</v>
      </c>
      <c r="AF14" s="15">
        <v>24.324324324324301</v>
      </c>
      <c r="AG14" s="32">
        <v>19.348078984591599</v>
      </c>
      <c r="AH14" s="15">
        <v>17.449664429530198</v>
      </c>
      <c r="AI14" s="15">
        <v>20.353982300885001</v>
      </c>
      <c r="AJ14" s="15">
        <v>18.879056047197601</v>
      </c>
      <c r="AK14" s="15">
        <v>22.145328719723199</v>
      </c>
      <c r="AL14" s="15">
        <v>25.139664804469302</v>
      </c>
      <c r="AM14" s="15">
        <v>18.461538461538499</v>
      </c>
      <c r="AN14" s="24">
        <v>27.848101265822802</v>
      </c>
      <c r="AO14" s="38"/>
    </row>
    <row r="15" spans="1:41">
      <c r="A15" s="9" t="s">
        <v>219</v>
      </c>
      <c r="B15" s="36">
        <v>18.4701805575185</v>
      </c>
      <c r="C15" s="32">
        <v>19.831296480338001</v>
      </c>
      <c r="D15" s="32">
        <v>18.1460208362444</v>
      </c>
      <c r="E15" s="32">
        <v>18.172841786472699</v>
      </c>
      <c r="F15" s="15">
        <v>17.7083333333333</v>
      </c>
      <c r="G15" s="15">
        <v>26.865671641791</v>
      </c>
      <c r="H15" s="20" t="s">
        <v>76</v>
      </c>
      <c r="I15" s="15">
        <v>22.5</v>
      </c>
      <c r="J15" s="15">
        <v>29.629629629629601</v>
      </c>
      <c r="K15" s="15">
        <v>26</v>
      </c>
      <c r="L15" s="15">
        <v>12.5</v>
      </c>
      <c r="M15" s="15">
        <v>25</v>
      </c>
      <c r="N15" s="15">
        <v>18.367346938775501</v>
      </c>
      <c r="O15" s="15">
        <v>23.8095238095238</v>
      </c>
      <c r="P15" s="15">
        <v>19.259259259259299</v>
      </c>
      <c r="Q15" s="15">
        <v>21.6666666666667</v>
      </c>
      <c r="R15" s="15">
        <v>17.582417582417602</v>
      </c>
      <c r="S15" s="15">
        <v>21</v>
      </c>
      <c r="T15" s="15">
        <v>33.3333333333333</v>
      </c>
      <c r="U15" s="15">
        <v>25.531914893617</v>
      </c>
      <c r="V15" s="15">
        <v>16.6666666666667</v>
      </c>
      <c r="W15" s="15">
        <v>25</v>
      </c>
      <c r="X15" s="15">
        <v>10.5769230769231</v>
      </c>
      <c r="Y15" s="15">
        <v>17.0731707317073</v>
      </c>
      <c r="Z15" s="15">
        <v>23.913043478260899</v>
      </c>
      <c r="AA15" s="15">
        <v>21.917808219178099</v>
      </c>
      <c r="AB15" s="15">
        <v>19.230769230769202</v>
      </c>
      <c r="AC15" s="20" t="s">
        <v>76</v>
      </c>
      <c r="AD15" s="15">
        <v>16.842105263157901</v>
      </c>
      <c r="AE15" s="15">
        <v>18.032786885245901</v>
      </c>
      <c r="AF15" s="15">
        <v>21.6216216216216</v>
      </c>
      <c r="AG15" s="32">
        <v>18.125198911326901</v>
      </c>
      <c r="AH15" s="15">
        <v>11.744966442953</v>
      </c>
      <c r="AI15" s="15">
        <v>18.879056047197601</v>
      </c>
      <c r="AJ15" s="15">
        <v>18.289085545722699</v>
      </c>
      <c r="AK15" s="15">
        <v>15.916955017300999</v>
      </c>
      <c r="AL15" s="15">
        <v>20.111731843575399</v>
      </c>
      <c r="AM15" s="15">
        <v>17.538461538461501</v>
      </c>
      <c r="AN15" s="24">
        <v>25.3164556962025</v>
      </c>
      <c r="AO15" s="38"/>
    </row>
    <row r="16" spans="1:41">
      <c r="A16" s="9" t="s">
        <v>220</v>
      </c>
      <c r="B16" s="36">
        <v>1.6866524320885701</v>
      </c>
      <c r="C16" s="32">
        <v>2.06324217835295</v>
      </c>
      <c r="D16" s="32">
        <v>1.4674833402621901</v>
      </c>
      <c r="E16" s="32">
        <v>2.3234418516309798</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c r="A17" s="9" t="s">
        <v>221</v>
      </c>
      <c r="B17" s="36">
        <v>54.353001172593103</v>
      </c>
      <c r="C17" s="32">
        <v>57.308634093257702</v>
      </c>
      <c r="D17" s="32">
        <v>54.772112970357398</v>
      </c>
      <c r="E17" s="32">
        <v>52.587551115092602</v>
      </c>
      <c r="F17" s="15">
        <v>56.25</v>
      </c>
      <c r="G17" s="15">
        <v>55.223880597014897</v>
      </c>
      <c r="H17" s="15">
        <v>60.975609756097597</v>
      </c>
      <c r="I17" s="15">
        <v>65</v>
      </c>
      <c r="J17" s="15">
        <v>56.790123456790099</v>
      </c>
      <c r="K17" s="15">
        <v>58</v>
      </c>
      <c r="L17" s="15">
        <v>45.3125</v>
      </c>
      <c r="M17" s="15">
        <v>48.529411764705898</v>
      </c>
      <c r="N17" s="15">
        <v>55.1020408163265</v>
      </c>
      <c r="O17" s="15">
        <v>66.6666666666667</v>
      </c>
      <c r="P17" s="15">
        <v>42.962962962962997</v>
      </c>
      <c r="Q17" s="15">
        <v>70</v>
      </c>
      <c r="R17" s="15">
        <v>37.3626373626374</v>
      </c>
      <c r="S17" s="15">
        <v>40</v>
      </c>
      <c r="T17" s="15">
        <v>63.636363636363598</v>
      </c>
      <c r="U17" s="15">
        <v>59.574468085106403</v>
      </c>
      <c r="V17" s="15">
        <v>66.6666666666667</v>
      </c>
      <c r="W17" s="15">
        <v>73.214285714285694</v>
      </c>
      <c r="X17" s="15">
        <v>50.961538461538503</v>
      </c>
      <c r="Y17" s="15">
        <v>46.341463414634099</v>
      </c>
      <c r="Z17" s="15">
        <v>58.695652173912997</v>
      </c>
      <c r="AA17" s="15">
        <v>46.575342465753401</v>
      </c>
      <c r="AB17" s="15">
        <v>53.846153846153797</v>
      </c>
      <c r="AC17" s="15">
        <v>43.209876543209901</v>
      </c>
      <c r="AD17" s="15">
        <v>54.7368421052632</v>
      </c>
      <c r="AE17" s="15">
        <v>59.016393442622899</v>
      </c>
      <c r="AF17" s="15">
        <v>72.972972972972997</v>
      </c>
      <c r="AG17" s="32">
        <v>56.468055229691899</v>
      </c>
      <c r="AH17" s="15">
        <v>44.630872483221502</v>
      </c>
      <c r="AI17" s="15">
        <v>56.637168141592902</v>
      </c>
      <c r="AJ17" s="15">
        <v>54.5722713864307</v>
      </c>
      <c r="AK17" s="15">
        <v>58.477508650518999</v>
      </c>
      <c r="AL17" s="15">
        <v>70.949720670391102</v>
      </c>
      <c r="AM17" s="15">
        <v>60</v>
      </c>
      <c r="AN17" s="24">
        <v>64.873417721519004</v>
      </c>
      <c r="AO17" s="38"/>
    </row>
    <row r="18" spans="1:41">
      <c r="A18" s="9" t="s">
        <v>222</v>
      </c>
      <c r="B18" s="36">
        <v>22.860249201432602</v>
      </c>
      <c r="C18" s="32">
        <v>21.804512654604299</v>
      </c>
      <c r="D18" s="32">
        <v>19.353525037038398</v>
      </c>
      <c r="E18" s="32">
        <v>22.144202021090798</v>
      </c>
      <c r="F18" s="15">
        <v>27.0833333333333</v>
      </c>
      <c r="G18" s="15">
        <v>10.4477611940298</v>
      </c>
      <c r="H18" s="15">
        <v>8.5365853658536608</v>
      </c>
      <c r="I18" s="15">
        <v>17.5</v>
      </c>
      <c r="J18" s="15">
        <v>28.395061728395099</v>
      </c>
      <c r="K18" s="15">
        <v>18</v>
      </c>
      <c r="L18" s="15">
        <v>23.4375</v>
      </c>
      <c r="M18" s="15">
        <v>23.529411764705898</v>
      </c>
      <c r="N18" s="15">
        <v>20.408163265306101</v>
      </c>
      <c r="O18" s="15">
        <v>35.714285714285701</v>
      </c>
      <c r="P18" s="15">
        <v>21.481481481481499</v>
      </c>
      <c r="Q18" s="15">
        <v>18.3333333333333</v>
      </c>
      <c r="R18" s="15">
        <v>26.373626373626401</v>
      </c>
      <c r="S18" s="15">
        <v>27</v>
      </c>
      <c r="T18" s="15">
        <v>36.363636363636402</v>
      </c>
      <c r="U18" s="15">
        <v>31.914893617021299</v>
      </c>
      <c r="V18" s="15">
        <v>14.814814814814801</v>
      </c>
      <c r="W18" s="15">
        <v>26.785714285714299</v>
      </c>
      <c r="X18" s="15">
        <v>15.384615384615399</v>
      </c>
      <c r="Y18" s="15">
        <v>14.634146341463399</v>
      </c>
      <c r="Z18" s="15">
        <v>36.956521739130402</v>
      </c>
      <c r="AA18" s="15">
        <v>28.7671232876712</v>
      </c>
      <c r="AB18" s="15">
        <v>21.794871794871799</v>
      </c>
      <c r="AC18" s="15">
        <v>19.7530864197531</v>
      </c>
      <c r="AD18" s="15">
        <v>14.7368421052632</v>
      </c>
      <c r="AE18" s="15">
        <v>21.311475409836099</v>
      </c>
      <c r="AF18" s="15">
        <v>24.324324324324301</v>
      </c>
      <c r="AG18" s="32">
        <v>17.1870370440339</v>
      </c>
      <c r="AH18" s="15">
        <v>15.7718120805369</v>
      </c>
      <c r="AI18" s="15">
        <v>15.3392330383481</v>
      </c>
      <c r="AJ18" s="15">
        <v>19.469026548672598</v>
      </c>
      <c r="AK18" s="15">
        <v>13.1487889273356</v>
      </c>
      <c r="AL18" s="15">
        <v>23.463687150837998</v>
      </c>
      <c r="AM18" s="15">
        <v>14.153846153846199</v>
      </c>
      <c r="AN18" s="24">
        <v>21.5189873417721</v>
      </c>
      <c r="AO18" s="38"/>
    </row>
    <row r="19" spans="1:41">
      <c r="A19" s="9" t="s">
        <v>223</v>
      </c>
      <c r="B19" s="36">
        <v>25.444695926044702</v>
      </c>
      <c r="C19" s="32">
        <v>25.244485769623601</v>
      </c>
      <c r="D19" s="32">
        <v>22.7437320711234</v>
      </c>
      <c r="E19" s="32">
        <v>25.0457109531139</v>
      </c>
      <c r="F19" s="15">
        <v>44.7916666666667</v>
      </c>
      <c r="G19" s="15">
        <v>29.8507462686567</v>
      </c>
      <c r="H19" s="15">
        <v>14.634146341463399</v>
      </c>
      <c r="I19" s="15">
        <v>45</v>
      </c>
      <c r="J19" s="15">
        <v>27.160493827160501</v>
      </c>
      <c r="K19" s="15">
        <v>24</v>
      </c>
      <c r="L19" s="15">
        <v>16.40625</v>
      </c>
      <c r="M19" s="15">
        <v>23.529411764705898</v>
      </c>
      <c r="N19" s="15">
        <v>28.571428571428601</v>
      </c>
      <c r="O19" s="15">
        <v>35.714285714285701</v>
      </c>
      <c r="P19" s="15">
        <v>22.2222222222222</v>
      </c>
      <c r="Q19" s="15">
        <v>21.6666666666667</v>
      </c>
      <c r="R19" s="15">
        <v>25.274725274725299</v>
      </c>
      <c r="S19" s="15">
        <v>23</v>
      </c>
      <c r="T19" s="15">
        <v>42.424242424242401</v>
      </c>
      <c r="U19" s="15">
        <v>29.787234042553202</v>
      </c>
      <c r="V19" s="15">
        <v>18.518518518518501</v>
      </c>
      <c r="W19" s="15">
        <v>26.785714285714299</v>
      </c>
      <c r="X19" s="15">
        <v>18.269230769230798</v>
      </c>
      <c r="Y19" s="15">
        <v>21.951219512195099</v>
      </c>
      <c r="Z19" s="15">
        <v>26.086956521739101</v>
      </c>
      <c r="AA19" s="15">
        <v>26.027397260274</v>
      </c>
      <c r="AB19" s="15">
        <v>29.4871794871795</v>
      </c>
      <c r="AC19" s="15">
        <v>17.283950617283899</v>
      </c>
      <c r="AD19" s="15">
        <v>24.210526315789501</v>
      </c>
      <c r="AE19" s="15">
        <v>19.672131147540998</v>
      </c>
      <c r="AF19" s="15">
        <v>21.6216216216216</v>
      </c>
      <c r="AG19" s="32">
        <v>20.956635378642702</v>
      </c>
      <c r="AH19" s="15">
        <v>13.4228187919463</v>
      </c>
      <c r="AI19" s="15">
        <v>21.2389380530973</v>
      </c>
      <c r="AJ19" s="15">
        <v>25.958702064896801</v>
      </c>
      <c r="AK19" s="15">
        <v>20.4152249134948</v>
      </c>
      <c r="AL19" s="15">
        <v>27.932960893854698</v>
      </c>
      <c r="AM19" s="15">
        <v>19.384615384615401</v>
      </c>
      <c r="AN19" s="24">
        <v>28.481012658227801</v>
      </c>
      <c r="AO19" s="38"/>
    </row>
    <row r="20" spans="1:41">
      <c r="A20" s="9" t="s">
        <v>224</v>
      </c>
      <c r="B20" s="36">
        <v>2.71024829182105</v>
      </c>
      <c r="C20" s="32">
        <v>2.4046879731034401</v>
      </c>
      <c r="D20" s="32">
        <v>1.8472341561733101</v>
      </c>
      <c r="E20" s="32">
        <v>2.2102390543238299</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2">
        <v>1.5654223385609101</v>
      </c>
      <c r="AH20" s="20" t="s">
        <v>76</v>
      </c>
      <c r="AI20" s="15">
        <v>3.24483775811209</v>
      </c>
      <c r="AJ20" s="15">
        <v>2.3598820058997001</v>
      </c>
      <c r="AK20" s="15">
        <v>2.7681660899653999</v>
      </c>
      <c r="AL20" s="20" t="s">
        <v>76</v>
      </c>
      <c r="AM20" s="20" t="s">
        <v>76</v>
      </c>
      <c r="AN20" s="24">
        <v>1.58227848101266</v>
      </c>
      <c r="AO20" s="38"/>
    </row>
    <row r="21" spans="1:41">
      <c r="A21" s="9" t="s">
        <v>225</v>
      </c>
      <c r="B21" s="36">
        <v>6.0287988889083897</v>
      </c>
      <c r="C21" s="32">
        <v>5.8035632848865601</v>
      </c>
      <c r="D21" s="32">
        <v>4.1990444146546304</v>
      </c>
      <c r="E21" s="32">
        <v>4.5236770494241201</v>
      </c>
      <c r="F21" s="20" t="s">
        <v>76</v>
      </c>
      <c r="G21" s="15">
        <v>10.4477611940298</v>
      </c>
      <c r="H21" s="20" t="s">
        <v>76</v>
      </c>
      <c r="I21" s="20" t="s">
        <v>76</v>
      </c>
      <c r="J21" s="20" t="s">
        <v>76</v>
      </c>
      <c r="K21" s="20" t="s">
        <v>76</v>
      </c>
      <c r="L21" s="20" t="s">
        <v>76</v>
      </c>
      <c r="M21" s="20" t="s">
        <v>76</v>
      </c>
      <c r="N21" s="20" t="s">
        <v>76</v>
      </c>
      <c r="O21" s="20" t="s">
        <v>76</v>
      </c>
      <c r="P21" s="15">
        <v>4.4444444444444402</v>
      </c>
      <c r="Q21" s="20" t="s">
        <v>76</v>
      </c>
      <c r="R21" s="20" t="s">
        <v>76</v>
      </c>
      <c r="S21" s="20" t="s">
        <v>76</v>
      </c>
      <c r="T21" s="20" t="s">
        <v>76</v>
      </c>
      <c r="U21" s="20" t="s">
        <v>76</v>
      </c>
      <c r="V21" s="20" t="s">
        <v>76</v>
      </c>
      <c r="W21" s="20" t="s">
        <v>76</v>
      </c>
      <c r="X21" s="20" t="s">
        <v>76</v>
      </c>
      <c r="Y21" s="20" t="s">
        <v>76</v>
      </c>
      <c r="Z21" s="15">
        <v>10.869565217391299</v>
      </c>
      <c r="AA21" s="20" t="s">
        <v>76</v>
      </c>
      <c r="AB21" s="15">
        <v>12.8205128205128</v>
      </c>
      <c r="AC21" s="20" t="s">
        <v>76</v>
      </c>
      <c r="AD21" s="15">
        <v>5.2631578947368398</v>
      </c>
      <c r="AE21" s="15">
        <v>11.4754098360656</v>
      </c>
      <c r="AF21" s="15">
        <v>13.5135135135135</v>
      </c>
      <c r="AG21" s="32">
        <v>3.94702216006025</v>
      </c>
      <c r="AH21" s="15">
        <v>2.0134228187919501</v>
      </c>
      <c r="AI21" s="15">
        <v>1.76991150442478</v>
      </c>
      <c r="AJ21" s="15">
        <v>1.47492625368732</v>
      </c>
      <c r="AK21" s="15">
        <v>5.1903114186851198</v>
      </c>
      <c r="AL21" s="20" t="s">
        <v>76</v>
      </c>
      <c r="AM21" s="15">
        <v>5.5384615384615401</v>
      </c>
      <c r="AN21" s="24">
        <v>9.1772151898734204</v>
      </c>
      <c r="AO21" s="38"/>
    </row>
    <row r="22" spans="1:41">
      <c r="A22" s="9" t="s">
        <v>226</v>
      </c>
      <c r="B22" s="36">
        <v>14.2278025667599</v>
      </c>
      <c r="C22" s="32">
        <v>15.4839471483485</v>
      </c>
      <c r="D22" s="32">
        <v>14.003712456371799</v>
      </c>
      <c r="E22" s="32">
        <v>13.856204742598299</v>
      </c>
      <c r="F22" s="15">
        <v>9.375</v>
      </c>
      <c r="G22" s="15">
        <v>13.4328358208955</v>
      </c>
      <c r="H22" s="15">
        <v>12.1951219512195</v>
      </c>
      <c r="I22" s="15">
        <v>15</v>
      </c>
      <c r="J22" s="15">
        <v>9.8765432098765409</v>
      </c>
      <c r="K22" s="15">
        <v>14</v>
      </c>
      <c r="L22" s="15">
        <v>8.59375</v>
      </c>
      <c r="M22" s="15">
        <v>10.294117647058799</v>
      </c>
      <c r="N22" s="15">
        <v>10.2040816326531</v>
      </c>
      <c r="O22" s="20" t="s">
        <v>76</v>
      </c>
      <c r="P22" s="15">
        <v>7.4074074074074101</v>
      </c>
      <c r="Q22" s="15">
        <v>21.6666666666667</v>
      </c>
      <c r="R22" s="15">
        <v>14.285714285714301</v>
      </c>
      <c r="S22" s="15">
        <v>14</v>
      </c>
      <c r="T22" s="15">
        <v>18.181818181818201</v>
      </c>
      <c r="U22" s="15">
        <v>12.7659574468085</v>
      </c>
      <c r="V22" s="15">
        <v>18.518518518518501</v>
      </c>
      <c r="W22" s="15">
        <v>16.071428571428601</v>
      </c>
      <c r="X22" s="15">
        <v>21.153846153846199</v>
      </c>
      <c r="Y22" s="15">
        <v>19.512195121951201</v>
      </c>
      <c r="Z22" s="15">
        <v>21.739130434782599</v>
      </c>
      <c r="AA22" s="15">
        <v>13.698630136986299</v>
      </c>
      <c r="AB22" s="15">
        <v>14.1025641025641</v>
      </c>
      <c r="AC22" s="15">
        <v>11.1111111111111</v>
      </c>
      <c r="AD22" s="15">
        <v>14.7368421052632</v>
      </c>
      <c r="AE22" s="15">
        <v>13.1147540983607</v>
      </c>
      <c r="AF22" s="15">
        <v>13.5135135135135</v>
      </c>
      <c r="AG22" s="32">
        <v>14.118227211247399</v>
      </c>
      <c r="AH22" s="15">
        <v>10.738255033557</v>
      </c>
      <c r="AI22" s="15">
        <v>15.3392330383481</v>
      </c>
      <c r="AJ22" s="15">
        <v>12.6843657817109</v>
      </c>
      <c r="AK22" s="15">
        <v>15.2249134948097</v>
      </c>
      <c r="AL22" s="15">
        <v>15.6424581005587</v>
      </c>
      <c r="AM22" s="15">
        <v>17.846153846153801</v>
      </c>
      <c r="AN22" s="24">
        <v>18.9873417721519</v>
      </c>
      <c r="AO22" s="38"/>
    </row>
    <row r="23" spans="1:41">
      <c r="A23" s="9" t="s">
        <v>227</v>
      </c>
      <c r="B23" s="36">
        <v>14.969153866626</v>
      </c>
      <c r="C23" s="32">
        <v>15.0521258004863</v>
      </c>
      <c r="D23" s="32">
        <v>13.676680826422601</v>
      </c>
      <c r="E23" s="32">
        <v>10.6385672792391</v>
      </c>
      <c r="F23" s="15">
        <v>10.4166666666667</v>
      </c>
      <c r="G23" s="15">
        <v>7.4626865671641802</v>
      </c>
      <c r="H23" s="15">
        <v>7.3170731707317103</v>
      </c>
      <c r="I23" s="20" t="s">
        <v>76</v>
      </c>
      <c r="J23" s="15">
        <v>13.580246913580201</v>
      </c>
      <c r="K23" s="15">
        <v>16</v>
      </c>
      <c r="L23" s="15">
        <v>11.71875</v>
      </c>
      <c r="M23" s="15">
        <v>8.8235294117646994</v>
      </c>
      <c r="N23" s="20" t="s">
        <v>76</v>
      </c>
      <c r="O23" s="15">
        <v>11.9047619047619</v>
      </c>
      <c r="P23" s="15">
        <v>8.8888888888888893</v>
      </c>
      <c r="Q23" s="15">
        <v>10</v>
      </c>
      <c r="R23" s="15">
        <v>14.285714285714301</v>
      </c>
      <c r="S23" s="15">
        <v>14</v>
      </c>
      <c r="T23" s="20" t="s">
        <v>76</v>
      </c>
      <c r="U23" s="15">
        <v>27.659574468085101</v>
      </c>
      <c r="V23" s="15">
        <v>9.2592592592592595</v>
      </c>
      <c r="W23" s="15">
        <v>14.285714285714301</v>
      </c>
      <c r="X23" s="15">
        <v>12.5</v>
      </c>
      <c r="Y23" s="20" t="s">
        <v>76</v>
      </c>
      <c r="Z23" s="15">
        <v>13.0434782608696</v>
      </c>
      <c r="AA23" s="15">
        <v>13.698630136986299</v>
      </c>
      <c r="AB23" s="15">
        <v>8.9743589743589691</v>
      </c>
      <c r="AC23" s="20" t="s">
        <v>76</v>
      </c>
      <c r="AD23" s="15">
        <v>8.4210526315789505</v>
      </c>
      <c r="AE23" s="15">
        <v>9.8360655737704903</v>
      </c>
      <c r="AF23" s="20" t="s">
        <v>76</v>
      </c>
      <c r="AG23" s="32">
        <v>16.0352613998717</v>
      </c>
      <c r="AH23" s="15">
        <v>11.4093959731544</v>
      </c>
      <c r="AI23" s="15">
        <v>15.044247787610599</v>
      </c>
      <c r="AJ23" s="15">
        <v>12.979351032448401</v>
      </c>
      <c r="AK23" s="15">
        <v>13.1487889273356</v>
      </c>
      <c r="AL23" s="15">
        <v>20.670391061452499</v>
      </c>
      <c r="AM23" s="15">
        <v>14.7692307692308</v>
      </c>
      <c r="AN23" s="24">
        <v>20.569620253164601</v>
      </c>
      <c r="AO23" s="38"/>
    </row>
    <row r="24" spans="1:41">
      <c r="A24" s="9" t="s">
        <v>228</v>
      </c>
      <c r="B24" s="36">
        <v>38.703748554106397</v>
      </c>
      <c r="C24" s="32">
        <v>37.563451749334803</v>
      </c>
      <c r="D24" s="32">
        <v>33.921007313570499</v>
      </c>
      <c r="E24" s="32">
        <v>32.241902770675701</v>
      </c>
      <c r="F24" s="15">
        <v>40.625</v>
      </c>
      <c r="G24" s="15">
        <v>31.343283582089601</v>
      </c>
      <c r="H24" s="15">
        <v>10.975609756097599</v>
      </c>
      <c r="I24" s="15">
        <v>42.5</v>
      </c>
      <c r="J24" s="15">
        <v>38.271604938271601</v>
      </c>
      <c r="K24" s="15">
        <v>32</v>
      </c>
      <c r="L24" s="15">
        <v>22.65625</v>
      </c>
      <c r="M24" s="15">
        <v>36.764705882352899</v>
      </c>
      <c r="N24" s="15">
        <v>24.4897959183673</v>
      </c>
      <c r="O24" s="15">
        <v>47.619047619047599</v>
      </c>
      <c r="P24" s="15">
        <v>30.370370370370399</v>
      </c>
      <c r="Q24" s="15">
        <v>33.3333333333333</v>
      </c>
      <c r="R24" s="15">
        <v>35.164835164835203</v>
      </c>
      <c r="S24" s="15">
        <v>35</v>
      </c>
      <c r="T24" s="15">
        <v>48.484848484848499</v>
      </c>
      <c r="U24" s="15">
        <v>44.680851063829799</v>
      </c>
      <c r="V24" s="15">
        <v>22.2222222222222</v>
      </c>
      <c r="W24" s="15">
        <v>41.071428571428598</v>
      </c>
      <c r="X24" s="15">
        <v>20.192307692307701</v>
      </c>
      <c r="Y24" s="15">
        <v>19.512195121951201</v>
      </c>
      <c r="Z24" s="15">
        <v>50</v>
      </c>
      <c r="AA24" s="15">
        <v>34.246575342465803</v>
      </c>
      <c r="AB24" s="15">
        <v>34.615384615384599</v>
      </c>
      <c r="AC24" s="15">
        <v>34.567901234567898</v>
      </c>
      <c r="AD24" s="15">
        <v>27.3684210526316</v>
      </c>
      <c r="AE24" s="15">
        <v>31.1475409836066</v>
      </c>
      <c r="AF24" s="15">
        <v>45.945945945945901</v>
      </c>
      <c r="AG24" s="32">
        <v>35.224547584253699</v>
      </c>
      <c r="AH24" s="15">
        <v>28.859060402684602</v>
      </c>
      <c r="AI24" s="15">
        <v>32.448377581120901</v>
      </c>
      <c r="AJ24" s="15">
        <v>31.563421828908599</v>
      </c>
      <c r="AK24" s="15">
        <v>31.833910034602098</v>
      </c>
      <c r="AL24" s="15">
        <v>50.279329608938497</v>
      </c>
      <c r="AM24" s="15">
        <v>37.230769230769198</v>
      </c>
      <c r="AN24" s="24">
        <v>39.873417721518997</v>
      </c>
      <c r="AO24" s="38"/>
    </row>
    <row r="25" spans="1:41">
      <c r="A25" s="9" t="s">
        <v>229</v>
      </c>
      <c r="B25" s="36">
        <v>1.6835804805271199</v>
      </c>
      <c r="C25" s="32">
        <v>1.4707121690420299</v>
      </c>
      <c r="D25" s="32">
        <v>1.1998053888584499</v>
      </c>
      <c r="E25" s="32">
        <v>1.88879489572286</v>
      </c>
      <c r="F25" s="20" t="s">
        <v>76</v>
      </c>
      <c r="G25" s="20" t="s">
        <v>76</v>
      </c>
      <c r="H25" s="20" t="s">
        <v>76</v>
      </c>
      <c r="I25" s="20" t="s">
        <v>76</v>
      </c>
      <c r="J25" s="20" t="s">
        <v>76</v>
      </c>
      <c r="K25" s="20" t="s">
        <v>76</v>
      </c>
      <c r="L25" s="20" t="s">
        <v>76</v>
      </c>
      <c r="M25" s="20" t="s">
        <v>76</v>
      </c>
      <c r="N25" s="20" t="s">
        <v>76</v>
      </c>
      <c r="O25" s="20" t="s">
        <v>76</v>
      </c>
      <c r="P25" s="15">
        <v>5.1851851851851896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c r="A26" s="9" t="s">
        <v>230</v>
      </c>
      <c r="B26" s="36">
        <v>26.8901762290342</v>
      </c>
      <c r="C26" s="32">
        <v>27.6411307496349</v>
      </c>
      <c r="D26" s="32">
        <v>27.427906849528998</v>
      </c>
      <c r="E26" s="32">
        <v>28.5983649315205</v>
      </c>
      <c r="F26" s="15">
        <v>38.5416666666667</v>
      </c>
      <c r="G26" s="15">
        <v>26.865671641791</v>
      </c>
      <c r="H26" s="15">
        <v>6.0975609756097597</v>
      </c>
      <c r="I26" s="15">
        <v>45</v>
      </c>
      <c r="J26" s="15">
        <v>38.271604938271601</v>
      </c>
      <c r="K26" s="15">
        <v>34</v>
      </c>
      <c r="L26" s="15">
        <v>18.75</v>
      </c>
      <c r="M26" s="15">
        <v>29.411764705882401</v>
      </c>
      <c r="N26" s="15">
        <v>24.4897959183673</v>
      </c>
      <c r="O26" s="15">
        <v>26.1904761904762</v>
      </c>
      <c r="P26" s="15">
        <v>28.148148148148099</v>
      </c>
      <c r="Q26" s="15">
        <v>33.3333333333333</v>
      </c>
      <c r="R26" s="15">
        <v>26.373626373626401</v>
      </c>
      <c r="S26" s="15">
        <v>23</v>
      </c>
      <c r="T26" s="15">
        <v>24.2424242424242</v>
      </c>
      <c r="U26" s="15">
        <v>48.936170212766001</v>
      </c>
      <c r="V26" s="15">
        <v>22.2222222222222</v>
      </c>
      <c r="W26" s="15">
        <v>42.857142857142897</v>
      </c>
      <c r="X26" s="15">
        <v>19.230769230769202</v>
      </c>
      <c r="Y26" s="15">
        <v>41.463414634146297</v>
      </c>
      <c r="Z26" s="15">
        <v>32.6086956521739</v>
      </c>
      <c r="AA26" s="15">
        <v>34.246575342465803</v>
      </c>
      <c r="AB26" s="15">
        <v>28.205128205128201</v>
      </c>
      <c r="AC26" s="15">
        <v>22.2222222222222</v>
      </c>
      <c r="AD26" s="15">
        <v>29.473684210526301</v>
      </c>
      <c r="AE26" s="15">
        <v>44.262295081967203</v>
      </c>
      <c r="AF26" s="15">
        <v>32.4324324324324</v>
      </c>
      <c r="AG26" s="32">
        <v>26.519244401155198</v>
      </c>
      <c r="AH26" s="15">
        <v>21.140939597315398</v>
      </c>
      <c r="AI26" s="15">
        <v>22.7138643067847</v>
      </c>
      <c r="AJ26" s="15">
        <v>29.793510324483801</v>
      </c>
      <c r="AK26" s="15">
        <v>24.2214532871972</v>
      </c>
      <c r="AL26" s="15">
        <v>41.340782122904997</v>
      </c>
      <c r="AM26" s="15">
        <v>27.076923076923102</v>
      </c>
      <c r="AN26" s="24">
        <v>30.6962025316456</v>
      </c>
      <c r="AO26" s="38"/>
    </row>
    <row r="27" spans="1:41">
      <c r="A27" s="9" t="s">
        <v>231</v>
      </c>
      <c r="B27" s="36">
        <v>9.3840595734084999</v>
      </c>
      <c r="C27" s="32">
        <v>8.8122586033816805</v>
      </c>
      <c r="D27" s="32">
        <v>7.4999827667505299</v>
      </c>
      <c r="E27" s="32">
        <v>9.9937365324664302</v>
      </c>
      <c r="F27" s="15">
        <v>12.5</v>
      </c>
      <c r="G27" s="20" t="s">
        <v>76</v>
      </c>
      <c r="H27" s="20" t="s">
        <v>76</v>
      </c>
      <c r="I27" s="20" t="s">
        <v>76</v>
      </c>
      <c r="J27" s="15">
        <v>8.6419753086419693</v>
      </c>
      <c r="K27" s="15">
        <v>12</v>
      </c>
      <c r="L27" s="15">
        <v>7.8125</v>
      </c>
      <c r="M27" s="15">
        <v>8.8235294117646994</v>
      </c>
      <c r="N27" s="15">
        <v>14.285714285714301</v>
      </c>
      <c r="O27" s="15">
        <v>14.285714285714301</v>
      </c>
      <c r="P27" s="15">
        <v>13.3333333333333</v>
      </c>
      <c r="Q27" s="20" t="s">
        <v>76</v>
      </c>
      <c r="R27" s="15">
        <v>14.285714285714301</v>
      </c>
      <c r="S27" s="15">
        <v>12</v>
      </c>
      <c r="T27" s="15">
        <v>15.1515151515152</v>
      </c>
      <c r="U27" s="15">
        <v>14.893617021276601</v>
      </c>
      <c r="V27" s="15">
        <v>11.1111111111111</v>
      </c>
      <c r="W27" s="15">
        <v>16.071428571428601</v>
      </c>
      <c r="X27" s="15">
        <v>4.8076923076923102</v>
      </c>
      <c r="Y27" s="20" t="s">
        <v>76</v>
      </c>
      <c r="Z27" s="15">
        <v>10.869565217391299</v>
      </c>
      <c r="AA27" s="15">
        <v>8.2191780821917799</v>
      </c>
      <c r="AB27" s="15">
        <v>19.230769230769202</v>
      </c>
      <c r="AC27" s="15">
        <v>7.4074074074074101</v>
      </c>
      <c r="AD27" s="15">
        <v>7.3684210526315796</v>
      </c>
      <c r="AE27" s="15">
        <v>18.032786885245901</v>
      </c>
      <c r="AF27" s="20" t="s">
        <v>76</v>
      </c>
      <c r="AG27" s="32">
        <v>5.5640053599035904</v>
      </c>
      <c r="AH27" s="15">
        <v>3.3557046979865799</v>
      </c>
      <c r="AI27" s="15">
        <v>5.3097345132743401</v>
      </c>
      <c r="AJ27" s="15">
        <v>5.0147492625368697</v>
      </c>
      <c r="AK27" s="15">
        <v>6.5743944636678204</v>
      </c>
      <c r="AL27" s="15">
        <v>11.173184357541899</v>
      </c>
      <c r="AM27" s="15">
        <v>4.9230769230769198</v>
      </c>
      <c r="AN27" s="24">
        <v>6.9620253164557004</v>
      </c>
      <c r="AO27" s="38"/>
    </row>
    <row r="28" spans="1:41">
      <c r="A28" s="9" t="s">
        <v>232</v>
      </c>
      <c r="B28" s="36">
        <v>12.666648330600699</v>
      </c>
      <c r="C28" s="32">
        <v>12.751245155438999</v>
      </c>
      <c r="D28" s="32">
        <v>11.457392428307701</v>
      </c>
      <c r="E28" s="32">
        <v>13.215667175891999</v>
      </c>
      <c r="F28" s="15">
        <v>18.75</v>
      </c>
      <c r="G28" s="15">
        <v>7.4626865671641802</v>
      </c>
      <c r="H28" s="15">
        <v>6.0975609756097597</v>
      </c>
      <c r="I28" s="15">
        <v>12.5</v>
      </c>
      <c r="J28" s="15">
        <v>13.580246913580201</v>
      </c>
      <c r="K28" s="15">
        <v>28</v>
      </c>
      <c r="L28" s="15">
        <v>10.15625</v>
      </c>
      <c r="M28" s="15">
        <v>7.3529411764705896</v>
      </c>
      <c r="N28" s="15">
        <v>16.326530612244898</v>
      </c>
      <c r="O28" s="15">
        <v>16.6666666666667</v>
      </c>
      <c r="P28" s="15">
        <v>9.6296296296296298</v>
      </c>
      <c r="Q28" s="15">
        <v>16.6666666666667</v>
      </c>
      <c r="R28" s="15">
        <v>23.076923076923102</v>
      </c>
      <c r="S28" s="15">
        <v>7</v>
      </c>
      <c r="T28" s="15">
        <v>15.1515151515152</v>
      </c>
      <c r="U28" s="15">
        <v>23.404255319148898</v>
      </c>
      <c r="V28" s="15">
        <v>11.1111111111111</v>
      </c>
      <c r="W28" s="15">
        <v>16.071428571428601</v>
      </c>
      <c r="X28" s="15">
        <v>12.5</v>
      </c>
      <c r="Y28" s="20" t="s">
        <v>76</v>
      </c>
      <c r="Z28" s="15">
        <v>15.2173913043478</v>
      </c>
      <c r="AA28" s="15">
        <v>16.438356164383599</v>
      </c>
      <c r="AB28" s="15">
        <v>21.794871794871799</v>
      </c>
      <c r="AC28" s="15">
        <v>13.580246913580201</v>
      </c>
      <c r="AD28" s="15">
        <v>6.3157894736842097</v>
      </c>
      <c r="AE28" s="15">
        <v>19.672131147540998</v>
      </c>
      <c r="AF28" s="20" t="s">
        <v>76</v>
      </c>
      <c r="AG28" s="32">
        <v>10.0923899035395</v>
      </c>
      <c r="AH28" s="15">
        <v>8.7248322147650992</v>
      </c>
      <c r="AI28" s="15">
        <v>9.1445427728613602</v>
      </c>
      <c r="AJ28" s="15">
        <v>10.0294985250737</v>
      </c>
      <c r="AK28" s="15">
        <v>10.726643598615899</v>
      </c>
      <c r="AL28" s="15">
        <v>20.111731843575399</v>
      </c>
      <c r="AM28" s="15">
        <v>8.6153846153846096</v>
      </c>
      <c r="AN28" s="24">
        <v>12.974683544303801</v>
      </c>
      <c r="AO28" s="38"/>
    </row>
    <row r="29" spans="1:41">
      <c r="A29" s="9" t="s">
        <v>233</v>
      </c>
      <c r="B29" s="36">
        <v>2.0841519456041402</v>
      </c>
      <c r="C29" s="32">
        <v>1.7804978082656999</v>
      </c>
      <c r="D29" s="32">
        <v>1.5679557378181199</v>
      </c>
      <c r="E29" s="32">
        <v>2.20766875558978</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15">
        <v>7.6923076923076898</v>
      </c>
      <c r="AC29" s="20" t="s">
        <v>76</v>
      </c>
      <c r="AD29" s="20" t="s">
        <v>76</v>
      </c>
      <c r="AE29" s="20" t="s">
        <v>76</v>
      </c>
      <c r="AF29" s="20" t="s">
        <v>76</v>
      </c>
      <c r="AG29" s="34" t="s">
        <v>76</v>
      </c>
      <c r="AH29" s="20" t="s">
        <v>76</v>
      </c>
      <c r="AI29" s="15">
        <v>2.3598820058997001</v>
      </c>
      <c r="AJ29" s="15">
        <v>1.47492625368732</v>
      </c>
      <c r="AK29" s="20" t="s">
        <v>76</v>
      </c>
      <c r="AL29" s="20" t="s">
        <v>76</v>
      </c>
      <c r="AM29" s="20" t="s">
        <v>76</v>
      </c>
      <c r="AN29" s="26" t="s">
        <v>76</v>
      </c>
      <c r="AO29" s="38"/>
    </row>
    <row r="30" spans="1:41">
      <c r="A30" s="9" t="s">
        <v>234</v>
      </c>
      <c r="B30" s="36">
        <v>2.9661267219526999</v>
      </c>
      <c r="C30" s="32">
        <v>3.0133304247783901</v>
      </c>
      <c r="D30" s="32">
        <v>2.5306170153563499</v>
      </c>
      <c r="E30" s="32">
        <v>2.6474844548668899</v>
      </c>
      <c r="F30" s="20" t="s">
        <v>76</v>
      </c>
      <c r="G30" s="15">
        <v>7.4626865671641802</v>
      </c>
      <c r="H30" s="20" t="s">
        <v>76</v>
      </c>
      <c r="I30" s="20" t="s">
        <v>76</v>
      </c>
      <c r="J30" s="20" t="s">
        <v>76</v>
      </c>
      <c r="K30" s="20" t="s">
        <v>76</v>
      </c>
      <c r="L30" s="20" t="s">
        <v>76</v>
      </c>
      <c r="M30" s="20" t="s">
        <v>76</v>
      </c>
      <c r="N30" s="20" t="s">
        <v>76</v>
      </c>
      <c r="O30" s="20" t="s">
        <v>76</v>
      </c>
      <c r="P30" s="20" t="s">
        <v>76</v>
      </c>
      <c r="Q30" s="20" t="s">
        <v>76</v>
      </c>
      <c r="R30" s="15">
        <v>6.5934065934065904</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32">
        <v>2.43988924359356</v>
      </c>
      <c r="AH30" s="20" t="s">
        <v>76</v>
      </c>
      <c r="AI30" s="15">
        <v>5.3097345132743401</v>
      </c>
      <c r="AJ30" s="15">
        <v>2.65486725663717</v>
      </c>
      <c r="AK30" s="15">
        <v>1.73010380622837</v>
      </c>
      <c r="AL30" s="15">
        <v>2.7932960893854699</v>
      </c>
      <c r="AM30" s="15">
        <v>3.6923076923076898</v>
      </c>
      <c r="AN30" s="24">
        <v>1.58227848101266</v>
      </c>
      <c r="AO30" s="38"/>
    </row>
    <row r="31" spans="1:41">
      <c r="A31" s="9" t="s">
        <v>235</v>
      </c>
      <c r="B31" s="36">
        <v>5.7900077464085502</v>
      </c>
      <c r="C31" s="32">
        <v>5.1661630708722397</v>
      </c>
      <c r="D31" s="32">
        <v>5.0041715015224302</v>
      </c>
      <c r="E31" s="32">
        <v>6.6955920021127797</v>
      </c>
      <c r="F31" s="15">
        <v>11.4583333333333</v>
      </c>
      <c r="G31" s="20" t="s">
        <v>76</v>
      </c>
      <c r="H31" s="20" t="s">
        <v>76</v>
      </c>
      <c r="I31" s="20" t="s">
        <v>76</v>
      </c>
      <c r="J31" s="20" t="s">
        <v>76</v>
      </c>
      <c r="K31" s="20" t="s">
        <v>76</v>
      </c>
      <c r="L31" s="20" t="s">
        <v>76</v>
      </c>
      <c r="M31" s="20" t="s">
        <v>76</v>
      </c>
      <c r="N31" s="20" t="s">
        <v>76</v>
      </c>
      <c r="O31" s="15">
        <v>11.9047619047619</v>
      </c>
      <c r="P31" s="15">
        <v>5.1851851851851896</v>
      </c>
      <c r="Q31" s="20" t="s">
        <v>76</v>
      </c>
      <c r="R31" s="15">
        <v>13.1868131868132</v>
      </c>
      <c r="S31" s="15">
        <v>9</v>
      </c>
      <c r="T31" s="15">
        <v>15.1515151515152</v>
      </c>
      <c r="U31" s="15">
        <v>10.6382978723404</v>
      </c>
      <c r="V31" s="15">
        <v>9.2592592592592595</v>
      </c>
      <c r="W31" s="20" t="s">
        <v>76</v>
      </c>
      <c r="X31" s="15">
        <v>5.7692307692307701</v>
      </c>
      <c r="Y31" s="20" t="s">
        <v>76</v>
      </c>
      <c r="Z31" s="15">
        <v>13.0434782608696</v>
      </c>
      <c r="AA31" s="20" t="s">
        <v>76</v>
      </c>
      <c r="AB31" s="20" t="s">
        <v>76</v>
      </c>
      <c r="AC31" s="20" t="s">
        <v>76</v>
      </c>
      <c r="AD31" s="15">
        <v>6.3157894736842097</v>
      </c>
      <c r="AE31" s="15">
        <v>11.4754098360656</v>
      </c>
      <c r="AF31" s="20" t="s">
        <v>76</v>
      </c>
      <c r="AG31" s="32">
        <v>3.6910699757667</v>
      </c>
      <c r="AH31" s="15">
        <v>3.0201342281879202</v>
      </c>
      <c r="AI31" s="15">
        <v>5.8997050147492596</v>
      </c>
      <c r="AJ31" s="15">
        <v>4.71976401179941</v>
      </c>
      <c r="AK31" s="15">
        <v>4.1522491349481001</v>
      </c>
      <c r="AL31" s="15">
        <v>3.91061452513966</v>
      </c>
      <c r="AM31" s="15">
        <v>3.3846153846153801</v>
      </c>
      <c r="AN31" s="24">
        <v>2.5316455696202498</v>
      </c>
      <c r="AO31" s="38"/>
    </row>
    <row r="32" spans="1:41">
      <c r="A32" s="9" t="s">
        <v>236</v>
      </c>
      <c r="B32" s="36">
        <v>1.08573133382922</v>
      </c>
      <c r="C32" s="32">
        <v>1.0276189935089699</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c r="A33" s="9" t="s">
        <v>237</v>
      </c>
      <c r="B33" s="36">
        <v>4.7659278100644897</v>
      </c>
      <c r="C33" s="32">
        <v>4.4965901960281904</v>
      </c>
      <c r="D33" s="32">
        <v>4.0834757639289903</v>
      </c>
      <c r="E33" s="32">
        <v>5.1147755766267098</v>
      </c>
      <c r="F33" s="20" t="s">
        <v>76</v>
      </c>
      <c r="G33" s="20" t="s">
        <v>76</v>
      </c>
      <c r="H33" s="20" t="s">
        <v>76</v>
      </c>
      <c r="I33" s="20" t="s">
        <v>76</v>
      </c>
      <c r="J33" s="15">
        <v>6.1728395061728403</v>
      </c>
      <c r="K33" s="20" t="s">
        <v>76</v>
      </c>
      <c r="L33" s="15">
        <v>4.6875</v>
      </c>
      <c r="M33" s="20" t="s">
        <v>76</v>
      </c>
      <c r="N33" s="20" t="s">
        <v>76</v>
      </c>
      <c r="O33" s="15">
        <v>11.9047619047619</v>
      </c>
      <c r="P33" s="20" t="s">
        <v>76</v>
      </c>
      <c r="Q33" s="20" t="s">
        <v>76</v>
      </c>
      <c r="R33" s="20" t="s">
        <v>76</v>
      </c>
      <c r="S33" s="20" t="s">
        <v>76</v>
      </c>
      <c r="T33" s="20" t="s">
        <v>76</v>
      </c>
      <c r="U33" s="20" t="s">
        <v>76</v>
      </c>
      <c r="V33" s="15">
        <v>9.2592592592592595</v>
      </c>
      <c r="W33" s="20" t="s">
        <v>76</v>
      </c>
      <c r="X33" s="15">
        <v>6.7307692307692299</v>
      </c>
      <c r="Y33" s="20" t="s">
        <v>76</v>
      </c>
      <c r="Z33" s="20" t="s">
        <v>76</v>
      </c>
      <c r="AA33" s="15">
        <v>19.178082191780799</v>
      </c>
      <c r="AB33" s="15">
        <v>11.538461538461499</v>
      </c>
      <c r="AC33" s="20" t="s">
        <v>76</v>
      </c>
      <c r="AD33" s="15">
        <v>5.2631578947368398</v>
      </c>
      <c r="AE33" s="20" t="s">
        <v>76</v>
      </c>
      <c r="AF33" s="20" t="s">
        <v>76</v>
      </c>
      <c r="AG33" s="32">
        <v>3.2828461410218899</v>
      </c>
      <c r="AH33" s="15">
        <v>3.3557046979865799</v>
      </c>
      <c r="AI33" s="15">
        <v>3.5398230088495599</v>
      </c>
      <c r="AJ33" s="15">
        <v>2.3598820058997001</v>
      </c>
      <c r="AK33" s="15">
        <v>2.4221453287197199</v>
      </c>
      <c r="AL33" s="15">
        <v>5.0279329608938497</v>
      </c>
      <c r="AM33" s="15">
        <v>3.6923076923076898</v>
      </c>
      <c r="AN33" s="24">
        <v>4.43037974683544</v>
      </c>
      <c r="AO33" s="38"/>
    </row>
    <row r="34" spans="1:41">
      <c r="A34" s="9" t="s">
        <v>238</v>
      </c>
      <c r="B34" s="36">
        <v>17.146766662270899</v>
      </c>
      <c r="C34" s="32">
        <v>19.4774923735446</v>
      </c>
      <c r="D34" s="32">
        <v>17.025097715360001</v>
      </c>
      <c r="E34" s="32">
        <v>14.430227853752999</v>
      </c>
      <c r="F34" s="15">
        <v>15.625</v>
      </c>
      <c r="G34" s="15">
        <v>14.9253731343284</v>
      </c>
      <c r="H34" s="15">
        <v>10.975609756097599</v>
      </c>
      <c r="I34" s="20" t="s">
        <v>76</v>
      </c>
      <c r="J34" s="15">
        <v>20.987654320987701</v>
      </c>
      <c r="K34" s="15">
        <v>12</v>
      </c>
      <c r="L34" s="15">
        <v>10.15625</v>
      </c>
      <c r="M34" s="15">
        <v>8.8235294117646994</v>
      </c>
      <c r="N34" s="15">
        <v>30.612244897959201</v>
      </c>
      <c r="O34" s="15">
        <v>21.428571428571399</v>
      </c>
      <c r="P34" s="15">
        <v>11.1111111111111</v>
      </c>
      <c r="Q34" s="15">
        <v>18.3333333333333</v>
      </c>
      <c r="R34" s="15">
        <v>14.285714285714301</v>
      </c>
      <c r="S34" s="15">
        <v>9</v>
      </c>
      <c r="T34" s="15">
        <v>27.272727272727298</v>
      </c>
      <c r="U34" s="15">
        <v>17.021276595744698</v>
      </c>
      <c r="V34" s="20" t="s">
        <v>76</v>
      </c>
      <c r="W34" s="15">
        <v>28.571428571428601</v>
      </c>
      <c r="X34" s="15">
        <v>10.5769230769231</v>
      </c>
      <c r="Y34" s="20" t="s">
        <v>76</v>
      </c>
      <c r="Z34" s="15">
        <v>26.086956521739101</v>
      </c>
      <c r="AA34" s="15">
        <v>15.068493150684899</v>
      </c>
      <c r="AB34" s="15">
        <v>11.538461538461499</v>
      </c>
      <c r="AC34" s="15">
        <v>14.814814814814801</v>
      </c>
      <c r="AD34" s="15">
        <v>13.6842105263158</v>
      </c>
      <c r="AE34" s="15">
        <v>14.7540983606557</v>
      </c>
      <c r="AF34" s="20" t="s">
        <v>76</v>
      </c>
      <c r="AG34" s="32">
        <v>19.0395746436132</v>
      </c>
      <c r="AH34" s="15">
        <v>22.483221476510099</v>
      </c>
      <c r="AI34" s="15">
        <v>21.2389380530973</v>
      </c>
      <c r="AJ34" s="15">
        <v>18.5840707964602</v>
      </c>
      <c r="AK34" s="15">
        <v>14.878892733563999</v>
      </c>
      <c r="AL34" s="15">
        <v>27.374301675977701</v>
      </c>
      <c r="AM34" s="15">
        <v>20</v>
      </c>
      <c r="AN34" s="24">
        <v>23.734177215189899</v>
      </c>
      <c r="AO34" s="38"/>
    </row>
    <row r="35" spans="1:41">
      <c r="A35" s="9" t="s">
        <v>239</v>
      </c>
      <c r="B35" s="36">
        <v>22.264245126520599</v>
      </c>
      <c r="C35" s="32">
        <v>22.478800562749701</v>
      </c>
      <c r="D35" s="32">
        <v>24.6518943875157</v>
      </c>
      <c r="E35" s="32">
        <v>20.631285962244501</v>
      </c>
      <c r="F35" s="15">
        <v>15.625</v>
      </c>
      <c r="G35" s="15">
        <v>17.910447761194</v>
      </c>
      <c r="H35" s="15">
        <v>21.951219512195099</v>
      </c>
      <c r="I35" s="15">
        <v>25</v>
      </c>
      <c r="J35" s="15">
        <v>28.395061728395099</v>
      </c>
      <c r="K35" s="15">
        <v>18</v>
      </c>
      <c r="L35" s="15">
        <v>17.96875</v>
      </c>
      <c r="M35" s="15">
        <v>22.0588235294118</v>
      </c>
      <c r="N35" s="15">
        <v>26.530612244897998</v>
      </c>
      <c r="O35" s="15">
        <v>28.571428571428601</v>
      </c>
      <c r="P35" s="15">
        <v>18.518518518518501</v>
      </c>
      <c r="Q35" s="15">
        <v>25</v>
      </c>
      <c r="R35" s="15">
        <v>13.1868131868132</v>
      </c>
      <c r="S35" s="15">
        <v>16</v>
      </c>
      <c r="T35" s="15">
        <v>24.2424242424242</v>
      </c>
      <c r="U35" s="15">
        <v>19.148936170212799</v>
      </c>
      <c r="V35" s="15">
        <v>29.629629629629601</v>
      </c>
      <c r="W35" s="15">
        <v>32.142857142857103</v>
      </c>
      <c r="X35" s="15">
        <v>15.384615384615399</v>
      </c>
      <c r="Y35" s="15">
        <v>14.634146341463399</v>
      </c>
      <c r="Z35" s="15">
        <v>30.434782608695699</v>
      </c>
      <c r="AA35" s="15">
        <v>24.657534246575299</v>
      </c>
      <c r="AB35" s="15">
        <v>26.923076923076898</v>
      </c>
      <c r="AC35" s="15">
        <v>17.283950617283899</v>
      </c>
      <c r="AD35" s="15">
        <v>22.105263157894701</v>
      </c>
      <c r="AE35" s="15">
        <v>21.311475409836099</v>
      </c>
      <c r="AF35" s="20" t="s">
        <v>76</v>
      </c>
      <c r="AG35" s="32">
        <v>27.773215818731199</v>
      </c>
      <c r="AH35" s="15">
        <v>19.798657718120801</v>
      </c>
      <c r="AI35" s="15">
        <v>28.318584070796501</v>
      </c>
      <c r="AJ35" s="15">
        <v>21.533923303834801</v>
      </c>
      <c r="AK35" s="15">
        <v>24.913494809688601</v>
      </c>
      <c r="AL35" s="15">
        <v>37.430167597765397</v>
      </c>
      <c r="AM35" s="15">
        <v>31.076923076923102</v>
      </c>
      <c r="AN35" s="24">
        <v>39.873417721518997</v>
      </c>
      <c r="AO35" s="38"/>
    </row>
    <row r="36" spans="1:41">
      <c r="A36" s="9" t="s">
        <v>240</v>
      </c>
      <c r="B36" s="36">
        <v>12.500004811256201</v>
      </c>
      <c r="C36" s="32">
        <v>12.991485360659899</v>
      </c>
      <c r="D36" s="32">
        <v>11.8160639555856</v>
      </c>
      <c r="E36" s="32">
        <v>12.399962453495901</v>
      </c>
      <c r="F36" s="15">
        <v>19.7916666666667</v>
      </c>
      <c r="G36" s="15">
        <v>16.417910447761201</v>
      </c>
      <c r="H36" s="20" t="s">
        <v>76</v>
      </c>
      <c r="I36" s="15">
        <v>12.5</v>
      </c>
      <c r="J36" s="15">
        <v>7.4074074074074101</v>
      </c>
      <c r="K36" s="20" t="s">
        <v>76</v>
      </c>
      <c r="L36" s="15">
        <v>6.25</v>
      </c>
      <c r="M36" s="15">
        <v>19.117647058823501</v>
      </c>
      <c r="N36" s="15">
        <v>16.326530612244898</v>
      </c>
      <c r="O36" s="15">
        <v>26.1904761904762</v>
      </c>
      <c r="P36" s="15">
        <v>9.6296296296296298</v>
      </c>
      <c r="Q36" s="15">
        <v>11.6666666666667</v>
      </c>
      <c r="R36" s="15">
        <v>16.4835164835165</v>
      </c>
      <c r="S36" s="15">
        <v>7</v>
      </c>
      <c r="T36" s="15">
        <v>39.393939393939398</v>
      </c>
      <c r="U36" s="15">
        <v>14.893617021276601</v>
      </c>
      <c r="V36" s="20" t="s">
        <v>76</v>
      </c>
      <c r="W36" s="15">
        <v>21.428571428571399</v>
      </c>
      <c r="X36" s="15">
        <v>11.538461538461499</v>
      </c>
      <c r="Y36" s="20" t="s">
        <v>76</v>
      </c>
      <c r="Z36" s="15">
        <v>13.0434782608696</v>
      </c>
      <c r="AA36" s="15">
        <v>13.698630136986299</v>
      </c>
      <c r="AB36" s="15">
        <v>7.6923076923076898</v>
      </c>
      <c r="AC36" s="20" t="s">
        <v>76</v>
      </c>
      <c r="AD36" s="15">
        <v>16.842105263157901</v>
      </c>
      <c r="AE36" s="15">
        <v>14.7540983606557</v>
      </c>
      <c r="AF36" s="15">
        <v>16.2162162162162</v>
      </c>
      <c r="AG36" s="32">
        <v>11.362765672737099</v>
      </c>
      <c r="AH36" s="15">
        <v>5.0335570469798698</v>
      </c>
      <c r="AI36" s="15">
        <v>10.0294985250737</v>
      </c>
      <c r="AJ36" s="15">
        <v>11.5044247787611</v>
      </c>
      <c r="AK36" s="15">
        <v>10.380622837370201</v>
      </c>
      <c r="AL36" s="15">
        <v>12.849162011173201</v>
      </c>
      <c r="AM36" s="15">
        <v>8.6153846153846096</v>
      </c>
      <c r="AN36" s="24">
        <v>19.936708860759499</v>
      </c>
      <c r="AO36" s="38"/>
    </row>
    <row r="37" spans="1:41">
      <c r="A37" s="9" t="s">
        <v>241</v>
      </c>
      <c r="B37" s="36">
        <v>17.716620358467399</v>
      </c>
      <c r="C37" s="32">
        <v>21.201431722856501</v>
      </c>
      <c r="D37" s="32">
        <v>17.985251507505499</v>
      </c>
      <c r="E37" s="32">
        <v>14.219909051031999</v>
      </c>
      <c r="F37" s="15">
        <v>16.6666666666667</v>
      </c>
      <c r="G37" s="15">
        <v>20.8955223880597</v>
      </c>
      <c r="H37" s="15">
        <v>13.4146341463415</v>
      </c>
      <c r="I37" s="20" t="s">
        <v>76</v>
      </c>
      <c r="J37" s="15">
        <v>25.925925925925899</v>
      </c>
      <c r="K37" s="15">
        <v>18</v>
      </c>
      <c r="L37" s="15">
        <v>7.8125</v>
      </c>
      <c r="M37" s="15">
        <v>13.235294117647101</v>
      </c>
      <c r="N37" s="15">
        <v>12.244897959183699</v>
      </c>
      <c r="O37" s="20" t="s">
        <v>76</v>
      </c>
      <c r="P37" s="15">
        <v>10.3703703703704</v>
      </c>
      <c r="Q37" s="15">
        <v>15</v>
      </c>
      <c r="R37" s="15">
        <v>19.780219780219799</v>
      </c>
      <c r="S37" s="15">
        <v>6</v>
      </c>
      <c r="T37" s="20" t="s">
        <v>76</v>
      </c>
      <c r="U37" s="15">
        <v>23.404255319148898</v>
      </c>
      <c r="V37" s="15">
        <v>25.925925925925899</v>
      </c>
      <c r="W37" s="15">
        <v>26.785714285714299</v>
      </c>
      <c r="X37" s="15">
        <v>11.538461538461499</v>
      </c>
      <c r="Y37" s="15">
        <v>12.1951219512195</v>
      </c>
      <c r="Z37" s="15">
        <v>19.565217391304301</v>
      </c>
      <c r="AA37" s="15">
        <v>32.876712328767098</v>
      </c>
      <c r="AB37" s="15">
        <v>12.8205128205128</v>
      </c>
      <c r="AC37" s="15">
        <v>8.6419753086419693</v>
      </c>
      <c r="AD37" s="15">
        <v>10.526315789473699</v>
      </c>
      <c r="AE37" s="20" t="s">
        <v>76</v>
      </c>
      <c r="AF37" s="15">
        <v>27.027027027027</v>
      </c>
      <c r="AG37" s="32">
        <v>20.908402150921699</v>
      </c>
      <c r="AH37" s="15">
        <v>9.0604026845637602</v>
      </c>
      <c r="AI37" s="15">
        <v>18.289085545722699</v>
      </c>
      <c r="AJ37" s="15">
        <v>20.0589970501475</v>
      </c>
      <c r="AK37" s="15">
        <v>17.993079584775099</v>
      </c>
      <c r="AL37" s="15">
        <v>17.877094972066999</v>
      </c>
      <c r="AM37" s="15">
        <v>23.384615384615401</v>
      </c>
      <c r="AN37" s="24">
        <v>35.126582278481003</v>
      </c>
      <c r="AO37" s="38"/>
    </row>
    <row r="38" spans="1:41">
      <c r="A38" s="9" t="s">
        <v>242</v>
      </c>
      <c r="B38" s="36">
        <v>20.203475727794299</v>
      </c>
      <c r="C38" s="32">
        <v>19.798753201118899</v>
      </c>
      <c r="D38" s="32">
        <v>17.796710517251299</v>
      </c>
      <c r="E38" s="32">
        <v>24.2478609363177</v>
      </c>
      <c r="F38" s="15">
        <v>28.125</v>
      </c>
      <c r="G38" s="15">
        <v>23.880597014925399</v>
      </c>
      <c r="H38" s="15">
        <v>14.634146341463399</v>
      </c>
      <c r="I38" s="15">
        <v>12.5</v>
      </c>
      <c r="J38" s="15">
        <v>32.098765432098801</v>
      </c>
      <c r="K38" s="15">
        <v>20</v>
      </c>
      <c r="L38" s="15">
        <v>15.625</v>
      </c>
      <c r="M38" s="15">
        <v>13.235294117647101</v>
      </c>
      <c r="N38" s="15">
        <v>16.326530612244898</v>
      </c>
      <c r="O38" s="15">
        <v>45.238095238095198</v>
      </c>
      <c r="P38" s="15">
        <v>26.6666666666667</v>
      </c>
      <c r="Q38" s="15">
        <v>36.6666666666667</v>
      </c>
      <c r="R38" s="15">
        <v>31.868131868131901</v>
      </c>
      <c r="S38" s="15">
        <v>20</v>
      </c>
      <c r="T38" s="15">
        <v>36.363636363636402</v>
      </c>
      <c r="U38" s="15">
        <v>27.659574468085101</v>
      </c>
      <c r="V38" s="15">
        <v>25.925925925925899</v>
      </c>
      <c r="W38" s="15">
        <v>21.428571428571399</v>
      </c>
      <c r="X38" s="15">
        <v>16.346153846153801</v>
      </c>
      <c r="Y38" s="15">
        <v>29.268292682926798</v>
      </c>
      <c r="Z38" s="15">
        <v>26.086956521739101</v>
      </c>
      <c r="AA38" s="15">
        <v>24.657534246575299</v>
      </c>
      <c r="AB38" s="15">
        <v>30.769230769230798</v>
      </c>
      <c r="AC38" s="15">
        <v>22.2222222222222</v>
      </c>
      <c r="AD38" s="15">
        <v>25.2631578947368</v>
      </c>
      <c r="AE38" s="15">
        <v>19.672131147540998</v>
      </c>
      <c r="AF38" s="15">
        <v>18.918918918918902</v>
      </c>
      <c r="AG38" s="32">
        <v>12.7884849132697</v>
      </c>
      <c r="AH38" s="15">
        <v>12.416107382550299</v>
      </c>
      <c r="AI38" s="15">
        <v>17.4041297935103</v>
      </c>
      <c r="AJ38" s="15">
        <v>10.914454277286101</v>
      </c>
      <c r="AK38" s="15">
        <v>14.1868512110727</v>
      </c>
      <c r="AL38" s="15">
        <v>20.670391061452499</v>
      </c>
      <c r="AM38" s="15">
        <v>12.307692307692299</v>
      </c>
      <c r="AN38" s="24">
        <v>13.924050632911401</v>
      </c>
      <c r="AO38" s="38"/>
    </row>
    <row r="39" spans="1:41">
      <c r="A39" s="9" t="s">
        <v>243</v>
      </c>
      <c r="B39" s="36">
        <v>36.763378806544999</v>
      </c>
      <c r="C39" s="32">
        <v>38.527532598466202</v>
      </c>
      <c r="D39" s="32">
        <v>36.824482159356997</v>
      </c>
      <c r="E39" s="32">
        <v>28.8854815558675</v>
      </c>
      <c r="F39" s="15">
        <v>34.375</v>
      </c>
      <c r="G39" s="15">
        <v>28.358208955223901</v>
      </c>
      <c r="H39" s="15">
        <v>13.4146341463415</v>
      </c>
      <c r="I39" s="15">
        <v>25</v>
      </c>
      <c r="J39" s="15">
        <v>34.567901234567898</v>
      </c>
      <c r="K39" s="15">
        <v>34</v>
      </c>
      <c r="L39" s="15">
        <v>24.21875</v>
      </c>
      <c r="M39" s="15">
        <v>26.470588235294102</v>
      </c>
      <c r="N39" s="15">
        <v>28.571428571428601</v>
      </c>
      <c r="O39" s="15">
        <v>40.476190476190503</v>
      </c>
      <c r="P39" s="15">
        <v>23.703703703703699</v>
      </c>
      <c r="Q39" s="15">
        <v>35</v>
      </c>
      <c r="R39" s="15">
        <v>20.879120879120901</v>
      </c>
      <c r="S39" s="15">
        <v>24</v>
      </c>
      <c r="T39" s="15">
        <v>39.393939393939398</v>
      </c>
      <c r="U39" s="15">
        <v>31.914893617021299</v>
      </c>
      <c r="V39" s="15">
        <v>24.074074074074101</v>
      </c>
      <c r="W39" s="15">
        <v>42.857142857142897</v>
      </c>
      <c r="X39" s="15">
        <v>24.038461538461501</v>
      </c>
      <c r="Y39" s="15">
        <v>34.146341463414601</v>
      </c>
      <c r="Z39" s="15">
        <v>41.304347826087003</v>
      </c>
      <c r="AA39" s="15">
        <v>39.726027397260303</v>
      </c>
      <c r="AB39" s="15">
        <v>33.3333333333333</v>
      </c>
      <c r="AC39" s="15">
        <v>24.6913580246914</v>
      </c>
      <c r="AD39" s="15">
        <v>29.473684210526301</v>
      </c>
      <c r="AE39" s="15">
        <v>31.1475409836066</v>
      </c>
      <c r="AF39" s="15">
        <v>35.135135135135101</v>
      </c>
      <c r="AG39" s="32">
        <v>42.987771419348398</v>
      </c>
      <c r="AH39" s="15">
        <v>34.5637583892617</v>
      </c>
      <c r="AI39" s="15">
        <v>38.6430678466077</v>
      </c>
      <c r="AJ39" s="15">
        <v>37.1681415929203</v>
      </c>
      <c r="AK39" s="15">
        <v>38.754325259515603</v>
      </c>
      <c r="AL39" s="15">
        <v>54.189944134078203</v>
      </c>
      <c r="AM39" s="15">
        <v>42.461538461538503</v>
      </c>
      <c r="AN39" s="24">
        <v>51.5822784810127</v>
      </c>
      <c r="AO39" s="38"/>
    </row>
    <row r="40" spans="1:41">
      <c r="A40" s="9" t="s">
        <v>244</v>
      </c>
      <c r="B40" s="36">
        <v>13.0698739094644</v>
      </c>
      <c r="C40" s="32">
        <v>13.159116124280301</v>
      </c>
      <c r="D40" s="32">
        <v>11.9010624817871</v>
      </c>
      <c r="E40" s="32">
        <v>14.395876648110599</v>
      </c>
      <c r="F40" s="15">
        <v>15.625</v>
      </c>
      <c r="G40" s="15">
        <v>10.4477611940298</v>
      </c>
      <c r="H40" s="15">
        <v>10.975609756097599</v>
      </c>
      <c r="I40" s="15">
        <v>17.5</v>
      </c>
      <c r="J40" s="15">
        <v>20.987654320987701</v>
      </c>
      <c r="K40" s="15">
        <v>20</v>
      </c>
      <c r="L40" s="15">
        <v>10.9375</v>
      </c>
      <c r="M40" s="15">
        <v>10.294117647058799</v>
      </c>
      <c r="N40" s="15">
        <v>22.4489795918367</v>
      </c>
      <c r="O40" s="15">
        <v>14.285714285714301</v>
      </c>
      <c r="P40" s="15">
        <v>11.1111111111111</v>
      </c>
      <c r="Q40" s="15">
        <v>21.6666666666667</v>
      </c>
      <c r="R40" s="15">
        <v>16.4835164835165</v>
      </c>
      <c r="S40" s="15">
        <v>11</v>
      </c>
      <c r="T40" s="20" t="s">
        <v>76</v>
      </c>
      <c r="U40" s="15">
        <v>25.531914893617</v>
      </c>
      <c r="V40" s="15">
        <v>11.1111111111111</v>
      </c>
      <c r="W40" s="15">
        <v>19.6428571428571</v>
      </c>
      <c r="X40" s="15">
        <v>17.307692307692299</v>
      </c>
      <c r="Y40" s="15">
        <v>12.1951219512195</v>
      </c>
      <c r="Z40" s="15">
        <v>19.565217391304301</v>
      </c>
      <c r="AA40" s="15">
        <v>17.808219178082201</v>
      </c>
      <c r="AB40" s="15">
        <v>21.794871794871799</v>
      </c>
      <c r="AC40" s="15">
        <v>12.3456790123457</v>
      </c>
      <c r="AD40" s="15">
        <v>11.578947368421099</v>
      </c>
      <c r="AE40" s="15">
        <v>16.393442622950801</v>
      </c>
      <c r="AF40" s="20" t="s">
        <v>76</v>
      </c>
      <c r="AG40" s="32">
        <v>9.9642618534790994</v>
      </c>
      <c r="AH40" s="15">
        <v>7.3825503355704702</v>
      </c>
      <c r="AI40" s="15">
        <v>10.324483775811199</v>
      </c>
      <c r="AJ40" s="15">
        <v>10.914454277286101</v>
      </c>
      <c r="AK40" s="15">
        <v>12.1107266435986</v>
      </c>
      <c r="AL40" s="15">
        <v>17.318435754189899</v>
      </c>
      <c r="AM40" s="15">
        <v>9.8461538461538503</v>
      </c>
      <c r="AN40" s="24">
        <v>10.4430379746835</v>
      </c>
      <c r="AO40" s="38"/>
    </row>
    <row r="41" spans="1:41">
      <c r="A41" s="9" t="s">
        <v>245</v>
      </c>
      <c r="B41" s="36">
        <v>20.718278780622001</v>
      </c>
      <c r="C41" s="32">
        <v>21.4215543817485</v>
      </c>
      <c r="D41" s="32">
        <v>18.957374560935399</v>
      </c>
      <c r="E41" s="32">
        <v>15.9994127842583</v>
      </c>
      <c r="F41" s="15">
        <v>16.6666666666667</v>
      </c>
      <c r="G41" s="15">
        <v>17.910447761194</v>
      </c>
      <c r="H41" s="20" t="s">
        <v>76</v>
      </c>
      <c r="I41" s="15">
        <v>35</v>
      </c>
      <c r="J41" s="15">
        <v>23.456790123456798</v>
      </c>
      <c r="K41" s="15">
        <v>24</v>
      </c>
      <c r="L41" s="15">
        <v>15.625</v>
      </c>
      <c r="M41" s="15">
        <v>11.764705882352899</v>
      </c>
      <c r="N41" s="15">
        <v>12.244897959183699</v>
      </c>
      <c r="O41" s="15">
        <v>19.047619047619001</v>
      </c>
      <c r="P41" s="15">
        <v>17.7777777777778</v>
      </c>
      <c r="Q41" s="15">
        <v>13.3333333333333</v>
      </c>
      <c r="R41" s="15">
        <v>17.582417582417602</v>
      </c>
      <c r="S41" s="15">
        <v>16</v>
      </c>
      <c r="T41" s="15">
        <v>21.2121212121212</v>
      </c>
      <c r="U41" s="15">
        <v>12.7659574468085</v>
      </c>
      <c r="V41" s="20" t="s">
        <v>76</v>
      </c>
      <c r="W41" s="15">
        <v>23.214285714285701</v>
      </c>
      <c r="X41" s="15">
        <v>12.5</v>
      </c>
      <c r="Y41" s="15">
        <v>12.1951219512195</v>
      </c>
      <c r="Z41" s="15">
        <v>17.3913043478261</v>
      </c>
      <c r="AA41" s="15">
        <v>21.917808219178099</v>
      </c>
      <c r="AB41" s="15">
        <v>24.3589743589744</v>
      </c>
      <c r="AC41" s="15">
        <v>7.4074074074074101</v>
      </c>
      <c r="AD41" s="15">
        <v>14.7368421052632</v>
      </c>
      <c r="AE41" s="15">
        <v>18.032786885245901</v>
      </c>
      <c r="AF41" s="15">
        <v>21.6216216216216</v>
      </c>
      <c r="AG41" s="32">
        <v>21.253730860700099</v>
      </c>
      <c r="AH41" s="15">
        <v>12.416107382550299</v>
      </c>
      <c r="AI41" s="15">
        <v>20.648967551622398</v>
      </c>
      <c r="AJ41" s="15">
        <v>25.073746312684399</v>
      </c>
      <c r="AK41" s="15">
        <v>16.955017301038101</v>
      </c>
      <c r="AL41" s="15">
        <v>25.698324022346402</v>
      </c>
      <c r="AM41" s="15">
        <v>17.538461538461501</v>
      </c>
      <c r="AN41" s="24">
        <v>28.7974683544304</v>
      </c>
      <c r="AO41" s="38"/>
    </row>
    <row r="42" spans="1:41">
      <c r="A42" s="9" t="s">
        <v>246</v>
      </c>
      <c r="B42" s="36">
        <v>5.9903219742511196</v>
      </c>
      <c r="C42" s="32">
        <v>5.7050324431383803</v>
      </c>
      <c r="D42" s="32">
        <v>4.2494617610950902</v>
      </c>
      <c r="E42" s="32">
        <v>5.7017475370709096</v>
      </c>
      <c r="F42" s="15">
        <v>6.25</v>
      </c>
      <c r="G42" s="20" t="s">
        <v>76</v>
      </c>
      <c r="H42" s="20" t="s">
        <v>76</v>
      </c>
      <c r="I42" s="20" t="s">
        <v>76</v>
      </c>
      <c r="J42" s="15">
        <v>11.1111111111111</v>
      </c>
      <c r="K42" s="15">
        <v>12</v>
      </c>
      <c r="L42" s="20" t="s">
        <v>76</v>
      </c>
      <c r="M42" s="20" t="s">
        <v>76</v>
      </c>
      <c r="N42" s="20" t="s">
        <v>76</v>
      </c>
      <c r="O42" s="15">
        <v>11.9047619047619</v>
      </c>
      <c r="P42" s="15">
        <v>3.7037037037037002</v>
      </c>
      <c r="Q42" s="20" t="s">
        <v>76</v>
      </c>
      <c r="R42" s="20" t="s">
        <v>76</v>
      </c>
      <c r="S42" s="15">
        <v>5</v>
      </c>
      <c r="T42" s="20" t="s">
        <v>76</v>
      </c>
      <c r="U42" s="15">
        <v>10.6382978723404</v>
      </c>
      <c r="V42" s="20" t="s">
        <v>76</v>
      </c>
      <c r="W42" s="20" t="s">
        <v>76</v>
      </c>
      <c r="X42" s="15">
        <v>5.7692307692307701</v>
      </c>
      <c r="Y42" s="20" t="s">
        <v>76</v>
      </c>
      <c r="Z42" s="15">
        <v>10.869565217391299</v>
      </c>
      <c r="AA42" s="15">
        <v>24.657534246575299</v>
      </c>
      <c r="AB42" s="20" t="s">
        <v>76</v>
      </c>
      <c r="AC42" s="20" t="s">
        <v>76</v>
      </c>
      <c r="AD42" s="20" t="s">
        <v>76</v>
      </c>
      <c r="AE42" s="20" t="s">
        <v>76</v>
      </c>
      <c r="AF42" s="20" t="s">
        <v>76</v>
      </c>
      <c r="AG42" s="32">
        <v>3.1220078443419101</v>
      </c>
      <c r="AH42" s="15">
        <v>2.6845637583892601</v>
      </c>
      <c r="AI42" s="15">
        <v>3.24483775811209</v>
      </c>
      <c r="AJ42" s="15">
        <v>4.1297935103244798</v>
      </c>
      <c r="AK42" s="15">
        <v>2.4221453287197199</v>
      </c>
      <c r="AL42" s="20" t="s">
        <v>76</v>
      </c>
      <c r="AM42" s="15">
        <v>3.6923076923076898</v>
      </c>
      <c r="AN42" s="24">
        <v>6.64556962025316</v>
      </c>
      <c r="AO42" s="38"/>
    </row>
    <row r="43" spans="1:41">
      <c r="A43" s="9" t="s">
        <v>247</v>
      </c>
      <c r="B43" s="36">
        <v>20.595175469218098</v>
      </c>
      <c r="C43" s="32">
        <v>21.4730847167516</v>
      </c>
      <c r="D43" s="32">
        <v>20.9648955563013</v>
      </c>
      <c r="E43" s="32">
        <v>19.037058266172899</v>
      </c>
      <c r="F43" s="15">
        <v>20.8333333333333</v>
      </c>
      <c r="G43" s="15">
        <v>17.910447761194</v>
      </c>
      <c r="H43" s="15">
        <v>9.7560975609756095</v>
      </c>
      <c r="I43" s="15">
        <v>15</v>
      </c>
      <c r="J43" s="15">
        <v>17.283950617283899</v>
      </c>
      <c r="K43" s="15">
        <v>18</v>
      </c>
      <c r="L43" s="15">
        <v>14.0625</v>
      </c>
      <c r="M43" s="15">
        <v>23.529411764705898</v>
      </c>
      <c r="N43" s="15">
        <v>16.326530612244898</v>
      </c>
      <c r="O43" s="15">
        <v>42.857142857142897</v>
      </c>
      <c r="P43" s="15">
        <v>17.037037037036999</v>
      </c>
      <c r="Q43" s="15">
        <v>16.6666666666667</v>
      </c>
      <c r="R43" s="15">
        <v>19.780219780219799</v>
      </c>
      <c r="S43" s="15">
        <v>20</v>
      </c>
      <c r="T43" s="15">
        <v>51.515151515151501</v>
      </c>
      <c r="U43" s="15">
        <v>25.531914893617</v>
      </c>
      <c r="V43" s="15">
        <v>9.2592592592592595</v>
      </c>
      <c r="W43" s="15">
        <v>25</v>
      </c>
      <c r="X43" s="15">
        <v>5.7692307692307701</v>
      </c>
      <c r="Y43" s="15">
        <v>19.512195121951201</v>
      </c>
      <c r="Z43" s="15">
        <v>30.434782608695699</v>
      </c>
      <c r="AA43" s="15">
        <v>13.698630136986299</v>
      </c>
      <c r="AB43" s="15">
        <v>26.923076923076898</v>
      </c>
      <c r="AC43" s="15">
        <v>9.8765432098765409</v>
      </c>
      <c r="AD43" s="15">
        <v>22.105263157894701</v>
      </c>
      <c r="AE43" s="15">
        <v>14.7540983606557</v>
      </c>
      <c r="AF43" s="15">
        <v>24.324324324324301</v>
      </c>
      <c r="AG43" s="32">
        <v>22.461534674836798</v>
      </c>
      <c r="AH43" s="15">
        <v>17.114093959731498</v>
      </c>
      <c r="AI43" s="15">
        <v>20.648967551622398</v>
      </c>
      <c r="AJ43" s="15">
        <v>19.174041297935101</v>
      </c>
      <c r="AK43" s="15">
        <v>20.0692041522491</v>
      </c>
      <c r="AL43" s="15">
        <v>29.050279329608902</v>
      </c>
      <c r="AM43" s="15">
        <v>18.769230769230798</v>
      </c>
      <c r="AN43" s="24">
        <v>28.164556962025301</v>
      </c>
      <c r="AO43" s="38"/>
    </row>
    <row r="44" spans="1:41">
      <c r="A44" s="9" t="s">
        <v>248</v>
      </c>
      <c r="B44" s="36">
        <v>58.303930767089803</v>
      </c>
      <c r="C44" s="32">
        <v>59.419181024523098</v>
      </c>
      <c r="D44" s="32">
        <v>55.9655827577105</v>
      </c>
      <c r="E44" s="32">
        <v>50.900922486616899</v>
      </c>
      <c r="F44" s="15">
        <v>62.5</v>
      </c>
      <c r="G44" s="15">
        <v>56.716417910447802</v>
      </c>
      <c r="H44" s="15">
        <v>32.9268292682927</v>
      </c>
      <c r="I44" s="15">
        <v>52.5</v>
      </c>
      <c r="J44" s="15">
        <v>51.851851851851798</v>
      </c>
      <c r="K44" s="15">
        <v>46</v>
      </c>
      <c r="L44" s="15">
        <v>47.65625</v>
      </c>
      <c r="M44" s="15">
        <v>50</v>
      </c>
      <c r="N44" s="15">
        <v>40.816326530612201</v>
      </c>
      <c r="O44" s="15">
        <v>64.285714285714306</v>
      </c>
      <c r="P44" s="15">
        <v>48.148148148148103</v>
      </c>
      <c r="Q44" s="15">
        <v>58.3333333333333</v>
      </c>
      <c r="R44" s="15">
        <v>54.945054945054899</v>
      </c>
      <c r="S44" s="15">
        <v>44</v>
      </c>
      <c r="T44" s="15">
        <v>60.606060606060602</v>
      </c>
      <c r="U44" s="15">
        <v>70.212765957446805</v>
      </c>
      <c r="V44" s="15">
        <v>44.4444444444444</v>
      </c>
      <c r="W44" s="15">
        <v>57.142857142857103</v>
      </c>
      <c r="X44" s="15">
        <v>46.153846153846203</v>
      </c>
      <c r="Y44" s="15">
        <v>39.024390243902403</v>
      </c>
      <c r="Z44" s="15">
        <v>63.043478260869598</v>
      </c>
      <c r="AA44" s="15">
        <v>56.164383561643803</v>
      </c>
      <c r="AB44" s="15">
        <v>60.256410256410298</v>
      </c>
      <c r="AC44" s="15">
        <v>39.506172839506199</v>
      </c>
      <c r="AD44" s="15">
        <v>47.368421052631597</v>
      </c>
      <c r="AE44" s="15">
        <v>55.737704918032797</v>
      </c>
      <c r="AF44" s="15">
        <v>48.648648648648702</v>
      </c>
      <c r="AG44" s="32">
        <v>59.897433605613998</v>
      </c>
      <c r="AH44" s="15">
        <v>52.684563758389302</v>
      </c>
      <c r="AI44" s="15">
        <v>60.766961651917399</v>
      </c>
      <c r="AJ44" s="15">
        <v>53.687315634218301</v>
      </c>
      <c r="AK44" s="15">
        <v>57.093425605536297</v>
      </c>
      <c r="AL44" s="15">
        <v>72.067039106145202</v>
      </c>
      <c r="AM44" s="15">
        <v>62.769230769230802</v>
      </c>
      <c r="AN44" s="24">
        <v>61.3924050632911</v>
      </c>
      <c r="AO44" s="38"/>
    </row>
    <row r="45" spans="1:41">
      <c r="A45" s="9" t="s">
        <v>249</v>
      </c>
      <c r="B45" s="36">
        <v>4.4190228052063603</v>
      </c>
      <c r="C45" s="32">
        <v>4.3115767098958999</v>
      </c>
      <c r="D45" s="32">
        <v>3.3860709555910402</v>
      </c>
      <c r="E45" s="32">
        <v>3.9862014810975999</v>
      </c>
      <c r="F45" s="20" t="s">
        <v>76</v>
      </c>
      <c r="G45" s="20" t="s">
        <v>76</v>
      </c>
      <c r="H45" s="20" t="s">
        <v>76</v>
      </c>
      <c r="I45" s="20" t="s">
        <v>76</v>
      </c>
      <c r="J45" s="15">
        <v>7.4074074074074101</v>
      </c>
      <c r="K45" s="20" t="s">
        <v>76</v>
      </c>
      <c r="L45" s="20" t="s">
        <v>76</v>
      </c>
      <c r="M45" s="20" t="s">
        <v>76</v>
      </c>
      <c r="N45" s="20" t="s">
        <v>76</v>
      </c>
      <c r="O45" s="20" t="s">
        <v>76</v>
      </c>
      <c r="P45" s="20" t="s">
        <v>76</v>
      </c>
      <c r="Q45" s="20" t="s">
        <v>76</v>
      </c>
      <c r="R45" s="15">
        <v>5.4945054945054901</v>
      </c>
      <c r="S45" s="20" t="s">
        <v>76</v>
      </c>
      <c r="T45" s="20" t="s">
        <v>76</v>
      </c>
      <c r="U45" s="20" t="s">
        <v>76</v>
      </c>
      <c r="V45" s="20" t="s">
        <v>76</v>
      </c>
      <c r="W45" s="20" t="s">
        <v>76</v>
      </c>
      <c r="X45" s="20" t="s">
        <v>76</v>
      </c>
      <c r="Y45" s="20" t="s">
        <v>76</v>
      </c>
      <c r="Z45" s="20" t="s">
        <v>76</v>
      </c>
      <c r="AA45" s="20" t="s">
        <v>76</v>
      </c>
      <c r="AB45" s="15">
        <v>7.6923076923076898</v>
      </c>
      <c r="AC45" s="20" t="s">
        <v>76</v>
      </c>
      <c r="AD45" s="15">
        <v>6.3157894736842097</v>
      </c>
      <c r="AE45" s="20" t="s">
        <v>76</v>
      </c>
      <c r="AF45" s="20" t="s">
        <v>76</v>
      </c>
      <c r="AG45" s="32">
        <v>2.92017125269621</v>
      </c>
      <c r="AH45" s="20" t="s">
        <v>76</v>
      </c>
      <c r="AI45" s="15">
        <v>4.71976401179941</v>
      </c>
      <c r="AJ45" s="15">
        <v>2.3598820058997001</v>
      </c>
      <c r="AK45" s="15">
        <v>2.4221453287197199</v>
      </c>
      <c r="AL45" s="15">
        <v>5.5865921787709496</v>
      </c>
      <c r="AM45" s="15">
        <v>2.1538461538461502</v>
      </c>
      <c r="AN45" s="24">
        <v>4.43037974683544</v>
      </c>
      <c r="AO45" s="38"/>
    </row>
    <row r="46" spans="1:41">
      <c r="A46" s="9" t="s">
        <v>250</v>
      </c>
      <c r="B46" s="36">
        <v>19.994187517089301</v>
      </c>
      <c r="C46" s="32">
        <v>20.9360092752542</v>
      </c>
      <c r="D46" s="32">
        <v>18.2773371207293</v>
      </c>
      <c r="E46" s="32">
        <v>21.373569394021398</v>
      </c>
      <c r="F46" s="15">
        <v>26.0416666666667</v>
      </c>
      <c r="G46" s="15">
        <v>13.4328358208955</v>
      </c>
      <c r="H46" s="15">
        <v>18.292682926829301</v>
      </c>
      <c r="I46" s="15">
        <v>20</v>
      </c>
      <c r="J46" s="15">
        <v>19.7530864197531</v>
      </c>
      <c r="K46" s="15">
        <v>22</v>
      </c>
      <c r="L46" s="15">
        <v>15.625</v>
      </c>
      <c r="M46" s="15">
        <v>14.705882352941201</v>
      </c>
      <c r="N46" s="15">
        <v>26.530612244897998</v>
      </c>
      <c r="O46" s="15">
        <v>30.952380952380999</v>
      </c>
      <c r="P46" s="15">
        <v>17.7777777777778</v>
      </c>
      <c r="Q46" s="15">
        <v>23.3333333333333</v>
      </c>
      <c r="R46" s="15">
        <v>19.780219780219799</v>
      </c>
      <c r="S46" s="15">
        <v>16</v>
      </c>
      <c r="T46" s="15">
        <v>27.272727272727298</v>
      </c>
      <c r="U46" s="15">
        <v>38.297872340425499</v>
      </c>
      <c r="V46" s="15">
        <v>27.7777777777778</v>
      </c>
      <c r="W46" s="15">
        <v>30.3571428571429</v>
      </c>
      <c r="X46" s="15">
        <v>21.153846153846199</v>
      </c>
      <c r="Y46" s="15">
        <v>24.390243902439</v>
      </c>
      <c r="Z46" s="15">
        <v>21.739130434782599</v>
      </c>
      <c r="AA46" s="15">
        <v>23.287671232876701</v>
      </c>
      <c r="AB46" s="15">
        <v>28.205128205128201</v>
      </c>
      <c r="AC46" s="15">
        <v>16.049382716049401</v>
      </c>
      <c r="AD46" s="15">
        <v>18.947368421052602</v>
      </c>
      <c r="AE46" s="15">
        <v>32.786885245901601</v>
      </c>
      <c r="AF46" s="20" t="s">
        <v>76</v>
      </c>
      <c r="AG46" s="32">
        <v>15.873637200611901</v>
      </c>
      <c r="AH46" s="15">
        <v>14.093959731543601</v>
      </c>
      <c r="AI46" s="15">
        <v>18.5840707964602</v>
      </c>
      <c r="AJ46" s="15">
        <v>14.454277286135699</v>
      </c>
      <c r="AK46" s="15">
        <v>16.2629757785467</v>
      </c>
      <c r="AL46" s="15">
        <v>26.256983240223501</v>
      </c>
      <c r="AM46" s="15">
        <v>13.538461538461499</v>
      </c>
      <c r="AN46" s="24">
        <v>20.253164556961998</v>
      </c>
      <c r="AO46" s="38"/>
    </row>
    <row r="47" spans="1:41">
      <c r="A47" s="9" t="s">
        <v>251</v>
      </c>
      <c r="B47" s="36">
        <v>6.7062197540207196</v>
      </c>
      <c r="C47" s="32">
        <v>7.0581843384543204</v>
      </c>
      <c r="D47" s="32">
        <v>5.8074730547528697</v>
      </c>
      <c r="E47" s="32">
        <v>5.13027569706846</v>
      </c>
      <c r="F47" s="20" t="s">
        <v>76</v>
      </c>
      <c r="G47" s="20" t="s">
        <v>76</v>
      </c>
      <c r="H47" s="15">
        <v>7.3170731707317103</v>
      </c>
      <c r="I47" s="20" t="s">
        <v>76</v>
      </c>
      <c r="J47" s="15">
        <v>9.8765432098765409</v>
      </c>
      <c r="K47" s="20" t="s">
        <v>76</v>
      </c>
      <c r="L47" s="15">
        <v>4.6875</v>
      </c>
      <c r="M47" s="20" t="s">
        <v>76</v>
      </c>
      <c r="N47" s="15">
        <v>12.244897959183699</v>
      </c>
      <c r="O47" s="20" t="s">
        <v>76</v>
      </c>
      <c r="P47" s="20" t="s">
        <v>76</v>
      </c>
      <c r="Q47" s="15">
        <v>10</v>
      </c>
      <c r="R47" s="20" t="s">
        <v>76</v>
      </c>
      <c r="S47" s="20" t="s">
        <v>76</v>
      </c>
      <c r="T47" s="20" t="s">
        <v>76</v>
      </c>
      <c r="U47" s="20" t="s">
        <v>76</v>
      </c>
      <c r="V47" s="15">
        <v>11.1111111111111</v>
      </c>
      <c r="W47" s="20" t="s">
        <v>76</v>
      </c>
      <c r="X47" s="20" t="s">
        <v>76</v>
      </c>
      <c r="Y47" s="20" t="s">
        <v>76</v>
      </c>
      <c r="Z47" s="20" t="s">
        <v>76</v>
      </c>
      <c r="AA47" s="15">
        <v>9.5890410958904102</v>
      </c>
      <c r="AB47" s="20" t="s">
        <v>76</v>
      </c>
      <c r="AC47" s="20" t="s">
        <v>76</v>
      </c>
      <c r="AD47" s="20" t="s">
        <v>76</v>
      </c>
      <c r="AE47" s="20" t="s">
        <v>76</v>
      </c>
      <c r="AF47" s="20" t="s">
        <v>76</v>
      </c>
      <c r="AG47" s="32">
        <v>6.3332020992469999</v>
      </c>
      <c r="AH47" s="15">
        <v>7.7181208053691304</v>
      </c>
      <c r="AI47" s="15">
        <v>5.0147492625368697</v>
      </c>
      <c r="AJ47" s="15">
        <v>4.71976401179941</v>
      </c>
      <c r="AK47" s="15">
        <v>4.4982698961937704</v>
      </c>
      <c r="AL47" s="15">
        <v>5.5865921787709496</v>
      </c>
      <c r="AM47" s="15">
        <v>5.5384615384615401</v>
      </c>
      <c r="AN47" s="24">
        <v>7.9113924050632898</v>
      </c>
      <c r="AO47" s="38"/>
    </row>
    <row r="48" spans="1:41">
      <c r="A48" s="9" t="s">
        <v>252</v>
      </c>
      <c r="B48" s="36">
        <v>6.6293136037403899</v>
      </c>
      <c r="C48" s="32">
        <v>6.35872873009499</v>
      </c>
      <c r="D48" s="32">
        <v>4.2131282429111101</v>
      </c>
      <c r="E48" s="32">
        <v>4.3830487754115897</v>
      </c>
      <c r="F48" s="15">
        <v>10.4166666666667</v>
      </c>
      <c r="G48" s="20" t="s">
        <v>76</v>
      </c>
      <c r="H48" s="20" t="s">
        <v>76</v>
      </c>
      <c r="I48" s="20" t="s">
        <v>76</v>
      </c>
      <c r="J48" s="15">
        <v>6.1728395061728403</v>
      </c>
      <c r="K48" s="20" t="s">
        <v>76</v>
      </c>
      <c r="L48" s="15">
        <v>4.6875</v>
      </c>
      <c r="M48" s="15">
        <v>7.3529411764705896</v>
      </c>
      <c r="N48" s="20" t="s">
        <v>76</v>
      </c>
      <c r="O48" s="15">
        <v>11.9047619047619</v>
      </c>
      <c r="P48" s="15">
        <v>5.1851851851851896</v>
      </c>
      <c r="Q48" s="20" t="s">
        <v>76</v>
      </c>
      <c r="R48" s="20" t="s">
        <v>76</v>
      </c>
      <c r="S48" s="20" t="s">
        <v>76</v>
      </c>
      <c r="T48" s="20" t="s">
        <v>76</v>
      </c>
      <c r="U48" s="20" t="s">
        <v>76</v>
      </c>
      <c r="V48" s="20" t="s">
        <v>76</v>
      </c>
      <c r="W48" s="15">
        <v>10.714285714285699</v>
      </c>
      <c r="X48" s="20" t="s">
        <v>76</v>
      </c>
      <c r="Y48" s="20" t="s">
        <v>76</v>
      </c>
      <c r="Z48" s="15">
        <v>10.869565217391299</v>
      </c>
      <c r="AA48" s="20" t="s">
        <v>76</v>
      </c>
      <c r="AB48" s="20" t="s">
        <v>76</v>
      </c>
      <c r="AC48" s="20" t="s">
        <v>76</v>
      </c>
      <c r="AD48" s="20" t="s">
        <v>76</v>
      </c>
      <c r="AE48" s="20" t="s">
        <v>76</v>
      </c>
      <c r="AF48" s="20" t="s">
        <v>76</v>
      </c>
      <c r="AG48" s="32">
        <v>4.08121373057919</v>
      </c>
      <c r="AH48" s="15">
        <v>4.0268456375838904</v>
      </c>
      <c r="AI48" s="15">
        <v>5.3097345132743401</v>
      </c>
      <c r="AJ48" s="15">
        <v>6.4896755162241897</v>
      </c>
      <c r="AK48" s="15">
        <v>1.73010380622837</v>
      </c>
      <c r="AL48" s="20" t="s">
        <v>76</v>
      </c>
      <c r="AM48" s="15">
        <v>3.3846153846153801</v>
      </c>
      <c r="AN48" s="24">
        <v>7.59493670886076</v>
      </c>
      <c r="AO48" s="38"/>
    </row>
    <row r="49" spans="1:41">
      <c r="A49" s="9" t="s">
        <v>253</v>
      </c>
      <c r="B49" s="36">
        <v>11.0892416504407</v>
      </c>
      <c r="C49" s="32">
        <v>14.7415949881649</v>
      </c>
      <c r="D49" s="32">
        <v>12.120824580967501</v>
      </c>
      <c r="E49" s="32">
        <v>10.347492094510899</v>
      </c>
      <c r="F49" s="15">
        <v>14.5833333333333</v>
      </c>
      <c r="G49" s="15">
        <v>22.388059701492502</v>
      </c>
      <c r="H49" s="15">
        <v>7.3170731707317103</v>
      </c>
      <c r="I49" s="20" t="s">
        <v>76</v>
      </c>
      <c r="J49" s="15">
        <v>12.3456790123457</v>
      </c>
      <c r="K49" s="15">
        <v>16</v>
      </c>
      <c r="L49" s="15">
        <v>7.03125</v>
      </c>
      <c r="M49" s="15">
        <v>11.764705882352899</v>
      </c>
      <c r="N49" s="20" t="s">
        <v>76</v>
      </c>
      <c r="O49" s="15">
        <v>14.285714285714301</v>
      </c>
      <c r="P49" s="15">
        <v>7.4074074074074101</v>
      </c>
      <c r="Q49" s="15">
        <v>11.6666666666667</v>
      </c>
      <c r="R49" s="15">
        <v>10.989010989011</v>
      </c>
      <c r="S49" s="20" t="s">
        <v>76</v>
      </c>
      <c r="T49" s="20" t="s">
        <v>76</v>
      </c>
      <c r="U49" s="15">
        <v>17.021276595744698</v>
      </c>
      <c r="V49" s="15">
        <v>14.814814814814801</v>
      </c>
      <c r="W49" s="15">
        <v>12.5</v>
      </c>
      <c r="X49" s="15">
        <v>8.6538461538461497</v>
      </c>
      <c r="Y49" s="20" t="s">
        <v>76</v>
      </c>
      <c r="Z49" s="15">
        <v>15.2173913043478</v>
      </c>
      <c r="AA49" s="15">
        <v>27.397260273972599</v>
      </c>
      <c r="AB49" s="15">
        <v>12.8205128205128</v>
      </c>
      <c r="AC49" s="20" t="s">
        <v>76</v>
      </c>
      <c r="AD49" s="20" t="s">
        <v>76</v>
      </c>
      <c r="AE49" s="15">
        <v>14.7540983606557</v>
      </c>
      <c r="AF49" s="20" t="s">
        <v>76</v>
      </c>
      <c r="AG49" s="32">
        <v>13.497516889489001</v>
      </c>
      <c r="AH49" s="15">
        <v>9.7315436241610698</v>
      </c>
      <c r="AI49" s="15">
        <v>12.979351032448401</v>
      </c>
      <c r="AJ49" s="15">
        <v>12.389380530973501</v>
      </c>
      <c r="AK49" s="15">
        <v>8.6505190311418705</v>
      </c>
      <c r="AL49" s="15">
        <v>18.435754189944099</v>
      </c>
      <c r="AM49" s="15">
        <v>12.9230769230769</v>
      </c>
      <c r="AN49" s="24">
        <v>19.3037974683544</v>
      </c>
      <c r="AO49" s="38"/>
    </row>
    <row r="50" spans="1:41">
      <c r="A50" s="9" t="s">
        <v>254</v>
      </c>
      <c r="B50" s="36">
        <v>40.991221992550599</v>
      </c>
      <c r="C50" s="32">
        <v>42.1056149341034</v>
      </c>
      <c r="D50" s="32">
        <v>37.819541654114801</v>
      </c>
      <c r="E50" s="32">
        <v>35.554364681683303</v>
      </c>
      <c r="F50" s="15">
        <v>48.9583333333333</v>
      </c>
      <c r="G50" s="15">
        <v>35.820895522388099</v>
      </c>
      <c r="H50" s="15">
        <v>21.951219512195099</v>
      </c>
      <c r="I50" s="15">
        <v>30</v>
      </c>
      <c r="J50" s="15">
        <v>48.148148148148103</v>
      </c>
      <c r="K50" s="15">
        <v>30</v>
      </c>
      <c r="L50" s="15">
        <v>26.5625</v>
      </c>
      <c r="M50" s="15">
        <v>38.235294117647101</v>
      </c>
      <c r="N50" s="15">
        <v>26.530612244897998</v>
      </c>
      <c r="O50" s="15">
        <v>47.619047619047599</v>
      </c>
      <c r="P50" s="15">
        <v>39.259259259259302</v>
      </c>
      <c r="Q50" s="15">
        <v>38.3333333333333</v>
      </c>
      <c r="R50" s="15">
        <v>50.549450549450498</v>
      </c>
      <c r="S50" s="15">
        <v>36</v>
      </c>
      <c r="T50" s="15">
        <v>45.454545454545503</v>
      </c>
      <c r="U50" s="15">
        <v>29.787234042553202</v>
      </c>
      <c r="V50" s="15">
        <v>22.2222222222222</v>
      </c>
      <c r="W50" s="15">
        <v>41.071428571428598</v>
      </c>
      <c r="X50" s="15">
        <v>16.346153846153801</v>
      </c>
      <c r="Y50" s="15">
        <v>34.146341463414601</v>
      </c>
      <c r="Z50" s="15">
        <v>52.173913043478301</v>
      </c>
      <c r="AA50" s="15">
        <v>32.876712328767098</v>
      </c>
      <c r="AB50" s="15">
        <v>43.589743589743598</v>
      </c>
      <c r="AC50" s="15">
        <v>22.2222222222222</v>
      </c>
      <c r="AD50" s="15">
        <v>34.7368421052632</v>
      </c>
      <c r="AE50" s="15">
        <v>40.983606557377101</v>
      </c>
      <c r="AF50" s="15">
        <v>45.945945945945901</v>
      </c>
      <c r="AG50" s="32">
        <v>39.578067897333597</v>
      </c>
      <c r="AH50" s="15">
        <v>36.241610738254998</v>
      </c>
      <c r="AI50" s="15">
        <v>39.823008849557503</v>
      </c>
      <c r="AJ50" s="15">
        <v>39.233038348082601</v>
      </c>
      <c r="AK50" s="15">
        <v>41.522491349481001</v>
      </c>
      <c r="AL50" s="15">
        <v>46.368715083798897</v>
      </c>
      <c r="AM50" s="15">
        <v>39.692307692307701</v>
      </c>
      <c r="AN50" s="24">
        <v>43.9873417721519</v>
      </c>
      <c r="AO50" s="38"/>
    </row>
    <row r="51" spans="1:41">
      <c r="A51" s="9" t="s">
        <v>255</v>
      </c>
      <c r="B51" s="36">
        <v>29.652717103845799</v>
      </c>
      <c r="C51" s="32">
        <v>31.028258889026102</v>
      </c>
      <c r="D51" s="32">
        <v>27.6769549116717</v>
      </c>
      <c r="E51" s="32">
        <v>22.701891863832799</v>
      </c>
      <c r="F51" s="15">
        <v>27.0833333333333</v>
      </c>
      <c r="G51" s="15">
        <v>25.373134328358201</v>
      </c>
      <c r="H51" s="15">
        <v>7.3170731707317103</v>
      </c>
      <c r="I51" s="15">
        <v>22.5</v>
      </c>
      <c r="J51" s="15">
        <v>29.629629629629601</v>
      </c>
      <c r="K51" s="15">
        <v>30</v>
      </c>
      <c r="L51" s="15">
        <v>17.1875</v>
      </c>
      <c r="M51" s="15">
        <v>23.529411764705898</v>
      </c>
      <c r="N51" s="15">
        <v>28.571428571428601</v>
      </c>
      <c r="O51" s="15">
        <v>33.3333333333333</v>
      </c>
      <c r="P51" s="15">
        <v>18.518518518518501</v>
      </c>
      <c r="Q51" s="15">
        <v>26.6666666666667</v>
      </c>
      <c r="R51" s="15">
        <v>24.1758241758242</v>
      </c>
      <c r="S51" s="15">
        <v>10</v>
      </c>
      <c r="T51" s="15">
        <v>36.363636363636402</v>
      </c>
      <c r="U51" s="15">
        <v>42.553191489361701</v>
      </c>
      <c r="V51" s="15">
        <v>18.518518518518501</v>
      </c>
      <c r="W51" s="15">
        <v>32.142857142857103</v>
      </c>
      <c r="X51" s="15">
        <v>24.038461538461501</v>
      </c>
      <c r="Y51" s="15">
        <v>34.146341463414601</v>
      </c>
      <c r="Z51" s="15">
        <v>26.086956521739101</v>
      </c>
      <c r="AA51" s="15">
        <v>27.397260273972599</v>
      </c>
      <c r="AB51" s="15">
        <v>23.076923076923102</v>
      </c>
      <c r="AC51" s="15">
        <v>12.3456790123457</v>
      </c>
      <c r="AD51" s="15">
        <v>16.842105263157901</v>
      </c>
      <c r="AE51" s="15">
        <v>22.9508196721311</v>
      </c>
      <c r="AF51" s="15">
        <v>29.729729729729701</v>
      </c>
      <c r="AG51" s="32">
        <v>31.539248691703399</v>
      </c>
      <c r="AH51" s="15">
        <v>19.4630872483221</v>
      </c>
      <c r="AI51" s="15">
        <v>34.8082595870207</v>
      </c>
      <c r="AJ51" s="15">
        <v>26.843657817109101</v>
      </c>
      <c r="AK51" s="15">
        <v>27.335640138408301</v>
      </c>
      <c r="AL51" s="15">
        <v>45.810055865921797</v>
      </c>
      <c r="AM51" s="15">
        <v>26.153846153846199</v>
      </c>
      <c r="AN51" s="24">
        <v>42.4050632911392</v>
      </c>
      <c r="AO51" s="38"/>
    </row>
    <row r="52" spans="1:41">
      <c r="A52" s="9" t="s">
        <v>256</v>
      </c>
      <c r="B52" s="36">
        <v>11.4396701794723</v>
      </c>
      <c r="C52" s="32">
        <v>13.781470915092401</v>
      </c>
      <c r="D52" s="32">
        <v>11.9686695843917</v>
      </c>
      <c r="E52" s="32">
        <v>11.631998328740501</v>
      </c>
      <c r="F52" s="15">
        <v>11.4583333333333</v>
      </c>
      <c r="G52" s="15">
        <v>8.9552238805970106</v>
      </c>
      <c r="H52" s="20" t="s">
        <v>76</v>
      </c>
      <c r="I52" s="15">
        <v>17.5</v>
      </c>
      <c r="J52" s="15">
        <v>16.049382716049401</v>
      </c>
      <c r="K52" s="15">
        <v>16</v>
      </c>
      <c r="L52" s="15">
        <v>5.46875</v>
      </c>
      <c r="M52" s="15">
        <v>8.8235294117646994</v>
      </c>
      <c r="N52" s="20" t="s">
        <v>76</v>
      </c>
      <c r="O52" s="15">
        <v>26.1904761904762</v>
      </c>
      <c r="P52" s="15">
        <v>12.592592592592601</v>
      </c>
      <c r="Q52" s="15">
        <v>10</v>
      </c>
      <c r="R52" s="15">
        <v>18.6813186813187</v>
      </c>
      <c r="S52" s="15">
        <v>8</v>
      </c>
      <c r="T52" s="20" t="s">
        <v>76</v>
      </c>
      <c r="U52" s="15">
        <v>19.148936170212799</v>
      </c>
      <c r="V52" s="15">
        <v>12.962962962962999</v>
      </c>
      <c r="W52" s="20" t="s">
        <v>76</v>
      </c>
      <c r="X52" s="15">
        <v>9.6153846153846096</v>
      </c>
      <c r="Y52" s="20" t="s">
        <v>76</v>
      </c>
      <c r="Z52" s="15">
        <v>26.086956521739101</v>
      </c>
      <c r="AA52" s="15">
        <v>19.178082191780799</v>
      </c>
      <c r="AB52" s="15">
        <v>12.8205128205128</v>
      </c>
      <c r="AC52" s="15">
        <v>6.1728395061728403</v>
      </c>
      <c r="AD52" s="15">
        <v>10.526315789473699</v>
      </c>
      <c r="AE52" s="15">
        <v>9.8360655737704903</v>
      </c>
      <c r="AF52" s="15">
        <v>13.5135135135135</v>
      </c>
      <c r="AG52" s="32">
        <v>12.2300377889981</v>
      </c>
      <c r="AH52" s="15">
        <v>10.402684563758401</v>
      </c>
      <c r="AI52" s="15">
        <v>12.094395280236</v>
      </c>
      <c r="AJ52" s="15">
        <v>12.979351032448401</v>
      </c>
      <c r="AK52" s="15">
        <v>15.2249134948097</v>
      </c>
      <c r="AL52" s="15">
        <v>16.759776536312799</v>
      </c>
      <c r="AM52" s="15">
        <v>9.2307692307692299</v>
      </c>
      <c r="AN52" s="24">
        <v>14.873417721519001</v>
      </c>
      <c r="AO52" s="38"/>
    </row>
    <row r="53" spans="1:41">
      <c r="A53" s="9" t="s">
        <v>257</v>
      </c>
      <c r="B53" s="36">
        <v>25.4392622296062</v>
      </c>
      <c r="C53" s="32">
        <v>26.375758365227</v>
      </c>
      <c r="D53" s="32">
        <v>23.301600687096101</v>
      </c>
      <c r="E53" s="32">
        <v>20.725776516305501</v>
      </c>
      <c r="F53" s="15">
        <v>27.0833333333333</v>
      </c>
      <c r="G53" s="15">
        <v>19.402985074626901</v>
      </c>
      <c r="H53" s="15">
        <v>9.7560975609756095</v>
      </c>
      <c r="I53" s="15">
        <v>27.5</v>
      </c>
      <c r="J53" s="15">
        <v>22.2222222222222</v>
      </c>
      <c r="K53" s="15">
        <v>18</v>
      </c>
      <c r="L53" s="15">
        <v>14.84375</v>
      </c>
      <c r="M53" s="15">
        <v>19.117647058823501</v>
      </c>
      <c r="N53" s="15">
        <v>20.408163265306101</v>
      </c>
      <c r="O53" s="15">
        <v>28.571428571428601</v>
      </c>
      <c r="P53" s="15">
        <v>16.296296296296301</v>
      </c>
      <c r="Q53" s="15">
        <v>30</v>
      </c>
      <c r="R53" s="15">
        <v>24.1758241758242</v>
      </c>
      <c r="S53" s="15">
        <v>19</v>
      </c>
      <c r="T53" s="15">
        <v>30.303030303030301</v>
      </c>
      <c r="U53" s="15">
        <v>25.531914893617</v>
      </c>
      <c r="V53" s="15">
        <v>16.6666666666667</v>
      </c>
      <c r="W53" s="15">
        <v>28.571428571428601</v>
      </c>
      <c r="X53" s="15">
        <v>17.307692307692299</v>
      </c>
      <c r="Y53" s="15">
        <v>31.707317073170699</v>
      </c>
      <c r="Z53" s="15">
        <v>26.086956521739101</v>
      </c>
      <c r="AA53" s="15">
        <v>20.5479452054795</v>
      </c>
      <c r="AB53" s="15">
        <v>17.948717948717899</v>
      </c>
      <c r="AC53" s="15">
        <v>16.049382716049401</v>
      </c>
      <c r="AD53" s="15">
        <v>15.789473684210501</v>
      </c>
      <c r="AE53" s="15">
        <v>27.868852459016399</v>
      </c>
      <c r="AF53" s="15">
        <v>24.324324324324301</v>
      </c>
      <c r="AG53" s="32">
        <v>25.301291862391199</v>
      </c>
      <c r="AH53" s="15">
        <v>18.120805369127499</v>
      </c>
      <c r="AI53" s="15">
        <v>29.498525073746301</v>
      </c>
      <c r="AJ53" s="15">
        <v>21.533923303834801</v>
      </c>
      <c r="AK53" s="15">
        <v>17.647058823529399</v>
      </c>
      <c r="AL53" s="15">
        <v>29.050279329608902</v>
      </c>
      <c r="AM53" s="15">
        <v>22.153846153846199</v>
      </c>
      <c r="AN53" s="24">
        <v>41.139240506329102</v>
      </c>
      <c r="AO53" s="38"/>
    </row>
    <row r="54" spans="1:41">
      <c r="A54" s="9" t="s">
        <v>258</v>
      </c>
      <c r="B54" s="36">
        <v>34.868445137402603</v>
      </c>
      <c r="C54" s="32">
        <v>35.618591781025501</v>
      </c>
      <c r="D54" s="32">
        <v>31.813761148181602</v>
      </c>
      <c r="E54" s="32">
        <v>39.0629721752818</v>
      </c>
      <c r="F54" s="15">
        <v>45.8333333333333</v>
      </c>
      <c r="G54" s="15">
        <v>28.358208955223901</v>
      </c>
      <c r="H54" s="15">
        <v>23.170731707317099</v>
      </c>
      <c r="I54" s="15">
        <v>35</v>
      </c>
      <c r="J54" s="15">
        <v>33.3333333333333</v>
      </c>
      <c r="K54" s="15">
        <v>22</v>
      </c>
      <c r="L54" s="15">
        <v>21.875</v>
      </c>
      <c r="M54" s="15">
        <v>38.235294117647101</v>
      </c>
      <c r="N54" s="15">
        <v>38.775510204081598</v>
      </c>
      <c r="O54" s="15">
        <v>52.380952380952401</v>
      </c>
      <c r="P54" s="15">
        <v>45.185185185185198</v>
      </c>
      <c r="Q54" s="15">
        <v>56.6666666666667</v>
      </c>
      <c r="R54" s="15">
        <v>39.560439560439598</v>
      </c>
      <c r="S54" s="15">
        <v>34</v>
      </c>
      <c r="T54" s="15">
        <v>48.484848484848499</v>
      </c>
      <c r="U54" s="15">
        <v>42.553191489361701</v>
      </c>
      <c r="V54" s="15">
        <v>37.037037037037003</v>
      </c>
      <c r="W54" s="15">
        <v>51.785714285714299</v>
      </c>
      <c r="X54" s="15">
        <v>38.461538461538503</v>
      </c>
      <c r="Y54" s="15">
        <v>34.146341463414601</v>
      </c>
      <c r="Z54" s="15">
        <v>60.869565217391298</v>
      </c>
      <c r="AA54" s="15">
        <v>34.246575342465803</v>
      </c>
      <c r="AB54" s="15">
        <v>48.717948717948701</v>
      </c>
      <c r="AC54" s="15">
        <v>32.098765432098801</v>
      </c>
      <c r="AD54" s="15">
        <v>36.842105263157897</v>
      </c>
      <c r="AE54" s="15">
        <v>47.540983606557397</v>
      </c>
      <c r="AF54" s="15">
        <v>32.4324324324324</v>
      </c>
      <c r="AG54" s="32">
        <v>26.1859766576376</v>
      </c>
      <c r="AH54" s="15">
        <v>21.476510067114098</v>
      </c>
      <c r="AI54" s="15">
        <v>30.088495575221199</v>
      </c>
      <c r="AJ54" s="15">
        <v>27.433628318584098</v>
      </c>
      <c r="AK54" s="15">
        <v>28.027681660899699</v>
      </c>
      <c r="AL54" s="15">
        <v>42.458100558659197</v>
      </c>
      <c r="AM54" s="15">
        <v>23.384615384615401</v>
      </c>
      <c r="AN54" s="24">
        <v>31.645569620253202</v>
      </c>
      <c r="AO54" s="38"/>
    </row>
    <row r="55" spans="1:41">
      <c r="A55" s="9" t="s">
        <v>259</v>
      </c>
      <c r="B55" s="36">
        <v>3.5689012074615301</v>
      </c>
      <c r="C55" s="32">
        <v>4.1522782843226098</v>
      </c>
      <c r="D55" s="32">
        <v>2.39857359906601</v>
      </c>
      <c r="E55" s="32">
        <v>3.0328189081148502</v>
      </c>
      <c r="F55" s="20" t="s">
        <v>76</v>
      </c>
      <c r="G55" s="15">
        <v>7.4626865671641802</v>
      </c>
      <c r="H55" s="20" t="s">
        <v>76</v>
      </c>
      <c r="I55" s="20" t="s">
        <v>76</v>
      </c>
      <c r="J55" s="20" t="s">
        <v>76</v>
      </c>
      <c r="K55" s="20" t="s">
        <v>76</v>
      </c>
      <c r="L55" s="20" t="s">
        <v>76</v>
      </c>
      <c r="M55" s="20" t="s">
        <v>76</v>
      </c>
      <c r="N55" s="20" t="s">
        <v>76</v>
      </c>
      <c r="O55" s="20" t="s">
        <v>76</v>
      </c>
      <c r="P55" s="20" t="s">
        <v>76</v>
      </c>
      <c r="Q55" s="20" t="s">
        <v>76</v>
      </c>
      <c r="R55" s="15">
        <v>7.6923076923076898</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2">
        <v>1.9061895451156301</v>
      </c>
      <c r="AH55" s="15">
        <v>1.6778523489932899</v>
      </c>
      <c r="AI55" s="15">
        <v>2.3598820058997001</v>
      </c>
      <c r="AJ55" s="15">
        <v>2.65486725663717</v>
      </c>
      <c r="AK55" s="20" t="s">
        <v>76</v>
      </c>
      <c r="AL55" s="20" t="s">
        <v>76</v>
      </c>
      <c r="AM55" s="15">
        <v>2.1538461538461502</v>
      </c>
      <c r="AN55" s="24">
        <v>3.16455696202532</v>
      </c>
      <c r="AO55" s="38"/>
    </row>
    <row r="56" spans="1:41">
      <c r="A56" s="9" t="s">
        <v>260</v>
      </c>
      <c r="B56" s="36">
        <v>11.1633526049146</v>
      </c>
      <c r="C56" s="32">
        <v>11.5244078354708</v>
      </c>
      <c r="D56" s="32">
        <v>9.7620011488040603</v>
      </c>
      <c r="E56" s="32">
        <v>10.3269643795115</v>
      </c>
      <c r="F56" s="15">
        <v>18.75</v>
      </c>
      <c r="G56" s="15">
        <v>11.9402985074627</v>
      </c>
      <c r="H56" s="20" t="s">
        <v>76</v>
      </c>
      <c r="I56" s="15">
        <v>15</v>
      </c>
      <c r="J56" s="15">
        <v>11.1111111111111</v>
      </c>
      <c r="K56" s="15">
        <v>16</v>
      </c>
      <c r="L56" s="15">
        <v>9.375</v>
      </c>
      <c r="M56" s="20" t="s">
        <v>76</v>
      </c>
      <c r="N56" s="15">
        <v>12.244897959183699</v>
      </c>
      <c r="O56" s="15">
        <v>16.6666666666667</v>
      </c>
      <c r="P56" s="15">
        <v>13.3333333333333</v>
      </c>
      <c r="Q56" s="15">
        <v>10</v>
      </c>
      <c r="R56" s="15">
        <v>10.989010989011</v>
      </c>
      <c r="S56" s="15">
        <v>8</v>
      </c>
      <c r="T56" s="15">
        <v>15.1515151515152</v>
      </c>
      <c r="U56" s="20" t="s">
        <v>76</v>
      </c>
      <c r="V56" s="15">
        <v>16.6666666666667</v>
      </c>
      <c r="W56" s="15">
        <v>14.285714285714301</v>
      </c>
      <c r="X56" s="15">
        <v>7.6923076923076898</v>
      </c>
      <c r="Y56" s="20" t="s">
        <v>76</v>
      </c>
      <c r="Z56" s="15">
        <v>13.0434782608696</v>
      </c>
      <c r="AA56" s="15">
        <v>10.958904109589</v>
      </c>
      <c r="AB56" s="15">
        <v>10.2564102564103</v>
      </c>
      <c r="AC56" s="20" t="s">
        <v>76</v>
      </c>
      <c r="AD56" s="15">
        <v>8.4210526315789505</v>
      </c>
      <c r="AE56" s="15">
        <v>14.7540983606557</v>
      </c>
      <c r="AF56" s="15">
        <v>21.6216216216216</v>
      </c>
      <c r="AG56" s="32">
        <v>9.3234028936812994</v>
      </c>
      <c r="AH56" s="15">
        <v>5.0335570469798698</v>
      </c>
      <c r="AI56" s="15">
        <v>9.7345132743362797</v>
      </c>
      <c r="AJ56" s="15">
        <v>10.324483775811199</v>
      </c>
      <c r="AK56" s="15">
        <v>3.8062283737024201</v>
      </c>
      <c r="AL56" s="15">
        <v>17.318435754189899</v>
      </c>
      <c r="AM56" s="15">
        <v>6.4615384615384599</v>
      </c>
      <c r="AN56" s="24">
        <v>14.5569620253165</v>
      </c>
      <c r="AO56" s="38"/>
    </row>
    <row r="57" spans="1:41">
      <c r="A57" s="9" t="s">
        <v>261</v>
      </c>
      <c r="B57" s="36">
        <v>8.3599539746611295</v>
      </c>
      <c r="C57" s="32">
        <v>8.0858186791219904</v>
      </c>
      <c r="D57" s="32">
        <v>6.9288921819144997</v>
      </c>
      <c r="E57" s="32">
        <v>8.3602975511216897</v>
      </c>
      <c r="F57" s="15">
        <v>10.4166666666667</v>
      </c>
      <c r="G57" s="15">
        <v>13.4328358208955</v>
      </c>
      <c r="H57" s="20" t="s">
        <v>76</v>
      </c>
      <c r="I57" s="20" t="s">
        <v>76</v>
      </c>
      <c r="J57" s="15">
        <v>8.6419753086419693</v>
      </c>
      <c r="K57" s="20" t="s">
        <v>76</v>
      </c>
      <c r="L57" s="15">
        <v>5.46875</v>
      </c>
      <c r="M57" s="15">
        <v>8.8235294117646994</v>
      </c>
      <c r="N57" s="15">
        <v>12.244897959183699</v>
      </c>
      <c r="O57" s="15">
        <v>19.047619047619001</v>
      </c>
      <c r="P57" s="15">
        <v>6.6666666666666696</v>
      </c>
      <c r="Q57" s="20" t="s">
        <v>76</v>
      </c>
      <c r="R57" s="15">
        <v>6.5934065934065904</v>
      </c>
      <c r="S57" s="15">
        <v>5</v>
      </c>
      <c r="T57" s="20" t="s">
        <v>76</v>
      </c>
      <c r="U57" s="20" t="s">
        <v>76</v>
      </c>
      <c r="V57" s="15">
        <v>11.1111111111111</v>
      </c>
      <c r="W57" s="15">
        <v>14.285714285714301</v>
      </c>
      <c r="X57" s="15">
        <v>7.6923076923076898</v>
      </c>
      <c r="Y57" s="20" t="s">
        <v>76</v>
      </c>
      <c r="Z57" s="15">
        <v>19.565217391304301</v>
      </c>
      <c r="AA57" s="15">
        <v>8.2191780821917799</v>
      </c>
      <c r="AB57" s="15">
        <v>8.9743589743589691</v>
      </c>
      <c r="AC57" s="20" t="s">
        <v>76</v>
      </c>
      <c r="AD57" s="15">
        <v>5.2631578947368398</v>
      </c>
      <c r="AE57" s="15">
        <v>14.7540983606557</v>
      </c>
      <c r="AF57" s="15">
        <v>13.5135135135135</v>
      </c>
      <c r="AG57" s="32">
        <v>5.81764836429205</v>
      </c>
      <c r="AH57" s="15">
        <v>4.6979865771812097</v>
      </c>
      <c r="AI57" s="15">
        <v>5.3097345132743401</v>
      </c>
      <c r="AJ57" s="15">
        <v>5.0147492625368697</v>
      </c>
      <c r="AK57" s="15">
        <v>4.4982698961937704</v>
      </c>
      <c r="AL57" s="15">
        <v>7.8212290502793298</v>
      </c>
      <c r="AM57" s="15">
        <v>4.6153846153846096</v>
      </c>
      <c r="AN57" s="24">
        <v>10.126582278480999</v>
      </c>
      <c r="AO57" s="38"/>
    </row>
    <row r="58" spans="1:41">
      <c r="A58" s="9" t="s">
        <v>262</v>
      </c>
      <c r="B58" s="36">
        <v>21.319007625702099</v>
      </c>
      <c r="C58" s="32">
        <v>21.6085134141785</v>
      </c>
      <c r="D58" s="32">
        <v>20.3509762815446</v>
      </c>
      <c r="E58" s="32">
        <v>14.096847042795</v>
      </c>
      <c r="F58" s="15">
        <v>17.7083333333333</v>
      </c>
      <c r="G58" s="15">
        <v>8.9552238805970106</v>
      </c>
      <c r="H58" s="15">
        <v>8.5365853658536608</v>
      </c>
      <c r="I58" s="20" t="s">
        <v>76</v>
      </c>
      <c r="J58" s="15">
        <v>20.987654320987701</v>
      </c>
      <c r="K58" s="15">
        <v>12</v>
      </c>
      <c r="L58" s="15">
        <v>9.375</v>
      </c>
      <c r="M58" s="15">
        <v>10.294117647058799</v>
      </c>
      <c r="N58" s="15">
        <v>12.244897959183699</v>
      </c>
      <c r="O58" s="15">
        <v>28.571428571428601</v>
      </c>
      <c r="P58" s="15">
        <v>15.5555555555556</v>
      </c>
      <c r="Q58" s="15">
        <v>20</v>
      </c>
      <c r="R58" s="15">
        <v>16.4835164835165</v>
      </c>
      <c r="S58" s="15">
        <v>9</v>
      </c>
      <c r="T58" s="15">
        <v>18.181818181818201</v>
      </c>
      <c r="U58" s="15">
        <v>25.531914893617</v>
      </c>
      <c r="V58" s="15">
        <v>9.2592592592592595</v>
      </c>
      <c r="W58" s="15">
        <v>16.071428571428601</v>
      </c>
      <c r="X58" s="15">
        <v>15.384615384615399</v>
      </c>
      <c r="Y58" s="20" t="s">
        <v>76</v>
      </c>
      <c r="Z58" s="15">
        <v>19.565217391304301</v>
      </c>
      <c r="AA58" s="20" t="s">
        <v>76</v>
      </c>
      <c r="AB58" s="15">
        <v>21.794871794871799</v>
      </c>
      <c r="AC58" s="15">
        <v>6.1728395061728403</v>
      </c>
      <c r="AD58" s="15">
        <v>16.842105263157901</v>
      </c>
      <c r="AE58" s="15">
        <v>16.393442622950801</v>
      </c>
      <c r="AF58" s="15">
        <v>21.6216216216216</v>
      </c>
      <c r="AG58" s="32">
        <v>25.206248310474901</v>
      </c>
      <c r="AH58" s="15">
        <v>18.456375838926199</v>
      </c>
      <c r="AI58" s="15">
        <v>24.778761061946899</v>
      </c>
      <c r="AJ58" s="15">
        <v>20.353982300885001</v>
      </c>
      <c r="AK58" s="15">
        <v>22.837370242214501</v>
      </c>
      <c r="AL58" s="15">
        <v>26.815642458100601</v>
      </c>
      <c r="AM58" s="15">
        <v>23.692307692307701</v>
      </c>
      <c r="AN58" s="24">
        <v>30.063291139240501</v>
      </c>
      <c r="AO58" s="38"/>
    </row>
    <row r="59" spans="1:41">
      <c r="A59" s="9" t="s">
        <v>263</v>
      </c>
      <c r="B59" s="36">
        <v>0.91962243689408996</v>
      </c>
      <c r="C59" s="32">
        <v>0.79352090864034797</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15">
        <v>1.47492625368732</v>
      </c>
      <c r="AJ59" s="20" t="s">
        <v>76</v>
      </c>
      <c r="AK59" s="20" t="s">
        <v>76</v>
      </c>
      <c r="AL59" s="20" t="s">
        <v>76</v>
      </c>
      <c r="AM59" s="20" t="s">
        <v>76</v>
      </c>
      <c r="AN59" s="26" t="s">
        <v>76</v>
      </c>
      <c r="AO59" s="38"/>
    </row>
    <row r="60" spans="1:41">
      <c r="A60" s="9" t="s">
        <v>264</v>
      </c>
      <c r="B60" s="36">
        <v>0.72473827454916795</v>
      </c>
      <c r="C60" s="32">
        <v>0.70640973163565601</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c r="A61" s="9" t="s">
        <v>265</v>
      </c>
      <c r="B61" s="36">
        <v>0.86956875352714702</v>
      </c>
      <c r="C61" s="32">
        <v>0.84480060345720098</v>
      </c>
      <c r="D61" s="32">
        <v>0.742330515795528</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15">
        <v>2.0648967551622399</v>
      </c>
      <c r="AJ61" s="20" t="s">
        <v>76</v>
      </c>
      <c r="AK61" s="20" t="s">
        <v>76</v>
      </c>
      <c r="AL61" s="20" t="s">
        <v>76</v>
      </c>
      <c r="AM61" s="15">
        <v>1.84615384615385</v>
      </c>
      <c r="AN61" s="26" t="s">
        <v>76</v>
      </c>
      <c r="AO61" s="38"/>
    </row>
    <row r="62" spans="1:41">
      <c r="A62" s="9" t="s">
        <v>266</v>
      </c>
      <c r="B62" s="36">
        <v>2.1777165099011602</v>
      </c>
      <c r="C62" s="32">
        <v>2.1938126156864</v>
      </c>
      <c r="D62" s="32">
        <v>1.8050039627382299</v>
      </c>
      <c r="E62" s="32">
        <v>1.78737674904324</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15">
        <v>6.8493150684931496</v>
      </c>
      <c r="AB62" s="20" t="s">
        <v>76</v>
      </c>
      <c r="AC62" s="20" t="s">
        <v>76</v>
      </c>
      <c r="AD62" s="20" t="s">
        <v>76</v>
      </c>
      <c r="AE62" s="20" t="s">
        <v>76</v>
      </c>
      <c r="AF62" s="20" t="s">
        <v>76</v>
      </c>
      <c r="AG62" s="32">
        <v>1.8186885084733899</v>
      </c>
      <c r="AH62" s="15">
        <v>2.0134228187919501</v>
      </c>
      <c r="AI62" s="15">
        <v>2.65486725663717</v>
      </c>
      <c r="AJ62" s="15">
        <v>2.65486725663717</v>
      </c>
      <c r="AK62" s="20" t="s">
        <v>76</v>
      </c>
      <c r="AL62" s="20" t="s">
        <v>76</v>
      </c>
      <c r="AM62" s="15">
        <v>1.84615384615385</v>
      </c>
      <c r="AN62" s="24">
        <v>2.21518987341772</v>
      </c>
      <c r="AO62" s="38"/>
    </row>
    <row r="63" spans="1:41">
      <c r="A63" s="9" t="s">
        <v>267</v>
      </c>
      <c r="B63" s="36">
        <v>8.8355592958438702</v>
      </c>
      <c r="C63" s="32">
        <v>8.1052818555327306</v>
      </c>
      <c r="D63" s="32">
        <v>6.7115187728847898</v>
      </c>
      <c r="E63" s="32">
        <v>8.6608758447696204</v>
      </c>
      <c r="F63" s="15">
        <v>9.375</v>
      </c>
      <c r="G63" s="20" t="s">
        <v>76</v>
      </c>
      <c r="H63" s="20" t="s">
        <v>76</v>
      </c>
      <c r="I63" s="20" t="s">
        <v>76</v>
      </c>
      <c r="J63" s="15">
        <v>9.8765432098765409</v>
      </c>
      <c r="K63" s="15">
        <v>10</v>
      </c>
      <c r="L63" s="15">
        <v>7.8125</v>
      </c>
      <c r="M63" s="15">
        <v>7.3529411764705896</v>
      </c>
      <c r="N63" s="20" t="s">
        <v>76</v>
      </c>
      <c r="O63" s="15">
        <v>16.6666666666667</v>
      </c>
      <c r="P63" s="15">
        <v>5.1851851851851896</v>
      </c>
      <c r="Q63" s="20" t="s">
        <v>76</v>
      </c>
      <c r="R63" s="15">
        <v>13.1868131868132</v>
      </c>
      <c r="S63" s="15">
        <v>8</v>
      </c>
      <c r="T63" s="15">
        <v>24.2424242424242</v>
      </c>
      <c r="U63" s="15">
        <v>12.7659574468085</v>
      </c>
      <c r="V63" s="15">
        <v>11.1111111111111</v>
      </c>
      <c r="W63" s="20" t="s">
        <v>76</v>
      </c>
      <c r="X63" s="15">
        <v>4.8076923076923102</v>
      </c>
      <c r="Y63" s="15">
        <v>12.1951219512195</v>
      </c>
      <c r="Z63" s="20" t="s">
        <v>76</v>
      </c>
      <c r="AA63" s="15">
        <v>8.2191780821917799</v>
      </c>
      <c r="AB63" s="15">
        <v>11.538461538461499</v>
      </c>
      <c r="AC63" s="20" t="s">
        <v>76</v>
      </c>
      <c r="AD63" s="15">
        <v>8.4210526315789505</v>
      </c>
      <c r="AE63" s="15">
        <v>13.1147540983607</v>
      </c>
      <c r="AF63" s="20" t="s">
        <v>76</v>
      </c>
      <c r="AG63" s="32">
        <v>5.1981731888379397</v>
      </c>
      <c r="AH63" s="15">
        <v>3.3557046979865799</v>
      </c>
      <c r="AI63" s="15">
        <v>6.4896755162241897</v>
      </c>
      <c r="AJ63" s="15">
        <v>6.7846607669616503</v>
      </c>
      <c r="AK63" s="15">
        <v>5.5363321799307998</v>
      </c>
      <c r="AL63" s="15">
        <v>6.7039106145251397</v>
      </c>
      <c r="AM63" s="15">
        <v>6.4615384615384599</v>
      </c>
      <c r="AN63" s="24">
        <v>6.3291139240506302</v>
      </c>
      <c r="AO63" s="38"/>
    </row>
    <row r="64" spans="1:41">
      <c r="A64" s="11" t="s">
        <v>268</v>
      </c>
      <c r="B64" s="37">
        <v>6.3421657944426597</v>
      </c>
      <c r="C64" s="33">
        <v>5.76723808286257</v>
      </c>
      <c r="D64" s="33">
        <v>4.1815863283049497</v>
      </c>
      <c r="E64" s="33">
        <v>4.1979950905355796</v>
      </c>
      <c r="F64" s="16">
        <v>7.2916666666666696</v>
      </c>
      <c r="G64" s="28" t="s">
        <v>76</v>
      </c>
      <c r="H64" s="28" t="s">
        <v>76</v>
      </c>
      <c r="I64" s="28" t="s">
        <v>76</v>
      </c>
      <c r="J64" s="28" t="s">
        <v>76</v>
      </c>
      <c r="K64" s="28" t="s">
        <v>76</v>
      </c>
      <c r="L64" s="16">
        <v>6.25</v>
      </c>
      <c r="M64" s="28" t="s">
        <v>76</v>
      </c>
      <c r="N64" s="28" t="s">
        <v>76</v>
      </c>
      <c r="O64" s="28" t="s">
        <v>76</v>
      </c>
      <c r="P64" s="16">
        <v>6.6666666666666696</v>
      </c>
      <c r="Q64" s="16">
        <v>8.3333333333333304</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3">
        <v>4.1688477037504503</v>
      </c>
      <c r="AH64" s="16">
        <v>3.69127516778524</v>
      </c>
      <c r="AI64" s="16">
        <v>7.9646017699114999</v>
      </c>
      <c r="AJ64" s="16">
        <v>3.8348082595870201</v>
      </c>
      <c r="AK64" s="16">
        <v>3.8062283737024201</v>
      </c>
      <c r="AL64" s="16">
        <v>3.91061452513966</v>
      </c>
      <c r="AM64" s="16">
        <v>3.0769230769230802</v>
      </c>
      <c r="AN64" s="25">
        <v>5.6962025316455698</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279</v>
      </c>
      <c r="B1" s="12"/>
      <c r="C1" s="12"/>
      <c r="D1" s="12"/>
    </row>
    <row r="2" spans="1:4" ht="45">
      <c r="A2" s="7" t="s">
        <v>52</v>
      </c>
      <c r="B2" s="6" t="s">
        <v>68</v>
      </c>
      <c r="C2" s="6" t="s">
        <v>69</v>
      </c>
      <c r="D2" s="8" t="s">
        <v>70</v>
      </c>
    </row>
    <row r="3" spans="1:4">
      <c r="A3" s="9" t="s">
        <v>207</v>
      </c>
      <c r="B3" s="15">
        <v>27.056929946654002</v>
      </c>
      <c r="C3" s="15">
        <v>28.193574068258702</v>
      </c>
      <c r="D3" s="24">
        <v>26.5248166660956</v>
      </c>
    </row>
    <row r="4" spans="1:4">
      <c r="A4" s="9" t="s">
        <v>208</v>
      </c>
      <c r="B4" s="15">
        <v>25.386993657984199</v>
      </c>
      <c r="C4" s="15">
        <v>27.6559652762841</v>
      </c>
      <c r="D4" s="24">
        <v>26.679586648185801</v>
      </c>
    </row>
    <row r="5" spans="1:4">
      <c r="A5" s="9" t="s">
        <v>209</v>
      </c>
      <c r="B5" s="15">
        <v>29.349808047507999</v>
      </c>
      <c r="C5" s="15">
        <v>31.739504092457</v>
      </c>
      <c r="D5" s="24">
        <v>26.7613973987973</v>
      </c>
    </row>
    <row r="6" spans="1:4">
      <c r="A6" s="9" t="s">
        <v>210</v>
      </c>
      <c r="B6" s="15">
        <v>51.889680881634099</v>
      </c>
      <c r="C6" s="15">
        <v>53.369364422069403</v>
      </c>
      <c r="D6" s="24">
        <v>47.582764444403097</v>
      </c>
    </row>
    <row r="7" spans="1:4">
      <c r="A7" s="9" t="s">
        <v>211</v>
      </c>
      <c r="B7" s="15">
        <v>27.59821250884</v>
      </c>
      <c r="C7" s="15">
        <v>28.799771107730599</v>
      </c>
      <c r="D7" s="24">
        <v>27.178450739201701</v>
      </c>
    </row>
    <row r="8" spans="1:4">
      <c r="A8" s="9" t="s">
        <v>212</v>
      </c>
      <c r="B8" s="15">
        <v>6.7444458998973102</v>
      </c>
      <c r="C8" s="15">
        <v>4.15057941927365</v>
      </c>
      <c r="D8" s="26" t="s">
        <v>76</v>
      </c>
    </row>
    <row r="9" spans="1:4">
      <c r="A9" s="9" t="s">
        <v>213</v>
      </c>
      <c r="B9" s="15">
        <v>19.715618735041001</v>
      </c>
      <c r="C9" s="15">
        <v>21.0242877885605</v>
      </c>
      <c r="D9" s="24">
        <v>17.514336861473101</v>
      </c>
    </row>
    <row r="10" spans="1:4">
      <c r="A10" s="9" t="s">
        <v>214</v>
      </c>
      <c r="B10" s="15">
        <v>25.656217669345899</v>
      </c>
      <c r="C10" s="15">
        <v>26.772368092507101</v>
      </c>
      <c r="D10" s="24">
        <v>25.7527901372031</v>
      </c>
    </row>
    <row r="11" spans="1:4">
      <c r="A11" s="9" t="s">
        <v>215</v>
      </c>
      <c r="B11" s="15">
        <v>21.3966841857426</v>
      </c>
      <c r="C11" s="15">
        <v>21.064612318555799</v>
      </c>
      <c r="D11" s="24">
        <v>18.003669969085799</v>
      </c>
    </row>
    <row r="12" spans="1:4">
      <c r="A12" s="9" t="s">
        <v>216</v>
      </c>
      <c r="B12" s="15">
        <v>11.745171955928701</v>
      </c>
      <c r="C12" s="15">
        <v>10.7559583521147</v>
      </c>
      <c r="D12" s="26" t="s">
        <v>76</v>
      </c>
    </row>
    <row r="13" spans="1:4">
      <c r="A13" s="9" t="s">
        <v>217</v>
      </c>
      <c r="B13" s="15">
        <v>8.3928775978513599</v>
      </c>
      <c r="C13" s="15">
        <v>7.4005216088877397</v>
      </c>
      <c r="D13" s="26" t="s">
        <v>76</v>
      </c>
    </row>
    <row r="14" spans="1:4">
      <c r="A14" s="9" t="s">
        <v>218</v>
      </c>
      <c r="B14" s="15">
        <v>32.209450681087802</v>
      </c>
      <c r="C14" s="15">
        <v>33.598914106183102</v>
      </c>
      <c r="D14" s="24">
        <v>32.651649274049802</v>
      </c>
    </row>
    <row r="15" spans="1:4">
      <c r="A15" s="9" t="s">
        <v>219</v>
      </c>
      <c r="B15" s="15">
        <v>33.060833578443699</v>
      </c>
      <c r="C15" s="15">
        <v>37.306736102665504</v>
      </c>
      <c r="D15" s="24">
        <v>27.926905193555601</v>
      </c>
    </row>
    <row r="16" spans="1:4">
      <c r="A16" s="9" t="s">
        <v>220</v>
      </c>
      <c r="B16" s="15">
        <v>4.7875002756359901</v>
      </c>
      <c r="C16" s="15">
        <v>5.3504366810388504</v>
      </c>
      <c r="D16" s="26" t="s">
        <v>76</v>
      </c>
    </row>
    <row r="17" spans="1:4">
      <c r="A17" s="9" t="s">
        <v>221</v>
      </c>
      <c r="B17" s="15">
        <v>54.213227440376599</v>
      </c>
      <c r="C17" s="15">
        <v>58.581400985369399</v>
      </c>
      <c r="D17" s="24">
        <v>58.546090958653799</v>
      </c>
    </row>
    <row r="18" spans="1:4">
      <c r="A18" s="9" t="s">
        <v>222</v>
      </c>
      <c r="B18" s="15">
        <v>39.632204658143799</v>
      </c>
      <c r="C18" s="15">
        <v>36.9776087902451</v>
      </c>
      <c r="D18" s="24">
        <v>38.804285536128901</v>
      </c>
    </row>
    <row r="19" spans="1:4">
      <c r="A19" s="9" t="s">
        <v>223</v>
      </c>
      <c r="B19" s="15">
        <v>42.981667165700003</v>
      </c>
      <c r="C19" s="15">
        <v>47.164779702786198</v>
      </c>
      <c r="D19" s="24">
        <v>43.769415641362002</v>
      </c>
    </row>
    <row r="20" spans="1:4">
      <c r="A20" s="9" t="s">
        <v>224</v>
      </c>
      <c r="B20" s="15">
        <v>7.3888267727183798</v>
      </c>
      <c r="C20" s="15">
        <v>8.4851073514373301</v>
      </c>
      <c r="D20" s="26" t="s">
        <v>76</v>
      </c>
    </row>
    <row r="21" spans="1:4">
      <c r="A21" s="9" t="s">
        <v>225</v>
      </c>
      <c r="B21" s="15">
        <v>13.4744345354519</v>
      </c>
      <c r="C21" s="15">
        <v>13.691167678351</v>
      </c>
      <c r="D21" s="26" t="s">
        <v>76</v>
      </c>
    </row>
    <row r="22" spans="1:4">
      <c r="A22" s="9" t="s">
        <v>226</v>
      </c>
      <c r="B22" s="15">
        <v>19.7644210140705</v>
      </c>
      <c r="C22" s="15">
        <v>23.681980568214801</v>
      </c>
      <c r="D22" s="24">
        <v>22.3480845280219</v>
      </c>
    </row>
    <row r="23" spans="1:4">
      <c r="A23" s="9" t="s">
        <v>227</v>
      </c>
      <c r="B23" s="15">
        <v>26.7756628234727</v>
      </c>
      <c r="C23" s="15">
        <v>24.393823830449399</v>
      </c>
      <c r="D23" s="24">
        <v>25.3640524638808</v>
      </c>
    </row>
    <row r="24" spans="1:4">
      <c r="A24" s="9" t="s">
        <v>228</v>
      </c>
      <c r="B24" s="15">
        <v>62.5117223910432</v>
      </c>
      <c r="C24" s="15">
        <v>65.6990065562875</v>
      </c>
      <c r="D24" s="24">
        <v>64.328131651765204</v>
      </c>
    </row>
    <row r="25" spans="1:4">
      <c r="A25" s="9" t="s">
        <v>229</v>
      </c>
      <c r="B25" s="15">
        <v>5.3777523036504196</v>
      </c>
      <c r="C25" s="15">
        <v>5.4326035615947799</v>
      </c>
      <c r="D25" s="26" t="s">
        <v>76</v>
      </c>
    </row>
    <row r="26" spans="1:4">
      <c r="A26" s="9" t="s">
        <v>230</v>
      </c>
      <c r="B26" s="15">
        <v>33.3312295847469</v>
      </c>
      <c r="C26" s="15">
        <v>33.360888520477701</v>
      </c>
      <c r="D26" s="24">
        <v>33.118469603783403</v>
      </c>
    </row>
    <row r="27" spans="1:4">
      <c r="A27" s="9" t="s">
        <v>231</v>
      </c>
      <c r="B27" s="15">
        <v>19.374697958865401</v>
      </c>
      <c r="C27" s="15">
        <v>19.300424499900998</v>
      </c>
      <c r="D27" s="24">
        <v>20.758998749129098</v>
      </c>
    </row>
    <row r="28" spans="1:4">
      <c r="A28" s="9" t="s">
        <v>232</v>
      </c>
      <c r="B28" s="15">
        <v>20.0745806758618</v>
      </c>
      <c r="C28" s="15">
        <v>17.296488152573499</v>
      </c>
      <c r="D28" s="24">
        <v>17.180379893105599</v>
      </c>
    </row>
    <row r="29" spans="1:4">
      <c r="A29" s="9" t="s">
        <v>233</v>
      </c>
      <c r="B29" s="15">
        <v>6.1048188436039101</v>
      </c>
      <c r="C29" s="15">
        <v>6.1455246182611001</v>
      </c>
      <c r="D29" s="26" t="s">
        <v>76</v>
      </c>
    </row>
    <row r="30" spans="1:4">
      <c r="A30" s="9" t="s">
        <v>234</v>
      </c>
      <c r="B30" s="15">
        <v>9.1090445037246894</v>
      </c>
      <c r="C30" s="15">
        <v>9.64154376568308</v>
      </c>
      <c r="D30" s="26" t="s">
        <v>76</v>
      </c>
    </row>
    <row r="31" spans="1:4">
      <c r="A31" s="9" t="s">
        <v>235</v>
      </c>
      <c r="B31" s="15">
        <v>17.690985170874502</v>
      </c>
      <c r="C31" s="15">
        <v>17.424452423199899</v>
      </c>
      <c r="D31" s="24">
        <v>17.6598979672879</v>
      </c>
    </row>
    <row r="32" spans="1:4">
      <c r="A32" s="9" t="s">
        <v>236</v>
      </c>
      <c r="B32" s="15">
        <v>3.4749720715682701</v>
      </c>
      <c r="C32" s="15">
        <v>4.1459961498386297</v>
      </c>
      <c r="D32" s="26" t="s">
        <v>76</v>
      </c>
    </row>
    <row r="33" spans="1:4">
      <c r="A33" s="9" t="s">
        <v>237</v>
      </c>
      <c r="B33" s="15">
        <v>12.825020267555701</v>
      </c>
      <c r="C33" s="15">
        <v>14.224389595021</v>
      </c>
      <c r="D33" s="26" t="s">
        <v>76</v>
      </c>
    </row>
    <row r="34" spans="1:4">
      <c r="A34" s="9" t="s">
        <v>238</v>
      </c>
      <c r="B34" s="15">
        <v>23.5948311321559</v>
      </c>
      <c r="C34" s="15">
        <v>27.1839833446145</v>
      </c>
      <c r="D34" s="24">
        <v>19.2570928444602</v>
      </c>
    </row>
    <row r="35" spans="1:4">
      <c r="A35" s="9" t="s">
        <v>239</v>
      </c>
      <c r="B35" s="15">
        <v>25.032570596332601</v>
      </c>
      <c r="C35" s="15">
        <v>27.8483097246733</v>
      </c>
      <c r="D35" s="24">
        <v>24.802818753556</v>
      </c>
    </row>
    <row r="36" spans="1:4">
      <c r="A36" s="9" t="s">
        <v>240</v>
      </c>
      <c r="B36" s="15">
        <v>24.217451207645802</v>
      </c>
      <c r="C36" s="15">
        <v>28.691875620378202</v>
      </c>
      <c r="D36" s="24">
        <v>27.908466106611399</v>
      </c>
    </row>
    <row r="37" spans="1:4">
      <c r="A37" s="9" t="s">
        <v>241</v>
      </c>
      <c r="B37" s="15">
        <v>18.481740793325901</v>
      </c>
      <c r="C37" s="15">
        <v>22.105859987661901</v>
      </c>
      <c r="D37" s="24">
        <v>21.2533441742756</v>
      </c>
    </row>
    <row r="38" spans="1:4">
      <c r="A38" s="9" t="s">
        <v>242</v>
      </c>
      <c r="B38" s="15">
        <v>29.055897654110399</v>
      </c>
      <c r="C38" s="15">
        <v>30.800752075941499</v>
      </c>
      <c r="D38" s="24">
        <v>29.250080731786301</v>
      </c>
    </row>
    <row r="39" spans="1:4">
      <c r="A39" s="9" t="s">
        <v>243</v>
      </c>
      <c r="B39" s="15">
        <v>41.916771746155597</v>
      </c>
      <c r="C39" s="15">
        <v>46.34106516992</v>
      </c>
      <c r="D39" s="24">
        <v>44.738522383325503</v>
      </c>
    </row>
    <row r="40" spans="1:4">
      <c r="A40" s="9" t="s">
        <v>244</v>
      </c>
      <c r="B40" s="15">
        <v>14.9935402615973</v>
      </c>
      <c r="C40" s="15">
        <v>14.244372390684299</v>
      </c>
      <c r="D40" s="26" t="s">
        <v>76</v>
      </c>
    </row>
    <row r="41" spans="1:4">
      <c r="A41" s="9" t="s">
        <v>245</v>
      </c>
      <c r="B41" s="15">
        <v>33.705052277973301</v>
      </c>
      <c r="C41" s="15">
        <v>37.940074883376198</v>
      </c>
      <c r="D41" s="24">
        <v>34.599160146068598</v>
      </c>
    </row>
    <row r="42" spans="1:4">
      <c r="A42" s="9" t="s">
        <v>246</v>
      </c>
      <c r="B42" s="15">
        <v>10.5843200223712</v>
      </c>
      <c r="C42" s="15">
        <v>10.2487465419646</v>
      </c>
      <c r="D42" s="26" t="s">
        <v>76</v>
      </c>
    </row>
    <row r="43" spans="1:4">
      <c r="A43" s="9" t="s">
        <v>247</v>
      </c>
      <c r="B43" s="15">
        <v>37.692583985749501</v>
      </c>
      <c r="C43" s="15">
        <v>43.9207309877131</v>
      </c>
      <c r="D43" s="24">
        <v>46.6011777163041</v>
      </c>
    </row>
    <row r="44" spans="1:4">
      <c r="A44" s="9" t="s">
        <v>248</v>
      </c>
      <c r="B44" s="15">
        <v>66.899228739536298</v>
      </c>
      <c r="C44" s="15">
        <v>71.3242173029452</v>
      </c>
      <c r="D44" s="24">
        <v>69.126314309495896</v>
      </c>
    </row>
    <row r="45" spans="1:4">
      <c r="A45" s="9" t="s">
        <v>249</v>
      </c>
      <c r="B45" s="15">
        <v>9.2914925888997892</v>
      </c>
      <c r="C45" s="15">
        <v>9.2837086700826106</v>
      </c>
      <c r="D45" s="26" t="s">
        <v>76</v>
      </c>
    </row>
    <row r="46" spans="1:4">
      <c r="A46" s="9" t="s">
        <v>250</v>
      </c>
      <c r="B46" s="15">
        <v>23.488050283756699</v>
      </c>
      <c r="C46" s="15">
        <v>25.290311922895999</v>
      </c>
      <c r="D46" s="24">
        <v>25.0664482701773</v>
      </c>
    </row>
    <row r="47" spans="1:4">
      <c r="A47" s="9" t="s">
        <v>251</v>
      </c>
      <c r="B47" s="15">
        <v>10.284838580417301</v>
      </c>
      <c r="C47" s="15">
        <v>10.115752463839399</v>
      </c>
      <c r="D47" s="26" t="s">
        <v>76</v>
      </c>
    </row>
    <row r="48" spans="1:4">
      <c r="A48" s="9" t="s">
        <v>252</v>
      </c>
      <c r="B48" s="15">
        <v>11.943728709607001</v>
      </c>
      <c r="C48" s="15">
        <v>11.0012130588076</v>
      </c>
      <c r="D48" s="26" t="s">
        <v>76</v>
      </c>
    </row>
    <row r="49" spans="1:4">
      <c r="A49" s="9" t="s">
        <v>253</v>
      </c>
      <c r="B49" s="15">
        <v>14.8823283996048</v>
      </c>
      <c r="C49" s="15">
        <v>20.068120603326498</v>
      </c>
      <c r="D49" s="24">
        <v>19.8598908767616</v>
      </c>
    </row>
    <row r="50" spans="1:4">
      <c r="A50" s="9" t="s">
        <v>254</v>
      </c>
      <c r="B50" s="15">
        <v>61.950155751479997</v>
      </c>
      <c r="C50" s="15">
        <v>62.5090407757273</v>
      </c>
      <c r="D50" s="24">
        <v>60.327202657325799</v>
      </c>
    </row>
    <row r="51" spans="1:4">
      <c r="A51" s="9" t="s">
        <v>255</v>
      </c>
      <c r="B51" s="15">
        <v>37.1566301700135</v>
      </c>
      <c r="C51" s="15">
        <v>39.697520488979599</v>
      </c>
      <c r="D51" s="24">
        <v>33.920235165311702</v>
      </c>
    </row>
    <row r="52" spans="1:4">
      <c r="A52" s="9" t="s">
        <v>256</v>
      </c>
      <c r="B52" s="15">
        <v>19.362555273227901</v>
      </c>
      <c r="C52" s="15">
        <v>24.666924733824601</v>
      </c>
      <c r="D52" s="24">
        <v>20.3546026759497</v>
      </c>
    </row>
    <row r="53" spans="1:4">
      <c r="A53" s="9" t="s">
        <v>257</v>
      </c>
      <c r="B53" s="15">
        <v>34.885010281914397</v>
      </c>
      <c r="C53" s="15">
        <v>36.803359105610397</v>
      </c>
      <c r="D53" s="24">
        <v>32.815079919982701</v>
      </c>
    </row>
    <row r="54" spans="1:4">
      <c r="A54" s="9" t="s">
        <v>258</v>
      </c>
      <c r="B54" s="15">
        <v>42.7523964115707</v>
      </c>
      <c r="C54" s="15">
        <v>42.158709140585003</v>
      </c>
      <c r="D54" s="24">
        <v>38.865313185236701</v>
      </c>
    </row>
    <row r="55" spans="1:4">
      <c r="A55" s="9" t="s">
        <v>259</v>
      </c>
      <c r="B55" s="15">
        <v>7.8051678914053202</v>
      </c>
      <c r="C55" s="15">
        <v>8.0783592777772704</v>
      </c>
      <c r="D55" s="26" t="s">
        <v>76</v>
      </c>
    </row>
    <row r="56" spans="1:4">
      <c r="A56" s="9" t="s">
        <v>260</v>
      </c>
      <c r="B56" s="15">
        <v>16.4798607539228</v>
      </c>
      <c r="C56" s="15">
        <v>18.7318305208792</v>
      </c>
      <c r="D56" s="26" t="s">
        <v>76</v>
      </c>
    </row>
    <row r="57" spans="1:4">
      <c r="A57" s="9" t="s">
        <v>261</v>
      </c>
      <c r="B57" s="15">
        <v>14.0910725341723</v>
      </c>
      <c r="C57" s="15">
        <v>14.0727786538522</v>
      </c>
      <c r="D57" s="26" t="s">
        <v>76</v>
      </c>
    </row>
    <row r="58" spans="1:4">
      <c r="A58" s="9" t="s">
        <v>262</v>
      </c>
      <c r="B58" s="15">
        <v>30.835416077812599</v>
      </c>
      <c r="C58" s="15">
        <v>34.505964169147802</v>
      </c>
      <c r="D58" s="24">
        <v>31.788694079190499</v>
      </c>
    </row>
    <row r="59" spans="1:4">
      <c r="A59" s="9" t="s">
        <v>263</v>
      </c>
      <c r="B59" s="15">
        <v>5.5459997402744703</v>
      </c>
      <c r="C59" s="15">
        <v>4.67636608388014</v>
      </c>
      <c r="D59" s="26" t="s">
        <v>76</v>
      </c>
    </row>
    <row r="60" spans="1:4">
      <c r="A60" s="9" t="s">
        <v>264</v>
      </c>
      <c r="B60" s="15">
        <v>4.7141682936723104</v>
      </c>
      <c r="C60" s="15">
        <v>4.65335841177059</v>
      </c>
      <c r="D60" s="26" t="s">
        <v>76</v>
      </c>
    </row>
    <row r="61" spans="1:4">
      <c r="A61" s="9" t="s">
        <v>265</v>
      </c>
      <c r="B61" s="15">
        <v>5.1664520608661801</v>
      </c>
      <c r="C61" s="15">
        <v>5.1232708543595997</v>
      </c>
      <c r="D61" s="26" t="s">
        <v>76</v>
      </c>
    </row>
    <row r="62" spans="1:4">
      <c r="A62" s="9" t="s">
        <v>266</v>
      </c>
      <c r="B62" s="15">
        <v>6.3390205181594101</v>
      </c>
      <c r="C62" s="15">
        <v>7.8051411636765797</v>
      </c>
      <c r="D62" s="26" t="s">
        <v>76</v>
      </c>
    </row>
    <row r="63" spans="1:4">
      <c r="A63" s="9" t="s">
        <v>267</v>
      </c>
      <c r="B63" s="15">
        <v>16.066222937156201</v>
      </c>
      <c r="C63" s="15">
        <v>15.5235288233734</v>
      </c>
      <c r="D63" s="26" t="s">
        <v>76</v>
      </c>
    </row>
    <row r="64" spans="1:4">
      <c r="A64" s="11" t="s">
        <v>268</v>
      </c>
      <c r="B64" s="16">
        <v>12.9239069677567</v>
      </c>
      <c r="C64" s="16">
        <v>12.9140279761963</v>
      </c>
      <c r="D64" s="29" t="s">
        <v>76</v>
      </c>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280</v>
      </c>
      <c r="B1" s="12"/>
      <c r="C1" s="12"/>
      <c r="D1" s="12"/>
    </row>
    <row r="2" spans="1:4" ht="45">
      <c r="A2" s="7" t="s">
        <v>52</v>
      </c>
      <c r="B2" s="6" t="s">
        <v>68</v>
      </c>
      <c r="C2" s="6" t="s">
        <v>69</v>
      </c>
      <c r="D2" s="8" t="s">
        <v>70</v>
      </c>
    </row>
    <row r="3" spans="1:4">
      <c r="A3" s="40" t="s">
        <v>281</v>
      </c>
      <c r="B3" s="15"/>
      <c r="C3" s="15"/>
      <c r="D3" s="24"/>
    </row>
    <row r="4" spans="1:4">
      <c r="A4" s="9" t="s">
        <v>282</v>
      </c>
      <c r="B4" s="15">
        <v>3.0726654835390099</v>
      </c>
      <c r="C4" s="15">
        <v>3.1753376077663802</v>
      </c>
      <c r="D4" s="26" t="s">
        <v>76</v>
      </c>
    </row>
    <row r="5" spans="1:4">
      <c r="A5" s="9" t="s">
        <v>283</v>
      </c>
      <c r="B5" s="15">
        <v>2.3520398036315102</v>
      </c>
      <c r="C5" s="20" t="s">
        <v>76</v>
      </c>
      <c r="D5" s="26" t="s">
        <v>76</v>
      </c>
    </row>
    <row r="6" spans="1:4">
      <c r="A6" s="9" t="s">
        <v>284</v>
      </c>
      <c r="B6" s="15">
        <v>2.0830717940939598</v>
      </c>
      <c r="C6" s="20" t="s">
        <v>76</v>
      </c>
      <c r="D6" s="26" t="s">
        <v>76</v>
      </c>
    </row>
    <row r="7" spans="1:4">
      <c r="A7" s="9" t="s">
        <v>285</v>
      </c>
      <c r="B7" s="15">
        <v>4.9875520588788103</v>
      </c>
      <c r="C7" s="15">
        <v>4.6852129187582099</v>
      </c>
      <c r="D7" s="26" t="s">
        <v>76</v>
      </c>
    </row>
    <row r="8" spans="1:4">
      <c r="A8" s="9" t="s">
        <v>286</v>
      </c>
      <c r="B8" s="15">
        <v>51.168416618501702</v>
      </c>
      <c r="C8" s="15">
        <v>52.185386725007497</v>
      </c>
      <c r="D8" s="24">
        <v>59.198486417960602</v>
      </c>
    </row>
    <row r="9" spans="1:4">
      <c r="A9" s="9" t="s">
        <v>287</v>
      </c>
      <c r="B9" s="15">
        <v>10.500622089095501</v>
      </c>
      <c r="C9" s="15">
        <v>9.3243364756163096</v>
      </c>
      <c r="D9" s="26" t="s">
        <v>76</v>
      </c>
    </row>
    <row r="10" spans="1:4">
      <c r="A10" s="9" t="s">
        <v>288</v>
      </c>
      <c r="B10" s="15">
        <v>5.2321415135837501</v>
      </c>
      <c r="C10" s="15">
        <v>6.4045385665487098</v>
      </c>
      <c r="D10" s="26" t="s">
        <v>76</v>
      </c>
    </row>
    <row r="11" spans="1:4">
      <c r="A11" s="9" t="s">
        <v>289</v>
      </c>
      <c r="B11" s="15">
        <v>2.9095558413358802</v>
      </c>
      <c r="C11" s="15">
        <v>2.5567349298813</v>
      </c>
      <c r="D11" s="26" t="s">
        <v>76</v>
      </c>
    </row>
    <row r="12" spans="1:4">
      <c r="A12" s="9" t="s">
        <v>290</v>
      </c>
      <c r="B12" s="15">
        <v>1.9796880964030701</v>
      </c>
      <c r="C12" s="20" t="s">
        <v>76</v>
      </c>
      <c r="D12" s="26" t="s">
        <v>76</v>
      </c>
    </row>
    <row r="13" spans="1:4">
      <c r="A13" s="9" t="s">
        <v>291</v>
      </c>
      <c r="B13" s="15">
        <v>1.4113129705726</v>
      </c>
      <c r="C13" s="20" t="s">
        <v>76</v>
      </c>
      <c r="D13" s="26" t="s">
        <v>76</v>
      </c>
    </row>
    <row r="14" spans="1:4">
      <c r="A14" s="9" t="s">
        <v>292</v>
      </c>
      <c r="B14" s="15">
        <v>1.71848533079045</v>
      </c>
      <c r="C14" s="20" t="s">
        <v>76</v>
      </c>
      <c r="D14" s="26" t="s">
        <v>76</v>
      </c>
    </row>
    <row r="15" spans="1:4">
      <c r="A15" s="9" t="s">
        <v>293</v>
      </c>
      <c r="B15" s="15">
        <v>2.8036844010327902</v>
      </c>
      <c r="C15" s="15">
        <v>3.07818740321391</v>
      </c>
      <c r="D15" s="26" t="s">
        <v>76</v>
      </c>
    </row>
    <row r="16" spans="1:4">
      <c r="A16" s="11" t="s">
        <v>294</v>
      </c>
      <c r="B16" s="16">
        <v>13.9673713467108</v>
      </c>
      <c r="C16" s="16">
        <v>15.6855142447767</v>
      </c>
      <c r="D16" s="25">
        <v>15.769455504229899</v>
      </c>
    </row>
    <row r="17" spans="1:1" ht="30" customHeight="1">
      <c r="A17" t="s">
        <v>201</v>
      </c>
    </row>
    <row r="18" spans="1:1">
      <c r="A18" t="s">
        <v>143</v>
      </c>
    </row>
    <row r="19" spans="1:1">
      <c r="A19" t="s">
        <v>144</v>
      </c>
    </row>
    <row r="20" spans="1:1">
      <c r="A20" t="s">
        <v>145</v>
      </c>
    </row>
    <row r="21" spans="1:1">
      <c r="A21" t="s">
        <v>146</v>
      </c>
    </row>
    <row r="22" spans="1:1">
      <c r="A22" t="s">
        <v>147</v>
      </c>
    </row>
    <row r="23" spans="1:1">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88671875" defaultRowHeight="15"/>
  <cols>
    <col min="1" max="1" width="51.6640625" customWidth="1"/>
    <col min="2" max="9" width="15.88671875" customWidth="1"/>
  </cols>
  <sheetData>
    <row r="1" spans="1:9" ht="39.950000000000003" customHeight="1">
      <c r="A1" s="10" t="s">
        <v>295</v>
      </c>
      <c r="B1" s="12"/>
      <c r="C1" s="12"/>
      <c r="D1" s="12"/>
      <c r="E1" s="12"/>
      <c r="F1" s="12"/>
      <c r="G1" s="12"/>
      <c r="H1" s="12"/>
      <c r="I1" s="12"/>
    </row>
    <row r="2" spans="1:9" ht="60">
      <c r="A2" s="7" t="s">
        <v>52</v>
      </c>
      <c r="B2" s="6" t="s">
        <v>296</v>
      </c>
      <c r="C2" s="6" t="s">
        <v>286</v>
      </c>
      <c r="D2" s="6" t="s">
        <v>297</v>
      </c>
      <c r="E2" s="6" t="s">
        <v>298</v>
      </c>
      <c r="F2" s="6" t="s">
        <v>291</v>
      </c>
      <c r="G2" s="6" t="s">
        <v>292</v>
      </c>
      <c r="H2" s="6" t="s">
        <v>293</v>
      </c>
      <c r="I2" s="8" t="s">
        <v>299</v>
      </c>
    </row>
    <row r="3" spans="1:9">
      <c r="A3" s="9" t="s">
        <v>207</v>
      </c>
      <c r="B3" s="20" t="s">
        <v>76</v>
      </c>
      <c r="C3" s="15">
        <v>16.9688186935483</v>
      </c>
      <c r="D3" s="20" t="s">
        <v>76</v>
      </c>
      <c r="E3" s="20" t="s">
        <v>76</v>
      </c>
      <c r="F3" s="20" t="s">
        <v>76</v>
      </c>
      <c r="G3" s="20" t="s">
        <v>76</v>
      </c>
      <c r="H3" s="20" t="s">
        <v>76</v>
      </c>
      <c r="I3" s="26" t="s">
        <v>76</v>
      </c>
    </row>
    <row r="4" spans="1:9">
      <c r="A4" s="9" t="s">
        <v>208</v>
      </c>
      <c r="B4" s="20" t="s">
        <v>76</v>
      </c>
      <c r="C4" s="15">
        <v>18.4465986427474</v>
      </c>
      <c r="D4" s="20" t="s">
        <v>76</v>
      </c>
      <c r="E4" s="20" t="s">
        <v>76</v>
      </c>
      <c r="F4" s="20" t="s">
        <v>76</v>
      </c>
      <c r="G4" s="20" t="s">
        <v>76</v>
      </c>
      <c r="H4" s="20" t="s">
        <v>76</v>
      </c>
      <c r="I4" s="26" t="s">
        <v>76</v>
      </c>
    </row>
    <row r="5" spans="1:9">
      <c r="A5" s="9" t="s">
        <v>209</v>
      </c>
      <c r="B5" s="20" t="s">
        <v>76</v>
      </c>
      <c r="C5" s="15">
        <v>18.2778829365738</v>
      </c>
      <c r="D5" s="20" t="s">
        <v>76</v>
      </c>
      <c r="E5" s="20" t="s">
        <v>76</v>
      </c>
      <c r="F5" s="20" t="s">
        <v>76</v>
      </c>
      <c r="G5" s="20" t="s">
        <v>76</v>
      </c>
      <c r="H5" s="20" t="s">
        <v>76</v>
      </c>
      <c r="I5" s="26" t="s">
        <v>76</v>
      </c>
    </row>
    <row r="6" spans="1:9">
      <c r="A6" s="9" t="s">
        <v>210</v>
      </c>
      <c r="B6" s="20" t="s">
        <v>76</v>
      </c>
      <c r="C6" s="15">
        <v>31.720736587527</v>
      </c>
      <c r="D6" s="20" t="s">
        <v>76</v>
      </c>
      <c r="E6" s="20" t="s">
        <v>76</v>
      </c>
      <c r="F6" s="20" t="s">
        <v>76</v>
      </c>
      <c r="G6" s="20" t="s">
        <v>76</v>
      </c>
      <c r="H6" s="20" t="s">
        <v>76</v>
      </c>
      <c r="I6" s="26" t="s">
        <v>76</v>
      </c>
    </row>
    <row r="7" spans="1:9">
      <c r="A7" s="9" t="s">
        <v>211</v>
      </c>
      <c r="B7" s="20" t="s">
        <v>76</v>
      </c>
      <c r="C7" s="15">
        <v>16.2380217474782</v>
      </c>
      <c r="D7" s="20" t="s">
        <v>76</v>
      </c>
      <c r="E7" s="20" t="s">
        <v>76</v>
      </c>
      <c r="F7" s="20" t="s">
        <v>76</v>
      </c>
      <c r="G7" s="20" t="s">
        <v>76</v>
      </c>
      <c r="H7" s="20" t="s">
        <v>76</v>
      </c>
      <c r="I7" s="26" t="s">
        <v>76</v>
      </c>
    </row>
    <row r="8" spans="1:9">
      <c r="A8" s="9" t="s">
        <v>212</v>
      </c>
      <c r="B8" s="20" t="s">
        <v>76</v>
      </c>
      <c r="C8" s="20" t="s">
        <v>76</v>
      </c>
      <c r="D8" s="20" t="s">
        <v>76</v>
      </c>
      <c r="E8" s="20" t="s">
        <v>76</v>
      </c>
      <c r="F8" s="20" t="s">
        <v>76</v>
      </c>
      <c r="G8" s="20" t="s">
        <v>76</v>
      </c>
      <c r="H8" s="20" t="s">
        <v>76</v>
      </c>
      <c r="I8" s="26" t="s">
        <v>76</v>
      </c>
    </row>
    <row r="9" spans="1:9">
      <c r="A9" s="9" t="s">
        <v>213</v>
      </c>
      <c r="B9" s="20" t="s">
        <v>76</v>
      </c>
      <c r="C9" s="20" t="s">
        <v>76</v>
      </c>
      <c r="D9" s="20" t="s">
        <v>76</v>
      </c>
      <c r="E9" s="20" t="s">
        <v>76</v>
      </c>
      <c r="F9" s="20" t="s">
        <v>76</v>
      </c>
      <c r="G9" s="20" t="s">
        <v>76</v>
      </c>
      <c r="H9" s="20" t="s">
        <v>76</v>
      </c>
      <c r="I9" s="26" t="s">
        <v>76</v>
      </c>
    </row>
    <row r="10" spans="1:9">
      <c r="A10" s="9" t="s">
        <v>214</v>
      </c>
      <c r="B10" s="20" t="s">
        <v>76</v>
      </c>
      <c r="C10" s="20" t="s">
        <v>76</v>
      </c>
      <c r="D10" s="20" t="s">
        <v>76</v>
      </c>
      <c r="E10" s="20" t="s">
        <v>76</v>
      </c>
      <c r="F10" s="20" t="s">
        <v>76</v>
      </c>
      <c r="G10" s="20" t="s">
        <v>76</v>
      </c>
      <c r="H10" s="20" t="s">
        <v>76</v>
      </c>
      <c r="I10" s="26" t="s">
        <v>76</v>
      </c>
    </row>
    <row r="11" spans="1:9">
      <c r="A11" s="9" t="s">
        <v>215</v>
      </c>
      <c r="B11" s="20" t="s">
        <v>76</v>
      </c>
      <c r="C11" s="20" t="s">
        <v>76</v>
      </c>
      <c r="D11" s="20" t="s">
        <v>76</v>
      </c>
      <c r="E11" s="20" t="s">
        <v>76</v>
      </c>
      <c r="F11" s="20" t="s">
        <v>76</v>
      </c>
      <c r="G11" s="20" t="s">
        <v>76</v>
      </c>
      <c r="H11" s="20" t="s">
        <v>76</v>
      </c>
      <c r="I11" s="26" t="s">
        <v>76</v>
      </c>
    </row>
    <row r="12" spans="1:9">
      <c r="A12" s="9" t="s">
        <v>216</v>
      </c>
      <c r="B12" s="20" t="s">
        <v>76</v>
      </c>
      <c r="C12" s="20" t="s">
        <v>76</v>
      </c>
      <c r="D12" s="20" t="s">
        <v>76</v>
      </c>
      <c r="E12" s="20" t="s">
        <v>76</v>
      </c>
      <c r="F12" s="20" t="s">
        <v>76</v>
      </c>
      <c r="G12" s="20" t="s">
        <v>76</v>
      </c>
      <c r="H12" s="20" t="s">
        <v>76</v>
      </c>
      <c r="I12" s="26" t="s">
        <v>76</v>
      </c>
    </row>
    <row r="13" spans="1:9">
      <c r="A13" s="9" t="s">
        <v>217</v>
      </c>
      <c r="B13" s="20" t="s">
        <v>76</v>
      </c>
      <c r="C13" s="20" t="s">
        <v>76</v>
      </c>
      <c r="D13" s="20" t="s">
        <v>76</v>
      </c>
      <c r="E13" s="20" t="s">
        <v>76</v>
      </c>
      <c r="F13" s="20" t="s">
        <v>76</v>
      </c>
      <c r="G13" s="20" t="s">
        <v>76</v>
      </c>
      <c r="H13" s="20" t="s">
        <v>76</v>
      </c>
      <c r="I13" s="26" t="s">
        <v>76</v>
      </c>
    </row>
    <row r="14" spans="1:9">
      <c r="A14" s="9" t="s">
        <v>218</v>
      </c>
      <c r="B14" s="20" t="s">
        <v>76</v>
      </c>
      <c r="C14" s="15">
        <v>22.415320666010299</v>
      </c>
      <c r="D14" s="20" t="s">
        <v>76</v>
      </c>
      <c r="E14" s="20" t="s">
        <v>76</v>
      </c>
      <c r="F14" s="20" t="s">
        <v>76</v>
      </c>
      <c r="G14" s="20" t="s">
        <v>76</v>
      </c>
      <c r="H14" s="20" t="s">
        <v>76</v>
      </c>
      <c r="I14" s="26" t="s">
        <v>76</v>
      </c>
    </row>
    <row r="15" spans="1:9">
      <c r="A15" s="9" t="s">
        <v>219</v>
      </c>
      <c r="B15" s="20" t="s">
        <v>76</v>
      </c>
      <c r="C15" s="15">
        <v>19.295802154754501</v>
      </c>
      <c r="D15" s="20" t="s">
        <v>76</v>
      </c>
      <c r="E15" s="20" t="s">
        <v>76</v>
      </c>
      <c r="F15" s="20" t="s">
        <v>76</v>
      </c>
      <c r="G15" s="20" t="s">
        <v>76</v>
      </c>
      <c r="H15" s="20" t="s">
        <v>76</v>
      </c>
      <c r="I15" s="26" t="s">
        <v>76</v>
      </c>
    </row>
    <row r="16" spans="1:9">
      <c r="A16" s="9" t="s">
        <v>220</v>
      </c>
      <c r="B16" s="20" t="s">
        <v>76</v>
      </c>
      <c r="C16" s="20" t="s">
        <v>76</v>
      </c>
      <c r="D16" s="20" t="s">
        <v>76</v>
      </c>
      <c r="E16" s="20" t="s">
        <v>76</v>
      </c>
      <c r="F16" s="20" t="s">
        <v>76</v>
      </c>
      <c r="G16" s="20" t="s">
        <v>76</v>
      </c>
      <c r="H16" s="20" t="s">
        <v>76</v>
      </c>
      <c r="I16" s="26" t="s">
        <v>76</v>
      </c>
    </row>
    <row r="17" spans="1:9">
      <c r="A17" s="9" t="s">
        <v>221</v>
      </c>
      <c r="B17" s="20" t="s">
        <v>76</v>
      </c>
      <c r="C17" s="15">
        <v>36.489954602818599</v>
      </c>
      <c r="D17" s="20" t="s">
        <v>76</v>
      </c>
      <c r="E17" s="20" t="s">
        <v>76</v>
      </c>
      <c r="F17" s="20" t="s">
        <v>76</v>
      </c>
      <c r="G17" s="20" t="s">
        <v>76</v>
      </c>
      <c r="H17" s="20" t="s">
        <v>76</v>
      </c>
      <c r="I17" s="26" t="s">
        <v>76</v>
      </c>
    </row>
    <row r="18" spans="1:9">
      <c r="A18" s="9" t="s">
        <v>222</v>
      </c>
      <c r="B18" s="20" t="s">
        <v>76</v>
      </c>
      <c r="C18" s="15">
        <v>23.551338829676201</v>
      </c>
      <c r="D18" s="20" t="s">
        <v>76</v>
      </c>
      <c r="E18" s="20" t="s">
        <v>76</v>
      </c>
      <c r="F18" s="20" t="s">
        <v>76</v>
      </c>
      <c r="G18" s="20" t="s">
        <v>76</v>
      </c>
      <c r="H18" s="20" t="s">
        <v>76</v>
      </c>
      <c r="I18" s="26" t="s">
        <v>76</v>
      </c>
    </row>
    <row r="19" spans="1:9">
      <c r="A19" s="9" t="s">
        <v>223</v>
      </c>
      <c r="B19" s="20" t="s">
        <v>76</v>
      </c>
      <c r="C19" s="15">
        <v>27.267492532271</v>
      </c>
      <c r="D19" s="20" t="s">
        <v>76</v>
      </c>
      <c r="E19" s="20" t="s">
        <v>76</v>
      </c>
      <c r="F19" s="20" t="s">
        <v>76</v>
      </c>
      <c r="G19" s="20" t="s">
        <v>76</v>
      </c>
      <c r="H19" s="20" t="s">
        <v>76</v>
      </c>
      <c r="I19" s="26" t="s">
        <v>76</v>
      </c>
    </row>
    <row r="20" spans="1:9">
      <c r="A20" s="9" t="s">
        <v>224</v>
      </c>
      <c r="B20" s="20" t="s">
        <v>76</v>
      </c>
      <c r="C20" s="20" t="s">
        <v>76</v>
      </c>
      <c r="D20" s="20" t="s">
        <v>76</v>
      </c>
      <c r="E20" s="20" t="s">
        <v>76</v>
      </c>
      <c r="F20" s="20" t="s">
        <v>76</v>
      </c>
      <c r="G20" s="20" t="s">
        <v>76</v>
      </c>
      <c r="H20" s="20" t="s">
        <v>76</v>
      </c>
      <c r="I20" s="26" t="s">
        <v>76</v>
      </c>
    </row>
    <row r="21" spans="1:9">
      <c r="A21" s="9" t="s">
        <v>225</v>
      </c>
      <c r="B21" s="20" t="s">
        <v>76</v>
      </c>
      <c r="C21" s="20" t="s">
        <v>76</v>
      </c>
      <c r="D21" s="20" t="s">
        <v>76</v>
      </c>
      <c r="E21" s="20" t="s">
        <v>76</v>
      </c>
      <c r="F21" s="20" t="s">
        <v>76</v>
      </c>
      <c r="G21" s="20" t="s">
        <v>76</v>
      </c>
      <c r="H21" s="20" t="s">
        <v>76</v>
      </c>
      <c r="I21" s="26" t="s">
        <v>76</v>
      </c>
    </row>
    <row r="22" spans="1:9">
      <c r="A22" s="9" t="s">
        <v>226</v>
      </c>
      <c r="B22" s="20" t="s">
        <v>76</v>
      </c>
      <c r="C22" s="20" t="s">
        <v>76</v>
      </c>
      <c r="D22" s="20" t="s">
        <v>76</v>
      </c>
      <c r="E22" s="20" t="s">
        <v>76</v>
      </c>
      <c r="F22" s="20" t="s">
        <v>76</v>
      </c>
      <c r="G22" s="20" t="s">
        <v>76</v>
      </c>
      <c r="H22" s="20" t="s">
        <v>76</v>
      </c>
      <c r="I22" s="26" t="s">
        <v>76</v>
      </c>
    </row>
    <row r="23" spans="1:9">
      <c r="A23" s="9" t="s">
        <v>227</v>
      </c>
      <c r="B23" s="20" t="s">
        <v>76</v>
      </c>
      <c r="C23" s="20" t="s">
        <v>76</v>
      </c>
      <c r="D23" s="20" t="s">
        <v>76</v>
      </c>
      <c r="E23" s="20" t="s">
        <v>76</v>
      </c>
      <c r="F23" s="20" t="s">
        <v>76</v>
      </c>
      <c r="G23" s="20" t="s">
        <v>76</v>
      </c>
      <c r="H23" s="20" t="s">
        <v>76</v>
      </c>
      <c r="I23" s="26" t="s">
        <v>76</v>
      </c>
    </row>
    <row r="24" spans="1:9">
      <c r="A24" s="9" t="s">
        <v>228</v>
      </c>
      <c r="B24" s="20" t="s">
        <v>76</v>
      </c>
      <c r="C24" s="15">
        <v>39.776962803993598</v>
      </c>
      <c r="D24" s="20" t="s">
        <v>76</v>
      </c>
      <c r="E24" s="20" t="s">
        <v>76</v>
      </c>
      <c r="F24" s="20" t="s">
        <v>76</v>
      </c>
      <c r="G24" s="20" t="s">
        <v>76</v>
      </c>
      <c r="H24" s="20" t="s">
        <v>76</v>
      </c>
      <c r="I24" s="26" t="s">
        <v>76</v>
      </c>
    </row>
    <row r="25" spans="1:9">
      <c r="A25" s="9" t="s">
        <v>229</v>
      </c>
      <c r="B25" s="20" t="s">
        <v>76</v>
      </c>
      <c r="C25" s="20" t="s">
        <v>76</v>
      </c>
      <c r="D25" s="20" t="s">
        <v>76</v>
      </c>
      <c r="E25" s="20" t="s">
        <v>76</v>
      </c>
      <c r="F25" s="20" t="s">
        <v>76</v>
      </c>
      <c r="G25" s="20" t="s">
        <v>76</v>
      </c>
      <c r="H25" s="20" t="s">
        <v>76</v>
      </c>
      <c r="I25" s="26" t="s">
        <v>76</v>
      </c>
    </row>
    <row r="26" spans="1:9">
      <c r="A26" s="9" t="s">
        <v>230</v>
      </c>
      <c r="B26" s="20" t="s">
        <v>76</v>
      </c>
      <c r="C26" s="15">
        <v>18.561117198921899</v>
      </c>
      <c r="D26" s="20" t="s">
        <v>76</v>
      </c>
      <c r="E26" s="20" t="s">
        <v>76</v>
      </c>
      <c r="F26" s="20" t="s">
        <v>76</v>
      </c>
      <c r="G26" s="20" t="s">
        <v>76</v>
      </c>
      <c r="H26" s="20" t="s">
        <v>76</v>
      </c>
      <c r="I26" s="26" t="s">
        <v>76</v>
      </c>
    </row>
    <row r="27" spans="1:9">
      <c r="A27" s="9" t="s">
        <v>231</v>
      </c>
      <c r="B27" s="20" t="s">
        <v>76</v>
      </c>
      <c r="C27" s="20" t="s">
        <v>76</v>
      </c>
      <c r="D27" s="20" t="s">
        <v>76</v>
      </c>
      <c r="E27" s="20" t="s">
        <v>76</v>
      </c>
      <c r="F27" s="20" t="s">
        <v>76</v>
      </c>
      <c r="G27" s="20" t="s">
        <v>76</v>
      </c>
      <c r="H27" s="20" t="s">
        <v>76</v>
      </c>
      <c r="I27" s="26" t="s">
        <v>76</v>
      </c>
    </row>
    <row r="28" spans="1:9">
      <c r="A28" s="9" t="s">
        <v>232</v>
      </c>
      <c r="B28" s="20" t="s">
        <v>76</v>
      </c>
      <c r="C28" s="20" t="s">
        <v>76</v>
      </c>
      <c r="D28" s="20" t="s">
        <v>76</v>
      </c>
      <c r="E28" s="20" t="s">
        <v>76</v>
      </c>
      <c r="F28" s="20" t="s">
        <v>76</v>
      </c>
      <c r="G28" s="20" t="s">
        <v>76</v>
      </c>
      <c r="H28" s="20" t="s">
        <v>76</v>
      </c>
      <c r="I28" s="26" t="s">
        <v>76</v>
      </c>
    </row>
    <row r="29" spans="1:9">
      <c r="A29" s="9" t="s">
        <v>233</v>
      </c>
      <c r="B29" s="20" t="s">
        <v>76</v>
      </c>
      <c r="C29" s="20" t="s">
        <v>76</v>
      </c>
      <c r="D29" s="20" t="s">
        <v>76</v>
      </c>
      <c r="E29" s="20" t="s">
        <v>76</v>
      </c>
      <c r="F29" s="20" t="s">
        <v>76</v>
      </c>
      <c r="G29" s="20" t="s">
        <v>76</v>
      </c>
      <c r="H29" s="20" t="s">
        <v>76</v>
      </c>
      <c r="I29" s="26" t="s">
        <v>76</v>
      </c>
    </row>
    <row r="30" spans="1:9">
      <c r="A30" s="9" t="s">
        <v>234</v>
      </c>
      <c r="B30" s="20" t="s">
        <v>76</v>
      </c>
      <c r="C30" s="20" t="s">
        <v>76</v>
      </c>
      <c r="D30" s="20" t="s">
        <v>76</v>
      </c>
      <c r="E30" s="20" t="s">
        <v>76</v>
      </c>
      <c r="F30" s="20" t="s">
        <v>76</v>
      </c>
      <c r="G30" s="20" t="s">
        <v>76</v>
      </c>
      <c r="H30" s="20" t="s">
        <v>76</v>
      </c>
      <c r="I30" s="26" t="s">
        <v>76</v>
      </c>
    </row>
    <row r="31" spans="1:9">
      <c r="A31" s="9" t="s">
        <v>235</v>
      </c>
      <c r="B31" s="20" t="s">
        <v>76</v>
      </c>
      <c r="C31" s="20" t="s">
        <v>76</v>
      </c>
      <c r="D31" s="20" t="s">
        <v>76</v>
      </c>
      <c r="E31" s="20" t="s">
        <v>76</v>
      </c>
      <c r="F31" s="20" t="s">
        <v>76</v>
      </c>
      <c r="G31" s="20" t="s">
        <v>76</v>
      </c>
      <c r="H31" s="20" t="s">
        <v>76</v>
      </c>
      <c r="I31" s="26" t="s">
        <v>76</v>
      </c>
    </row>
    <row r="32" spans="1:9">
      <c r="A32" s="9" t="s">
        <v>236</v>
      </c>
      <c r="B32" s="20" t="s">
        <v>76</v>
      </c>
      <c r="C32" s="20" t="s">
        <v>76</v>
      </c>
      <c r="D32" s="20" t="s">
        <v>76</v>
      </c>
      <c r="E32" s="20" t="s">
        <v>76</v>
      </c>
      <c r="F32" s="20" t="s">
        <v>76</v>
      </c>
      <c r="G32" s="20" t="s">
        <v>76</v>
      </c>
      <c r="H32" s="20" t="s">
        <v>76</v>
      </c>
      <c r="I32" s="26" t="s">
        <v>76</v>
      </c>
    </row>
    <row r="33" spans="1:9">
      <c r="A33" s="9" t="s">
        <v>237</v>
      </c>
      <c r="B33" s="20" t="s">
        <v>76</v>
      </c>
      <c r="C33" s="20" t="s">
        <v>76</v>
      </c>
      <c r="D33" s="20" t="s">
        <v>76</v>
      </c>
      <c r="E33" s="20" t="s">
        <v>76</v>
      </c>
      <c r="F33" s="20" t="s">
        <v>76</v>
      </c>
      <c r="G33" s="20" t="s">
        <v>76</v>
      </c>
      <c r="H33" s="20" t="s">
        <v>76</v>
      </c>
      <c r="I33" s="26" t="s">
        <v>76</v>
      </c>
    </row>
    <row r="34" spans="1:9">
      <c r="A34" s="9" t="s">
        <v>238</v>
      </c>
      <c r="B34" s="20" t="s">
        <v>76</v>
      </c>
      <c r="C34" s="20" t="s">
        <v>76</v>
      </c>
      <c r="D34" s="20" t="s">
        <v>76</v>
      </c>
      <c r="E34" s="20" t="s">
        <v>76</v>
      </c>
      <c r="F34" s="20" t="s">
        <v>76</v>
      </c>
      <c r="G34" s="20" t="s">
        <v>76</v>
      </c>
      <c r="H34" s="20" t="s">
        <v>76</v>
      </c>
      <c r="I34" s="26" t="s">
        <v>76</v>
      </c>
    </row>
    <row r="35" spans="1:9">
      <c r="A35" s="9" t="s">
        <v>239</v>
      </c>
      <c r="B35" s="20" t="s">
        <v>76</v>
      </c>
      <c r="C35" s="20" t="s">
        <v>76</v>
      </c>
      <c r="D35" s="20" t="s">
        <v>76</v>
      </c>
      <c r="E35" s="20" t="s">
        <v>76</v>
      </c>
      <c r="F35" s="20" t="s">
        <v>76</v>
      </c>
      <c r="G35" s="20" t="s">
        <v>76</v>
      </c>
      <c r="H35" s="20" t="s">
        <v>76</v>
      </c>
      <c r="I35" s="26" t="s">
        <v>76</v>
      </c>
    </row>
    <row r="36" spans="1:9">
      <c r="A36" s="9" t="s">
        <v>240</v>
      </c>
      <c r="B36" s="20" t="s">
        <v>76</v>
      </c>
      <c r="C36" s="15">
        <v>18.936502701759501</v>
      </c>
      <c r="D36" s="20" t="s">
        <v>76</v>
      </c>
      <c r="E36" s="20" t="s">
        <v>76</v>
      </c>
      <c r="F36" s="20" t="s">
        <v>76</v>
      </c>
      <c r="G36" s="20" t="s">
        <v>76</v>
      </c>
      <c r="H36" s="20" t="s">
        <v>76</v>
      </c>
      <c r="I36" s="26" t="s">
        <v>76</v>
      </c>
    </row>
    <row r="37" spans="1:9">
      <c r="A37" s="9" t="s">
        <v>241</v>
      </c>
      <c r="B37" s="20" t="s">
        <v>76</v>
      </c>
      <c r="C37" s="20" t="s">
        <v>76</v>
      </c>
      <c r="D37" s="20" t="s">
        <v>76</v>
      </c>
      <c r="E37" s="20" t="s">
        <v>76</v>
      </c>
      <c r="F37" s="20" t="s">
        <v>76</v>
      </c>
      <c r="G37" s="20" t="s">
        <v>76</v>
      </c>
      <c r="H37" s="20" t="s">
        <v>76</v>
      </c>
      <c r="I37" s="26" t="s">
        <v>76</v>
      </c>
    </row>
    <row r="38" spans="1:9">
      <c r="A38" s="9" t="s">
        <v>242</v>
      </c>
      <c r="B38" s="20" t="s">
        <v>76</v>
      </c>
      <c r="C38" s="15">
        <v>17.4781265761345</v>
      </c>
      <c r="D38" s="20" t="s">
        <v>76</v>
      </c>
      <c r="E38" s="20" t="s">
        <v>76</v>
      </c>
      <c r="F38" s="20" t="s">
        <v>76</v>
      </c>
      <c r="G38" s="20" t="s">
        <v>76</v>
      </c>
      <c r="H38" s="20" t="s">
        <v>76</v>
      </c>
      <c r="I38" s="26" t="s">
        <v>76</v>
      </c>
    </row>
    <row r="39" spans="1:9">
      <c r="A39" s="9" t="s">
        <v>243</v>
      </c>
      <c r="B39" s="20" t="s">
        <v>76</v>
      </c>
      <c r="C39" s="15">
        <v>25.262971394809298</v>
      </c>
      <c r="D39" s="20" t="s">
        <v>76</v>
      </c>
      <c r="E39" s="20" t="s">
        <v>76</v>
      </c>
      <c r="F39" s="20" t="s">
        <v>76</v>
      </c>
      <c r="G39" s="20" t="s">
        <v>76</v>
      </c>
      <c r="H39" s="20" t="s">
        <v>76</v>
      </c>
      <c r="I39" s="26" t="s">
        <v>76</v>
      </c>
    </row>
    <row r="40" spans="1:9">
      <c r="A40" s="9" t="s">
        <v>244</v>
      </c>
      <c r="B40" s="20" t="s">
        <v>76</v>
      </c>
      <c r="C40" s="20" t="s">
        <v>76</v>
      </c>
      <c r="D40" s="20" t="s">
        <v>76</v>
      </c>
      <c r="E40" s="20" t="s">
        <v>76</v>
      </c>
      <c r="F40" s="20" t="s">
        <v>76</v>
      </c>
      <c r="G40" s="20" t="s">
        <v>76</v>
      </c>
      <c r="H40" s="20" t="s">
        <v>76</v>
      </c>
      <c r="I40" s="26" t="s">
        <v>76</v>
      </c>
    </row>
    <row r="41" spans="1:9">
      <c r="A41" s="9" t="s">
        <v>245</v>
      </c>
      <c r="B41" s="20" t="s">
        <v>76</v>
      </c>
      <c r="C41" s="15">
        <v>22.092489001763699</v>
      </c>
      <c r="D41" s="20" t="s">
        <v>76</v>
      </c>
      <c r="E41" s="20" t="s">
        <v>76</v>
      </c>
      <c r="F41" s="20" t="s">
        <v>76</v>
      </c>
      <c r="G41" s="20" t="s">
        <v>76</v>
      </c>
      <c r="H41" s="20" t="s">
        <v>76</v>
      </c>
      <c r="I41" s="26" t="s">
        <v>76</v>
      </c>
    </row>
    <row r="42" spans="1:9">
      <c r="A42" s="9" t="s">
        <v>246</v>
      </c>
      <c r="B42" s="20" t="s">
        <v>76</v>
      </c>
      <c r="C42" s="20" t="s">
        <v>76</v>
      </c>
      <c r="D42" s="20" t="s">
        <v>76</v>
      </c>
      <c r="E42" s="20" t="s">
        <v>76</v>
      </c>
      <c r="F42" s="20" t="s">
        <v>76</v>
      </c>
      <c r="G42" s="20" t="s">
        <v>76</v>
      </c>
      <c r="H42" s="20" t="s">
        <v>76</v>
      </c>
      <c r="I42" s="26" t="s">
        <v>76</v>
      </c>
    </row>
    <row r="43" spans="1:9">
      <c r="A43" s="9" t="s">
        <v>247</v>
      </c>
      <c r="B43" s="20" t="s">
        <v>76</v>
      </c>
      <c r="C43" s="15">
        <v>30.3946554595605</v>
      </c>
      <c r="D43" s="20" t="s">
        <v>76</v>
      </c>
      <c r="E43" s="20" t="s">
        <v>76</v>
      </c>
      <c r="F43" s="20" t="s">
        <v>76</v>
      </c>
      <c r="G43" s="20" t="s">
        <v>76</v>
      </c>
      <c r="H43" s="20" t="s">
        <v>76</v>
      </c>
      <c r="I43" s="26" t="s">
        <v>76</v>
      </c>
    </row>
    <row r="44" spans="1:9">
      <c r="A44" s="9" t="s">
        <v>248</v>
      </c>
      <c r="B44" s="20" t="s">
        <v>76</v>
      </c>
      <c r="C44" s="15">
        <v>43.768663812029097</v>
      </c>
      <c r="D44" s="20" t="s">
        <v>76</v>
      </c>
      <c r="E44" s="20" t="s">
        <v>76</v>
      </c>
      <c r="F44" s="20" t="s">
        <v>76</v>
      </c>
      <c r="G44" s="20" t="s">
        <v>76</v>
      </c>
      <c r="H44" s="20" t="s">
        <v>76</v>
      </c>
      <c r="I44" s="26" t="s">
        <v>76</v>
      </c>
    </row>
    <row r="45" spans="1:9">
      <c r="A45" s="9" t="s">
        <v>249</v>
      </c>
      <c r="B45" s="20" t="s">
        <v>76</v>
      </c>
      <c r="C45" s="20" t="s">
        <v>76</v>
      </c>
      <c r="D45" s="20" t="s">
        <v>76</v>
      </c>
      <c r="E45" s="20" t="s">
        <v>76</v>
      </c>
      <c r="F45" s="20" t="s">
        <v>76</v>
      </c>
      <c r="G45" s="20" t="s">
        <v>76</v>
      </c>
      <c r="H45" s="20" t="s">
        <v>76</v>
      </c>
      <c r="I45" s="26" t="s">
        <v>76</v>
      </c>
    </row>
    <row r="46" spans="1:9">
      <c r="A46" s="9" t="s">
        <v>250</v>
      </c>
      <c r="B46" s="20" t="s">
        <v>76</v>
      </c>
      <c r="C46" s="20" t="s">
        <v>76</v>
      </c>
      <c r="D46" s="20" t="s">
        <v>76</v>
      </c>
      <c r="E46" s="20" t="s">
        <v>76</v>
      </c>
      <c r="F46" s="20" t="s">
        <v>76</v>
      </c>
      <c r="G46" s="20" t="s">
        <v>76</v>
      </c>
      <c r="H46" s="20" t="s">
        <v>76</v>
      </c>
      <c r="I46" s="26" t="s">
        <v>76</v>
      </c>
    </row>
    <row r="47" spans="1:9">
      <c r="A47" s="9" t="s">
        <v>251</v>
      </c>
      <c r="B47" s="20" t="s">
        <v>76</v>
      </c>
      <c r="C47" s="20" t="s">
        <v>76</v>
      </c>
      <c r="D47" s="20" t="s">
        <v>76</v>
      </c>
      <c r="E47" s="20" t="s">
        <v>76</v>
      </c>
      <c r="F47" s="20" t="s">
        <v>76</v>
      </c>
      <c r="G47" s="20" t="s">
        <v>76</v>
      </c>
      <c r="H47" s="20" t="s">
        <v>76</v>
      </c>
      <c r="I47" s="26" t="s">
        <v>76</v>
      </c>
    </row>
    <row r="48" spans="1:9">
      <c r="A48" s="9" t="s">
        <v>252</v>
      </c>
      <c r="B48" s="20" t="s">
        <v>76</v>
      </c>
      <c r="C48" s="20" t="s">
        <v>76</v>
      </c>
      <c r="D48" s="20" t="s">
        <v>76</v>
      </c>
      <c r="E48" s="20" t="s">
        <v>76</v>
      </c>
      <c r="F48" s="20" t="s">
        <v>76</v>
      </c>
      <c r="G48" s="20" t="s">
        <v>76</v>
      </c>
      <c r="H48" s="20" t="s">
        <v>76</v>
      </c>
      <c r="I48" s="26" t="s">
        <v>76</v>
      </c>
    </row>
    <row r="49" spans="1:9">
      <c r="A49" s="9" t="s">
        <v>253</v>
      </c>
      <c r="B49" s="20" t="s">
        <v>76</v>
      </c>
      <c r="C49" s="20" t="s">
        <v>76</v>
      </c>
      <c r="D49" s="20" t="s">
        <v>76</v>
      </c>
      <c r="E49" s="20" t="s">
        <v>76</v>
      </c>
      <c r="F49" s="20" t="s">
        <v>76</v>
      </c>
      <c r="G49" s="20" t="s">
        <v>76</v>
      </c>
      <c r="H49" s="20" t="s">
        <v>76</v>
      </c>
      <c r="I49" s="26" t="s">
        <v>76</v>
      </c>
    </row>
    <row r="50" spans="1:9">
      <c r="A50" s="9" t="s">
        <v>254</v>
      </c>
      <c r="B50" s="20" t="s">
        <v>76</v>
      </c>
      <c r="C50" s="15">
        <v>39.376143129983099</v>
      </c>
      <c r="D50" s="20" t="s">
        <v>76</v>
      </c>
      <c r="E50" s="20" t="s">
        <v>76</v>
      </c>
      <c r="F50" s="20" t="s">
        <v>76</v>
      </c>
      <c r="G50" s="20" t="s">
        <v>76</v>
      </c>
      <c r="H50" s="20" t="s">
        <v>76</v>
      </c>
      <c r="I50" s="26" t="s">
        <v>76</v>
      </c>
    </row>
    <row r="51" spans="1:9">
      <c r="A51" s="9" t="s">
        <v>255</v>
      </c>
      <c r="B51" s="20" t="s">
        <v>76</v>
      </c>
      <c r="C51" s="15">
        <v>22.892245397389299</v>
      </c>
      <c r="D51" s="20" t="s">
        <v>76</v>
      </c>
      <c r="E51" s="20" t="s">
        <v>76</v>
      </c>
      <c r="F51" s="20" t="s">
        <v>76</v>
      </c>
      <c r="G51" s="20" t="s">
        <v>76</v>
      </c>
      <c r="H51" s="20" t="s">
        <v>76</v>
      </c>
      <c r="I51" s="26" t="s">
        <v>76</v>
      </c>
    </row>
    <row r="52" spans="1:9">
      <c r="A52" s="9" t="s">
        <v>256</v>
      </c>
      <c r="B52" s="20" t="s">
        <v>76</v>
      </c>
      <c r="C52" s="20" t="s">
        <v>76</v>
      </c>
      <c r="D52" s="20" t="s">
        <v>76</v>
      </c>
      <c r="E52" s="20" t="s">
        <v>76</v>
      </c>
      <c r="F52" s="20" t="s">
        <v>76</v>
      </c>
      <c r="G52" s="20" t="s">
        <v>76</v>
      </c>
      <c r="H52" s="20" t="s">
        <v>76</v>
      </c>
      <c r="I52" s="26" t="s">
        <v>76</v>
      </c>
    </row>
    <row r="53" spans="1:9">
      <c r="A53" s="9" t="s">
        <v>257</v>
      </c>
      <c r="B53" s="20" t="s">
        <v>76</v>
      </c>
      <c r="C53" s="15">
        <v>19.035088310782498</v>
      </c>
      <c r="D53" s="20" t="s">
        <v>76</v>
      </c>
      <c r="E53" s="20" t="s">
        <v>76</v>
      </c>
      <c r="F53" s="20" t="s">
        <v>76</v>
      </c>
      <c r="G53" s="20" t="s">
        <v>76</v>
      </c>
      <c r="H53" s="20" t="s">
        <v>76</v>
      </c>
      <c r="I53" s="26" t="s">
        <v>76</v>
      </c>
    </row>
    <row r="54" spans="1:9">
      <c r="A54" s="9" t="s">
        <v>258</v>
      </c>
      <c r="B54" s="20" t="s">
        <v>76</v>
      </c>
      <c r="C54" s="15">
        <v>25.227598647792799</v>
      </c>
      <c r="D54" s="20" t="s">
        <v>76</v>
      </c>
      <c r="E54" s="20" t="s">
        <v>76</v>
      </c>
      <c r="F54" s="20" t="s">
        <v>76</v>
      </c>
      <c r="G54" s="20" t="s">
        <v>76</v>
      </c>
      <c r="H54" s="20" t="s">
        <v>76</v>
      </c>
      <c r="I54" s="26" t="s">
        <v>76</v>
      </c>
    </row>
    <row r="55" spans="1:9">
      <c r="A55" s="9" t="s">
        <v>259</v>
      </c>
      <c r="B55" s="20" t="s">
        <v>76</v>
      </c>
      <c r="C55" s="20" t="s">
        <v>76</v>
      </c>
      <c r="D55" s="20" t="s">
        <v>76</v>
      </c>
      <c r="E55" s="20" t="s">
        <v>76</v>
      </c>
      <c r="F55" s="20" t="s">
        <v>76</v>
      </c>
      <c r="G55" s="20" t="s">
        <v>76</v>
      </c>
      <c r="H55" s="20" t="s">
        <v>76</v>
      </c>
      <c r="I55" s="26" t="s">
        <v>76</v>
      </c>
    </row>
    <row r="56" spans="1:9">
      <c r="A56" s="9" t="s">
        <v>260</v>
      </c>
      <c r="B56" s="20" t="s">
        <v>76</v>
      </c>
      <c r="C56" s="20" t="s">
        <v>76</v>
      </c>
      <c r="D56" s="20" t="s">
        <v>76</v>
      </c>
      <c r="E56" s="20" t="s">
        <v>76</v>
      </c>
      <c r="F56" s="20" t="s">
        <v>76</v>
      </c>
      <c r="G56" s="20" t="s">
        <v>76</v>
      </c>
      <c r="H56" s="20" t="s">
        <v>76</v>
      </c>
      <c r="I56" s="26" t="s">
        <v>76</v>
      </c>
    </row>
    <row r="57" spans="1:9">
      <c r="A57" s="9" t="s">
        <v>261</v>
      </c>
      <c r="B57" s="20" t="s">
        <v>76</v>
      </c>
      <c r="C57" s="20" t="s">
        <v>76</v>
      </c>
      <c r="D57" s="20" t="s">
        <v>76</v>
      </c>
      <c r="E57" s="20" t="s">
        <v>76</v>
      </c>
      <c r="F57" s="20" t="s">
        <v>76</v>
      </c>
      <c r="G57" s="20" t="s">
        <v>76</v>
      </c>
      <c r="H57" s="20" t="s">
        <v>76</v>
      </c>
      <c r="I57" s="26" t="s">
        <v>76</v>
      </c>
    </row>
    <row r="58" spans="1:9">
      <c r="A58" s="9" t="s">
        <v>262</v>
      </c>
      <c r="B58" s="20" t="s">
        <v>76</v>
      </c>
      <c r="C58" s="20" t="s">
        <v>76</v>
      </c>
      <c r="D58" s="20" t="s">
        <v>76</v>
      </c>
      <c r="E58" s="20" t="s">
        <v>76</v>
      </c>
      <c r="F58" s="20" t="s">
        <v>76</v>
      </c>
      <c r="G58" s="20" t="s">
        <v>76</v>
      </c>
      <c r="H58" s="20" t="s">
        <v>76</v>
      </c>
      <c r="I58" s="26" t="s">
        <v>76</v>
      </c>
    </row>
    <row r="59" spans="1:9">
      <c r="A59" s="9" t="s">
        <v>263</v>
      </c>
      <c r="B59" s="20" t="s">
        <v>76</v>
      </c>
      <c r="C59" s="20" t="s">
        <v>76</v>
      </c>
      <c r="D59" s="20" t="s">
        <v>76</v>
      </c>
      <c r="E59" s="20" t="s">
        <v>76</v>
      </c>
      <c r="F59" s="20" t="s">
        <v>76</v>
      </c>
      <c r="G59" s="20" t="s">
        <v>76</v>
      </c>
      <c r="H59" s="20" t="s">
        <v>76</v>
      </c>
      <c r="I59" s="26" t="s">
        <v>76</v>
      </c>
    </row>
    <row r="60" spans="1:9">
      <c r="A60" s="9" t="s">
        <v>264</v>
      </c>
      <c r="B60" s="20" t="s">
        <v>76</v>
      </c>
      <c r="C60" s="20" t="s">
        <v>76</v>
      </c>
      <c r="D60" s="20" t="s">
        <v>76</v>
      </c>
      <c r="E60" s="20" t="s">
        <v>76</v>
      </c>
      <c r="F60" s="20" t="s">
        <v>76</v>
      </c>
      <c r="G60" s="20" t="s">
        <v>76</v>
      </c>
      <c r="H60" s="20" t="s">
        <v>76</v>
      </c>
      <c r="I60" s="26" t="s">
        <v>76</v>
      </c>
    </row>
    <row r="61" spans="1:9">
      <c r="A61" s="9" t="s">
        <v>265</v>
      </c>
      <c r="B61" s="20" t="s">
        <v>76</v>
      </c>
      <c r="C61" s="20" t="s">
        <v>76</v>
      </c>
      <c r="D61" s="20" t="s">
        <v>76</v>
      </c>
      <c r="E61" s="20" t="s">
        <v>76</v>
      </c>
      <c r="F61" s="20" t="s">
        <v>76</v>
      </c>
      <c r="G61" s="20" t="s">
        <v>76</v>
      </c>
      <c r="H61" s="20" t="s">
        <v>76</v>
      </c>
      <c r="I61" s="26" t="s">
        <v>76</v>
      </c>
    </row>
    <row r="62" spans="1:9">
      <c r="A62" s="9" t="s">
        <v>266</v>
      </c>
      <c r="B62" s="20" t="s">
        <v>76</v>
      </c>
      <c r="C62" s="20" t="s">
        <v>76</v>
      </c>
      <c r="D62" s="20" t="s">
        <v>76</v>
      </c>
      <c r="E62" s="20" t="s">
        <v>76</v>
      </c>
      <c r="F62" s="20" t="s">
        <v>76</v>
      </c>
      <c r="G62" s="20" t="s">
        <v>76</v>
      </c>
      <c r="H62" s="20" t="s">
        <v>76</v>
      </c>
      <c r="I62" s="26" t="s">
        <v>76</v>
      </c>
    </row>
    <row r="63" spans="1:9">
      <c r="A63" s="9" t="s">
        <v>267</v>
      </c>
      <c r="B63" s="20" t="s">
        <v>76</v>
      </c>
      <c r="C63" s="20" t="s">
        <v>76</v>
      </c>
      <c r="D63" s="20" t="s">
        <v>76</v>
      </c>
      <c r="E63" s="20" t="s">
        <v>76</v>
      </c>
      <c r="F63" s="20" t="s">
        <v>76</v>
      </c>
      <c r="G63" s="20" t="s">
        <v>76</v>
      </c>
      <c r="H63" s="20" t="s">
        <v>76</v>
      </c>
      <c r="I63" s="26" t="s">
        <v>76</v>
      </c>
    </row>
    <row r="64" spans="1:9">
      <c r="A64" s="11" t="s">
        <v>268</v>
      </c>
      <c r="B64" s="28" t="s">
        <v>76</v>
      </c>
      <c r="C64" s="28" t="s">
        <v>76</v>
      </c>
      <c r="D64" s="28" t="s">
        <v>76</v>
      </c>
      <c r="E64" s="28" t="s">
        <v>76</v>
      </c>
      <c r="F64" s="28" t="s">
        <v>76</v>
      </c>
      <c r="G64" s="28" t="s">
        <v>76</v>
      </c>
      <c r="H64" s="28" t="s">
        <v>76</v>
      </c>
      <c r="I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300</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28.9118832736667</v>
      </c>
      <c r="C3" s="15">
        <v>31.901315016835898</v>
      </c>
      <c r="D3" s="24">
        <v>26.5910958753065</v>
      </c>
      <c r="E3" s="15">
        <v>28.222568700679801</v>
      </c>
      <c r="F3" s="15">
        <v>33.330360347621699</v>
      </c>
      <c r="G3" s="24">
        <v>24.095748010813601</v>
      </c>
      <c r="H3" s="15">
        <v>29.003567615600399</v>
      </c>
      <c r="I3" s="15">
        <v>30.086629326236199</v>
      </c>
      <c r="J3" s="24">
        <v>28.163784929044699</v>
      </c>
      <c r="K3" s="20" t="s">
        <v>76</v>
      </c>
      <c r="L3" s="20" t="s">
        <v>76</v>
      </c>
      <c r="M3" s="26" t="s">
        <v>76</v>
      </c>
      <c r="N3" s="15">
        <v>43.720019242554699</v>
      </c>
      <c r="O3" s="20" t="s">
        <v>76</v>
      </c>
      <c r="P3" s="26" t="s">
        <v>76</v>
      </c>
    </row>
    <row r="4" spans="1:16">
      <c r="A4" s="9" t="s">
        <v>208</v>
      </c>
      <c r="B4" s="15">
        <v>19.465285698498</v>
      </c>
      <c r="C4" s="15">
        <v>21.258372355916102</v>
      </c>
      <c r="D4" s="24">
        <v>18.073257622188098</v>
      </c>
      <c r="E4" s="15">
        <v>17.806993890763099</v>
      </c>
      <c r="F4" s="15">
        <v>19.4736537987541</v>
      </c>
      <c r="G4" s="24">
        <v>16.4604224041626</v>
      </c>
      <c r="H4" s="15">
        <v>21.540378684664802</v>
      </c>
      <c r="I4" s="15">
        <v>23.302270073018502</v>
      </c>
      <c r="J4" s="24">
        <v>20.174246109760698</v>
      </c>
      <c r="K4" s="20" t="s">
        <v>76</v>
      </c>
      <c r="L4" s="20" t="s">
        <v>76</v>
      </c>
      <c r="M4" s="26" t="s">
        <v>76</v>
      </c>
      <c r="N4" s="20" t="s">
        <v>76</v>
      </c>
      <c r="O4" s="20" t="s">
        <v>76</v>
      </c>
      <c r="P4" s="26" t="s">
        <v>76</v>
      </c>
    </row>
    <row r="5" spans="1:16">
      <c r="A5" s="9" t="s">
        <v>209</v>
      </c>
      <c r="B5" s="15">
        <v>23.336832450273</v>
      </c>
      <c r="C5" s="15">
        <v>16.328827504380801</v>
      </c>
      <c r="D5" s="24">
        <v>28.777361274266202</v>
      </c>
      <c r="E5" s="15">
        <v>20.548997974581901</v>
      </c>
      <c r="F5" s="15">
        <v>16.682688998237499</v>
      </c>
      <c r="G5" s="24">
        <v>23.672767497668499</v>
      </c>
      <c r="H5" s="15">
        <v>26.4042336038389</v>
      </c>
      <c r="I5" s="15">
        <v>15.7724052049157</v>
      </c>
      <c r="J5" s="24">
        <v>34.647923993932203</v>
      </c>
      <c r="K5" s="20" t="s">
        <v>76</v>
      </c>
      <c r="L5" s="20" t="s">
        <v>76</v>
      </c>
      <c r="M5" s="26" t="s">
        <v>76</v>
      </c>
      <c r="N5" s="20" t="s">
        <v>76</v>
      </c>
      <c r="O5" s="20" t="s">
        <v>76</v>
      </c>
      <c r="P5" s="26" t="s">
        <v>76</v>
      </c>
    </row>
    <row r="6" spans="1:16">
      <c r="A6" s="9" t="s">
        <v>210</v>
      </c>
      <c r="B6" s="15">
        <v>41.586774458551702</v>
      </c>
      <c r="C6" s="15">
        <v>47.429492724271597</v>
      </c>
      <c r="D6" s="24">
        <v>37.050893365352302</v>
      </c>
      <c r="E6" s="15">
        <v>46.6531743332174</v>
      </c>
      <c r="F6" s="15">
        <v>52.026565411464603</v>
      </c>
      <c r="G6" s="24">
        <v>42.311763600512599</v>
      </c>
      <c r="H6" s="15">
        <v>37.055412094647103</v>
      </c>
      <c r="I6" s="15">
        <v>42.988341817834701</v>
      </c>
      <c r="J6" s="24">
        <v>32.455146372798701</v>
      </c>
      <c r="K6" s="20" t="s">
        <v>76</v>
      </c>
      <c r="L6" s="20" t="s">
        <v>76</v>
      </c>
      <c r="M6" s="26" t="s">
        <v>76</v>
      </c>
      <c r="N6" s="20" t="s">
        <v>76</v>
      </c>
      <c r="O6" s="20" t="s">
        <v>76</v>
      </c>
      <c r="P6" s="26" t="s">
        <v>76</v>
      </c>
    </row>
    <row r="7" spans="1:16">
      <c r="A7" s="9" t="s">
        <v>211</v>
      </c>
      <c r="B7" s="15">
        <v>19.979258563694799</v>
      </c>
      <c r="C7" s="15">
        <v>27.393137796526499</v>
      </c>
      <c r="D7" s="24">
        <v>14.223637102915401</v>
      </c>
      <c r="E7" s="15">
        <v>26.892295101948999</v>
      </c>
      <c r="F7" s="15">
        <v>36.213175300573802</v>
      </c>
      <c r="G7" s="24">
        <v>19.361525659840002</v>
      </c>
      <c r="H7" s="15">
        <v>12.723493564301601</v>
      </c>
      <c r="I7" s="15">
        <v>17.987673237189199</v>
      </c>
      <c r="J7" s="24">
        <v>8.6417622051401395</v>
      </c>
      <c r="K7" s="20" t="s">
        <v>76</v>
      </c>
      <c r="L7" s="20" t="s">
        <v>76</v>
      </c>
      <c r="M7" s="26" t="s">
        <v>76</v>
      </c>
      <c r="N7" s="20" t="s">
        <v>76</v>
      </c>
      <c r="O7" s="20" t="s">
        <v>76</v>
      </c>
      <c r="P7" s="26" t="s">
        <v>76</v>
      </c>
    </row>
    <row r="8" spans="1:16">
      <c r="A8" s="9" t="s">
        <v>212</v>
      </c>
      <c r="B8" s="15">
        <v>2.3270984557430499</v>
      </c>
      <c r="C8" s="15">
        <v>2.7794605438733</v>
      </c>
      <c r="D8" s="24">
        <v>1.9759159154400501</v>
      </c>
      <c r="E8" s="15">
        <v>2.45335876552274</v>
      </c>
      <c r="F8" s="15">
        <v>3.7400826028130898</v>
      </c>
      <c r="G8" s="26" t="s">
        <v>76</v>
      </c>
      <c r="H8" s="15">
        <v>2.2343634104339798</v>
      </c>
      <c r="I8" s="20" t="s">
        <v>76</v>
      </c>
      <c r="J8" s="24">
        <v>2.5404307612719799</v>
      </c>
      <c r="K8" s="20" t="s">
        <v>76</v>
      </c>
      <c r="L8" s="20" t="s">
        <v>76</v>
      </c>
      <c r="M8" s="26" t="s">
        <v>76</v>
      </c>
      <c r="N8" s="20" t="s">
        <v>76</v>
      </c>
      <c r="O8" s="20" t="s">
        <v>76</v>
      </c>
      <c r="P8" s="26" t="s">
        <v>76</v>
      </c>
    </row>
    <row r="9" spans="1:16">
      <c r="A9" s="9" t="s">
        <v>213</v>
      </c>
      <c r="B9" s="15">
        <v>11.1090797968034</v>
      </c>
      <c r="C9" s="15">
        <v>15.066568357317699</v>
      </c>
      <c r="D9" s="24">
        <v>8.0367602493234003</v>
      </c>
      <c r="E9" s="15">
        <v>11.751683201947699</v>
      </c>
      <c r="F9" s="15">
        <v>16.309017551775</v>
      </c>
      <c r="G9" s="24">
        <v>8.0696023761243101</v>
      </c>
      <c r="H9" s="15">
        <v>10.352811012146301</v>
      </c>
      <c r="I9" s="15">
        <v>13.451659031052101</v>
      </c>
      <c r="J9" s="24">
        <v>7.9500311068196599</v>
      </c>
      <c r="K9" s="20" t="s">
        <v>76</v>
      </c>
      <c r="L9" s="20" t="s">
        <v>76</v>
      </c>
      <c r="M9" s="26" t="s">
        <v>76</v>
      </c>
      <c r="N9" s="20" t="s">
        <v>76</v>
      </c>
      <c r="O9" s="20" t="s">
        <v>76</v>
      </c>
      <c r="P9" s="26" t="s">
        <v>76</v>
      </c>
    </row>
    <row r="10" spans="1:16">
      <c r="A10" s="9" t="s">
        <v>214</v>
      </c>
      <c r="B10" s="15">
        <v>27.8291852803466</v>
      </c>
      <c r="C10" s="15">
        <v>25.2564038823805</v>
      </c>
      <c r="D10" s="24">
        <v>29.826514257928501</v>
      </c>
      <c r="E10" s="15">
        <v>35.800505587666798</v>
      </c>
      <c r="F10" s="15">
        <v>34.217811591543501</v>
      </c>
      <c r="G10" s="24">
        <v>37.079237137501998</v>
      </c>
      <c r="H10" s="15">
        <v>19.367688405723001</v>
      </c>
      <c r="I10" s="15">
        <v>15.6686498128966</v>
      </c>
      <c r="J10" s="24">
        <v>22.235843134721101</v>
      </c>
      <c r="K10" s="20" t="s">
        <v>76</v>
      </c>
      <c r="L10" s="20" t="s">
        <v>76</v>
      </c>
      <c r="M10" s="26" t="s">
        <v>76</v>
      </c>
      <c r="N10" s="20" t="s">
        <v>76</v>
      </c>
      <c r="O10" s="20" t="s">
        <v>76</v>
      </c>
      <c r="P10" s="26" t="s">
        <v>76</v>
      </c>
    </row>
    <row r="11" spans="1:16">
      <c r="A11" s="9" t="s">
        <v>215</v>
      </c>
      <c r="B11" s="15">
        <v>22.059771845181999</v>
      </c>
      <c r="C11" s="15">
        <v>22.614382909288899</v>
      </c>
      <c r="D11" s="24">
        <v>21.6292102939736</v>
      </c>
      <c r="E11" s="15">
        <v>20.6623373173373</v>
      </c>
      <c r="F11" s="15">
        <v>22.141048741403399</v>
      </c>
      <c r="G11" s="24">
        <v>19.467618088170699</v>
      </c>
      <c r="H11" s="15">
        <v>23.715771964211701</v>
      </c>
      <c r="I11" s="15">
        <v>23.222064562256101</v>
      </c>
      <c r="J11" s="24">
        <v>24.0985820334027</v>
      </c>
      <c r="K11" s="20" t="s">
        <v>76</v>
      </c>
      <c r="L11" s="20" t="s">
        <v>76</v>
      </c>
      <c r="M11" s="26" t="s">
        <v>76</v>
      </c>
      <c r="N11" s="20" t="s">
        <v>76</v>
      </c>
      <c r="O11" s="20" t="s">
        <v>76</v>
      </c>
      <c r="P11" s="26" t="s">
        <v>76</v>
      </c>
    </row>
    <row r="12" spans="1:16">
      <c r="A12" s="9" t="s">
        <v>216</v>
      </c>
      <c r="B12" s="15">
        <v>12.464488571122899</v>
      </c>
      <c r="C12" s="15">
        <v>13.602891161272099</v>
      </c>
      <c r="D12" s="24">
        <v>11.580711782602499</v>
      </c>
      <c r="E12" s="15">
        <v>14.2808033281405</v>
      </c>
      <c r="F12" s="15">
        <v>16.414353457531998</v>
      </c>
      <c r="G12" s="24">
        <v>12.5570096761204</v>
      </c>
      <c r="H12" s="15">
        <v>10.419901187882299</v>
      </c>
      <c r="I12" s="15">
        <v>10.5693854293224</v>
      </c>
      <c r="J12" s="24">
        <v>10.3039943317525</v>
      </c>
      <c r="K12" s="20" t="s">
        <v>76</v>
      </c>
      <c r="L12" s="20" t="s">
        <v>76</v>
      </c>
      <c r="M12" s="26" t="s">
        <v>76</v>
      </c>
      <c r="N12" s="20" t="s">
        <v>76</v>
      </c>
      <c r="O12" s="20" t="s">
        <v>76</v>
      </c>
      <c r="P12" s="26" t="s">
        <v>76</v>
      </c>
    </row>
    <row r="13" spans="1:16">
      <c r="A13" s="9" t="s">
        <v>217</v>
      </c>
      <c r="B13" s="15">
        <v>12.193014507049501</v>
      </c>
      <c r="C13" s="15">
        <v>14.6389213098022</v>
      </c>
      <c r="D13" s="24">
        <v>10.2941821626207</v>
      </c>
      <c r="E13" s="15">
        <v>2.2559239913354401</v>
      </c>
      <c r="F13" s="15">
        <v>3.14954220443675</v>
      </c>
      <c r="G13" s="26" t="s">
        <v>76</v>
      </c>
      <c r="H13" s="15">
        <v>22.570127224584901</v>
      </c>
      <c r="I13" s="15">
        <v>26.884041651720899</v>
      </c>
      <c r="J13" s="24">
        <v>19.225211037800999</v>
      </c>
      <c r="K13" s="20" t="s">
        <v>76</v>
      </c>
      <c r="L13" s="20" t="s">
        <v>76</v>
      </c>
      <c r="M13" s="26" t="s">
        <v>76</v>
      </c>
      <c r="N13" s="20" t="s">
        <v>76</v>
      </c>
      <c r="O13" s="20" t="s">
        <v>76</v>
      </c>
      <c r="P13" s="26" t="s">
        <v>76</v>
      </c>
    </row>
    <row r="14" spans="1:16">
      <c r="A14" s="9" t="s">
        <v>218</v>
      </c>
      <c r="B14" s="15">
        <v>26.921151102458399</v>
      </c>
      <c r="C14" s="15">
        <v>31.623713728977201</v>
      </c>
      <c r="D14" s="24">
        <v>23.2704077434365</v>
      </c>
      <c r="E14" s="15">
        <v>24.918896522099701</v>
      </c>
      <c r="F14" s="15">
        <v>31.9867145566025</v>
      </c>
      <c r="G14" s="24">
        <v>19.208480022542801</v>
      </c>
      <c r="H14" s="15">
        <v>28.581964358671101</v>
      </c>
      <c r="I14" s="15">
        <v>31.313762694914399</v>
      </c>
      <c r="J14" s="24">
        <v>26.4637868592636</v>
      </c>
      <c r="K14" s="20" t="s">
        <v>76</v>
      </c>
      <c r="L14" s="20" t="s">
        <v>76</v>
      </c>
      <c r="M14" s="26" t="s">
        <v>76</v>
      </c>
      <c r="N14" s="20" t="s">
        <v>76</v>
      </c>
      <c r="O14" s="20" t="s">
        <v>76</v>
      </c>
      <c r="P14" s="26" t="s">
        <v>76</v>
      </c>
    </row>
    <row r="15" spans="1:16">
      <c r="A15" s="9" t="s">
        <v>219</v>
      </c>
      <c r="B15" s="15">
        <v>25.201404910084399</v>
      </c>
      <c r="C15" s="15">
        <v>29.348705581000502</v>
      </c>
      <c r="D15" s="24">
        <v>21.981728409269301</v>
      </c>
      <c r="E15" s="15">
        <v>30.0939213171742</v>
      </c>
      <c r="F15" s="15">
        <v>35.323149166451799</v>
      </c>
      <c r="G15" s="24">
        <v>25.868986712932202</v>
      </c>
      <c r="H15" s="15">
        <v>20.519073321975402</v>
      </c>
      <c r="I15" s="15">
        <v>22.796906056353301</v>
      </c>
      <c r="J15" s="24">
        <v>18.752890957281402</v>
      </c>
      <c r="K15" s="20" t="s">
        <v>76</v>
      </c>
      <c r="L15" s="20" t="s">
        <v>76</v>
      </c>
      <c r="M15" s="26" t="s">
        <v>76</v>
      </c>
      <c r="N15" s="20" t="s">
        <v>76</v>
      </c>
      <c r="O15" s="20" t="s">
        <v>76</v>
      </c>
      <c r="P15" s="26" t="s">
        <v>76</v>
      </c>
    </row>
    <row r="16" spans="1:16">
      <c r="A16" s="9" t="s">
        <v>220</v>
      </c>
      <c r="B16" s="15">
        <v>4.9001044127363302</v>
      </c>
      <c r="C16" s="15">
        <v>6.3116064207844298</v>
      </c>
      <c r="D16" s="24">
        <v>3.80431218382085</v>
      </c>
      <c r="E16" s="15">
        <v>5.9099813160482704</v>
      </c>
      <c r="F16" s="15">
        <v>8.6676329143572399</v>
      </c>
      <c r="G16" s="24">
        <v>3.6819472735560002</v>
      </c>
      <c r="H16" s="15">
        <v>3.8007475169166902</v>
      </c>
      <c r="I16" s="15">
        <v>3.7624089930940898</v>
      </c>
      <c r="J16" s="24">
        <v>3.8304743812478299</v>
      </c>
      <c r="K16" s="20" t="s">
        <v>76</v>
      </c>
      <c r="L16" s="20" t="s">
        <v>76</v>
      </c>
      <c r="M16" s="26" t="s">
        <v>76</v>
      </c>
      <c r="N16" s="20" t="s">
        <v>76</v>
      </c>
      <c r="O16" s="20" t="s">
        <v>76</v>
      </c>
      <c r="P16" s="26" t="s">
        <v>76</v>
      </c>
    </row>
    <row r="17" spans="1:16">
      <c r="A17" s="9" t="s">
        <v>221</v>
      </c>
      <c r="B17" s="15">
        <v>40.199054214344699</v>
      </c>
      <c r="C17" s="15">
        <v>45.796877283300098</v>
      </c>
      <c r="D17" s="24">
        <v>35.853292761063102</v>
      </c>
      <c r="E17" s="15">
        <v>42.9926777028708</v>
      </c>
      <c r="F17" s="15">
        <v>48.975514584888998</v>
      </c>
      <c r="G17" s="24">
        <v>38.1588675681935</v>
      </c>
      <c r="H17" s="15">
        <v>37.897126493610301</v>
      </c>
      <c r="I17" s="15">
        <v>42.9044664111155</v>
      </c>
      <c r="J17" s="24">
        <v>34.014543140210002</v>
      </c>
      <c r="K17" s="20" t="s">
        <v>76</v>
      </c>
      <c r="L17" s="20" t="s">
        <v>76</v>
      </c>
      <c r="M17" s="26" t="s">
        <v>76</v>
      </c>
      <c r="N17" s="20" t="s">
        <v>76</v>
      </c>
      <c r="O17" s="20" t="s">
        <v>76</v>
      </c>
      <c r="P17" s="26" t="s">
        <v>76</v>
      </c>
    </row>
    <row r="18" spans="1:16">
      <c r="A18" s="9" t="s">
        <v>222</v>
      </c>
      <c r="B18" s="15">
        <v>23.4058004458917</v>
      </c>
      <c r="C18" s="15">
        <v>28.701104397767899</v>
      </c>
      <c r="D18" s="24">
        <v>19.294893846307399</v>
      </c>
      <c r="E18" s="15">
        <v>8.4011774309675893</v>
      </c>
      <c r="F18" s="15">
        <v>13.2724068794062</v>
      </c>
      <c r="G18" s="24">
        <v>4.4654862629580201</v>
      </c>
      <c r="H18" s="15">
        <v>39.292370170132997</v>
      </c>
      <c r="I18" s="15">
        <v>45.188071557398999</v>
      </c>
      <c r="J18" s="24">
        <v>34.7209704968663</v>
      </c>
      <c r="K18" s="20" t="s">
        <v>76</v>
      </c>
      <c r="L18" s="20" t="s">
        <v>76</v>
      </c>
      <c r="M18" s="26" t="s">
        <v>76</v>
      </c>
      <c r="N18" s="20" t="s">
        <v>76</v>
      </c>
      <c r="O18" s="20" t="s">
        <v>76</v>
      </c>
      <c r="P18" s="26" t="s">
        <v>76</v>
      </c>
    </row>
    <row r="19" spans="1:16">
      <c r="A19" s="9" t="s">
        <v>223</v>
      </c>
      <c r="B19" s="15">
        <v>30.5026913912107</v>
      </c>
      <c r="C19" s="15">
        <v>39.235423398379801</v>
      </c>
      <c r="D19" s="24">
        <v>23.723204138556799</v>
      </c>
      <c r="E19" s="15">
        <v>29.697088243905899</v>
      </c>
      <c r="F19" s="15">
        <v>39.199802082641902</v>
      </c>
      <c r="G19" s="24">
        <v>22.0194070089923</v>
      </c>
      <c r="H19" s="15">
        <v>31.438355559441</v>
      </c>
      <c r="I19" s="15">
        <v>39.429702819717299</v>
      </c>
      <c r="J19" s="24">
        <v>25.242037283639</v>
      </c>
      <c r="K19" s="20" t="s">
        <v>76</v>
      </c>
      <c r="L19" s="20" t="s">
        <v>76</v>
      </c>
      <c r="M19" s="26" t="s">
        <v>76</v>
      </c>
      <c r="N19" s="20" t="s">
        <v>76</v>
      </c>
      <c r="O19" s="20" t="s">
        <v>76</v>
      </c>
      <c r="P19" s="26" t="s">
        <v>76</v>
      </c>
    </row>
    <row r="20" spans="1:16">
      <c r="A20" s="9" t="s">
        <v>224</v>
      </c>
      <c r="B20" s="15">
        <v>10.700409841037199</v>
      </c>
      <c r="C20" s="15">
        <v>11.926902888880001</v>
      </c>
      <c r="D20" s="24">
        <v>9.7482457328872503</v>
      </c>
      <c r="E20" s="15">
        <v>11.7156397746373</v>
      </c>
      <c r="F20" s="15">
        <v>14.008510490015</v>
      </c>
      <c r="G20" s="24">
        <v>9.8631236656307504</v>
      </c>
      <c r="H20" s="15">
        <v>9.4508565146683807</v>
      </c>
      <c r="I20" s="15">
        <v>9.7887706088817801</v>
      </c>
      <c r="J20" s="24">
        <v>9.1888452155181604</v>
      </c>
      <c r="K20" s="20" t="s">
        <v>76</v>
      </c>
      <c r="L20" s="20" t="s">
        <v>76</v>
      </c>
      <c r="M20" s="26" t="s">
        <v>76</v>
      </c>
      <c r="N20" s="20" t="s">
        <v>76</v>
      </c>
      <c r="O20" s="20" t="s">
        <v>76</v>
      </c>
      <c r="P20" s="26" t="s">
        <v>76</v>
      </c>
    </row>
    <row r="21" spans="1:16">
      <c r="A21" s="9" t="s">
        <v>225</v>
      </c>
      <c r="B21" s="15">
        <v>8.4870011830568899</v>
      </c>
      <c r="C21" s="15">
        <v>8.9403997249722096</v>
      </c>
      <c r="D21" s="24">
        <v>8.1350140119444205</v>
      </c>
      <c r="E21" s="15">
        <v>7.0598635748400804</v>
      </c>
      <c r="F21" s="15">
        <v>10.3353173849078</v>
      </c>
      <c r="G21" s="24">
        <v>4.4134732193952297</v>
      </c>
      <c r="H21" s="15">
        <v>10.078430391120801</v>
      </c>
      <c r="I21" s="15">
        <v>7.5554230392202602</v>
      </c>
      <c r="J21" s="24">
        <v>12.0347158653205</v>
      </c>
      <c r="K21" s="20" t="s">
        <v>76</v>
      </c>
      <c r="L21" s="20" t="s">
        <v>76</v>
      </c>
      <c r="M21" s="26" t="s">
        <v>76</v>
      </c>
      <c r="N21" s="20" t="s">
        <v>76</v>
      </c>
      <c r="O21" s="20" t="s">
        <v>76</v>
      </c>
      <c r="P21" s="26" t="s">
        <v>76</v>
      </c>
    </row>
    <row r="22" spans="1:16">
      <c r="A22" s="9" t="s">
        <v>226</v>
      </c>
      <c r="B22" s="15">
        <v>16.535020822861402</v>
      </c>
      <c r="C22" s="15">
        <v>20.458958463334</v>
      </c>
      <c r="D22" s="24">
        <v>13.488747881936</v>
      </c>
      <c r="E22" s="15">
        <v>22.8485833633077</v>
      </c>
      <c r="F22" s="15">
        <v>27.025389976707501</v>
      </c>
      <c r="G22" s="24">
        <v>19.473948464081101</v>
      </c>
      <c r="H22" s="15">
        <v>9.8335463583236393</v>
      </c>
      <c r="I22" s="15">
        <v>13.5319761034007</v>
      </c>
      <c r="J22" s="24">
        <v>6.9658637167363198</v>
      </c>
      <c r="K22" s="20" t="s">
        <v>76</v>
      </c>
      <c r="L22" s="20" t="s">
        <v>76</v>
      </c>
      <c r="M22" s="26" t="s">
        <v>76</v>
      </c>
      <c r="N22" s="20" t="s">
        <v>76</v>
      </c>
      <c r="O22" s="20" t="s">
        <v>76</v>
      </c>
      <c r="P22" s="26" t="s">
        <v>76</v>
      </c>
    </row>
    <row r="23" spans="1:16">
      <c r="A23" s="9" t="s">
        <v>227</v>
      </c>
      <c r="B23" s="15">
        <v>17.707188166381101</v>
      </c>
      <c r="C23" s="15">
        <v>17.191863456513101</v>
      </c>
      <c r="D23" s="24">
        <v>18.107250517849</v>
      </c>
      <c r="E23" s="15">
        <v>11.036755464839899</v>
      </c>
      <c r="F23" s="15">
        <v>12.449513890014</v>
      </c>
      <c r="G23" s="24">
        <v>9.8953227084191493</v>
      </c>
      <c r="H23" s="15">
        <v>25.016061509192301</v>
      </c>
      <c r="I23" s="15">
        <v>22.3343748269134</v>
      </c>
      <c r="J23" s="24">
        <v>27.095383513127501</v>
      </c>
      <c r="K23" s="20" t="s">
        <v>76</v>
      </c>
      <c r="L23" s="20" t="s">
        <v>76</v>
      </c>
      <c r="M23" s="26" t="s">
        <v>76</v>
      </c>
      <c r="N23" s="20" t="s">
        <v>76</v>
      </c>
      <c r="O23" s="20" t="s">
        <v>76</v>
      </c>
      <c r="P23" s="26" t="s">
        <v>76</v>
      </c>
    </row>
    <row r="24" spans="1:16">
      <c r="A24" s="9" t="s">
        <v>228</v>
      </c>
      <c r="B24" s="15">
        <v>40.761097242812298</v>
      </c>
      <c r="C24" s="15">
        <v>46.732862123767703</v>
      </c>
      <c r="D24" s="24">
        <v>36.1250333108094</v>
      </c>
      <c r="E24" s="15">
        <v>52.042022973856398</v>
      </c>
      <c r="F24" s="15">
        <v>58.2919331106065</v>
      </c>
      <c r="G24" s="24">
        <v>46.992432026350301</v>
      </c>
      <c r="H24" s="15">
        <v>29.8632828517528</v>
      </c>
      <c r="I24" s="15">
        <v>34.910511351647202</v>
      </c>
      <c r="J24" s="24">
        <v>25.949770752046799</v>
      </c>
      <c r="K24" s="20" t="s">
        <v>76</v>
      </c>
      <c r="L24" s="20" t="s">
        <v>76</v>
      </c>
      <c r="M24" s="26" t="s">
        <v>76</v>
      </c>
      <c r="N24" s="20" t="s">
        <v>76</v>
      </c>
      <c r="O24" s="20" t="s">
        <v>76</v>
      </c>
      <c r="P24" s="26" t="s">
        <v>76</v>
      </c>
    </row>
    <row r="25" spans="1:16">
      <c r="A25" s="9" t="s">
        <v>229</v>
      </c>
      <c r="B25" s="15">
        <v>2.9015378821561</v>
      </c>
      <c r="C25" s="15">
        <v>3.6762181016399502</v>
      </c>
      <c r="D25" s="24">
        <v>2.3001299071303798</v>
      </c>
      <c r="E25" s="15">
        <v>3.1208385727627799</v>
      </c>
      <c r="F25" s="15">
        <v>4.3973565996116601</v>
      </c>
      <c r="G25" s="26" t="s">
        <v>76</v>
      </c>
      <c r="H25" s="15">
        <v>2.6998421860025199</v>
      </c>
      <c r="I25" s="15">
        <v>3.01858098068511</v>
      </c>
      <c r="J25" s="24">
        <v>2.45269900045778</v>
      </c>
      <c r="K25" s="20" t="s">
        <v>76</v>
      </c>
      <c r="L25" s="20" t="s">
        <v>76</v>
      </c>
      <c r="M25" s="26" t="s">
        <v>76</v>
      </c>
      <c r="N25" s="20" t="s">
        <v>76</v>
      </c>
      <c r="O25" s="20" t="s">
        <v>76</v>
      </c>
      <c r="P25" s="26" t="s">
        <v>76</v>
      </c>
    </row>
    <row r="26" spans="1:16">
      <c r="A26" s="9" t="s">
        <v>230</v>
      </c>
      <c r="B26" s="15">
        <v>26.164710431927599</v>
      </c>
      <c r="C26" s="15">
        <v>31.636970155668699</v>
      </c>
      <c r="D26" s="24">
        <v>21.916427648274301</v>
      </c>
      <c r="E26" s="15">
        <v>31.0438538484639</v>
      </c>
      <c r="F26" s="15">
        <v>36.769340174593999</v>
      </c>
      <c r="G26" s="24">
        <v>26.417969109338699</v>
      </c>
      <c r="H26" s="15">
        <v>21.156111975546999</v>
      </c>
      <c r="I26" s="15">
        <v>26.2401335549471</v>
      </c>
      <c r="J26" s="24">
        <v>17.2140713156946</v>
      </c>
      <c r="K26" s="20" t="s">
        <v>76</v>
      </c>
      <c r="L26" s="20" t="s">
        <v>76</v>
      </c>
      <c r="M26" s="26" t="s">
        <v>76</v>
      </c>
      <c r="N26" s="20" t="s">
        <v>76</v>
      </c>
      <c r="O26" s="20" t="s">
        <v>76</v>
      </c>
      <c r="P26" s="26" t="s">
        <v>76</v>
      </c>
    </row>
    <row r="27" spans="1:16">
      <c r="A27" s="9" t="s">
        <v>231</v>
      </c>
      <c r="B27" s="15">
        <v>17.998109359141999</v>
      </c>
      <c r="C27" s="15">
        <v>23.037294435432699</v>
      </c>
      <c r="D27" s="24">
        <v>14.086035685012201</v>
      </c>
      <c r="E27" s="15">
        <v>4.3253238840056003</v>
      </c>
      <c r="F27" s="15">
        <v>5.9761089702202703</v>
      </c>
      <c r="G27" s="24">
        <v>2.9915783988325599</v>
      </c>
      <c r="H27" s="15">
        <v>32.237833485900197</v>
      </c>
      <c r="I27" s="15">
        <v>41.007228406121101</v>
      </c>
      <c r="J27" s="24">
        <v>25.438233838667401</v>
      </c>
      <c r="K27" s="20" t="s">
        <v>76</v>
      </c>
      <c r="L27" s="20" t="s">
        <v>76</v>
      </c>
      <c r="M27" s="26" t="s">
        <v>76</v>
      </c>
      <c r="N27" s="20" t="s">
        <v>76</v>
      </c>
      <c r="O27" s="20" t="s">
        <v>76</v>
      </c>
      <c r="P27" s="26" t="s">
        <v>76</v>
      </c>
    </row>
    <row r="28" spans="1:16">
      <c r="A28" s="9" t="s">
        <v>232</v>
      </c>
      <c r="B28" s="15">
        <v>23.9566444501375</v>
      </c>
      <c r="C28" s="15">
        <v>29.9296979810259</v>
      </c>
      <c r="D28" s="24">
        <v>19.319580099733301</v>
      </c>
      <c r="E28" s="15">
        <v>10.9011695408383</v>
      </c>
      <c r="F28" s="15">
        <v>15.442312560133701</v>
      </c>
      <c r="G28" s="24">
        <v>7.23217043847876</v>
      </c>
      <c r="H28" s="15">
        <v>37.617135257939701</v>
      </c>
      <c r="I28" s="15">
        <v>45.355923029282799</v>
      </c>
      <c r="J28" s="24">
        <v>31.6166461616282</v>
      </c>
      <c r="K28" s="20" t="s">
        <v>76</v>
      </c>
      <c r="L28" s="20" t="s">
        <v>76</v>
      </c>
      <c r="M28" s="26" t="s">
        <v>76</v>
      </c>
      <c r="N28" s="20" t="s">
        <v>76</v>
      </c>
      <c r="O28" s="20" t="s">
        <v>76</v>
      </c>
      <c r="P28" s="26" t="s">
        <v>76</v>
      </c>
    </row>
    <row r="29" spans="1:16">
      <c r="A29" s="9" t="s">
        <v>233</v>
      </c>
      <c r="B29" s="15">
        <v>8.2214764269515594</v>
      </c>
      <c r="C29" s="15">
        <v>8.6027134358989397</v>
      </c>
      <c r="D29" s="24">
        <v>7.9255104634619196</v>
      </c>
      <c r="E29" s="15">
        <v>8.4347826360137308</v>
      </c>
      <c r="F29" s="15">
        <v>10.110597496588399</v>
      </c>
      <c r="G29" s="24">
        <v>7.0808144405519204</v>
      </c>
      <c r="H29" s="15">
        <v>7.8798723654613303</v>
      </c>
      <c r="I29" s="15">
        <v>6.91625122875746</v>
      </c>
      <c r="J29" s="24">
        <v>8.6270434075692908</v>
      </c>
      <c r="K29" s="20" t="s">
        <v>76</v>
      </c>
      <c r="L29" s="20" t="s">
        <v>76</v>
      </c>
      <c r="M29" s="26" t="s">
        <v>76</v>
      </c>
      <c r="N29" s="20" t="s">
        <v>76</v>
      </c>
      <c r="O29" s="20" t="s">
        <v>76</v>
      </c>
      <c r="P29" s="26" t="s">
        <v>76</v>
      </c>
    </row>
    <row r="30" spans="1:16">
      <c r="A30" s="9" t="s">
        <v>234</v>
      </c>
      <c r="B30" s="15">
        <v>10.963957022305401</v>
      </c>
      <c r="C30" s="15">
        <v>10.5285703157216</v>
      </c>
      <c r="D30" s="24">
        <v>11.3019610541291</v>
      </c>
      <c r="E30" s="15">
        <v>13.3227811506192</v>
      </c>
      <c r="F30" s="15">
        <v>13.5728655065971</v>
      </c>
      <c r="G30" s="24">
        <v>13.120726453443099</v>
      </c>
      <c r="H30" s="15">
        <v>8.5215401888632805</v>
      </c>
      <c r="I30" s="15">
        <v>7.2630430781846496</v>
      </c>
      <c r="J30" s="24">
        <v>9.4973517001093093</v>
      </c>
      <c r="K30" s="20" t="s">
        <v>76</v>
      </c>
      <c r="L30" s="20" t="s">
        <v>76</v>
      </c>
      <c r="M30" s="26" t="s">
        <v>76</v>
      </c>
      <c r="N30" s="20" t="s">
        <v>76</v>
      </c>
      <c r="O30" s="20" t="s">
        <v>76</v>
      </c>
      <c r="P30" s="26" t="s">
        <v>76</v>
      </c>
    </row>
    <row r="31" spans="1:16">
      <c r="A31" s="9" t="s">
        <v>235</v>
      </c>
      <c r="B31" s="15">
        <v>17.999306445951699</v>
      </c>
      <c r="C31" s="15">
        <v>23.1020785979055</v>
      </c>
      <c r="D31" s="24">
        <v>14.037868177954</v>
      </c>
      <c r="E31" s="15">
        <v>18.3798766591336</v>
      </c>
      <c r="F31" s="15">
        <v>25.3235037920991</v>
      </c>
      <c r="G31" s="24">
        <v>12.7697997226174</v>
      </c>
      <c r="H31" s="15">
        <v>17.457734874414299</v>
      </c>
      <c r="I31" s="15">
        <v>20.771832827249298</v>
      </c>
      <c r="J31" s="24">
        <v>14.888054813703301</v>
      </c>
      <c r="K31" s="20" t="s">
        <v>76</v>
      </c>
      <c r="L31" s="20" t="s">
        <v>76</v>
      </c>
      <c r="M31" s="26" t="s">
        <v>76</v>
      </c>
      <c r="N31" s="20" t="s">
        <v>76</v>
      </c>
      <c r="O31" s="20" t="s">
        <v>76</v>
      </c>
      <c r="P31" s="26" t="s">
        <v>76</v>
      </c>
    </row>
    <row r="32" spans="1:16">
      <c r="A32" s="9" t="s">
        <v>236</v>
      </c>
      <c r="B32" s="15">
        <v>4.1188976131259203</v>
      </c>
      <c r="C32" s="15">
        <v>2.6679793003683399</v>
      </c>
      <c r="D32" s="24">
        <v>5.2452899263111803</v>
      </c>
      <c r="E32" s="15">
        <v>3.09184741756189</v>
      </c>
      <c r="F32" s="20" t="s">
        <v>76</v>
      </c>
      <c r="G32" s="24">
        <v>3.4936757581982998</v>
      </c>
      <c r="H32" s="15">
        <v>5.0836238494842796</v>
      </c>
      <c r="I32" s="20" t="s">
        <v>76</v>
      </c>
      <c r="J32" s="24">
        <v>6.8336323553475697</v>
      </c>
      <c r="K32" s="20" t="s">
        <v>76</v>
      </c>
      <c r="L32" s="20" t="s">
        <v>76</v>
      </c>
      <c r="M32" s="26" t="s">
        <v>76</v>
      </c>
      <c r="N32" s="20" t="s">
        <v>76</v>
      </c>
      <c r="O32" s="20" t="s">
        <v>76</v>
      </c>
      <c r="P32" s="26" t="s">
        <v>76</v>
      </c>
    </row>
    <row r="33" spans="1:16">
      <c r="A33" s="9" t="s">
        <v>237</v>
      </c>
      <c r="B33" s="15">
        <v>12.726716078260001</v>
      </c>
      <c r="C33" s="15">
        <v>14.0387959897879</v>
      </c>
      <c r="D33" s="24">
        <v>11.708108267169001</v>
      </c>
      <c r="E33" s="15">
        <v>9.72437322977372</v>
      </c>
      <c r="F33" s="15">
        <v>12.655594318709401</v>
      </c>
      <c r="G33" s="24">
        <v>7.3561043823875298</v>
      </c>
      <c r="H33" s="15">
        <v>16.123093401258799</v>
      </c>
      <c r="I33" s="15">
        <v>15.6736937905196</v>
      </c>
      <c r="J33" s="24">
        <v>16.471548164950999</v>
      </c>
      <c r="K33" s="20" t="s">
        <v>76</v>
      </c>
      <c r="L33" s="20" t="s">
        <v>76</v>
      </c>
      <c r="M33" s="26" t="s">
        <v>76</v>
      </c>
      <c r="N33" s="20" t="s">
        <v>76</v>
      </c>
      <c r="O33" s="20" t="s">
        <v>76</v>
      </c>
      <c r="P33" s="26" t="s">
        <v>76</v>
      </c>
    </row>
    <row r="34" spans="1:16">
      <c r="A34" s="9" t="s">
        <v>238</v>
      </c>
      <c r="B34" s="15">
        <v>29.563623530867002</v>
      </c>
      <c r="C34" s="15">
        <v>27.199620865707701</v>
      </c>
      <c r="D34" s="24">
        <v>31.3988711853845</v>
      </c>
      <c r="E34" s="15">
        <v>40.5666024635075</v>
      </c>
      <c r="F34" s="15">
        <v>37.686762411296797</v>
      </c>
      <c r="G34" s="24">
        <v>42.893358199146</v>
      </c>
      <c r="H34" s="15">
        <v>18.295077270322299</v>
      </c>
      <c r="I34" s="15">
        <v>16.1854142505406</v>
      </c>
      <c r="J34" s="24">
        <v>19.930864466085499</v>
      </c>
      <c r="K34" s="20" t="s">
        <v>76</v>
      </c>
      <c r="L34" s="20" t="s">
        <v>76</v>
      </c>
      <c r="M34" s="26" t="s">
        <v>76</v>
      </c>
      <c r="N34" s="20" t="s">
        <v>76</v>
      </c>
      <c r="O34" s="20" t="s">
        <v>76</v>
      </c>
      <c r="P34" s="26" t="s">
        <v>76</v>
      </c>
    </row>
    <row r="35" spans="1:16">
      <c r="A35" s="9" t="s">
        <v>239</v>
      </c>
      <c r="B35" s="15">
        <v>23.776618206899101</v>
      </c>
      <c r="C35" s="15">
        <v>24.998592273858002</v>
      </c>
      <c r="D35" s="24">
        <v>22.827962321980099</v>
      </c>
      <c r="E35" s="15">
        <v>31.743636932546501</v>
      </c>
      <c r="F35" s="15">
        <v>32.225916384389699</v>
      </c>
      <c r="G35" s="24">
        <v>31.3539810973569</v>
      </c>
      <c r="H35" s="15">
        <v>16.067603286232899</v>
      </c>
      <c r="I35" s="15">
        <v>17.814844188159601</v>
      </c>
      <c r="J35" s="24">
        <v>14.7128303824631</v>
      </c>
      <c r="K35" s="20" t="s">
        <v>76</v>
      </c>
      <c r="L35" s="20" t="s">
        <v>76</v>
      </c>
      <c r="M35" s="26" t="s">
        <v>76</v>
      </c>
      <c r="N35" s="20" t="s">
        <v>76</v>
      </c>
      <c r="O35" s="20" t="s">
        <v>76</v>
      </c>
      <c r="P35" s="26" t="s">
        <v>76</v>
      </c>
    </row>
    <row r="36" spans="1:16">
      <c r="A36" s="9" t="s">
        <v>240</v>
      </c>
      <c r="B36" s="15">
        <v>19.918281245358902</v>
      </c>
      <c r="C36" s="15">
        <v>21.854374633221202</v>
      </c>
      <c r="D36" s="24">
        <v>18.4152326653515</v>
      </c>
      <c r="E36" s="15">
        <v>6.5376289687252704</v>
      </c>
      <c r="F36" s="15">
        <v>12.0375788707154</v>
      </c>
      <c r="G36" s="26" t="s">
        <v>76</v>
      </c>
      <c r="H36" s="15">
        <v>34.047309284763799</v>
      </c>
      <c r="I36" s="15">
        <v>32.442163418407901</v>
      </c>
      <c r="J36" s="24">
        <v>35.291904763234399</v>
      </c>
      <c r="K36" s="20" t="s">
        <v>76</v>
      </c>
      <c r="L36" s="20" t="s">
        <v>76</v>
      </c>
      <c r="M36" s="26" t="s">
        <v>76</v>
      </c>
      <c r="N36" s="20" t="s">
        <v>76</v>
      </c>
      <c r="O36" s="20" t="s">
        <v>76</v>
      </c>
      <c r="P36" s="26" t="s">
        <v>76</v>
      </c>
    </row>
    <row r="37" spans="1:16">
      <c r="A37" s="9" t="s">
        <v>241</v>
      </c>
      <c r="B37" s="15">
        <v>21.7827631104125</v>
      </c>
      <c r="C37" s="15">
        <v>20.0445746997678</v>
      </c>
      <c r="D37" s="24">
        <v>23.132171996772801</v>
      </c>
      <c r="E37" s="15">
        <v>16.603480879492299</v>
      </c>
      <c r="F37" s="15">
        <v>18.9234396622305</v>
      </c>
      <c r="G37" s="24">
        <v>14.7290790702538</v>
      </c>
      <c r="H37" s="15">
        <v>27.530700371228001</v>
      </c>
      <c r="I37" s="15">
        <v>21.362503826327899</v>
      </c>
      <c r="J37" s="24">
        <v>32.3133869114425</v>
      </c>
      <c r="K37" s="20" t="s">
        <v>76</v>
      </c>
      <c r="L37" s="20" t="s">
        <v>76</v>
      </c>
      <c r="M37" s="26" t="s">
        <v>76</v>
      </c>
      <c r="N37" s="20" t="s">
        <v>76</v>
      </c>
      <c r="O37" s="20" t="s">
        <v>76</v>
      </c>
      <c r="P37" s="26" t="s">
        <v>76</v>
      </c>
    </row>
    <row r="38" spans="1:16">
      <c r="A38" s="9" t="s">
        <v>242</v>
      </c>
      <c r="B38" s="15">
        <v>24.501842350650701</v>
      </c>
      <c r="C38" s="15">
        <v>34.002440397068099</v>
      </c>
      <c r="D38" s="24">
        <v>17.126237179737601</v>
      </c>
      <c r="E38" s="15">
        <v>28.458525289262901</v>
      </c>
      <c r="F38" s="15">
        <v>40.135841181147597</v>
      </c>
      <c r="G38" s="24">
        <v>19.023882657826199</v>
      </c>
      <c r="H38" s="15">
        <v>20.185065507232501</v>
      </c>
      <c r="I38" s="15">
        <v>27.4002207948378</v>
      </c>
      <c r="J38" s="24">
        <v>14.590589742980301</v>
      </c>
      <c r="K38" s="20" t="s">
        <v>76</v>
      </c>
      <c r="L38" s="20" t="s">
        <v>76</v>
      </c>
      <c r="M38" s="26" t="s">
        <v>76</v>
      </c>
      <c r="N38" s="20" t="s">
        <v>76</v>
      </c>
      <c r="O38" s="20" t="s">
        <v>76</v>
      </c>
      <c r="P38" s="26" t="s">
        <v>76</v>
      </c>
    </row>
    <row r="39" spans="1:16">
      <c r="A39" s="9" t="s">
        <v>243</v>
      </c>
      <c r="B39" s="15">
        <v>29.7024317770924</v>
      </c>
      <c r="C39" s="15">
        <v>27.6739732252618</v>
      </c>
      <c r="D39" s="24">
        <v>31.277186262101502</v>
      </c>
      <c r="E39" s="15">
        <v>38.261627048209498</v>
      </c>
      <c r="F39" s="15">
        <v>37.3857604181051</v>
      </c>
      <c r="G39" s="24">
        <v>38.969280135986203</v>
      </c>
      <c r="H39" s="15">
        <v>20.868500815471599</v>
      </c>
      <c r="I39" s="15">
        <v>17.240285779526999</v>
      </c>
      <c r="J39" s="24">
        <v>23.681740486273601</v>
      </c>
      <c r="K39" s="20" t="s">
        <v>76</v>
      </c>
      <c r="L39" s="20" t="s">
        <v>76</v>
      </c>
      <c r="M39" s="26" t="s">
        <v>76</v>
      </c>
      <c r="N39" s="20" t="s">
        <v>76</v>
      </c>
      <c r="O39" s="20" t="s">
        <v>76</v>
      </c>
      <c r="P39" s="26" t="s">
        <v>76</v>
      </c>
    </row>
    <row r="40" spans="1:16">
      <c r="A40" s="9" t="s">
        <v>244</v>
      </c>
      <c r="B40" s="15">
        <v>16.595226621143901</v>
      </c>
      <c r="C40" s="15">
        <v>20.716730968591701</v>
      </c>
      <c r="D40" s="24">
        <v>13.395576596118399</v>
      </c>
      <c r="E40" s="15">
        <v>9.2448069283001395</v>
      </c>
      <c r="F40" s="15">
        <v>13.786892321491299</v>
      </c>
      <c r="G40" s="24">
        <v>5.5750464385622802</v>
      </c>
      <c r="H40" s="15">
        <v>23.9462468792373</v>
      </c>
      <c r="I40" s="15">
        <v>27.9320923492905</v>
      </c>
      <c r="J40" s="24">
        <v>20.855708284652401</v>
      </c>
      <c r="K40" s="20" t="s">
        <v>76</v>
      </c>
      <c r="L40" s="20" t="s">
        <v>76</v>
      </c>
      <c r="M40" s="26" t="s">
        <v>76</v>
      </c>
      <c r="N40" s="20" t="s">
        <v>76</v>
      </c>
      <c r="O40" s="20" t="s">
        <v>76</v>
      </c>
      <c r="P40" s="26" t="s">
        <v>76</v>
      </c>
    </row>
    <row r="41" spans="1:16">
      <c r="A41" s="9" t="s">
        <v>245</v>
      </c>
      <c r="B41" s="15">
        <v>21.329687920780898</v>
      </c>
      <c r="C41" s="15">
        <v>24.2650460315724</v>
      </c>
      <c r="D41" s="24">
        <v>19.0508795389654</v>
      </c>
      <c r="E41" s="15">
        <v>21.084175711705601</v>
      </c>
      <c r="F41" s="15">
        <v>26.4633686835408</v>
      </c>
      <c r="G41" s="24">
        <v>16.738077361307401</v>
      </c>
      <c r="H41" s="15">
        <v>21.8507743380842</v>
      </c>
      <c r="I41" s="15">
        <v>22.115920582409299</v>
      </c>
      <c r="J41" s="24">
        <v>21.645185659985099</v>
      </c>
      <c r="K41" s="20" t="s">
        <v>76</v>
      </c>
      <c r="L41" s="20" t="s">
        <v>76</v>
      </c>
      <c r="M41" s="26" t="s">
        <v>76</v>
      </c>
      <c r="N41" s="20" t="s">
        <v>76</v>
      </c>
      <c r="O41" s="20" t="s">
        <v>76</v>
      </c>
      <c r="P41" s="26" t="s">
        <v>76</v>
      </c>
    </row>
    <row r="42" spans="1:16">
      <c r="A42" s="9" t="s">
        <v>246</v>
      </c>
      <c r="B42" s="15">
        <v>8.3020717021692594</v>
      </c>
      <c r="C42" s="15">
        <v>9.9123472435161393</v>
      </c>
      <c r="D42" s="24">
        <v>7.0519654929257598</v>
      </c>
      <c r="E42" s="15">
        <v>7.5330619299536803</v>
      </c>
      <c r="F42" s="15">
        <v>10.1225816506453</v>
      </c>
      <c r="G42" s="24">
        <v>5.44086939375953</v>
      </c>
      <c r="H42" s="15">
        <v>9.1417344081804792</v>
      </c>
      <c r="I42" s="15">
        <v>9.9274714471276209</v>
      </c>
      <c r="J42" s="24">
        <v>8.5324908581467902</v>
      </c>
      <c r="K42" s="20" t="s">
        <v>76</v>
      </c>
      <c r="L42" s="20" t="s">
        <v>76</v>
      </c>
      <c r="M42" s="26" t="s">
        <v>76</v>
      </c>
      <c r="N42" s="20" t="s">
        <v>76</v>
      </c>
      <c r="O42" s="20" t="s">
        <v>76</v>
      </c>
      <c r="P42" s="26" t="s">
        <v>76</v>
      </c>
    </row>
    <row r="43" spans="1:16">
      <c r="A43" s="9" t="s">
        <v>247</v>
      </c>
      <c r="B43" s="15">
        <v>23.958497830669501</v>
      </c>
      <c r="C43" s="15">
        <v>25.2410737991008</v>
      </c>
      <c r="D43" s="24">
        <v>22.962794834012499</v>
      </c>
      <c r="E43" s="15">
        <v>33.127153090614797</v>
      </c>
      <c r="F43" s="15">
        <v>36.227054241020298</v>
      </c>
      <c r="G43" s="24">
        <v>30.622599833887399</v>
      </c>
      <c r="H43" s="15">
        <v>14.553468217854901</v>
      </c>
      <c r="I43" s="15">
        <v>13.366737620433501</v>
      </c>
      <c r="J43" s="24">
        <v>15.473633522872801</v>
      </c>
      <c r="K43" s="20" t="s">
        <v>76</v>
      </c>
      <c r="L43" s="20" t="s">
        <v>76</v>
      </c>
      <c r="M43" s="26" t="s">
        <v>76</v>
      </c>
      <c r="N43" s="20" t="s">
        <v>76</v>
      </c>
      <c r="O43" s="20" t="s">
        <v>76</v>
      </c>
      <c r="P43" s="26" t="s">
        <v>76</v>
      </c>
    </row>
    <row r="44" spans="1:16">
      <c r="A44" s="9" t="s">
        <v>248</v>
      </c>
      <c r="B44" s="15">
        <v>35.9257691894855</v>
      </c>
      <c r="C44" s="15">
        <v>41.089468300841197</v>
      </c>
      <c r="D44" s="24">
        <v>31.9170314573261</v>
      </c>
      <c r="E44" s="15">
        <v>38.375472958368</v>
      </c>
      <c r="F44" s="15">
        <v>46.241287452509503</v>
      </c>
      <c r="G44" s="24">
        <v>32.020318276890798</v>
      </c>
      <c r="H44" s="15">
        <v>34.148048456831397</v>
      </c>
      <c r="I44" s="15">
        <v>36.088828267048598</v>
      </c>
      <c r="J44" s="24">
        <v>32.643209658605997</v>
      </c>
      <c r="K44" s="20" t="s">
        <v>76</v>
      </c>
      <c r="L44" s="20" t="s">
        <v>76</v>
      </c>
      <c r="M44" s="26" t="s">
        <v>76</v>
      </c>
      <c r="N44" s="20" t="s">
        <v>76</v>
      </c>
      <c r="O44" s="20" t="s">
        <v>76</v>
      </c>
      <c r="P44" s="26" t="s">
        <v>76</v>
      </c>
    </row>
    <row r="45" spans="1:16">
      <c r="A45" s="9" t="s">
        <v>249</v>
      </c>
      <c r="B45" s="15">
        <v>8.6832866708867797</v>
      </c>
      <c r="C45" s="15">
        <v>10.1960954676653</v>
      </c>
      <c r="D45" s="24">
        <v>7.5088468798748504</v>
      </c>
      <c r="E45" s="15">
        <v>9.62718165211726</v>
      </c>
      <c r="F45" s="15">
        <v>12.015845669453901</v>
      </c>
      <c r="G45" s="24">
        <v>7.6972697118395796</v>
      </c>
      <c r="H45" s="15">
        <v>7.7245438552141801</v>
      </c>
      <c r="I45" s="15">
        <v>8.3804817982885105</v>
      </c>
      <c r="J45" s="24">
        <v>7.2159437240865003</v>
      </c>
      <c r="K45" s="20" t="s">
        <v>76</v>
      </c>
      <c r="L45" s="20" t="s">
        <v>76</v>
      </c>
      <c r="M45" s="26" t="s">
        <v>76</v>
      </c>
      <c r="N45" s="20" t="s">
        <v>76</v>
      </c>
      <c r="O45" s="20" t="s">
        <v>76</v>
      </c>
      <c r="P45" s="26" t="s">
        <v>76</v>
      </c>
    </row>
    <row r="46" spans="1:16">
      <c r="A46" s="9" t="s">
        <v>250</v>
      </c>
      <c r="B46" s="15">
        <v>19.750488890084501</v>
      </c>
      <c r="C46" s="15">
        <v>26.4607889384469</v>
      </c>
      <c r="D46" s="24">
        <v>14.541077493741501</v>
      </c>
      <c r="E46" s="15">
        <v>16.7321945359507</v>
      </c>
      <c r="F46" s="15">
        <v>24.7144281770377</v>
      </c>
      <c r="G46" s="24">
        <v>10.2829794507765</v>
      </c>
      <c r="H46" s="15">
        <v>22.568488235898101</v>
      </c>
      <c r="I46" s="15">
        <v>28.443752327745699</v>
      </c>
      <c r="J46" s="24">
        <v>18.012935200624302</v>
      </c>
      <c r="K46" s="20" t="s">
        <v>76</v>
      </c>
      <c r="L46" s="20" t="s">
        <v>76</v>
      </c>
      <c r="M46" s="26" t="s">
        <v>76</v>
      </c>
      <c r="N46" s="20" t="s">
        <v>76</v>
      </c>
      <c r="O46" s="20" t="s">
        <v>76</v>
      </c>
      <c r="P46" s="26" t="s">
        <v>76</v>
      </c>
    </row>
    <row r="47" spans="1:16">
      <c r="A47" s="9" t="s">
        <v>251</v>
      </c>
      <c r="B47" s="15">
        <v>17.598453759956101</v>
      </c>
      <c r="C47" s="15">
        <v>16.9357977125314</v>
      </c>
      <c r="D47" s="24">
        <v>18.112893940041999</v>
      </c>
      <c r="E47" s="15">
        <v>18.272300901397099</v>
      </c>
      <c r="F47" s="15">
        <v>19.185966984151399</v>
      </c>
      <c r="G47" s="24">
        <v>17.5341078906863</v>
      </c>
      <c r="H47" s="15">
        <v>17.263340658550099</v>
      </c>
      <c r="I47" s="15">
        <v>14.832333096019401</v>
      </c>
      <c r="J47" s="24">
        <v>19.148291480697399</v>
      </c>
      <c r="K47" s="20" t="s">
        <v>76</v>
      </c>
      <c r="L47" s="20" t="s">
        <v>76</v>
      </c>
      <c r="M47" s="26" t="s">
        <v>76</v>
      </c>
      <c r="N47" s="20" t="s">
        <v>76</v>
      </c>
      <c r="O47" s="20" t="s">
        <v>76</v>
      </c>
      <c r="P47" s="26" t="s">
        <v>76</v>
      </c>
    </row>
    <row r="48" spans="1:16">
      <c r="A48" s="9" t="s">
        <v>252</v>
      </c>
      <c r="B48" s="15">
        <v>8.6517857958896993</v>
      </c>
      <c r="C48" s="15">
        <v>8.7861522724438501</v>
      </c>
      <c r="D48" s="24">
        <v>8.5474729858509697</v>
      </c>
      <c r="E48" s="15">
        <v>8.61854684963021</v>
      </c>
      <c r="F48" s="15">
        <v>9.6216253676328307</v>
      </c>
      <c r="G48" s="24">
        <v>7.8081134044578899</v>
      </c>
      <c r="H48" s="15">
        <v>8.7962221130031892</v>
      </c>
      <c r="I48" s="15">
        <v>7.9445560209909498</v>
      </c>
      <c r="J48" s="24">
        <v>9.4565856285581198</v>
      </c>
      <c r="K48" s="20" t="s">
        <v>76</v>
      </c>
      <c r="L48" s="20" t="s">
        <v>76</v>
      </c>
      <c r="M48" s="26" t="s">
        <v>76</v>
      </c>
      <c r="N48" s="20" t="s">
        <v>76</v>
      </c>
      <c r="O48" s="20" t="s">
        <v>76</v>
      </c>
      <c r="P48" s="26" t="s">
        <v>76</v>
      </c>
    </row>
    <row r="49" spans="1:16">
      <c r="A49" s="9" t="s">
        <v>253</v>
      </c>
      <c r="B49" s="15">
        <v>26.581753574440999</v>
      </c>
      <c r="C49" s="15">
        <v>25.273591418473</v>
      </c>
      <c r="D49" s="24">
        <v>27.5973199119295</v>
      </c>
      <c r="E49" s="15">
        <v>21.665120563590101</v>
      </c>
      <c r="F49" s="15">
        <v>23.487054562832402</v>
      </c>
      <c r="G49" s="24">
        <v>20.193095969919401</v>
      </c>
      <c r="H49" s="15">
        <v>32.085105326033499</v>
      </c>
      <c r="I49" s="15">
        <v>27.421873550044101</v>
      </c>
      <c r="J49" s="24">
        <v>35.700874649623799</v>
      </c>
      <c r="K49" s="20" t="s">
        <v>76</v>
      </c>
      <c r="L49" s="20" t="s">
        <v>76</v>
      </c>
      <c r="M49" s="26" t="s">
        <v>76</v>
      </c>
      <c r="N49" s="20" t="s">
        <v>76</v>
      </c>
      <c r="O49" s="20" t="s">
        <v>76</v>
      </c>
      <c r="P49" s="26" t="s">
        <v>76</v>
      </c>
    </row>
    <row r="50" spans="1:16">
      <c r="A50" s="9" t="s">
        <v>254</v>
      </c>
      <c r="B50" s="15">
        <v>44.787589057405903</v>
      </c>
      <c r="C50" s="15">
        <v>51.759952873480302</v>
      </c>
      <c r="D50" s="24">
        <v>39.374729533818702</v>
      </c>
      <c r="E50" s="15">
        <v>41.191847367351002</v>
      </c>
      <c r="F50" s="15">
        <v>46.990260987771101</v>
      </c>
      <c r="G50" s="24">
        <v>36.507041300236203</v>
      </c>
      <c r="H50" s="15">
        <v>48.721174821603498</v>
      </c>
      <c r="I50" s="15">
        <v>56.864206903103501</v>
      </c>
      <c r="J50" s="24">
        <v>42.407243407578697</v>
      </c>
      <c r="K50" s="20" t="s">
        <v>76</v>
      </c>
      <c r="L50" s="20" t="s">
        <v>76</v>
      </c>
      <c r="M50" s="26" t="s">
        <v>76</v>
      </c>
      <c r="N50" s="15">
        <v>41.964278527440399</v>
      </c>
      <c r="O50" s="20" t="s">
        <v>76</v>
      </c>
      <c r="P50" s="26" t="s">
        <v>76</v>
      </c>
    </row>
    <row r="51" spans="1:16">
      <c r="A51" s="9" t="s">
        <v>255</v>
      </c>
      <c r="B51" s="15">
        <v>28.702361284184999</v>
      </c>
      <c r="C51" s="15">
        <v>29.2717944482844</v>
      </c>
      <c r="D51" s="24">
        <v>28.260292882900998</v>
      </c>
      <c r="E51" s="15">
        <v>32.128819349989001</v>
      </c>
      <c r="F51" s="15">
        <v>34.789588141050899</v>
      </c>
      <c r="G51" s="24">
        <v>29.979061400390702</v>
      </c>
      <c r="H51" s="15">
        <v>25.475808707048401</v>
      </c>
      <c r="I51" s="15">
        <v>23.505016911498402</v>
      </c>
      <c r="J51" s="24">
        <v>27.003918151280601</v>
      </c>
      <c r="K51" s="20" t="s">
        <v>76</v>
      </c>
      <c r="L51" s="20" t="s">
        <v>76</v>
      </c>
      <c r="M51" s="26" t="s">
        <v>76</v>
      </c>
      <c r="N51" s="20" t="s">
        <v>76</v>
      </c>
      <c r="O51" s="20" t="s">
        <v>76</v>
      </c>
      <c r="P51" s="26" t="s">
        <v>76</v>
      </c>
    </row>
    <row r="52" spans="1:16">
      <c r="A52" s="9" t="s">
        <v>256</v>
      </c>
      <c r="B52" s="15">
        <v>22.125595030416498</v>
      </c>
      <c r="C52" s="15">
        <v>20.3037966795956</v>
      </c>
      <c r="D52" s="24">
        <v>23.539912873464498</v>
      </c>
      <c r="E52" s="15">
        <v>26.308255542691398</v>
      </c>
      <c r="F52" s="15">
        <v>25.980277642329</v>
      </c>
      <c r="G52" s="24">
        <v>26.573244030592001</v>
      </c>
      <c r="H52" s="15">
        <v>17.262431624894599</v>
      </c>
      <c r="I52" s="15">
        <v>14.239758328907399</v>
      </c>
      <c r="J52" s="24">
        <v>19.606147293315701</v>
      </c>
      <c r="K52" s="20" t="s">
        <v>76</v>
      </c>
      <c r="L52" s="20" t="s">
        <v>76</v>
      </c>
      <c r="M52" s="26" t="s">
        <v>76</v>
      </c>
      <c r="N52" s="20" t="s">
        <v>76</v>
      </c>
      <c r="O52" s="20" t="s">
        <v>76</v>
      </c>
      <c r="P52" s="26" t="s">
        <v>76</v>
      </c>
    </row>
    <row r="53" spans="1:16">
      <c r="A53" s="9" t="s">
        <v>257</v>
      </c>
      <c r="B53" s="15">
        <v>35.973965819089798</v>
      </c>
      <c r="C53" s="15">
        <v>36.298374228284203</v>
      </c>
      <c r="D53" s="24">
        <v>35.722117637675098</v>
      </c>
      <c r="E53" s="15">
        <v>36.625156524057502</v>
      </c>
      <c r="F53" s="15">
        <v>39.762313239437901</v>
      </c>
      <c r="G53" s="24">
        <v>34.090502776358903</v>
      </c>
      <c r="H53" s="15">
        <v>35.733760033426599</v>
      </c>
      <c r="I53" s="15">
        <v>32.659722095792397</v>
      </c>
      <c r="J53" s="24">
        <v>38.117302736939699</v>
      </c>
      <c r="K53" s="20" t="s">
        <v>76</v>
      </c>
      <c r="L53" s="20" t="s">
        <v>76</v>
      </c>
      <c r="M53" s="26" t="s">
        <v>76</v>
      </c>
      <c r="N53" s="20" t="s">
        <v>76</v>
      </c>
      <c r="O53" s="20" t="s">
        <v>76</v>
      </c>
      <c r="P53" s="26" t="s">
        <v>76</v>
      </c>
    </row>
    <row r="54" spans="1:16">
      <c r="A54" s="9" t="s">
        <v>258</v>
      </c>
      <c r="B54" s="15">
        <v>34.9054606582418</v>
      </c>
      <c r="C54" s="15">
        <v>43.9461076535895</v>
      </c>
      <c r="D54" s="24">
        <v>27.886929571934999</v>
      </c>
      <c r="E54" s="15">
        <v>29.904952905669699</v>
      </c>
      <c r="F54" s="15">
        <v>40.939736582110598</v>
      </c>
      <c r="G54" s="24">
        <v>20.989441715740899</v>
      </c>
      <c r="H54" s="15">
        <v>40.448100968075401</v>
      </c>
      <c r="I54" s="15">
        <v>47.383258541105498</v>
      </c>
      <c r="J54" s="24">
        <v>35.070729391577601</v>
      </c>
      <c r="K54" s="20" t="s">
        <v>76</v>
      </c>
      <c r="L54" s="20" t="s">
        <v>76</v>
      </c>
      <c r="M54" s="26" t="s">
        <v>76</v>
      </c>
      <c r="N54" s="20" t="s">
        <v>76</v>
      </c>
      <c r="O54" s="20" t="s">
        <v>76</v>
      </c>
      <c r="P54" s="26" t="s">
        <v>76</v>
      </c>
    </row>
    <row r="55" spans="1:16">
      <c r="A55" s="9" t="s">
        <v>259</v>
      </c>
      <c r="B55" s="15">
        <v>7.7590058363597896</v>
      </c>
      <c r="C55" s="15">
        <v>8.1300650896140194</v>
      </c>
      <c r="D55" s="24">
        <v>7.4709411762567202</v>
      </c>
      <c r="E55" s="15">
        <v>7.3227064612459198</v>
      </c>
      <c r="F55" s="15">
        <v>9.2718228261341302</v>
      </c>
      <c r="G55" s="24">
        <v>5.7479253625702498</v>
      </c>
      <c r="H55" s="15">
        <v>8.3220964388958301</v>
      </c>
      <c r="I55" s="15">
        <v>7.06100896853627</v>
      </c>
      <c r="J55" s="24">
        <v>9.2999164591590393</v>
      </c>
      <c r="K55" s="20" t="s">
        <v>76</v>
      </c>
      <c r="L55" s="20" t="s">
        <v>76</v>
      </c>
      <c r="M55" s="26" t="s">
        <v>76</v>
      </c>
      <c r="N55" s="20" t="s">
        <v>76</v>
      </c>
      <c r="O55" s="20" t="s">
        <v>76</v>
      </c>
      <c r="P55" s="26" t="s">
        <v>76</v>
      </c>
    </row>
    <row r="56" spans="1:16">
      <c r="A56" s="9" t="s">
        <v>260</v>
      </c>
      <c r="B56" s="15">
        <v>14.0102841534995</v>
      </c>
      <c r="C56" s="15">
        <v>13.7928750470543</v>
      </c>
      <c r="D56" s="24">
        <v>14.1790654998806</v>
      </c>
      <c r="E56" s="15">
        <v>10.569176733338301</v>
      </c>
      <c r="F56" s="15">
        <v>14.1072451060299</v>
      </c>
      <c r="G56" s="24">
        <v>7.7106079482691703</v>
      </c>
      <c r="H56" s="15">
        <v>17.726612115913898</v>
      </c>
      <c r="I56" s="15">
        <v>13.6573668813233</v>
      </c>
      <c r="J56" s="24">
        <v>20.881817088816199</v>
      </c>
      <c r="K56" s="20" t="s">
        <v>76</v>
      </c>
      <c r="L56" s="20" t="s">
        <v>76</v>
      </c>
      <c r="M56" s="26" t="s">
        <v>76</v>
      </c>
      <c r="N56" s="20" t="s">
        <v>76</v>
      </c>
      <c r="O56" s="20" t="s">
        <v>76</v>
      </c>
      <c r="P56" s="26" t="s">
        <v>76</v>
      </c>
    </row>
    <row r="57" spans="1:16">
      <c r="A57" s="9" t="s">
        <v>261</v>
      </c>
      <c r="B57" s="15">
        <v>10.3761290879662</v>
      </c>
      <c r="C57" s="15">
        <v>12.735655179981601</v>
      </c>
      <c r="D57" s="24">
        <v>8.5443567342524602</v>
      </c>
      <c r="E57" s="15">
        <v>8.5284430608551105</v>
      </c>
      <c r="F57" s="15">
        <v>12.097059838523901</v>
      </c>
      <c r="G57" s="24">
        <v>5.6451928090355201</v>
      </c>
      <c r="H57" s="15">
        <v>12.380291172148899</v>
      </c>
      <c r="I57" s="15">
        <v>13.464326755303899</v>
      </c>
      <c r="J57" s="24">
        <v>11.5397533658504</v>
      </c>
      <c r="K57" s="20" t="s">
        <v>76</v>
      </c>
      <c r="L57" s="20" t="s">
        <v>76</v>
      </c>
      <c r="M57" s="26" t="s">
        <v>76</v>
      </c>
      <c r="N57" s="20" t="s">
        <v>76</v>
      </c>
      <c r="O57" s="20" t="s">
        <v>76</v>
      </c>
      <c r="P57" s="26" t="s">
        <v>76</v>
      </c>
    </row>
    <row r="58" spans="1:16">
      <c r="A58" s="9" t="s">
        <v>262</v>
      </c>
      <c r="B58" s="15">
        <v>26.8866091826483</v>
      </c>
      <c r="C58" s="15">
        <v>21.821405288123199</v>
      </c>
      <c r="D58" s="24">
        <v>30.818882062067299</v>
      </c>
      <c r="E58" s="15">
        <v>37.181814604104297</v>
      </c>
      <c r="F58" s="15">
        <v>30.459001497275199</v>
      </c>
      <c r="G58" s="24">
        <v>42.613485694286197</v>
      </c>
      <c r="H58" s="15">
        <v>16.0915349933599</v>
      </c>
      <c r="I58" s="15">
        <v>12.587915448612801</v>
      </c>
      <c r="J58" s="24">
        <v>18.8081660080685</v>
      </c>
      <c r="K58" s="20" t="s">
        <v>76</v>
      </c>
      <c r="L58" s="20" t="s">
        <v>76</v>
      </c>
      <c r="M58" s="26" t="s">
        <v>76</v>
      </c>
      <c r="N58" s="20" t="s">
        <v>76</v>
      </c>
      <c r="O58" s="20" t="s">
        <v>76</v>
      </c>
      <c r="P58" s="26" t="s">
        <v>76</v>
      </c>
    </row>
    <row r="59" spans="1:16">
      <c r="A59" s="9" t="s">
        <v>263</v>
      </c>
      <c r="B59" s="15">
        <v>2.2604589089798499</v>
      </c>
      <c r="C59" s="15">
        <v>2.2475245411800899</v>
      </c>
      <c r="D59" s="24">
        <v>2.2705002547520099</v>
      </c>
      <c r="E59" s="15">
        <v>2.3806673883758802</v>
      </c>
      <c r="F59" s="20" t="s">
        <v>76</v>
      </c>
      <c r="G59" s="26" t="s">
        <v>76</v>
      </c>
      <c r="H59" s="15">
        <v>2.1324867601129598</v>
      </c>
      <c r="I59" s="20" t="s">
        <v>76</v>
      </c>
      <c r="J59" s="24">
        <v>2.4955421644809799</v>
      </c>
      <c r="K59" s="20" t="s">
        <v>76</v>
      </c>
      <c r="L59" s="20" t="s">
        <v>76</v>
      </c>
      <c r="M59" s="26" t="s">
        <v>76</v>
      </c>
      <c r="N59" s="20" t="s">
        <v>76</v>
      </c>
      <c r="O59" s="20" t="s">
        <v>76</v>
      </c>
      <c r="P59" s="26" t="s">
        <v>76</v>
      </c>
    </row>
    <row r="60" spans="1:16">
      <c r="A60" s="9" t="s">
        <v>264</v>
      </c>
      <c r="B60" s="15">
        <v>2.4771249541714102</v>
      </c>
      <c r="C60" s="15">
        <v>2.2095433534229398</v>
      </c>
      <c r="D60" s="24">
        <v>2.6848567441576101</v>
      </c>
      <c r="E60" s="15">
        <v>2.9239065566564202</v>
      </c>
      <c r="F60" s="20" t="s">
        <v>76</v>
      </c>
      <c r="G60" s="24">
        <v>3.00044314684795</v>
      </c>
      <c r="H60" s="15">
        <v>1.8043695394764401</v>
      </c>
      <c r="I60" s="20" t="s">
        <v>76</v>
      </c>
      <c r="J60" s="26" t="s">
        <v>76</v>
      </c>
      <c r="K60" s="20" t="s">
        <v>76</v>
      </c>
      <c r="L60" s="20" t="s">
        <v>76</v>
      </c>
      <c r="M60" s="26" t="s">
        <v>76</v>
      </c>
      <c r="N60" s="20" t="s">
        <v>76</v>
      </c>
      <c r="O60" s="20" t="s">
        <v>76</v>
      </c>
      <c r="P60" s="26" t="s">
        <v>76</v>
      </c>
    </row>
    <row r="61" spans="1:16">
      <c r="A61" s="9" t="s">
        <v>265</v>
      </c>
      <c r="B61" s="15">
        <v>3.00293699255388</v>
      </c>
      <c r="C61" s="15">
        <v>2.8806038695712401</v>
      </c>
      <c r="D61" s="24">
        <v>3.0979079417548001</v>
      </c>
      <c r="E61" s="15">
        <v>3.0226053861132098</v>
      </c>
      <c r="F61" s="15">
        <v>3.2205950285126499</v>
      </c>
      <c r="G61" s="24">
        <v>2.86264041316401</v>
      </c>
      <c r="H61" s="15">
        <v>2.8723083195709198</v>
      </c>
      <c r="I61" s="20" t="s">
        <v>76</v>
      </c>
      <c r="J61" s="24">
        <v>3.0794808448833799</v>
      </c>
      <c r="K61" s="20" t="s">
        <v>76</v>
      </c>
      <c r="L61" s="20" t="s">
        <v>76</v>
      </c>
      <c r="M61" s="26" t="s">
        <v>76</v>
      </c>
      <c r="N61" s="20" t="s">
        <v>76</v>
      </c>
      <c r="O61" s="20" t="s">
        <v>76</v>
      </c>
      <c r="P61" s="26" t="s">
        <v>76</v>
      </c>
    </row>
    <row r="62" spans="1:16">
      <c r="A62" s="9" t="s">
        <v>266</v>
      </c>
      <c r="B62" s="15">
        <v>8.2295652198507092</v>
      </c>
      <c r="C62" s="15">
        <v>8.9985197545925502</v>
      </c>
      <c r="D62" s="24">
        <v>7.6326022692101798</v>
      </c>
      <c r="E62" s="15">
        <v>8.0223988595056408</v>
      </c>
      <c r="F62" s="15">
        <v>9.5248311031783395</v>
      </c>
      <c r="G62" s="24">
        <v>6.8085144850279002</v>
      </c>
      <c r="H62" s="15">
        <v>8.4950247702794801</v>
      </c>
      <c r="I62" s="15">
        <v>8.5845172865346004</v>
      </c>
      <c r="J62" s="24">
        <v>8.4256342037131198</v>
      </c>
      <c r="K62" s="20" t="s">
        <v>76</v>
      </c>
      <c r="L62" s="20" t="s">
        <v>76</v>
      </c>
      <c r="M62" s="26" t="s">
        <v>76</v>
      </c>
      <c r="N62" s="20" t="s">
        <v>76</v>
      </c>
      <c r="O62" s="20" t="s">
        <v>76</v>
      </c>
      <c r="P62" s="26" t="s">
        <v>76</v>
      </c>
    </row>
    <row r="63" spans="1:16">
      <c r="A63" s="9" t="s">
        <v>267</v>
      </c>
      <c r="B63" s="15">
        <v>14.3194410099777</v>
      </c>
      <c r="C63" s="15">
        <v>16.7629629845725</v>
      </c>
      <c r="D63" s="24">
        <v>12.422460080671</v>
      </c>
      <c r="E63" s="15">
        <v>17.947584567687901</v>
      </c>
      <c r="F63" s="15">
        <v>22.482707885001702</v>
      </c>
      <c r="G63" s="24">
        <v>14.2834490604788</v>
      </c>
      <c r="H63" s="15">
        <v>10.5554904965435</v>
      </c>
      <c r="I63" s="15">
        <v>10.546149869052799</v>
      </c>
      <c r="J63" s="24">
        <v>10.5627330176032</v>
      </c>
      <c r="K63" s="20" t="s">
        <v>76</v>
      </c>
      <c r="L63" s="20" t="s">
        <v>76</v>
      </c>
      <c r="M63" s="26" t="s">
        <v>76</v>
      </c>
      <c r="N63" s="20" t="s">
        <v>76</v>
      </c>
      <c r="O63" s="20" t="s">
        <v>76</v>
      </c>
      <c r="P63" s="26" t="s">
        <v>76</v>
      </c>
    </row>
    <row r="64" spans="1:16">
      <c r="A64" s="11" t="s">
        <v>268</v>
      </c>
      <c r="B64" s="16">
        <v>2.6600625036124899</v>
      </c>
      <c r="C64" s="16">
        <v>3.52970294677012</v>
      </c>
      <c r="D64" s="25">
        <v>1.9849339992751001</v>
      </c>
      <c r="E64" s="16">
        <v>2.7188000947645601</v>
      </c>
      <c r="F64" s="16">
        <v>3.3281175193035701</v>
      </c>
      <c r="G64" s="29" t="s">
        <v>76</v>
      </c>
      <c r="H64" s="16">
        <v>2.51469940478299</v>
      </c>
      <c r="I64" s="16">
        <v>3.85083803309205</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301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34.828357577601501</v>
      </c>
      <c r="C3" s="32">
        <v>34.203328019150398</v>
      </c>
      <c r="D3" s="32">
        <v>28.9118832736667</v>
      </c>
      <c r="E3" s="32">
        <v>31.901315016835898</v>
      </c>
      <c r="F3" s="15">
        <v>28.125</v>
      </c>
      <c r="G3" s="15">
        <v>34.328358208955201</v>
      </c>
      <c r="H3" s="15">
        <v>23.170731707317099</v>
      </c>
      <c r="I3" s="15">
        <v>45</v>
      </c>
      <c r="J3" s="15">
        <v>35.802469135802497</v>
      </c>
      <c r="K3" s="15">
        <v>42</v>
      </c>
      <c r="L3" s="15">
        <v>26.5625</v>
      </c>
      <c r="M3" s="15">
        <v>25</v>
      </c>
      <c r="N3" s="15">
        <v>28.571428571428601</v>
      </c>
      <c r="O3" s="15">
        <v>38.095238095238102</v>
      </c>
      <c r="P3" s="15">
        <v>28.8888888888889</v>
      </c>
      <c r="Q3" s="15">
        <v>43.3333333333333</v>
      </c>
      <c r="R3" s="15">
        <v>37.3626373626374</v>
      </c>
      <c r="S3" s="15">
        <v>32</v>
      </c>
      <c r="T3" s="20" t="s">
        <v>76</v>
      </c>
      <c r="U3" s="15">
        <v>38.297872340425499</v>
      </c>
      <c r="V3" s="15">
        <v>35.185185185185198</v>
      </c>
      <c r="W3" s="15">
        <v>23.214285714285701</v>
      </c>
      <c r="X3" s="15">
        <v>34.615384615384599</v>
      </c>
      <c r="Y3" s="15">
        <v>26.829268292682901</v>
      </c>
      <c r="Z3" s="15">
        <v>32.6086956521739</v>
      </c>
      <c r="AA3" s="15">
        <v>53.424657534246599</v>
      </c>
      <c r="AB3" s="15">
        <v>41.025641025641001</v>
      </c>
      <c r="AC3" s="15">
        <v>17.283950617283899</v>
      </c>
      <c r="AD3" s="15">
        <v>23.157894736842099</v>
      </c>
      <c r="AE3" s="15">
        <v>34.426229508196698</v>
      </c>
      <c r="AF3" s="15">
        <v>37.837837837837803</v>
      </c>
      <c r="AG3" s="32">
        <v>26.5910958753065</v>
      </c>
      <c r="AH3" s="15">
        <v>30.201342281879199</v>
      </c>
      <c r="AI3" s="15">
        <v>30.6784660766962</v>
      </c>
      <c r="AJ3" s="15">
        <v>29.2035398230088</v>
      </c>
      <c r="AK3" s="15">
        <v>29.411764705882401</v>
      </c>
      <c r="AL3" s="15">
        <v>29.608938547486002</v>
      </c>
      <c r="AM3" s="15">
        <v>20.615384615384599</v>
      </c>
      <c r="AN3" s="24">
        <v>32.911392405063303</v>
      </c>
      <c r="AO3" s="38"/>
    </row>
    <row r="4" spans="1:41">
      <c r="A4" s="9" t="s">
        <v>208</v>
      </c>
      <c r="B4" s="36">
        <v>22.326511545589302</v>
      </c>
      <c r="C4" s="32">
        <v>22.5986150405306</v>
      </c>
      <c r="D4" s="32">
        <v>19.465285698498</v>
      </c>
      <c r="E4" s="32">
        <v>21.258372355916102</v>
      </c>
      <c r="F4" s="15">
        <v>22.9166666666667</v>
      </c>
      <c r="G4" s="15">
        <v>20.8955223880597</v>
      </c>
      <c r="H4" s="15">
        <v>25.609756097561</v>
      </c>
      <c r="I4" s="15">
        <v>17.5</v>
      </c>
      <c r="J4" s="15">
        <v>34.567901234567898</v>
      </c>
      <c r="K4" s="15">
        <v>52</v>
      </c>
      <c r="L4" s="15">
        <v>12.5</v>
      </c>
      <c r="M4" s="15">
        <v>16.176470588235301</v>
      </c>
      <c r="N4" s="15">
        <v>10.2040816326531</v>
      </c>
      <c r="O4" s="15">
        <v>21.428571428571399</v>
      </c>
      <c r="P4" s="15">
        <v>11.851851851851899</v>
      </c>
      <c r="Q4" s="15">
        <v>23.3333333333333</v>
      </c>
      <c r="R4" s="15">
        <v>17.582417582417602</v>
      </c>
      <c r="S4" s="15">
        <v>30</v>
      </c>
      <c r="T4" s="15">
        <v>18.181818181818201</v>
      </c>
      <c r="U4" s="15">
        <v>12.7659574468085</v>
      </c>
      <c r="V4" s="15">
        <v>31.481481481481499</v>
      </c>
      <c r="W4" s="15">
        <v>12.5</v>
      </c>
      <c r="X4" s="15">
        <v>36.538461538461497</v>
      </c>
      <c r="Y4" s="20" t="s">
        <v>76</v>
      </c>
      <c r="Z4" s="15">
        <v>26.086956521739101</v>
      </c>
      <c r="AA4" s="15">
        <v>24.657534246575299</v>
      </c>
      <c r="AB4" s="15">
        <v>24.3589743589744</v>
      </c>
      <c r="AC4" s="15">
        <v>8.6419753086419693</v>
      </c>
      <c r="AD4" s="15">
        <v>17.894736842105299</v>
      </c>
      <c r="AE4" s="15">
        <v>36.065573770491802</v>
      </c>
      <c r="AF4" s="15">
        <v>16.2162162162162</v>
      </c>
      <c r="AG4" s="32">
        <v>18.073257622188098</v>
      </c>
      <c r="AH4" s="15">
        <v>10.738255033557</v>
      </c>
      <c r="AI4" s="15">
        <v>20.648967551622398</v>
      </c>
      <c r="AJ4" s="15">
        <v>16.519174041297902</v>
      </c>
      <c r="AK4" s="15">
        <v>14.878892733563999</v>
      </c>
      <c r="AL4" s="15">
        <v>17.877094972066999</v>
      </c>
      <c r="AM4" s="15">
        <v>18.153846153846199</v>
      </c>
      <c r="AN4" s="24">
        <v>26.265822784810101</v>
      </c>
      <c r="AO4" s="38"/>
    </row>
    <row r="5" spans="1:41">
      <c r="A5" s="9" t="s">
        <v>209</v>
      </c>
      <c r="B5" s="36">
        <v>27.130291813127599</v>
      </c>
      <c r="C5" s="32">
        <v>26.8245205866098</v>
      </c>
      <c r="D5" s="32">
        <v>23.336832450273</v>
      </c>
      <c r="E5" s="32">
        <v>16.328827504380801</v>
      </c>
      <c r="F5" s="15">
        <v>16.6666666666667</v>
      </c>
      <c r="G5" s="15">
        <v>22.388059701492502</v>
      </c>
      <c r="H5" s="15">
        <v>14.634146341463399</v>
      </c>
      <c r="I5" s="15">
        <v>15</v>
      </c>
      <c r="J5" s="15">
        <v>20.987654320987701</v>
      </c>
      <c r="K5" s="15">
        <v>34</v>
      </c>
      <c r="L5" s="15">
        <v>17.1875</v>
      </c>
      <c r="M5" s="15">
        <v>16.176470588235301</v>
      </c>
      <c r="N5" s="15">
        <v>10.2040816326531</v>
      </c>
      <c r="O5" s="15">
        <v>21.428571428571399</v>
      </c>
      <c r="P5" s="15">
        <v>17.037037037036999</v>
      </c>
      <c r="Q5" s="15">
        <v>21.6666666666667</v>
      </c>
      <c r="R5" s="15">
        <v>15.384615384615399</v>
      </c>
      <c r="S5" s="15">
        <v>14</v>
      </c>
      <c r="T5" s="20" t="s">
        <v>76</v>
      </c>
      <c r="U5" s="20" t="s">
        <v>76</v>
      </c>
      <c r="V5" s="20" t="s">
        <v>76</v>
      </c>
      <c r="W5" s="15">
        <v>17.8571428571429</v>
      </c>
      <c r="X5" s="15">
        <v>6.7307692307692299</v>
      </c>
      <c r="Y5" s="15">
        <v>26.829268292682901</v>
      </c>
      <c r="Z5" s="15">
        <v>26.086956521739101</v>
      </c>
      <c r="AA5" s="15">
        <v>28.7671232876712</v>
      </c>
      <c r="AB5" s="15">
        <v>19.230769230769202</v>
      </c>
      <c r="AC5" s="15">
        <v>11.1111111111111</v>
      </c>
      <c r="AD5" s="15">
        <v>5.2631578947368398</v>
      </c>
      <c r="AE5" s="15">
        <v>21.311475409836099</v>
      </c>
      <c r="AF5" s="15">
        <v>37.837837837837803</v>
      </c>
      <c r="AG5" s="32">
        <v>28.777361274266202</v>
      </c>
      <c r="AH5" s="15">
        <v>25.503355704697999</v>
      </c>
      <c r="AI5" s="15">
        <v>30.383480825958699</v>
      </c>
      <c r="AJ5" s="15">
        <v>37.758112094395301</v>
      </c>
      <c r="AK5" s="15">
        <v>13.1487889273356</v>
      </c>
      <c r="AL5" s="15">
        <v>38.547486033519597</v>
      </c>
      <c r="AM5" s="15">
        <v>22.153846153846199</v>
      </c>
      <c r="AN5" s="24">
        <v>31.0126582278481</v>
      </c>
      <c r="AO5" s="38"/>
    </row>
    <row r="6" spans="1:41">
      <c r="A6" s="9" t="s">
        <v>210</v>
      </c>
      <c r="B6" s="36">
        <v>46.087348451858396</v>
      </c>
      <c r="C6" s="32">
        <v>44.554265255603802</v>
      </c>
      <c r="D6" s="32">
        <v>41.586774458551702</v>
      </c>
      <c r="E6" s="32">
        <v>47.429492724271597</v>
      </c>
      <c r="F6" s="15">
        <v>52.0833333333333</v>
      </c>
      <c r="G6" s="15">
        <v>40.298507462686601</v>
      </c>
      <c r="H6" s="15">
        <v>50</v>
      </c>
      <c r="I6" s="15">
        <v>47.5</v>
      </c>
      <c r="J6" s="15">
        <v>51.851851851851798</v>
      </c>
      <c r="K6" s="15">
        <v>46</v>
      </c>
      <c r="L6" s="15">
        <v>40.625</v>
      </c>
      <c r="M6" s="15">
        <v>36.764705882352899</v>
      </c>
      <c r="N6" s="15">
        <v>42.857142857142897</v>
      </c>
      <c r="O6" s="15">
        <v>66.6666666666667</v>
      </c>
      <c r="P6" s="15">
        <v>42.2222222222222</v>
      </c>
      <c r="Q6" s="15">
        <v>56.6666666666667</v>
      </c>
      <c r="R6" s="15">
        <v>45.054945054945101</v>
      </c>
      <c r="S6" s="15">
        <v>50</v>
      </c>
      <c r="T6" s="15">
        <v>51.515151515151501</v>
      </c>
      <c r="U6" s="15">
        <v>55.319148936170201</v>
      </c>
      <c r="V6" s="15">
        <v>50</v>
      </c>
      <c r="W6" s="15">
        <v>46.428571428571402</v>
      </c>
      <c r="X6" s="15">
        <v>43.269230769230802</v>
      </c>
      <c r="Y6" s="15">
        <v>51.219512195122</v>
      </c>
      <c r="Z6" s="15">
        <v>54.347826086956502</v>
      </c>
      <c r="AA6" s="15">
        <v>53.424657534246599</v>
      </c>
      <c r="AB6" s="15">
        <v>51.282051282051299</v>
      </c>
      <c r="AC6" s="15">
        <v>37.037037037037003</v>
      </c>
      <c r="AD6" s="15">
        <v>48.421052631579002</v>
      </c>
      <c r="AE6" s="15">
        <v>55.737704918032797</v>
      </c>
      <c r="AF6" s="15">
        <v>43.243243243243199</v>
      </c>
      <c r="AG6" s="32">
        <v>37.050893365352302</v>
      </c>
      <c r="AH6" s="15">
        <v>27.852348993288601</v>
      </c>
      <c r="AI6" s="15">
        <v>46.017699115044202</v>
      </c>
      <c r="AJ6" s="15">
        <v>36.283185840708001</v>
      </c>
      <c r="AK6" s="15">
        <v>35.986159169550199</v>
      </c>
      <c r="AL6" s="15">
        <v>42.458100558659197</v>
      </c>
      <c r="AM6" s="15">
        <v>45.846153846153797</v>
      </c>
      <c r="AN6" s="24">
        <v>44.303797468354396</v>
      </c>
      <c r="AO6" s="38"/>
    </row>
    <row r="7" spans="1:41">
      <c r="A7" s="9" t="s">
        <v>211</v>
      </c>
      <c r="B7" s="36">
        <v>24.199306116889499</v>
      </c>
      <c r="C7" s="32">
        <v>23.590412781819101</v>
      </c>
      <c r="D7" s="32">
        <v>19.979258563694799</v>
      </c>
      <c r="E7" s="32">
        <v>27.393137796526499</v>
      </c>
      <c r="F7" s="15">
        <v>29.1666666666667</v>
      </c>
      <c r="G7" s="15">
        <v>20.8955223880597</v>
      </c>
      <c r="H7" s="15">
        <v>25.609756097561</v>
      </c>
      <c r="I7" s="15">
        <v>12.5</v>
      </c>
      <c r="J7" s="15">
        <v>24.6913580246914</v>
      </c>
      <c r="K7" s="15">
        <v>24</v>
      </c>
      <c r="L7" s="15">
        <v>21.09375</v>
      </c>
      <c r="M7" s="15">
        <v>32.352941176470601</v>
      </c>
      <c r="N7" s="15">
        <v>26.530612244897998</v>
      </c>
      <c r="O7" s="15">
        <v>45.238095238095198</v>
      </c>
      <c r="P7" s="15">
        <v>20</v>
      </c>
      <c r="Q7" s="15">
        <v>41.6666666666667</v>
      </c>
      <c r="R7" s="15">
        <v>21.978021978021999</v>
      </c>
      <c r="S7" s="15">
        <v>25</v>
      </c>
      <c r="T7" s="15">
        <v>45.454545454545503</v>
      </c>
      <c r="U7" s="15">
        <v>21.2765957446809</v>
      </c>
      <c r="V7" s="15">
        <v>29.629629629629601</v>
      </c>
      <c r="W7" s="15">
        <v>25</v>
      </c>
      <c r="X7" s="15">
        <v>38.461538461538503</v>
      </c>
      <c r="Y7" s="15">
        <v>34.146341463414601</v>
      </c>
      <c r="Z7" s="15">
        <v>28.260869565217401</v>
      </c>
      <c r="AA7" s="15">
        <v>26.027397260274</v>
      </c>
      <c r="AB7" s="15">
        <v>30.769230769230798</v>
      </c>
      <c r="AC7" s="15">
        <v>16.049382716049401</v>
      </c>
      <c r="AD7" s="15">
        <v>31.578947368421101</v>
      </c>
      <c r="AE7" s="15">
        <v>36.065573770491802</v>
      </c>
      <c r="AF7" s="15">
        <v>16.2162162162162</v>
      </c>
      <c r="AG7" s="32">
        <v>14.223637102915401</v>
      </c>
      <c r="AH7" s="15">
        <v>13.087248322147699</v>
      </c>
      <c r="AI7" s="15">
        <v>20.648967551622398</v>
      </c>
      <c r="AJ7" s="15">
        <v>17.699115044247801</v>
      </c>
      <c r="AK7" s="15">
        <v>17.647058823529399</v>
      </c>
      <c r="AL7" s="15">
        <v>17.318435754189899</v>
      </c>
      <c r="AM7" s="15">
        <v>15.384615384615399</v>
      </c>
      <c r="AN7" s="24">
        <v>18.037974683544299</v>
      </c>
      <c r="AO7" s="38"/>
    </row>
    <row r="8" spans="1:41">
      <c r="A8" s="9" t="s">
        <v>212</v>
      </c>
      <c r="B8" s="36">
        <v>3.2585078492217199</v>
      </c>
      <c r="C8" s="32">
        <v>2.94022370563119</v>
      </c>
      <c r="D8" s="32">
        <v>2.3270984557430499</v>
      </c>
      <c r="E8" s="32">
        <v>2.7794605438733</v>
      </c>
      <c r="F8" s="20" t="s">
        <v>76</v>
      </c>
      <c r="G8" s="20" t="s">
        <v>76</v>
      </c>
      <c r="H8" s="20" t="s">
        <v>76</v>
      </c>
      <c r="I8" s="20" t="s">
        <v>76</v>
      </c>
      <c r="J8" s="20" t="s">
        <v>76</v>
      </c>
      <c r="K8" s="20" t="s">
        <v>76</v>
      </c>
      <c r="L8" s="20" t="s">
        <v>76</v>
      </c>
      <c r="M8" s="20" t="s">
        <v>76</v>
      </c>
      <c r="N8" s="20" t="s">
        <v>76</v>
      </c>
      <c r="O8" s="20" t="s">
        <v>76</v>
      </c>
      <c r="P8" s="20" t="s">
        <v>76</v>
      </c>
      <c r="Q8" s="15">
        <v>8.3333333333333304</v>
      </c>
      <c r="R8" s="20" t="s">
        <v>76</v>
      </c>
      <c r="S8" s="20" t="s">
        <v>76</v>
      </c>
      <c r="T8" s="20" t="s">
        <v>76</v>
      </c>
      <c r="U8" s="20" t="s">
        <v>76</v>
      </c>
      <c r="V8" s="20" t="s">
        <v>76</v>
      </c>
      <c r="W8" s="20" t="s">
        <v>76</v>
      </c>
      <c r="X8" s="20" t="s">
        <v>76</v>
      </c>
      <c r="Y8" s="20" t="s">
        <v>76</v>
      </c>
      <c r="Z8" s="20" t="s">
        <v>76</v>
      </c>
      <c r="AA8" s="20" t="s">
        <v>76</v>
      </c>
      <c r="AB8" s="20" t="s">
        <v>76</v>
      </c>
      <c r="AC8" s="20" t="s">
        <v>76</v>
      </c>
      <c r="AD8" s="20" t="s">
        <v>76</v>
      </c>
      <c r="AE8" s="15">
        <v>8.1967213114754092</v>
      </c>
      <c r="AF8" s="20" t="s">
        <v>76</v>
      </c>
      <c r="AG8" s="32">
        <v>1.9759159154400501</v>
      </c>
      <c r="AH8" s="20" t="s">
        <v>76</v>
      </c>
      <c r="AI8" s="15">
        <v>1.47492625368732</v>
      </c>
      <c r="AJ8" s="15">
        <v>1.76991150442478</v>
      </c>
      <c r="AK8" s="20" t="s">
        <v>76</v>
      </c>
      <c r="AL8" s="15">
        <v>2.7932960893854699</v>
      </c>
      <c r="AM8" s="15">
        <v>2.1538461538461502</v>
      </c>
      <c r="AN8" s="24">
        <v>3.4810126582278502</v>
      </c>
      <c r="AO8" s="38"/>
    </row>
    <row r="9" spans="1:41">
      <c r="A9" s="9" t="s">
        <v>213</v>
      </c>
      <c r="B9" s="36">
        <v>13.4211726164566</v>
      </c>
      <c r="C9" s="32">
        <v>13.316606782085</v>
      </c>
      <c r="D9" s="32">
        <v>11.1090797968034</v>
      </c>
      <c r="E9" s="32">
        <v>15.066568357317699</v>
      </c>
      <c r="F9" s="15">
        <v>12.5</v>
      </c>
      <c r="G9" s="15">
        <v>13.4328358208955</v>
      </c>
      <c r="H9" s="15">
        <v>12.1951219512195</v>
      </c>
      <c r="I9" s="15">
        <v>20</v>
      </c>
      <c r="J9" s="15">
        <v>16.049382716049401</v>
      </c>
      <c r="K9" s="15">
        <v>24</v>
      </c>
      <c r="L9" s="15">
        <v>5.46875</v>
      </c>
      <c r="M9" s="20" t="s">
        <v>76</v>
      </c>
      <c r="N9" s="15">
        <v>12.244897959183699</v>
      </c>
      <c r="O9" s="15">
        <v>28.571428571428601</v>
      </c>
      <c r="P9" s="15">
        <v>11.851851851851899</v>
      </c>
      <c r="Q9" s="15">
        <v>20</v>
      </c>
      <c r="R9" s="15">
        <v>16.4835164835165</v>
      </c>
      <c r="S9" s="15">
        <v>18</v>
      </c>
      <c r="T9" s="15">
        <v>15.1515151515152</v>
      </c>
      <c r="U9" s="15">
        <v>14.893617021276601</v>
      </c>
      <c r="V9" s="15">
        <v>18.518518518518501</v>
      </c>
      <c r="W9" s="15">
        <v>16.071428571428601</v>
      </c>
      <c r="X9" s="15">
        <v>14.4230769230769</v>
      </c>
      <c r="Y9" s="15">
        <v>19.512195121951201</v>
      </c>
      <c r="Z9" s="15">
        <v>26.086956521739101</v>
      </c>
      <c r="AA9" s="15">
        <v>21.917808219178099</v>
      </c>
      <c r="AB9" s="15">
        <v>15.384615384615399</v>
      </c>
      <c r="AC9" s="15">
        <v>8.6419753086419693</v>
      </c>
      <c r="AD9" s="15">
        <v>10.526315789473699</v>
      </c>
      <c r="AE9" s="15">
        <v>26.229508196721302</v>
      </c>
      <c r="AF9" s="15">
        <v>16.2162162162162</v>
      </c>
      <c r="AG9" s="32">
        <v>8.0367602493234003</v>
      </c>
      <c r="AH9" s="15">
        <v>8.0536912751677896</v>
      </c>
      <c r="AI9" s="15">
        <v>7.3746312684365796</v>
      </c>
      <c r="AJ9" s="15">
        <v>8.5545722713864301</v>
      </c>
      <c r="AK9" s="15">
        <v>10.0346020761246</v>
      </c>
      <c r="AL9" s="15">
        <v>7.2625698324022299</v>
      </c>
      <c r="AM9" s="15">
        <v>7.3846153846153904</v>
      </c>
      <c r="AN9" s="24">
        <v>12.025316455696199</v>
      </c>
      <c r="AO9" s="38"/>
    </row>
    <row r="10" spans="1:41">
      <c r="A10" s="9" t="s">
        <v>214</v>
      </c>
      <c r="B10" s="36">
        <v>29.959504091290501</v>
      </c>
      <c r="C10" s="32">
        <v>29.4594205633868</v>
      </c>
      <c r="D10" s="32">
        <v>27.8291852803466</v>
      </c>
      <c r="E10" s="32">
        <v>25.2564038823805</v>
      </c>
      <c r="F10" s="15">
        <v>23.9583333333333</v>
      </c>
      <c r="G10" s="15">
        <v>16.417910447761201</v>
      </c>
      <c r="H10" s="15">
        <v>26.829268292682901</v>
      </c>
      <c r="I10" s="15">
        <v>27.5</v>
      </c>
      <c r="J10" s="15">
        <v>18.518518518518501</v>
      </c>
      <c r="K10" s="15">
        <v>16</v>
      </c>
      <c r="L10" s="15">
        <v>22.65625</v>
      </c>
      <c r="M10" s="15">
        <v>20.588235294117599</v>
      </c>
      <c r="N10" s="15">
        <v>14.285714285714301</v>
      </c>
      <c r="O10" s="15">
        <v>52.380952380952401</v>
      </c>
      <c r="P10" s="15">
        <v>15.5555555555556</v>
      </c>
      <c r="Q10" s="15">
        <v>38.3333333333333</v>
      </c>
      <c r="R10" s="15">
        <v>26.373626373626401</v>
      </c>
      <c r="S10" s="15">
        <v>22</v>
      </c>
      <c r="T10" s="15">
        <v>48.484848484848499</v>
      </c>
      <c r="U10" s="15">
        <v>17.021276595744698</v>
      </c>
      <c r="V10" s="15">
        <v>31.481481481481499</v>
      </c>
      <c r="W10" s="15">
        <v>25</v>
      </c>
      <c r="X10" s="15">
        <v>37.5</v>
      </c>
      <c r="Y10" s="15">
        <v>12.1951219512195</v>
      </c>
      <c r="Z10" s="15">
        <v>26.086956521739101</v>
      </c>
      <c r="AA10" s="15">
        <v>15.068493150684899</v>
      </c>
      <c r="AB10" s="15">
        <v>33.3333333333333</v>
      </c>
      <c r="AC10" s="15">
        <v>20.987654320987701</v>
      </c>
      <c r="AD10" s="15">
        <v>23.157894736842099</v>
      </c>
      <c r="AE10" s="15">
        <v>32.786885245901601</v>
      </c>
      <c r="AF10" s="15">
        <v>21.6216216216216</v>
      </c>
      <c r="AG10" s="32">
        <v>29.826514257928501</v>
      </c>
      <c r="AH10" s="15">
        <v>25.167785234899299</v>
      </c>
      <c r="AI10" s="15">
        <v>37.463126843657797</v>
      </c>
      <c r="AJ10" s="15">
        <v>25.958702064896801</v>
      </c>
      <c r="AK10" s="15">
        <v>29.065743944636701</v>
      </c>
      <c r="AL10" s="15">
        <v>42.458100558659197</v>
      </c>
      <c r="AM10" s="15">
        <v>32.615384615384599</v>
      </c>
      <c r="AN10" s="24">
        <v>29.746835443038002</v>
      </c>
      <c r="AO10" s="38"/>
    </row>
    <row r="11" spans="1:41">
      <c r="A11" s="9" t="s">
        <v>215</v>
      </c>
      <c r="B11" s="36">
        <v>26.393896573835601</v>
      </c>
      <c r="C11" s="32">
        <v>26.397942793968301</v>
      </c>
      <c r="D11" s="32">
        <v>22.059771845181999</v>
      </c>
      <c r="E11" s="32">
        <v>22.614382909288899</v>
      </c>
      <c r="F11" s="15">
        <v>26.0416666666667</v>
      </c>
      <c r="G11" s="15">
        <v>25.373134328358201</v>
      </c>
      <c r="H11" s="15">
        <v>17.0731707317073</v>
      </c>
      <c r="I11" s="15">
        <v>27.5</v>
      </c>
      <c r="J11" s="15">
        <v>35.802469135802497</v>
      </c>
      <c r="K11" s="15">
        <v>32</v>
      </c>
      <c r="L11" s="15">
        <v>14.84375</v>
      </c>
      <c r="M11" s="15">
        <v>22.0588235294118</v>
      </c>
      <c r="N11" s="15">
        <v>10.2040816326531</v>
      </c>
      <c r="O11" s="15">
        <v>30.952380952380999</v>
      </c>
      <c r="P11" s="15">
        <v>12.592592592592601</v>
      </c>
      <c r="Q11" s="15">
        <v>23.3333333333333</v>
      </c>
      <c r="R11" s="15">
        <v>24.1758241758242</v>
      </c>
      <c r="S11" s="15">
        <v>17</v>
      </c>
      <c r="T11" s="20" t="s">
        <v>76</v>
      </c>
      <c r="U11" s="15">
        <v>19.148936170212799</v>
      </c>
      <c r="V11" s="15">
        <v>33.3333333333333</v>
      </c>
      <c r="W11" s="15">
        <v>17.8571428571429</v>
      </c>
      <c r="X11" s="15">
        <v>34.615384615384599</v>
      </c>
      <c r="Y11" s="15">
        <v>17.0731707317073</v>
      </c>
      <c r="Z11" s="15">
        <v>30.434782608695699</v>
      </c>
      <c r="AA11" s="15">
        <v>46.575342465753401</v>
      </c>
      <c r="AB11" s="15">
        <v>26.923076923076898</v>
      </c>
      <c r="AC11" s="15">
        <v>13.580246913580201</v>
      </c>
      <c r="AD11" s="15">
        <v>16.842105263157901</v>
      </c>
      <c r="AE11" s="15">
        <v>27.868852459016399</v>
      </c>
      <c r="AF11" s="15">
        <v>18.918918918918902</v>
      </c>
      <c r="AG11" s="32">
        <v>21.6292102939736</v>
      </c>
      <c r="AH11" s="15">
        <v>19.798657718120801</v>
      </c>
      <c r="AI11" s="15">
        <v>20.353982300885001</v>
      </c>
      <c r="AJ11" s="15">
        <v>19.469026548672598</v>
      </c>
      <c r="AK11" s="15">
        <v>26.643598615917</v>
      </c>
      <c r="AL11" s="15">
        <v>18.435754189944099</v>
      </c>
      <c r="AM11" s="15">
        <v>21.846153846153801</v>
      </c>
      <c r="AN11" s="24">
        <v>32.911392405063303</v>
      </c>
      <c r="AO11" s="38"/>
    </row>
    <row r="12" spans="1:41">
      <c r="A12" s="9" t="s">
        <v>216</v>
      </c>
      <c r="B12" s="36">
        <v>17.820153761404001</v>
      </c>
      <c r="C12" s="32">
        <v>15.7179305674542</v>
      </c>
      <c r="D12" s="32">
        <v>12.464488571122899</v>
      </c>
      <c r="E12" s="32">
        <v>13.602891161272099</v>
      </c>
      <c r="F12" s="15">
        <v>7.2916666666666696</v>
      </c>
      <c r="G12" s="15">
        <v>11.9402985074627</v>
      </c>
      <c r="H12" s="15">
        <v>15.853658536585399</v>
      </c>
      <c r="I12" s="15">
        <v>15</v>
      </c>
      <c r="J12" s="15">
        <v>11.1111111111111</v>
      </c>
      <c r="K12" s="20" t="s">
        <v>76</v>
      </c>
      <c r="L12" s="15">
        <v>12.5</v>
      </c>
      <c r="M12" s="20" t="s">
        <v>76</v>
      </c>
      <c r="N12" s="20" t="s">
        <v>76</v>
      </c>
      <c r="O12" s="15">
        <v>19.047619047619001</v>
      </c>
      <c r="P12" s="15">
        <v>6.6666666666666696</v>
      </c>
      <c r="Q12" s="15">
        <v>15</v>
      </c>
      <c r="R12" s="15">
        <v>21.978021978021999</v>
      </c>
      <c r="S12" s="15">
        <v>15</v>
      </c>
      <c r="T12" s="20" t="s">
        <v>76</v>
      </c>
      <c r="U12" s="15">
        <v>10.6382978723404</v>
      </c>
      <c r="V12" s="15">
        <v>9.2592592592592595</v>
      </c>
      <c r="W12" s="20" t="s">
        <v>76</v>
      </c>
      <c r="X12" s="15">
        <v>16.346153846153801</v>
      </c>
      <c r="Y12" s="20" t="s">
        <v>76</v>
      </c>
      <c r="Z12" s="15">
        <v>13.0434782608696</v>
      </c>
      <c r="AA12" s="15">
        <v>21.917808219178099</v>
      </c>
      <c r="AB12" s="15">
        <v>20.5128205128205</v>
      </c>
      <c r="AC12" s="15">
        <v>17.283950617283899</v>
      </c>
      <c r="AD12" s="15">
        <v>14.7368421052632</v>
      </c>
      <c r="AE12" s="15">
        <v>19.672131147540998</v>
      </c>
      <c r="AF12" s="15">
        <v>18.918918918918902</v>
      </c>
      <c r="AG12" s="32">
        <v>11.580711782602499</v>
      </c>
      <c r="AH12" s="15">
        <v>15.4362416107383</v>
      </c>
      <c r="AI12" s="15">
        <v>8.8495575221238898</v>
      </c>
      <c r="AJ12" s="15">
        <v>12.389380530973501</v>
      </c>
      <c r="AK12" s="15">
        <v>14.532871972318301</v>
      </c>
      <c r="AL12" s="15">
        <v>9.4972067039106101</v>
      </c>
      <c r="AM12" s="15">
        <v>10.7692307692308</v>
      </c>
      <c r="AN12" s="24">
        <v>14.873417721519001</v>
      </c>
      <c r="AO12" s="38"/>
    </row>
    <row r="13" spans="1:41">
      <c r="A13" s="9" t="s">
        <v>217</v>
      </c>
      <c r="B13" s="36">
        <v>13.810141970615</v>
      </c>
      <c r="C13" s="32">
        <v>12.9644772038895</v>
      </c>
      <c r="D13" s="32">
        <v>12.193014507049501</v>
      </c>
      <c r="E13" s="32">
        <v>14.6389213098022</v>
      </c>
      <c r="F13" s="15">
        <v>15.625</v>
      </c>
      <c r="G13" s="15">
        <v>14.9253731343284</v>
      </c>
      <c r="H13" s="15">
        <v>13.4146341463415</v>
      </c>
      <c r="I13" s="15">
        <v>20</v>
      </c>
      <c r="J13" s="15">
        <v>24.6913580246914</v>
      </c>
      <c r="K13" s="15">
        <v>24</v>
      </c>
      <c r="L13" s="15">
        <v>10.9375</v>
      </c>
      <c r="M13" s="20" t="s">
        <v>76</v>
      </c>
      <c r="N13" s="20" t="s">
        <v>76</v>
      </c>
      <c r="O13" s="15">
        <v>33.3333333333333</v>
      </c>
      <c r="P13" s="15">
        <v>11.851851851851899</v>
      </c>
      <c r="Q13" s="15">
        <v>10</v>
      </c>
      <c r="R13" s="15">
        <v>17.582417582417602</v>
      </c>
      <c r="S13" s="15">
        <v>29</v>
      </c>
      <c r="T13" s="20" t="s">
        <v>76</v>
      </c>
      <c r="U13" s="15">
        <v>10.6382978723404</v>
      </c>
      <c r="V13" s="20" t="s">
        <v>76</v>
      </c>
      <c r="W13" s="15">
        <v>16.071428571428601</v>
      </c>
      <c r="X13" s="15">
        <v>22.115384615384599</v>
      </c>
      <c r="Y13" s="15">
        <v>12.1951219512195</v>
      </c>
      <c r="Z13" s="20" t="s">
        <v>76</v>
      </c>
      <c r="AA13" s="15">
        <v>17.808219178082201</v>
      </c>
      <c r="AB13" s="15">
        <v>23.076923076923102</v>
      </c>
      <c r="AC13" s="15">
        <v>7.4074074074074101</v>
      </c>
      <c r="AD13" s="15">
        <v>6.3157894736842097</v>
      </c>
      <c r="AE13" s="15">
        <v>22.9508196721311</v>
      </c>
      <c r="AF13" s="20" t="s">
        <v>76</v>
      </c>
      <c r="AG13" s="32">
        <v>10.2941821626207</v>
      </c>
      <c r="AH13" s="15">
        <v>8.0536912751677896</v>
      </c>
      <c r="AI13" s="15">
        <v>9.1445427728613602</v>
      </c>
      <c r="AJ13" s="15">
        <v>10.6194690265487</v>
      </c>
      <c r="AK13" s="15">
        <v>8.6505190311418705</v>
      </c>
      <c r="AL13" s="15">
        <v>13.966480446927401</v>
      </c>
      <c r="AM13" s="15">
        <v>13.846153846153801</v>
      </c>
      <c r="AN13" s="24">
        <v>11.075949367088599</v>
      </c>
      <c r="AO13" s="38"/>
    </row>
    <row r="14" spans="1:41">
      <c r="A14" s="9" t="s">
        <v>218</v>
      </c>
      <c r="B14" s="36">
        <v>30.905186975040099</v>
      </c>
      <c r="C14" s="32">
        <v>30.276779315585401</v>
      </c>
      <c r="D14" s="32">
        <v>26.921151102458399</v>
      </c>
      <c r="E14" s="32">
        <v>31.623713728977201</v>
      </c>
      <c r="F14" s="15">
        <v>26.0416666666667</v>
      </c>
      <c r="G14" s="15">
        <v>22.388059701492502</v>
      </c>
      <c r="H14" s="15">
        <v>35.365853658536601</v>
      </c>
      <c r="I14" s="15">
        <v>32.5</v>
      </c>
      <c r="J14" s="15">
        <v>37.037037037037003</v>
      </c>
      <c r="K14" s="15">
        <v>44</v>
      </c>
      <c r="L14" s="15">
        <v>27.34375</v>
      </c>
      <c r="M14" s="15">
        <v>38.235294117647101</v>
      </c>
      <c r="N14" s="15">
        <v>20.408163265306101</v>
      </c>
      <c r="O14" s="15">
        <v>40.476190476190503</v>
      </c>
      <c r="P14" s="15">
        <v>16.296296296296301</v>
      </c>
      <c r="Q14" s="15">
        <v>38.3333333333333</v>
      </c>
      <c r="R14" s="15">
        <v>26.373626373626401</v>
      </c>
      <c r="S14" s="15">
        <v>34</v>
      </c>
      <c r="T14" s="15">
        <v>15.1515151515152</v>
      </c>
      <c r="U14" s="15">
        <v>25.531914893617</v>
      </c>
      <c r="V14" s="15">
        <v>25.925925925925899</v>
      </c>
      <c r="W14" s="15">
        <v>32.142857142857103</v>
      </c>
      <c r="X14" s="15">
        <v>42.307692307692299</v>
      </c>
      <c r="Y14" s="15">
        <v>19.512195121951201</v>
      </c>
      <c r="Z14" s="15">
        <v>43.478260869565197</v>
      </c>
      <c r="AA14" s="15">
        <v>52.054794520547901</v>
      </c>
      <c r="AB14" s="15">
        <v>39.743589743589702</v>
      </c>
      <c r="AC14" s="15">
        <v>22.2222222222222</v>
      </c>
      <c r="AD14" s="15">
        <v>34.7368421052632</v>
      </c>
      <c r="AE14" s="15">
        <v>49.180327868852501</v>
      </c>
      <c r="AF14" s="15">
        <v>24.324324324324301</v>
      </c>
      <c r="AG14" s="32">
        <v>23.2704077434365</v>
      </c>
      <c r="AH14" s="15">
        <v>24.496644295302001</v>
      </c>
      <c r="AI14" s="15">
        <v>24.778761061946899</v>
      </c>
      <c r="AJ14" s="15">
        <v>23.008849557522101</v>
      </c>
      <c r="AK14" s="15">
        <v>24.2214532871972</v>
      </c>
      <c r="AL14" s="15">
        <v>26.256983240223501</v>
      </c>
      <c r="AM14" s="15">
        <v>16.615384615384599</v>
      </c>
      <c r="AN14" s="24">
        <v>35.759493670886101</v>
      </c>
      <c r="AO14" s="38"/>
    </row>
    <row r="15" spans="1:41">
      <c r="A15" s="9" t="s">
        <v>219</v>
      </c>
      <c r="B15" s="36">
        <v>24.819026304510398</v>
      </c>
      <c r="C15" s="32">
        <v>26.828003859420001</v>
      </c>
      <c r="D15" s="32">
        <v>25.201404910084399</v>
      </c>
      <c r="E15" s="32">
        <v>29.348705581000502</v>
      </c>
      <c r="F15" s="15">
        <v>19.7916666666667</v>
      </c>
      <c r="G15" s="15">
        <v>41.791044776119399</v>
      </c>
      <c r="H15" s="15">
        <v>30.487804878048799</v>
      </c>
      <c r="I15" s="15">
        <v>20</v>
      </c>
      <c r="J15" s="15">
        <v>53.086419753086403</v>
      </c>
      <c r="K15" s="15">
        <v>60</v>
      </c>
      <c r="L15" s="15">
        <v>14.0625</v>
      </c>
      <c r="M15" s="15">
        <v>41.176470588235297</v>
      </c>
      <c r="N15" s="15">
        <v>22.4489795918367</v>
      </c>
      <c r="O15" s="15">
        <v>40.476190476190503</v>
      </c>
      <c r="P15" s="15">
        <v>19.259259259259299</v>
      </c>
      <c r="Q15" s="15">
        <v>26.6666666666667</v>
      </c>
      <c r="R15" s="15">
        <v>20.879120879120901</v>
      </c>
      <c r="S15" s="15">
        <v>30</v>
      </c>
      <c r="T15" s="15">
        <v>36.363636363636402</v>
      </c>
      <c r="U15" s="15">
        <v>31.914893617021299</v>
      </c>
      <c r="V15" s="15">
        <v>24.074074074074101</v>
      </c>
      <c r="W15" s="15">
        <v>32.142857142857103</v>
      </c>
      <c r="X15" s="15">
        <v>33.653846153846203</v>
      </c>
      <c r="Y15" s="15">
        <v>34.146341463414601</v>
      </c>
      <c r="Z15" s="15">
        <v>45.652173913043498</v>
      </c>
      <c r="AA15" s="15">
        <v>43.835616438356197</v>
      </c>
      <c r="AB15" s="15">
        <v>32.051282051282101</v>
      </c>
      <c r="AC15" s="15">
        <v>7.4074074074074101</v>
      </c>
      <c r="AD15" s="15">
        <v>30.526315789473699</v>
      </c>
      <c r="AE15" s="15">
        <v>36.065573770491802</v>
      </c>
      <c r="AF15" s="15">
        <v>35.135135135135101</v>
      </c>
      <c r="AG15" s="32">
        <v>21.981728409269301</v>
      </c>
      <c r="AH15" s="15">
        <v>15.4362416107383</v>
      </c>
      <c r="AI15" s="15">
        <v>27.433628318584098</v>
      </c>
      <c r="AJ15" s="15">
        <v>16.2241887905605</v>
      </c>
      <c r="AK15" s="15">
        <v>22.837370242214501</v>
      </c>
      <c r="AL15" s="15">
        <v>29.608938547486002</v>
      </c>
      <c r="AM15" s="15">
        <v>24.615384615384599</v>
      </c>
      <c r="AN15" s="24">
        <v>32.5949367088608</v>
      </c>
      <c r="AO15" s="38"/>
    </row>
    <row r="16" spans="1:41">
      <c r="A16" s="9" t="s">
        <v>220</v>
      </c>
      <c r="B16" s="36">
        <v>6.6477960277303003</v>
      </c>
      <c r="C16" s="32">
        <v>6.8346599774847698</v>
      </c>
      <c r="D16" s="32">
        <v>4.9001044127363302</v>
      </c>
      <c r="E16" s="32">
        <v>6.3116064207844298</v>
      </c>
      <c r="F16" s="15">
        <v>6.25</v>
      </c>
      <c r="G16" s="15">
        <v>10.4477611940298</v>
      </c>
      <c r="H16" s="15">
        <v>6.0975609756097597</v>
      </c>
      <c r="I16" s="15">
        <v>15</v>
      </c>
      <c r="J16" s="15">
        <v>6.1728395061728403</v>
      </c>
      <c r="K16" s="20" t="s">
        <v>76</v>
      </c>
      <c r="L16" s="20" t="s">
        <v>76</v>
      </c>
      <c r="M16" s="20" t="s">
        <v>76</v>
      </c>
      <c r="N16" s="20" t="s">
        <v>76</v>
      </c>
      <c r="O16" s="15">
        <v>19.047619047619001</v>
      </c>
      <c r="P16" s="20" t="s">
        <v>76</v>
      </c>
      <c r="Q16" s="15">
        <v>11.6666666666667</v>
      </c>
      <c r="R16" s="20" t="s">
        <v>76</v>
      </c>
      <c r="S16" s="15">
        <v>5</v>
      </c>
      <c r="T16" s="20" t="s">
        <v>76</v>
      </c>
      <c r="U16" s="20" t="s">
        <v>76</v>
      </c>
      <c r="V16" s="20" t="s">
        <v>76</v>
      </c>
      <c r="W16" s="15">
        <v>8.9285714285714306</v>
      </c>
      <c r="X16" s="15">
        <v>6.7307692307692299</v>
      </c>
      <c r="Y16" s="20" t="s">
        <v>76</v>
      </c>
      <c r="Z16" s="20" t="s">
        <v>76</v>
      </c>
      <c r="AA16" s="20" t="s">
        <v>76</v>
      </c>
      <c r="AB16" s="15">
        <v>8.9743589743589691</v>
      </c>
      <c r="AC16" s="20" t="s">
        <v>76</v>
      </c>
      <c r="AD16" s="20" t="s">
        <v>76</v>
      </c>
      <c r="AE16" s="15">
        <v>18.032786885245901</v>
      </c>
      <c r="AF16" s="20" t="s">
        <v>76</v>
      </c>
      <c r="AG16" s="32">
        <v>3.80431218382085</v>
      </c>
      <c r="AH16" s="15">
        <v>1.6778523489932899</v>
      </c>
      <c r="AI16" s="15">
        <v>3.8348082595870201</v>
      </c>
      <c r="AJ16" s="15">
        <v>5.0147492625368697</v>
      </c>
      <c r="AK16" s="15">
        <v>3.8062283737024201</v>
      </c>
      <c r="AL16" s="15">
        <v>3.3519553072625698</v>
      </c>
      <c r="AM16" s="15">
        <v>3.0769230769230802</v>
      </c>
      <c r="AN16" s="24">
        <v>6.64556962025316</v>
      </c>
      <c r="AO16" s="38"/>
    </row>
    <row r="17" spans="1:41">
      <c r="A17" s="9" t="s">
        <v>221</v>
      </c>
      <c r="B17" s="36">
        <v>44.407973507112999</v>
      </c>
      <c r="C17" s="32">
        <v>45.534619711583701</v>
      </c>
      <c r="D17" s="32">
        <v>40.199054214344699</v>
      </c>
      <c r="E17" s="32">
        <v>45.796877283300098</v>
      </c>
      <c r="F17" s="15">
        <v>40.625</v>
      </c>
      <c r="G17" s="15">
        <v>35.820895522388099</v>
      </c>
      <c r="H17" s="15">
        <v>51.219512195122</v>
      </c>
      <c r="I17" s="15">
        <v>45</v>
      </c>
      <c r="J17" s="15">
        <v>50.617283950617299</v>
      </c>
      <c r="K17" s="15">
        <v>58</v>
      </c>
      <c r="L17" s="15">
        <v>39.84375</v>
      </c>
      <c r="M17" s="15">
        <v>42.647058823529399</v>
      </c>
      <c r="N17" s="15">
        <v>38.775510204081598</v>
      </c>
      <c r="O17" s="15">
        <v>52.380952380952401</v>
      </c>
      <c r="P17" s="15">
        <v>35.5555555555556</v>
      </c>
      <c r="Q17" s="15">
        <v>60</v>
      </c>
      <c r="R17" s="15">
        <v>27.472527472527499</v>
      </c>
      <c r="S17" s="15">
        <v>45</v>
      </c>
      <c r="T17" s="15">
        <v>45.454545454545503</v>
      </c>
      <c r="U17" s="15">
        <v>48.936170212766001</v>
      </c>
      <c r="V17" s="15">
        <v>40.740740740740698</v>
      </c>
      <c r="W17" s="15">
        <v>41.071428571428598</v>
      </c>
      <c r="X17" s="15">
        <v>60.576923076923102</v>
      </c>
      <c r="Y17" s="15">
        <v>39.024390243902403</v>
      </c>
      <c r="Z17" s="15">
        <v>47.826086956521699</v>
      </c>
      <c r="AA17" s="15">
        <v>67.123287671232902</v>
      </c>
      <c r="AB17" s="15">
        <v>51.282051282051299</v>
      </c>
      <c r="AC17" s="15">
        <v>37.037037037037003</v>
      </c>
      <c r="AD17" s="15">
        <v>46.315789473684198</v>
      </c>
      <c r="AE17" s="15">
        <v>59.016393442622899</v>
      </c>
      <c r="AF17" s="15">
        <v>51.351351351351397</v>
      </c>
      <c r="AG17" s="32">
        <v>35.853292761063102</v>
      </c>
      <c r="AH17" s="15">
        <v>31.2080536912752</v>
      </c>
      <c r="AI17" s="15">
        <v>37.1681415929203</v>
      </c>
      <c r="AJ17" s="15">
        <v>38.6430678466077</v>
      </c>
      <c r="AK17" s="15">
        <v>40.138408304498299</v>
      </c>
      <c r="AL17" s="15">
        <v>44.134078212290497</v>
      </c>
      <c r="AM17" s="15">
        <v>36.615384615384599</v>
      </c>
      <c r="AN17" s="24">
        <v>43.037974683544299</v>
      </c>
      <c r="AO17" s="38"/>
    </row>
    <row r="18" spans="1:41">
      <c r="A18" s="9" t="s">
        <v>222</v>
      </c>
      <c r="B18" s="36">
        <v>24.769274471083701</v>
      </c>
      <c r="C18" s="32">
        <v>24.092400643990899</v>
      </c>
      <c r="D18" s="32">
        <v>23.4058004458917</v>
      </c>
      <c r="E18" s="32">
        <v>28.701104397767899</v>
      </c>
      <c r="F18" s="15">
        <v>29.1666666666667</v>
      </c>
      <c r="G18" s="15">
        <v>25.373134328358201</v>
      </c>
      <c r="H18" s="15">
        <v>21.951219512195099</v>
      </c>
      <c r="I18" s="15">
        <v>35</v>
      </c>
      <c r="J18" s="15">
        <v>34.567901234567898</v>
      </c>
      <c r="K18" s="15">
        <v>36</v>
      </c>
      <c r="L18" s="15">
        <v>25.78125</v>
      </c>
      <c r="M18" s="15">
        <v>25</v>
      </c>
      <c r="N18" s="15">
        <v>18.367346938775501</v>
      </c>
      <c r="O18" s="15">
        <v>35.714285714285701</v>
      </c>
      <c r="P18" s="15">
        <v>25.185185185185201</v>
      </c>
      <c r="Q18" s="15">
        <v>28.3333333333333</v>
      </c>
      <c r="R18" s="15">
        <v>34.065934065934101</v>
      </c>
      <c r="S18" s="15">
        <v>47</v>
      </c>
      <c r="T18" s="15">
        <v>36.363636363636402</v>
      </c>
      <c r="U18" s="15">
        <v>29.787234042553202</v>
      </c>
      <c r="V18" s="15">
        <v>31.481481481481499</v>
      </c>
      <c r="W18" s="15">
        <v>28.571428571428601</v>
      </c>
      <c r="X18" s="15">
        <v>27.884615384615401</v>
      </c>
      <c r="Y18" s="15">
        <v>26.829268292682901</v>
      </c>
      <c r="Z18" s="15">
        <v>43.478260869565197</v>
      </c>
      <c r="AA18" s="15">
        <v>28.7671232876712</v>
      </c>
      <c r="AB18" s="15">
        <v>35.897435897435898</v>
      </c>
      <c r="AC18" s="15">
        <v>20.987654320987701</v>
      </c>
      <c r="AD18" s="15">
        <v>20</v>
      </c>
      <c r="AE18" s="15">
        <v>26.229508196721302</v>
      </c>
      <c r="AF18" s="15">
        <v>27.027027027027</v>
      </c>
      <c r="AG18" s="32">
        <v>19.294893846307399</v>
      </c>
      <c r="AH18" s="15">
        <v>18.120805369127499</v>
      </c>
      <c r="AI18" s="15">
        <v>15.634218289085499</v>
      </c>
      <c r="AJ18" s="15">
        <v>20.943952802359899</v>
      </c>
      <c r="AK18" s="15">
        <v>19.031141868512101</v>
      </c>
      <c r="AL18" s="15">
        <v>21.229050279329599</v>
      </c>
      <c r="AM18" s="15">
        <v>19.692307692307701</v>
      </c>
      <c r="AN18" s="24">
        <v>22.151898734177198</v>
      </c>
      <c r="AO18" s="38"/>
    </row>
    <row r="19" spans="1:41">
      <c r="A19" s="9" t="s">
        <v>223</v>
      </c>
      <c r="B19" s="36">
        <v>32.355219979005803</v>
      </c>
      <c r="C19" s="32">
        <v>31.546658372975799</v>
      </c>
      <c r="D19" s="32">
        <v>30.5026913912107</v>
      </c>
      <c r="E19" s="32">
        <v>39.235423398379801</v>
      </c>
      <c r="F19" s="15">
        <v>40.625</v>
      </c>
      <c r="G19" s="15">
        <v>46.268656716417901</v>
      </c>
      <c r="H19" s="15">
        <v>42.682926829268297</v>
      </c>
      <c r="I19" s="15">
        <v>32.5</v>
      </c>
      <c r="J19" s="15">
        <v>51.851851851851798</v>
      </c>
      <c r="K19" s="15">
        <v>50</v>
      </c>
      <c r="L19" s="15">
        <v>32.03125</v>
      </c>
      <c r="M19" s="15">
        <v>39.705882352941202</v>
      </c>
      <c r="N19" s="15">
        <v>44.8979591836735</v>
      </c>
      <c r="O19" s="15">
        <v>52.380952380952401</v>
      </c>
      <c r="P19" s="15">
        <v>30.370370370370399</v>
      </c>
      <c r="Q19" s="15">
        <v>46.6666666666667</v>
      </c>
      <c r="R19" s="15">
        <v>26.373626373626401</v>
      </c>
      <c r="S19" s="15">
        <v>40</v>
      </c>
      <c r="T19" s="15">
        <v>60.606060606060602</v>
      </c>
      <c r="U19" s="15">
        <v>25.531914893617</v>
      </c>
      <c r="V19" s="15">
        <v>33.3333333333333</v>
      </c>
      <c r="W19" s="15">
        <v>17.8571428571429</v>
      </c>
      <c r="X19" s="15">
        <v>41.346153846153797</v>
      </c>
      <c r="Y19" s="15">
        <v>41.463414634146297</v>
      </c>
      <c r="Z19" s="15">
        <v>41.304347826087003</v>
      </c>
      <c r="AA19" s="15">
        <v>45.205479452054803</v>
      </c>
      <c r="AB19" s="15">
        <v>50</v>
      </c>
      <c r="AC19" s="15">
        <v>35.802469135802497</v>
      </c>
      <c r="AD19" s="15">
        <v>43.157894736842103</v>
      </c>
      <c r="AE19" s="15">
        <v>60.655737704918003</v>
      </c>
      <c r="AF19" s="15">
        <v>32.4324324324324</v>
      </c>
      <c r="AG19" s="32">
        <v>23.723204138556799</v>
      </c>
      <c r="AH19" s="15">
        <v>20.805369127516801</v>
      </c>
      <c r="AI19" s="15">
        <v>23.8938053097345</v>
      </c>
      <c r="AJ19" s="15">
        <v>22.7138643067847</v>
      </c>
      <c r="AK19" s="15">
        <v>22.145328719723199</v>
      </c>
      <c r="AL19" s="15">
        <v>37.988826815642497</v>
      </c>
      <c r="AM19" s="15">
        <v>24.307692307692299</v>
      </c>
      <c r="AN19" s="24">
        <v>30.6962025316456</v>
      </c>
      <c r="AO19" s="38"/>
    </row>
    <row r="20" spans="1:41">
      <c r="A20" s="9" t="s">
        <v>224</v>
      </c>
      <c r="B20" s="36">
        <v>14.478615034573499</v>
      </c>
      <c r="C20" s="32">
        <v>13.452205782947701</v>
      </c>
      <c r="D20" s="32">
        <v>10.700409841037199</v>
      </c>
      <c r="E20" s="32">
        <v>11.926902888880001</v>
      </c>
      <c r="F20" s="15">
        <v>12.5</v>
      </c>
      <c r="G20" s="15">
        <v>10.4477611940298</v>
      </c>
      <c r="H20" s="15">
        <v>8.5365853658536608</v>
      </c>
      <c r="I20" s="15">
        <v>25</v>
      </c>
      <c r="J20" s="15">
        <v>8.6419753086419693</v>
      </c>
      <c r="K20" s="15">
        <v>18</v>
      </c>
      <c r="L20" s="15">
        <v>7.8125</v>
      </c>
      <c r="M20" s="15">
        <v>7.3529411764705896</v>
      </c>
      <c r="N20" s="15">
        <v>10.2040816326531</v>
      </c>
      <c r="O20" s="15">
        <v>19.047619047619001</v>
      </c>
      <c r="P20" s="15">
        <v>4.4444444444444402</v>
      </c>
      <c r="Q20" s="15">
        <v>15</v>
      </c>
      <c r="R20" s="15">
        <v>9.8901098901098905</v>
      </c>
      <c r="S20" s="15">
        <v>21</v>
      </c>
      <c r="T20" s="20" t="s">
        <v>76</v>
      </c>
      <c r="U20" s="15">
        <v>21.2765957446809</v>
      </c>
      <c r="V20" s="15">
        <v>18.518518518518501</v>
      </c>
      <c r="W20" s="15">
        <v>14.285714285714301</v>
      </c>
      <c r="X20" s="15">
        <v>11.538461538461499</v>
      </c>
      <c r="Y20" s="20" t="s">
        <v>76</v>
      </c>
      <c r="Z20" s="15">
        <v>15.2173913043478</v>
      </c>
      <c r="AA20" s="15">
        <v>10.958904109589</v>
      </c>
      <c r="AB20" s="15">
        <v>15.384615384615399</v>
      </c>
      <c r="AC20" s="15">
        <v>9.8765432098765409</v>
      </c>
      <c r="AD20" s="15">
        <v>6.3157894736842097</v>
      </c>
      <c r="AE20" s="15">
        <v>13.1147540983607</v>
      </c>
      <c r="AF20" s="15">
        <v>16.2162162162162</v>
      </c>
      <c r="AG20" s="32">
        <v>9.7482457328872503</v>
      </c>
      <c r="AH20" s="15">
        <v>7.3825503355704702</v>
      </c>
      <c r="AI20" s="15">
        <v>12.389380530973501</v>
      </c>
      <c r="AJ20" s="15">
        <v>11.2094395280236</v>
      </c>
      <c r="AK20" s="15">
        <v>14.1868512110727</v>
      </c>
      <c r="AL20" s="15">
        <v>12.290502793296101</v>
      </c>
      <c r="AM20" s="15">
        <v>7.6923076923076898</v>
      </c>
      <c r="AN20" s="24">
        <v>10.7594936708861</v>
      </c>
      <c r="AO20" s="38"/>
    </row>
    <row r="21" spans="1:41">
      <c r="A21" s="9" t="s">
        <v>225</v>
      </c>
      <c r="B21" s="36">
        <v>10.4819656850404</v>
      </c>
      <c r="C21" s="32">
        <v>10.0906072660303</v>
      </c>
      <c r="D21" s="32">
        <v>8.4870011830568899</v>
      </c>
      <c r="E21" s="32">
        <v>8.9403997249722096</v>
      </c>
      <c r="F21" s="15">
        <v>6.25</v>
      </c>
      <c r="G21" s="15">
        <v>10.4477611940298</v>
      </c>
      <c r="H21" s="15">
        <v>9.7560975609756095</v>
      </c>
      <c r="I21" s="15">
        <v>17.5</v>
      </c>
      <c r="J21" s="20" t="s">
        <v>76</v>
      </c>
      <c r="K21" s="15">
        <v>22</v>
      </c>
      <c r="L21" s="20" t="s">
        <v>76</v>
      </c>
      <c r="M21" s="20" t="s">
        <v>76</v>
      </c>
      <c r="N21" s="20" t="s">
        <v>76</v>
      </c>
      <c r="O21" s="15">
        <v>21.428571428571399</v>
      </c>
      <c r="P21" s="15">
        <v>5.1851851851851896</v>
      </c>
      <c r="Q21" s="15">
        <v>21.6666666666667</v>
      </c>
      <c r="R21" s="20" t="s">
        <v>76</v>
      </c>
      <c r="S21" s="20" t="s">
        <v>76</v>
      </c>
      <c r="T21" s="20" t="s">
        <v>76</v>
      </c>
      <c r="U21" s="20" t="s">
        <v>76</v>
      </c>
      <c r="V21" s="20" t="s">
        <v>76</v>
      </c>
      <c r="W21" s="20" t="s">
        <v>76</v>
      </c>
      <c r="X21" s="15">
        <v>6.7307692307692299</v>
      </c>
      <c r="Y21" s="15">
        <v>17.0731707317073</v>
      </c>
      <c r="Z21" s="15">
        <v>17.3913043478261</v>
      </c>
      <c r="AA21" s="15">
        <v>13.698630136986299</v>
      </c>
      <c r="AB21" s="15">
        <v>21.794871794871799</v>
      </c>
      <c r="AC21" s="15">
        <v>7.4074074074074101</v>
      </c>
      <c r="AD21" s="20" t="s">
        <v>76</v>
      </c>
      <c r="AE21" s="15">
        <v>13.1147540983607</v>
      </c>
      <c r="AF21" s="15">
        <v>21.6216216216216</v>
      </c>
      <c r="AG21" s="32">
        <v>8.1350140119444205</v>
      </c>
      <c r="AH21" s="15">
        <v>2.6845637583892601</v>
      </c>
      <c r="AI21" s="15">
        <v>5.6047197640117998</v>
      </c>
      <c r="AJ21" s="15">
        <v>4.4247787610619502</v>
      </c>
      <c r="AK21" s="15">
        <v>7.9584775086505202</v>
      </c>
      <c r="AL21" s="15">
        <v>5.5865921787709496</v>
      </c>
      <c r="AM21" s="15">
        <v>10.7692307692308</v>
      </c>
      <c r="AN21" s="24">
        <v>21.2025316455696</v>
      </c>
      <c r="AO21" s="38"/>
    </row>
    <row r="22" spans="1:41">
      <c r="A22" s="9" t="s">
        <v>226</v>
      </c>
      <c r="B22" s="36">
        <v>18.5121454220392</v>
      </c>
      <c r="C22" s="32">
        <v>18.773043344847501</v>
      </c>
      <c r="D22" s="32">
        <v>16.535020822861402</v>
      </c>
      <c r="E22" s="32">
        <v>20.458958463334</v>
      </c>
      <c r="F22" s="15">
        <v>17.7083333333333</v>
      </c>
      <c r="G22" s="15">
        <v>22.388059701492502</v>
      </c>
      <c r="H22" s="15">
        <v>20.731707317073202</v>
      </c>
      <c r="I22" s="15">
        <v>25</v>
      </c>
      <c r="J22" s="15">
        <v>22.2222222222222</v>
      </c>
      <c r="K22" s="15">
        <v>28</v>
      </c>
      <c r="L22" s="15">
        <v>15.625</v>
      </c>
      <c r="M22" s="15">
        <v>22.0588235294118</v>
      </c>
      <c r="N22" s="15">
        <v>16.326530612244898</v>
      </c>
      <c r="O22" s="15">
        <v>21.428571428571399</v>
      </c>
      <c r="P22" s="15">
        <v>14.814814814814801</v>
      </c>
      <c r="Q22" s="15">
        <v>25</v>
      </c>
      <c r="R22" s="15">
        <v>24.1758241758242</v>
      </c>
      <c r="S22" s="15">
        <v>19</v>
      </c>
      <c r="T22" s="20" t="s">
        <v>76</v>
      </c>
      <c r="U22" s="15">
        <v>14.893617021276601</v>
      </c>
      <c r="V22" s="15">
        <v>24.074074074074101</v>
      </c>
      <c r="W22" s="20" t="s">
        <v>76</v>
      </c>
      <c r="X22" s="15">
        <v>39.423076923076898</v>
      </c>
      <c r="Y22" s="15">
        <v>17.0731707317073</v>
      </c>
      <c r="Z22" s="15">
        <v>23.913043478260899</v>
      </c>
      <c r="AA22" s="15">
        <v>20.5479452054795</v>
      </c>
      <c r="AB22" s="15">
        <v>19.230769230769202</v>
      </c>
      <c r="AC22" s="15">
        <v>13.580246913580201</v>
      </c>
      <c r="AD22" s="15">
        <v>15.789473684210501</v>
      </c>
      <c r="AE22" s="15">
        <v>32.786885245901601</v>
      </c>
      <c r="AF22" s="15">
        <v>13.5135135135135</v>
      </c>
      <c r="AG22" s="32">
        <v>13.488747881936</v>
      </c>
      <c r="AH22" s="15">
        <v>11.4093959731544</v>
      </c>
      <c r="AI22" s="15">
        <v>16.814159292035399</v>
      </c>
      <c r="AJ22" s="15">
        <v>12.094395280236</v>
      </c>
      <c r="AK22" s="15">
        <v>15.916955017300999</v>
      </c>
      <c r="AL22" s="15">
        <v>14.525139664804501</v>
      </c>
      <c r="AM22" s="15">
        <v>13.2307692307692</v>
      </c>
      <c r="AN22" s="24">
        <v>21.2025316455696</v>
      </c>
      <c r="AO22" s="38"/>
    </row>
    <row r="23" spans="1:41">
      <c r="A23" s="9" t="s">
        <v>227</v>
      </c>
      <c r="B23" s="36">
        <v>17.871181014412201</v>
      </c>
      <c r="C23" s="32">
        <v>18.443625914676101</v>
      </c>
      <c r="D23" s="32">
        <v>17.707188166381101</v>
      </c>
      <c r="E23" s="32">
        <v>17.191863456513101</v>
      </c>
      <c r="F23" s="15">
        <v>14.5833333333333</v>
      </c>
      <c r="G23" s="15">
        <v>16.417910447761201</v>
      </c>
      <c r="H23" s="15">
        <v>13.4146341463415</v>
      </c>
      <c r="I23" s="15">
        <v>30</v>
      </c>
      <c r="J23" s="15">
        <v>27.160493827160501</v>
      </c>
      <c r="K23" s="15">
        <v>30</v>
      </c>
      <c r="L23" s="15">
        <v>12.5</v>
      </c>
      <c r="M23" s="15">
        <v>7.3529411764705896</v>
      </c>
      <c r="N23" s="15">
        <v>12.244897959183699</v>
      </c>
      <c r="O23" s="15">
        <v>11.9047619047619</v>
      </c>
      <c r="P23" s="15">
        <v>11.1111111111111</v>
      </c>
      <c r="Q23" s="15">
        <v>18.3333333333333</v>
      </c>
      <c r="R23" s="15">
        <v>13.1868131868132</v>
      </c>
      <c r="S23" s="15">
        <v>23</v>
      </c>
      <c r="T23" s="15">
        <v>18.181818181818201</v>
      </c>
      <c r="U23" s="15">
        <v>14.893617021276601</v>
      </c>
      <c r="V23" s="15">
        <v>22.2222222222222</v>
      </c>
      <c r="W23" s="15">
        <v>14.285714285714301</v>
      </c>
      <c r="X23" s="15">
        <v>37.5</v>
      </c>
      <c r="Y23" s="15">
        <v>14.634146341463399</v>
      </c>
      <c r="Z23" s="15">
        <v>28.260869565217401</v>
      </c>
      <c r="AA23" s="15">
        <v>20.5479452054795</v>
      </c>
      <c r="AB23" s="15">
        <v>24.3589743589744</v>
      </c>
      <c r="AC23" s="15">
        <v>6.1728395061728403</v>
      </c>
      <c r="AD23" s="15">
        <v>11.578947368421099</v>
      </c>
      <c r="AE23" s="15">
        <v>26.229508196721302</v>
      </c>
      <c r="AF23" s="20" t="s">
        <v>76</v>
      </c>
      <c r="AG23" s="32">
        <v>18.107250517849</v>
      </c>
      <c r="AH23" s="15">
        <v>12.0805369127517</v>
      </c>
      <c r="AI23" s="15">
        <v>12.6843657817109</v>
      </c>
      <c r="AJ23" s="15">
        <v>16.2241887905605</v>
      </c>
      <c r="AK23" s="15">
        <v>18.3391003460208</v>
      </c>
      <c r="AL23" s="15">
        <v>21.229050279329599</v>
      </c>
      <c r="AM23" s="15">
        <v>20</v>
      </c>
      <c r="AN23" s="24">
        <v>22.151898734177198</v>
      </c>
      <c r="AO23" s="38"/>
    </row>
    <row r="24" spans="1:41">
      <c r="A24" s="9" t="s">
        <v>228</v>
      </c>
      <c r="B24" s="36">
        <v>42.9094988306665</v>
      </c>
      <c r="C24" s="32">
        <v>42.889927961572702</v>
      </c>
      <c r="D24" s="32">
        <v>40.761097242812298</v>
      </c>
      <c r="E24" s="32">
        <v>46.732862123767703</v>
      </c>
      <c r="F24" s="15">
        <v>43.75</v>
      </c>
      <c r="G24" s="15">
        <v>47.761194029850699</v>
      </c>
      <c r="H24" s="15">
        <v>45.121951219512198</v>
      </c>
      <c r="I24" s="15">
        <v>42.5</v>
      </c>
      <c r="J24" s="15">
        <v>58.024691358024697</v>
      </c>
      <c r="K24" s="15">
        <v>44</v>
      </c>
      <c r="L24" s="15">
        <v>42.96875</v>
      </c>
      <c r="M24" s="15">
        <v>36.764705882352899</v>
      </c>
      <c r="N24" s="15">
        <v>40.816326530612201</v>
      </c>
      <c r="O24" s="15">
        <v>52.380952380952401</v>
      </c>
      <c r="P24" s="15">
        <v>40</v>
      </c>
      <c r="Q24" s="15">
        <v>53.3333333333333</v>
      </c>
      <c r="R24" s="15">
        <v>51.6483516483516</v>
      </c>
      <c r="S24" s="15">
        <v>40</v>
      </c>
      <c r="T24" s="15">
        <v>60.606060606060602</v>
      </c>
      <c r="U24" s="15">
        <v>59.574468085106403</v>
      </c>
      <c r="V24" s="15">
        <v>55.5555555555556</v>
      </c>
      <c r="W24" s="15">
        <v>35.714285714285701</v>
      </c>
      <c r="X24" s="15">
        <v>46.153846153846203</v>
      </c>
      <c r="Y24" s="15">
        <v>43.902439024390198</v>
      </c>
      <c r="Z24" s="15">
        <v>45.652173913043498</v>
      </c>
      <c r="AA24" s="15">
        <v>42.4657534246575</v>
      </c>
      <c r="AB24" s="15">
        <v>50</v>
      </c>
      <c r="AC24" s="15">
        <v>41.975308641975303</v>
      </c>
      <c r="AD24" s="15">
        <v>50.526315789473699</v>
      </c>
      <c r="AE24" s="15">
        <v>50.819672131147499</v>
      </c>
      <c r="AF24" s="15">
        <v>51.351351351351397</v>
      </c>
      <c r="AG24" s="32">
        <v>36.1250333108094</v>
      </c>
      <c r="AH24" s="15">
        <v>27.1812080536913</v>
      </c>
      <c r="AI24" s="15">
        <v>43.657817109144503</v>
      </c>
      <c r="AJ24" s="15">
        <v>28.613569321533902</v>
      </c>
      <c r="AK24" s="15">
        <v>37.370242214532901</v>
      </c>
      <c r="AL24" s="15">
        <v>47.486033519553096</v>
      </c>
      <c r="AM24" s="15">
        <v>43.384615384615401</v>
      </c>
      <c r="AN24" s="24">
        <v>39.240506329113899</v>
      </c>
      <c r="AO24" s="38"/>
    </row>
    <row r="25" spans="1:41">
      <c r="A25" s="9" t="s">
        <v>229</v>
      </c>
      <c r="B25" s="36">
        <v>4.0444835170720701</v>
      </c>
      <c r="C25" s="32">
        <v>3.8417123607642099</v>
      </c>
      <c r="D25" s="32">
        <v>2.9015378821561</v>
      </c>
      <c r="E25" s="32">
        <v>3.6762181016399502</v>
      </c>
      <c r="F25" s="20" t="s">
        <v>76</v>
      </c>
      <c r="G25" s="20" t="s">
        <v>76</v>
      </c>
      <c r="H25" s="20" t="s">
        <v>76</v>
      </c>
      <c r="I25" s="20" t="s">
        <v>76</v>
      </c>
      <c r="J25" s="20" t="s">
        <v>76</v>
      </c>
      <c r="K25" s="20" t="s">
        <v>76</v>
      </c>
      <c r="L25" s="20" t="s">
        <v>76</v>
      </c>
      <c r="M25" s="20" t="s">
        <v>76</v>
      </c>
      <c r="N25" s="20" t="s">
        <v>76</v>
      </c>
      <c r="O25" s="15">
        <v>14.285714285714301</v>
      </c>
      <c r="P25" s="20" t="s">
        <v>76</v>
      </c>
      <c r="Q25" s="20" t="s">
        <v>76</v>
      </c>
      <c r="R25" s="20" t="s">
        <v>76</v>
      </c>
      <c r="S25" s="20" t="s">
        <v>76</v>
      </c>
      <c r="T25" s="20" t="s">
        <v>76</v>
      </c>
      <c r="U25" s="20" t="s">
        <v>76</v>
      </c>
      <c r="V25" s="20" t="s">
        <v>76</v>
      </c>
      <c r="W25" s="20" t="s">
        <v>76</v>
      </c>
      <c r="X25" s="15">
        <v>4.8076923076923102</v>
      </c>
      <c r="Y25" s="20" t="s">
        <v>76</v>
      </c>
      <c r="Z25" s="20" t="s">
        <v>76</v>
      </c>
      <c r="AA25" s="20" t="s">
        <v>76</v>
      </c>
      <c r="AB25" s="15">
        <v>6.4102564102564097</v>
      </c>
      <c r="AC25" s="20" t="s">
        <v>76</v>
      </c>
      <c r="AD25" s="20" t="s">
        <v>76</v>
      </c>
      <c r="AE25" s="20" t="s">
        <v>76</v>
      </c>
      <c r="AF25" s="20" t="s">
        <v>76</v>
      </c>
      <c r="AG25" s="32">
        <v>2.3001299071303798</v>
      </c>
      <c r="AH25" s="20" t="s">
        <v>76</v>
      </c>
      <c r="AI25" s="15">
        <v>2.0648967551622399</v>
      </c>
      <c r="AJ25" s="15">
        <v>2.65486725663717</v>
      </c>
      <c r="AK25" s="15">
        <v>1.73010380622837</v>
      </c>
      <c r="AL25" s="15">
        <v>2.7932960893854699</v>
      </c>
      <c r="AM25" s="15">
        <v>3.3846153846153801</v>
      </c>
      <c r="AN25" s="24">
        <v>3.16455696202532</v>
      </c>
      <c r="AO25" s="38"/>
    </row>
    <row r="26" spans="1:41">
      <c r="A26" s="9" t="s">
        <v>230</v>
      </c>
      <c r="B26" s="36">
        <v>28.035472576459998</v>
      </c>
      <c r="C26" s="32">
        <v>27.627232551117601</v>
      </c>
      <c r="D26" s="32">
        <v>26.164710431927599</v>
      </c>
      <c r="E26" s="32">
        <v>31.636970155668699</v>
      </c>
      <c r="F26" s="15">
        <v>27.0833333333333</v>
      </c>
      <c r="G26" s="15">
        <v>32.835820895522403</v>
      </c>
      <c r="H26" s="15">
        <v>24.390243902439</v>
      </c>
      <c r="I26" s="15">
        <v>40</v>
      </c>
      <c r="J26" s="15">
        <v>38.271604938271601</v>
      </c>
      <c r="K26" s="15">
        <v>52</v>
      </c>
      <c r="L26" s="15">
        <v>22.65625</v>
      </c>
      <c r="M26" s="15">
        <v>39.705882352941202</v>
      </c>
      <c r="N26" s="15">
        <v>26.530612244897998</v>
      </c>
      <c r="O26" s="15">
        <v>33.3333333333333</v>
      </c>
      <c r="P26" s="15">
        <v>22.2222222222222</v>
      </c>
      <c r="Q26" s="15">
        <v>36.6666666666667</v>
      </c>
      <c r="R26" s="15">
        <v>25.274725274725299</v>
      </c>
      <c r="S26" s="15">
        <v>30</v>
      </c>
      <c r="T26" s="15">
        <v>24.2424242424242</v>
      </c>
      <c r="U26" s="15">
        <v>42.553191489361701</v>
      </c>
      <c r="V26" s="15">
        <v>31.481481481481499</v>
      </c>
      <c r="W26" s="15">
        <v>17.8571428571429</v>
      </c>
      <c r="X26" s="15">
        <v>33.653846153846203</v>
      </c>
      <c r="Y26" s="15">
        <v>43.902439024390198</v>
      </c>
      <c r="Z26" s="15">
        <v>30.434782608695699</v>
      </c>
      <c r="AA26" s="15">
        <v>35.616438356164402</v>
      </c>
      <c r="AB26" s="15">
        <v>39.743589743589702</v>
      </c>
      <c r="AC26" s="15">
        <v>24.6913580246914</v>
      </c>
      <c r="AD26" s="15">
        <v>37.894736842105303</v>
      </c>
      <c r="AE26" s="15">
        <v>47.540983606557397</v>
      </c>
      <c r="AF26" s="15">
        <v>29.729729729729701</v>
      </c>
      <c r="AG26" s="32">
        <v>21.916427648274301</v>
      </c>
      <c r="AH26" s="15">
        <v>19.798657718120801</v>
      </c>
      <c r="AI26" s="15">
        <v>21.533923303834801</v>
      </c>
      <c r="AJ26" s="15">
        <v>21.828908554572301</v>
      </c>
      <c r="AK26" s="15">
        <v>20.0692041522491</v>
      </c>
      <c r="AL26" s="15">
        <v>22.905027932960898</v>
      </c>
      <c r="AM26" s="15">
        <v>19.384615384615401</v>
      </c>
      <c r="AN26" s="24">
        <v>34.177215189873401</v>
      </c>
      <c r="AO26" s="38"/>
    </row>
    <row r="27" spans="1:41">
      <c r="A27" s="9" t="s">
        <v>231</v>
      </c>
      <c r="B27" s="36">
        <v>20.3353658627851</v>
      </c>
      <c r="C27" s="32">
        <v>19.988573970494102</v>
      </c>
      <c r="D27" s="32">
        <v>17.998109359141999</v>
      </c>
      <c r="E27" s="32">
        <v>23.037294435432699</v>
      </c>
      <c r="F27" s="15">
        <v>19.7916666666667</v>
      </c>
      <c r="G27" s="15">
        <v>20.8955223880597</v>
      </c>
      <c r="H27" s="15">
        <v>21.951219512195099</v>
      </c>
      <c r="I27" s="15">
        <v>25</v>
      </c>
      <c r="J27" s="15">
        <v>24.6913580246914</v>
      </c>
      <c r="K27" s="15">
        <v>40</v>
      </c>
      <c r="L27" s="15">
        <v>17.1875</v>
      </c>
      <c r="M27" s="15">
        <v>17.647058823529399</v>
      </c>
      <c r="N27" s="15">
        <v>24.4897959183673</v>
      </c>
      <c r="O27" s="15">
        <v>35.714285714285701</v>
      </c>
      <c r="P27" s="15">
        <v>20.740740740740701</v>
      </c>
      <c r="Q27" s="15">
        <v>21.6666666666667</v>
      </c>
      <c r="R27" s="15">
        <v>19.780219780219799</v>
      </c>
      <c r="S27" s="15">
        <v>35</v>
      </c>
      <c r="T27" s="15">
        <v>21.2121212121212</v>
      </c>
      <c r="U27" s="15">
        <v>21.2765957446809</v>
      </c>
      <c r="V27" s="15">
        <v>24.074074074074101</v>
      </c>
      <c r="W27" s="15">
        <v>17.8571428571429</v>
      </c>
      <c r="X27" s="15">
        <v>26.923076923076898</v>
      </c>
      <c r="Y27" s="15">
        <v>17.0731707317073</v>
      </c>
      <c r="Z27" s="15">
        <v>28.260869565217401</v>
      </c>
      <c r="AA27" s="15">
        <v>23.287671232876701</v>
      </c>
      <c r="AB27" s="15">
        <v>32.051282051282101</v>
      </c>
      <c r="AC27" s="15">
        <v>14.814814814814801</v>
      </c>
      <c r="AD27" s="15">
        <v>24.210526315789501</v>
      </c>
      <c r="AE27" s="15">
        <v>26.229508196721302</v>
      </c>
      <c r="AF27" s="15">
        <v>21.6216216216216</v>
      </c>
      <c r="AG27" s="32">
        <v>14.086035685012201</v>
      </c>
      <c r="AH27" s="15">
        <v>11.4093959731544</v>
      </c>
      <c r="AI27" s="15">
        <v>14.454277286135699</v>
      </c>
      <c r="AJ27" s="15">
        <v>15.634218289085499</v>
      </c>
      <c r="AK27" s="15">
        <v>14.532871972318301</v>
      </c>
      <c r="AL27" s="15">
        <v>16.201117318435799</v>
      </c>
      <c r="AM27" s="15">
        <v>14.461538461538501</v>
      </c>
      <c r="AN27" s="24">
        <v>16.139240506329099</v>
      </c>
      <c r="AO27" s="38"/>
    </row>
    <row r="28" spans="1:41">
      <c r="A28" s="9" t="s">
        <v>232</v>
      </c>
      <c r="B28" s="36">
        <v>27.792107356032101</v>
      </c>
      <c r="C28" s="32">
        <v>27.236339283375202</v>
      </c>
      <c r="D28" s="32">
        <v>23.9566444501375</v>
      </c>
      <c r="E28" s="32">
        <v>29.9296979810259</v>
      </c>
      <c r="F28" s="15">
        <v>22.9166666666667</v>
      </c>
      <c r="G28" s="15">
        <v>43.283582089552198</v>
      </c>
      <c r="H28" s="15">
        <v>26.829268292682901</v>
      </c>
      <c r="I28" s="15">
        <v>35</v>
      </c>
      <c r="J28" s="15">
        <v>24.6913580246914</v>
      </c>
      <c r="K28" s="15">
        <v>40</v>
      </c>
      <c r="L28" s="15">
        <v>21.09375</v>
      </c>
      <c r="M28" s="15">
        <v>32.352941176470601</v>
      </c>
      <c r="N28" s="15">
        <v>28.571428571428601</v>
      </c>
      <c r="O28" s="15">
        <v>40.476190476190503</v>
      </c>
      <c r="P28" s="15">
        <v>24.4444444444444</v>
      </c>
      <c r="Q28" s="15">
        <v>30</v>
      </c>
      <c r="R28" s="15">
        <v>35.164835164835203</v>
      </c>
      <c r="S28" s="15">
        <v>43</v>
      </c>
      <c r="T28" s="15">
        <v>24.2424242424242</v>
      </c>
      <c r="U28" s="15">
        <v>40.425531914893597</v>
      </c>
      <c r="V28" s="15">
        <v>27.7777777777778</v>
      </c>
      <c r="W28" s="15">
        <v>23.214285714285701</v>
      </c>
      <c r="X28" s="15">
        <v>35.576923076923102</v>
      </c>
      <c r="Y28" s="15">
        <v>21.951219512195099</v>
      </c>
      <c r="Z28" s="15">
        <v>26.086956521739101</v>
      </c>
      <c r="AA28" s="15">
        <v>41.095890410958901</v>
      </c>
      <c r="AB28" s="15">
        <v>39.743589743589702</v>
      </c>
      <c r="AC28" s="15">
        <v>20.987654320987701</v>
      </c>
      <c r="AD28" s="15">
        <v>25.2631578947368</v>
      </c>
      <c r="AE28" s="15">
        <v>31.1475409836066</v>
      </c>
      <c r="AF28" s="15">
        <v>24.324324324324301</v>
      </c>
      <c r="AG28" s="32">
        <v>19.319580099733301</v>
      </c>
      <c r="AH28" s="15">
        <v>20.134228187919501</v>
      </c>
      <c r="AI28" s="15">
        <v>18.5840707964602</v>
      </c>
      <c r="AJ28" s="15">
        <v>19.469026548672598</v>
      </c>
      <c r="AK28" s="15">
        <v>24.2214532871972</v>
      </c>
      <c r="AL28" s="15">
        <v>23.463687150837998</v>
      </c>
      <c r="AM28" s="15">
        <v>20.307692307692299</v>
      </c>
      <c r="AN28" s="24">
        <v>19.620253164556999</v>
      </c>
      <c r="AO28" s="38"/>
    </row>
    <row r="29" spans="1:41">
      <c r="A29" s="9" t="s">
        <v>233</v>
      </c>
      <c r="B29" s="36">
        <v>10.542809903992699</v>
      </c>
      <c r="C29" s="32">
        <v>9.7405264246469407</v>
      </c>
      <c r="D29" s="32">
        <v>8.2214764269515594</v>
      </c>
      <c r="E29" s="32">
        <v>8.6027134358989397</v>
      </c>
      <c r="F29" s="15">
        <v>7.2916666666666696</v>
      </c>
      <c r="G29" s="15">
        <v>11.9402985074627</v>
      </c>
      <c r="H29" s="15">
        <v>7.3170731707317103</v>
      </c>
      <c r="I29" s="15">
        <v>17.5</v>
      </c>
      <c r="J29" s="15">
        <v>8.6419753086419693</v>
      </c>
      <c r="K29" s="15">
        <v>18</v>
      </c>
      <c r="L29" s="20" t="s">
        <v>76</v>
      </c>
      <c r="M29" s="20" t="s">
        <v>76</v>
      </c>
      <c r="N29" s="20" t="s">
        <v>76</v>
      </c>
      <c r="O29" s="15">
        <v>16.6666666666667</v>
      </c>
      <c r="P29" s="15">
        <v>5.92592592592593</v>
      </c>
      <c r="Q29" s="15">
        <v>11.6666666666667</v>
      </c>
      <c r="R29" s="15">
        <v>5.4945054945054901</v>
      </c>
      <c r="S29" s="15">
        <v>8</v>
      </c>
      <c r="T29" s="20" t="s">
        <v>76</v>
      </c>
      <c r="U29" s="20" t="s">
        <v>76</v>
      </c>
      <c r="V29" s="20" t="s">
        <v>76</v>
      </c>
      <c r="W29" s="20" t="s">
        <v>76</v>
      </c>
      <c r="X29" s="15">
        <v>12.5</v>
      </c>
      <c r="Y29" s="20" t="s">
        <v>76</v>
      </c>
      <c r="Z29" s="20" t="s">
        <v>76</v>
      </c>
      <c r="AA29" s="15">
        <v>12.328767123287699</v>
      </c>
      <c r="AB29" s="15">
        <v>14.1025641025641</v>
      </c>
      <c r="AC29" s="15">
        <v>7.4074074074074101</v>
      </c>
      <c r="AD29" s="20" t="s">
        <v>76</v>
      </c>
      <c r="AE29" s="15">
        <v>22.9508196721311</v>
      </c>
      <c r="AF29" s="15">
        <v>13.5135135135135</v>
      </c>
      <c r="AG29" s="32">
        <v>7.9255104634619196</v>
      </c>
      <c r="AH29" s="15">
        <v>4.6979865771812097</v>
      </c>
      <c r="AI29" s="15">
        <v>9.1445427728613602</v>
      </c>
      <c r="AJ29" s="15">
        <v>8.5545722713864301</v>
      </c>
      <c r="AK29" s="15">
        <v>6.9204152249134898</v>
      </c>
      <c r="AL29" s="15">
        <v>9.4972067039106101</v>
      </c>
      <c r="AM29" s="15">
        <v>9.2307692307692299</v>
      </c>
      <c r="AN29" s="24">
        <v>11.7088607594937</v>
      </c>
      <c r="AO29" s="38"/>
    </row>
    <row r="30" spans="1:41">
      <c r="A30" s="9" t="s">
        <v>234</v>
      </c>
      <c r="B30" s="36">
        <v>13.690403834283</v>
      </c>
      <c r="C30" s="32">
        <v>14.1133531553153</v>
      </c>
      <c r="D30" s="32">
        <v>10.963957022305401</v>
      </c>
      <c r="E30" s="32">
        <v>10.5285703157216</v>
      </c>
      <c r="F30" s="15">
        <v>8.3333333333333304</v>
      </c>
      <c r="G30" s="15">
        <v>11.9402985074627</v>
      </c>
      <c r="H30" s="15">
        <v>10.975609756097599</v>
      </c>
      <c r="I30" s="15">
        <v>25</v>
      </c>
      <c r="J30" s="15">
        <v>17.283950617283899</v>
      </c>
      <c r="K30" s="15">
        <v>16</v>
      </c>
      <c r="L30" s="15">
        <v>7.8125</v>
      </c>
      <c r="M30" s="15">
        <v>10.294117647058799</v>
      </c>
      <c r="N30" s="20" t="s">
        <v>76</v>
      </c>
      <c r="O30" s="15">
        <v>16.6666666666667</v>
      </c>
      <c r="P30" s="15">
        <v>10.3703703703704</v>
      </c>
      <c r="Q30" s="15">
        <v>13.3333333333333</v>
      </c>
      <c r="R30" s="15">
        <v>19.780219780219799</v>
      </c>
      <c r="S30" s="15">
        <v>9</v>
      </c>
      <c r="T30" s="15">
        <v>18.181818181818201</v>
      </c>
      <c r="U30" s="20" t="s">
        <v>76</v>
      </c>
      <c r="V30" s="20" t="s">
        <v>76</v>
      </c>
      <c r="W30" s="15">
        <v>8.9285714285714306</v>
      </c>
      <c r="X30" s="15">
        <v>8.6538461538461497</v>
      </c>
      <c r="Y30" s="20" t="s">
        <v>76</v>
      </c>
      <c r="Z30" s="15">
        <v>13.0434782608696</v>
      </c>
      <c r="AA30" s="20" t="s">
        <v>76</v>
      </c>
      <c r="AB30" s="15">
        <v>16.6666666666667</v>
      </c>
      <c r="AC30" s="20" t="s">
        <v>76</v>
      </c>
      <c r="AD30" s="20" t="s">
        <v>76</v>
      </c>
      <c r="AE30" s="15">
        <v>14.7540983606557</v>
      </c>
      <c r="AF30" s="15">
        <v>24.324324324324301</v>
      </c>
      <c r="AG30" s="32">
        <v>11.3019610541291</v>
      </c>
      <c r="AH30" s="15">
        <v>14.093959731543601</v>
      </c>
      <c r="AI30" s="15">
        <v>11.5044247787611</v>
      </c>
      <c r="AJ30" s="15">
        <v>10.914454277286101</v>
      </c>
      <c r="AK30" s="15">
        <v>12.1107266435986</v>
      </c>
      <c r="AL30" s="15">
        <v>17.318435754189899</v>
      </c>
      <c r="AM30" s="15">
        <v>11.692307692307701</v>
      </c>
      <c r="AN30" s="24">
        <v>10.126582278480999</v>
      </c>
      <c r="AO30" s="38"/>
    </row>
    <row r="31" spans="1:41">
      <c r="A31" s="9" t="s">
        <v>235</v>
      </c>
      <c r="B31" s="36">
        <v>22.086676376214999</v>
      </c>
      <c r="C31" s="32">
        <v>21.2065883927812</v>
      </c>
      <c r="D31" s="32">
        <v>17.999306445951699</v>
      </c>
      <c r="E31" s="32">
        <v>23.1020785979055</v>
      </c>
      <c r="F31" s="15">
        <v>21.875</v>
      </c>
      <c r="G31" s="15">
        <v>16.417910447761201</v>
      </c>
      <c r="H31" s="15">
        <v>25.609756097561</v>
      </c>
      <c r="I31" s="15">
        <v>12.5</v>
      </c>
      <c r="J31" s="15">
        <v>28.395061728395099</v>
      </c>
      <c r="K31" s="15">
        <v>20</v>
      </c>
      <c r="L31" s="15">
        <v>23.4375</v>
      </c>
      <c r="M31" s="15">
        <v>19.117647058823501</v>
      </c>
      <c r="N31" s="15">
        <v>28.571428571428601</v>
      </c>
      <c r="O31" s="15">
        <v>35.714285714285701</v>
      </c>
      <c r="P31" s="15">
        <v>17.7777777777778</v>
      </c>
      <c r="Q31" s="15">
        <v>26.6666666666667</v>
      </c>
      <c r="R31" s="15">
        <v>27.472527472527499</v>
      </c>
      <c r="S31" s="15">
        <v>34</v>
      </c>
      <c r="T31" s="20" t="s">
        <v>76</v>
      </c>
      <c r="U31" s="15">
        <v>17.021276595744698</v>
      </c>
      <c r="V31" s="15">
        <v>18.518518518518501</v>
      </c>
      <c r="W31" s="15">
        <v>14.285714285714301</v>
      </c>
      <c r="X31" s="15">
        <v>24.038461538461501</v>
      </c>
      <c r="Y31" s="15">
        <v>24.390243902439</v>
      </c>
      <c r="Z31" s="15">
        <v>19.565217391304301</v>
      </c>
      <c r="AA31" s="15">
        <v>17.808219178082201</v>
      </c>
      <c r="AB31" s="15">
        <v>25.6410256410256</v>
      </c>
      <c r="AC31" s="15">
        <v>19.7530864197531</v>
      </c>
      <c r="AD31" s="15">
        <v>18.947368421052602</v>
      </c>
      <c r="AE31" s="15">
        <v>34.426229508196698</v>
      </c>
      <c r="AF31" s="15">
        <v>21.6216216216216</v>
      </c>
      <c r="AG31" s="32">
        <v>14.037868177954</v>
      </c>
      <c r="AH31" s="15">
        <v>12.751677852348999</v>
      </c>
      <c r="AI31" s="15">
        <v>15.634218289085499</v>
      </c>
      <c r="AJ31" s="15">
        <v>16.519174041297902</v>
      </c>
      <c r="AK31" s="15">
        <v>15.2249134948097</v>
      </c>
      <c r="AL31" s="15">
        <v>21.787709497206698</v>
      </c>
      <c r="AM31" s="15">
        <v>11.384615384615399</v>
      </c>
      <c r="AN31" s="24">
        <v>15.1898734177215</v>
      </c>
      <c r="AO31" s="38"/>
    </row>
    <row r="32" spans="1:41">
      <c r="A32" s="9" t="s">
        <v>236</v>
      </c>
      <c r="B32" s="36">
        <v>5.0232156705145004</v>
      </c>
      <c r="C32" s="32">
        <v>4.9297072956837296</v>
      </c>
      <c r="D32" s="32">
        <v>4.1188976131259203</v>
      </c>
      <c r="E32" s="32">
        <v>2.6679793003683399</v>
      </c>
      <c r="F32" s="20" t="s">
        <v>76</v>
      </c>
      <c r="G32" s="20" t="s">
        <v>76</v>
      </c>
      <c r="H32" s="20" t="s">
        <v>76</v>
      </c>
      <c r="I32" s="20" t="s">
        <v>76</v>
      </c>
      <c r="J32" s="20" t="s">
        <v>76</v>
      </c>
      <c r="K32" s="15">
        <v>10</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15">
        <v>6.4102564102564097</v>
      </c>
      <c r="AC32" s="20" t="s">
        <v>76</v>
      </c>
      <c r="AD32" s="20" t="s">
        <v>76</v>
      </c>
      <c r="AE32" s="20" t="s">
        <v>76</v>
      </c>
      <c r="AF32" s="20" t="s">
        <v>76</v>
      </c>
      <c r="AG32" s="32">
        <v>5.2452899263111803</v>
      </c>
      <c r="AH32" s="15">
        <v>2.3489932885906</v>
      </c>
      <c r="AI32" s="15">
        <v>5.8997050147492596</v>
      </c>
      <c r="AJ32" s="15">
        <v>3.24483775811209</v>
      </c>
      <c r="AK32" s="15">
        <v>2.7681660899653999</v>
      </c>
      <c r="AL32" s="15">
        <v>4.4692737430167604</v>
      </c>
      <c r="AM32" s="15">
        <v>6.7692307692307701</v>
      </c>
      <c r="AN32" s="24">
        <v>7.9113924050632898</v>
      </c>
      <c r="AO32" s="38"/>
    </row>
    <row r="33" spans="1:41">
      <c r="A33" s="9" t="s">
        <v>237</v>
      </c>
      <c r="B33" s="36">
        <v>13.8148645650865</v>
      </c>
      <c r="C33" s="32">
        <v>14.0395196916487</v>
      </c>
      <c r="D33" s="32">
        <v>12.726716078260001</v>
      </c>
      <c r="E33" s="32">
        <v>14.0387959897879</v>
      </c>
      <c r="F33" s="15">
        <v>11.4583333333333</v>
      </c>
      <c r="G33" s="15">
        <v>13.4328358208955</v>
      </c>
      <c r="H33" s="15">
        <v>10.975609756097599</v>
      </c>
      <c r="I33" s="15">
        <v>20</v>
      </c>
      <c r="J33" s="15">
        <v>17.283950617283899</v>
      </c>
      <c r="K33" s="15">
        <v>22</v>
      </c>
      <c r="L33" s="15">
        <v>10.15625</v>
      </c>
      <c r="M33" s="15">
        <v>10.294117647058799</v>
      </c>
      <c r="N33" s="15">
        <v>18.367346938775501</v>
      </c>
      <c r="O33" s="15">
        <v>19.047619047619001</v>
      </c>
      <c r="P33" s="15">
        <v>7.4074074074074101</v>
      </c>
      <c r="Q33" s="15">
        <v>20</v>
      </c>
      <c r="R33" s="15">
        <v>16.4835164835165</v>
      </c>
      <c r="S33" s="15">
        <v>12</v>
      </c>
      <c r="T33" s="20" t="s">
        <v>76</v>
      </c>
      <c r="U33" s="20" t="s">
        <v>76</v>
      </c>
      <c r="V33" s="15">
        <v>33.3333333333333</v>
      </c>
      <c r="W33" s="20" t="s">
        <v>76</v>
      </c>
      <c r="X33" s="15">
        <v>28.846153846153801</v>
      </c>
      <c r="Y33" s="20" t="s">
        <v>76</v>
      </c>
      <c r="Z33" s="15">
        <v>13.0434782608696</v>
      </c>
      <c r="AA33" s="15">
        <v>20.5479452054795</v>
      </c>
      <c r="AB33" s="15">
        <v>20.5128205128205</v>
      </c>
      <c r="AC33" s="20" t="s">
        <v>76</v>
      </c>
      <c r="AD33" s="15">
        <v>9.4736842105263204</v>
      </c>
      <c r="AE33" s="15">
        <v>19.672131147540998</v>
      </c>
      <c r="AF33" s="20" t="s">
        <v>76</v>
      </c>
      <c r="AG33" s="32">
        <v>11.708108267169001</v>
      </c>
      <c r="AH33" s="15">
        <v>10.067114093959701</v>
      </c>
      <c r="AI33" s="15">
        <v>11.5044247787611</v>
      </c>
      <c r="AJ33" s="15">
        <v>9.7345132743362797</v>
      </c>
      <c r="AK33" s="15">
        <v>10.0346020761246</v>
      </c>
      <c r="AL33" s="15">
        <v>13.407821229050301</v>
      </c>
      <c r="AM33" s="15">
        <v>10.7692307692308</v>
      </c>
      <c r="AN33" s="24">
        <v>17.721518987341799</v>
      </c>
      <c r="AO33" s="38"/>
    </row>
    <row r="34" spans="1:41">
      <c r="A34" s="9" t="s">
        <v>238</v>
      </c>
      <c r="B34" s="36">
        <v>32.341964656762499</v>
      </c>
      <c r="C34" s="32">
        <v>33.573689501337803</v>
      </c>
      <c r="D34" s="32">
        <v>29.563623530867002</v>
      </c>
      <c r="E34" s="32">
        <v>27.199620865707701</v>
      </c>
      <c r="F34" s="15">
        <v>25</v>
      </c>
      <c r="G34" s="15">
        <v>29.8507462686567</v>
      </c>
      <c r="H34" s="15">
        <v>28.048780487804901</v>
      </c>
      <c r="I34" s="15">
        <v>20</v>
      </c>
      <c r="J34" s="15">
        <v>27.160493827160501</v>
      </c>
      <c r="K34" s="15">
        <v>28</v>
      </c>
      <c r="L34" s="15">
        <v>21.09375</v>
      </c>
      <c r="M34" s="15">
        <v>20.588235294117599</v>
      </c>
      <c r="N34" s="15">
        <v>24.4897959183673</v>
      </c>
      <c r="O34" s="15">
        <v>42.857142857142897</v>
      </c>
      <c r="P34" s="15">
        <v>14.814814814814801</v>
      </c>
      <c r="Q34" s="15">
        <v>41.6666666666667</v>
      </c>
      <c r="R34" s="15">
        <v>24.1758241758242</v>
      </c>
      <c r="S34" s="15">
        <v>23</v>
      </c>
      <c r="T34" s="15">
        <v>27.272727272727298</v>
      </c>
      <c r="U34" s="15">
        <v>34.042553191489397</v>
      </c>
      <c r="V34" s="15">
        <v>20.370370370370399</v>
      </c>
      <c r="W34" s="15">
        <v>19.6428571428571</v>
      </c>
      <c r="X34" s="15">
        <v>30.769230769230798</v>
      </c>
      <c r="Y34" s="20" t="s">
        <v>76</v>
      </c>
      <c r="Z34" s="15">
        <v>39.130434782608702</v>
      </c>
      <c r="AA34" s="15">
        <v>43.835616438356197</v>
      </c>
      <c r="AB34" s="15">
        <v>26.923076923076898</v>
      </c>
      <c r="AC34" s="15">
        <v>29.629629629629601</v>
      </c>
      <c r="AD34" s="15">
        <v>29.473684210526301</v>
      </c>
      <c r="AE34" s="15">
        <v>39.344262295081997</v>
      </c>
      <c r="AF34" s="15">
        <v>27.027027027027</v>
      </c>
      <c r="AG34" s="32">
        <v>31.3988711853845</v>
      </c>
      <c r="AH34" s="15">
        <v>29.194630872483199</v>
      </c>
      <c r="AI34" s="15">
        <v>34.8082595870207</v>
      </c>
      <c r="AJ34" s="15">
        <v>28.023598820059</v>
      </c>
      <c r="AK34" s="15">
        <v>31.141868512110701</v>
      </c>
      <c r="AL34" s="15">
        <v>40.782122905027897</v>
      </c>
      <c r="AM34" s="15">
        <v>29.230769230769202</v>
      </c>
      <c r="AN34" s="24">
        <v>38.291139240506297</v>
      </c>
      <c r="AO34" s="38"/>
    </row>
    <row r="35" spans="1:41">
      <c r="A35" s="9" t="s">
        <v>239</v>
      </c>
      <c r="B35" s="36">
        <v>24.858609843316302</v>
      </c>
      <c r="C35" s="32">
        <v>24.3203816617482</v>
      </c>
      <c r="D35" s="32">
        <v>23.776618206899101</v>
      </c>
      <c r="E35" s="32">
        <v>24.998592273858002</v>
      </c>
      <c r="F35" s="15">
        <v>25</v>
      </c>
      <c r="G35" s="15">
        <v>22.388059701492502</v>
      </c>
      <c r="H35" s="15">
        <v>30.487804878048799</v>
      </c>
      <c r="I35" s="15">
        <v>22.5</v>
      </c>
      <c r="J35" s="15">
        <v>25.925925925925899</v>
      </c>
      <c r="K35" s="15">
        <v>28</v>
      </c>
      <c r="L35" s="15">
        <v>19.53125</v>
      </c>
      <c r="M35" s="15">
        <v>14.705882352941201</v>
      </c>
      <c r="N35" s="15">
        <v>26.530612244897998</v>
      </c>
      <c r="O35" s="15">
        <v>33.3333333333333</v>
      </c>
      <c r="P35" s="15">
        <v>18.518518518518501</v>
      </c>
      <c r="Q35" s="15">
        <v>43.3333333333333</v>
      </c>
      <c r="R35" s="15">
        <v>21.978021978021999</v>
      </c>
      <c r="S35" s="15">
        <v>19</v>
      </c>
      <c r="T35" s="15">
        <v>33.3333333333333</v>
      </c>
      <c r="U35" s="15">
        <v>23.404255319148898</v>
      </c>
      <c r="V35" s="15">
        <v>16.6666666666667</v>
      </c>
      <c r="W35" s="15">
        <v>17.8571428571429</v>
      </c>
      <c r="X35" s="15">
        <v>29.807692307692299</v>
      </c>
      <c r="Y35" s="15">
        <v>19.512195121951201</v>
      </c>
      <c r="Z35" s="15">
        <v>26.086956521739101</v>
      </c>
      <c r="AA35" s="15">
        <v>39.726027397260303</v>
      </c>
      <c r="AB35" s="15">
        <v>32.051282051282101</v>
      </c>
      <c r="AC35" s="15">
        <v>18.518518518518501</v>
      </c>
      <c r="AD35" s="15">
        <v>23.157894736842099</v>
      </c>
      <c r="AE35" s="15">
        <v>37.7049180327869</v>
      </c>
      <c r="AF35" s="15">
        <v>24.324324324324301</v>
      </c>
      <c r="AG35" s="32">
        <v>22.827962321980099</v>
      </c>
      <c r="AH35" s="15">
        <v>19.4630872483221</v>
      </c>
      <c r="AI35" s="15">
        <v>24.188790560472</v>
      </c>
      <c r="AJ35" s="15">
        <v>20.353982300885001</v>
      </c>
      <c r="AK35" s="15">
        <v>20.0692041522491</v>
      </c>
      <c r="AL35" s="15">
        <v>30.167597765363102</v>
      </c>
      <c r="AM35" s="15">
        <v>22.153846153846199</v>
      </c>
      <c r="AN35" s="24">
        <v>34.8101265822785</v>
      </c>
      <c r="AO35" s="38"/>
    </row>
    <row r="36" spans="1:41">
      <c r="A36" s="9" t="s">
        <v>240</v>
      </c>
      <c r="B36" s="36">
        <v>19.9339502820118</v>
      </c>
      <c r="C36" s="32">
        <v>21.0090081495572</v>
      </c>
      <c r="D36" s="32">
        <v>19.918281245358902</v>
      </c>
      <c r="E36" s="32">
        <v>21.854374633221202</v>
      </c>
      <c r="F36" s="15">
        <v>23.9583333333333</v>
      </c>
      <c r="G36" s="15">
        <v>31.343283582089601</v>
      </c>
      <c r="H36" s="15">
        <v>17.0731707317073</v>
      </c>
      <c r="I36" s="15">
        <v>40</v>
      </c>
      <c r="J36" s="15">
        <v>29.629629629629601</v>
      </c>
      <c r="K36" s="15">
        <v>26</v>
      </c>
      <c r="L36" s="15">
        <v>8.59375</v>
      </c>
      <c r="M36" s="15">
        <v>29.411764705882401</v>
      </c>
      <c r="N36" s="15">
        <v>20.408163265306101</v>
      </c>
      <c r="O36" s="15">
        <v>19.047619047619001</v>
      </c>
      <c r="P36" s="15">
        <v>11.1111111111111</v>
      </c>
      <c r="Q36" s="15">
        <v>31.6666666666667</v>
      </c>
      <c r="R36" s="15">
        <v>17.582417582417602</v>
      </c>
      <c r="S36" s="15">
        <v>17</v>
      </c>
      <c r="T36" s="15">
        <v>15.1515151515152</v>
      </c>
      <c r="U36" s="15">
        <v>12.7659574468085</v>
      </c>
      <c r="V36" s="15">
        <v>20.370370370370399</v>
      </c>
      <c r="W36" s="15">
        <v>14.285714285714301</v>
      </c>
      <c r="X36" s="15">
        <v>44.230769230769198</v>
      </c>
      <c r="Y36" s="15">
        <v>36.585365853658502</v>
      </c>
      <c r="Z36" s="15">
        <v>23.913043478260899</v>
      </c>
      <c r="AA36" s="15">
        <v>31.5068493150685</v>
      </c>
      <c r="AB36" s="15">
        <v>24.3589743589744</v>
      </c>
      <c r="AC36" s="15">
        <v>11.1111111111111</v>
      </c>
      <c r="AD36" s="15">
        <v>28.421052631578899</v>
      </c>
      <c r="AE36" s="15">
        <v>29.508196721311499</v>
      </c>
      <c r="AF36" s="15">
        <v>32.4324324324324</v>
      </c>
      <c r="AG36" s="32">
        <v>18.4152326653515</v>
      </c>
      <c r="AH36" s="15">
        <v>16.107382550335601</v>
      </c>
      <c r="AI36" s="15">
        <v>15.044247787610599</v>
      </c>
      <c r="AJ36" s="15">
        <v>16.2241887905605</v>
      </c>
      <c r="AK36" s="15">
        <v>17.647058823529399</v>
      </c>
      <c r="AL36" s="15">
        <v>24.581005586592202</v>
      </c>
      <c r="AM36" s="15">
        <v>20</v>
      </c>
      <c r="AN36" s="24">
        <v>25</v>
      </c>
      <c r="AO36" s="38"/>
    </row>
    <row r="37" spans="1:41">
      <c r="A37" s="9" t="s">
        <v>241</v>
      </c>
      <c r="B37" s="36">
        <v>23.045320647667999</v>
      </c>
      <c r="C37" s="32">
        <v>25.542653184215101</v>
      </c>
      <c r="D37" s="32">
        <v>21.7827631104125</v>
      </c>
      <c r="E37" s="32">
        <v>20.0445746997678</v>
      </c>
      <c r="F37" s="15">
        <v>19.7916666666667</v>
      </c>
      <c r="G37" s="15">
        <v>28.358208955223901</v>
      </c>
      <c r="H37" s="15">
        <v>19.512195121951201</v>
      </c>
      <c r="I37" s="15">
        <v>35</v>
      </c>
      <c r="J37" s="15">
        <v>38.271604938271601</v>
      </c>
      <c r="K37" s="15">
        <v>32</v>
      </c>
      <c r="L37" s="15">
        <v>11.71875</v>
      </c>
      <c r="M37" s="15">
        <v>11.764705882352899</v>
      </c>
      <c r="N37" s="15">
        <v>20.408163265306101</v>
      </c>
      <c r="O37" s="15">
        <v>21.428571428571399</v>
      </c>
      <c r="P37" s="15">
        <v>10.3703703703704</v>
      </c>
      <c r="Q37" s="15">
        <v>21.6666666666667</v>
      </c>
      <c r="R37" s="15">
        <v>25.274725274725299</v>
      </c>
      <c r="S37" s="15">
        <v>11</v>
      </c>
      <c r="T37" s="20" t="s">
        <v>76</v>
      </c>
      <c r="U37" s="15">
        <v>31.914893617021299</v>
      </c>
      <c r="V37" s="15">
        <v>22.2222222222222</v>
      </c>
      <c r="W37" s="15">
        <v>19.6428571428571</v>
      </c>
      <c r="X37" s="15">
        <v>25</v>
      </c>
      <c r="Y37" s="15">
        <v>12.1951219512195</v>
      </c>
      <c r="Z37" s="15">
        <v>19.565217391304301</v>
      </c>
      <c r="AA37" s="15">
        <v>41.095890410958901</v>
      </c>
      <c r="AB37" s="15">
        <v>26.923076923076898</v>
      </c>
      <c r="AC37" s="15">
        <v>12.3456790123457</v>
      </c>
      <c r="AD37" s="15">
        <v>12.6315789473684</v>
      </c>
      <c r="AE37" s="15">
        <v>24.590163934426201</v>
      </c>
      <c r="AF37" s="15">
        <v>24.324324324324301</v>
      </c>
      <c r="AG37" s="32">
        <v>23.132171996772801</v>
      </c>
      <c r="AH37" s="15">
        <v>13.758389261745</v>
      </c>
      <c r="AI37" s="15">
        <v>20.943952802359899</v>
      </c>
      <c r="AJ37" s="15">
        <v>20.353982300885001</v>
      </c>
      <c r="AK37" s="15">
        <v>21.799307958477499</v>
      </c>
      <c r="AL37" s="15">
        <v>22.346368715083798</v>
      </c>
      <c r="AM37" s="15">
        <v>25.230769230769202</v>
      </c>
      <c r="AN37" s="24">
        <v>37.025316455696199</v>
      </c>
      <c r="AO37" s="38"/>
    </row>
    <row r="38" spans="1:41">
      <c r="A38" s="9" t="s">
        <v>242</v>
      </c>
      <c r="B38" s="36">
        <v>29.689677745083799</v>
      </c>
      <c r="C38" s="32">
        <v>28.767581090010601</v>
      </c>
      <c r="D38" s="32">
        <v>24.501842350650701</v>
      </c>
      <c r="E38" s="32">
        <v>34.002440397068099</v>
      </c>
      <c r="F38" s="15">
        <v>37.5</v>
      </c>
      <c r="G38" s="15">
        <v>37.313432835820898</v>
      </c>
      <c r="H38" s="15">
        <v>31.707317073170699</v>
      </c>
      <c r="I38" s="15">
        <v>27.5</v>
      </c>
      <c r="J38" s="15">
        <v>48.148148148148103</v>
      </c>
      <c r="K38" s="15">
        <v>38</v>
      </c>
      <c r="L38" s="15">
        <v>28.125</v>
      </c>
      <c r="M38" s="15">
        <v>32.352941176470601</v>
      </c>
      <c r="N38" s="15">
        <v>24.4897959183673</v>
      </c>
      <c r="O38" s="15">
        <v>45.238095238095198</v>
      </c>
      <c r="P38" s="15">
        <v>23.703703703703699</v>
      </c>
      <c r="Q38" s="15">
        <v>38.3333333333333</v>
      </c>
      <c r="R38" s="15">
        <v>32.967032967032999</v>
      </c>
      <c r="S38" s="15">
        <v>37</v>
      </c>
      <c r="T38" s="15">
        <v>42.424242424242401</v>
      </c>
      <c r="U38" s="15">
        <v>40.425531914893597</v>
      </c>
      <c r="V38" s="15">
        <v>33.3333333333333</v>
      </c>
      <c r="W38" s="15">
        <v>17.8571428571429</v>
      </c>
      <c r="X38" s="15">
        <v>38.461538461538503</v>
      </c>
      <c r="Y38" s="15">
        <v>29.268292682926798</v>
      </c>
      <c r="Z38" s="15">
        <v>34.7826086956522</v>
      </c>
      <c r="AA38" s="15">
        <v>39.726027397260303</v>
      </c>
      <c r="AB38" s="15">
        <v>41.025641025641001</v>
      </c>
      <c r="AC38" s="15">
        <v>24.6913580246914</v>
      </c>
      <c r="AD38" s="15">
        <v>32.631578947368403</v>
      </c>
      <c r="AE38" s="15">
        <v>45.9016393442623</v>
      </c>
      <c r="AF38" s="15">
        <v>32.4324324324324</v>
      </c>
      <c r="AG38" s="32">
        <v>17.126237179737601</v>
      </c>
      <c r="AH38" s="15">
        <v>18.120805369127499</v>
      </c>
      <c r="AI38" s="15">
        <v>22.123893805309699</v>
      </c>
      <c r="AJ38" s="15">
        <v>16.2241887905605</v>
      </c>
      <c r="AK38" s="15">
        <v>15.916955017300999</v>
      </c>
      <c r="AL38" s="15">
        <v>23.463687150837998</v>
      </c>
      <c r="AM38" s="15">
        <v>14.7692307692308</v>
      </c>
      <c r="AN38" s="24">
        <v>23.1012658227848</v>
      </c>
      <c r="AO38" s="38"/>
    </row>
    <row r="39" spans="1:41">
      <c r="A39" s="9" t="s">
        <v>243</v>
      </c>
      <c r="B39" s="36">
        <v>32.182801910492103</v>
      </c>
      <c r="C39" s="32">
        <v>32.475270092270897</v>
      </c>
      <c r="D39" s="32">
        <v>29.7024317770924</v>
      </c>
      <c r="E39" s="32">
        <v>27.6739732252618</v>
      </c>
      <c r="F39" s="15">
        <v>25</v>
      </c>
      <c r="G39" s="15">
        <v>32.835820895522403</v>
      </c>
      <c r="H39" s="15">
        <v>15.853658536585399</v>
      </c>
      <c r="I39" s="15">
        <v>25</v>
      </c>
      <c r="J39" s="15">
        <v>32.098765432098801</v>
      </c>
      <c r="K39" s="15">
        <v>36</v>
      </c>
      <c r="L39" s="15">
        <v>25.78125</v>
      </c>
      <c r="M39" s="15">
        <v>17.647058823529399</v>
      </c>
      <c r="N39" s="15">
        <v>18.367346938775501</v>
      </c>
      <c r="O39" s="15">
        <v>28.571428571428601</v>
      </c>
      <c r="P39" s="15">
        <v>25.185185185185201</v>
      </c>
      <c r="Q39" s="15">
        <v>35</v>
      </c>
      <c r="R39" s="15">
        <v>19.780219780219799</v>
      </c>
      <c r="S39" s="15">
        <v>25</v>
      </c>
      <c r="T39" s="15">
        <v>42.424242424242401</v>
      </c>
      <c r="U39" s="15">
        <v>31.914893617021299</v>
      </c>
      <c r="V39" s="15">
        <v>20.370370370370399</v>
      </c>
      <c r="W39" s="15">
        <v>23.214285714285701</v>
      </c>
      <c r="X39" s="15">
        <v>32.692307692307701</v>
      </c>
      <c r="Y39" s="15">
        <v>36.585365853658502</v>
      </c>
      <c r="Z39" s="15">
        <v>34.7826086956522</v>
      </c>
      <c r="AA39" s="15">
        <v>26.027397260274</v>
      </c>
      <c r="AB39" s="15">
        <v>37.179487179487197</v>
      </c>
      <c r="AC39" s="15">
        <v>23.456790123456798</v>
      </c>
      <c r="AD39" s="15">
        <v>28.421052631578899</v>
      </c>
      <c r="AE39" s="15">
        <v>40.983606557377101</v>
      </c>
      <c r="AF39" s="15">
        <v>35.135135135135101</v>
      </c>
      <c r="AG39" s="32">
        <v>31.277186262101502</v>
      </c>
      <c r="AH39" s="15">
        <v>29.530201342281899</v>
      </c>
      <c r="AI39" s="15">
        <v>30.088495575221199</v>
      </c>
      <c r="AJ39" s="15">
        <v>30.383480825958699</v>
      </c>
      <c r="AK39" s="15">
        <v>30.7958477508651</v>
      </c>
      <c r="AL39" s="15">
        <v>34.636871508379897</v>
      </c>
      <c r="AM39" s="15">
        <v>28.615384615384599</v>
      </c>
      <c r="AN39" s="24">
        <v>39.556962025316501</v>
      </c>
      <c r="AO39" s="38"/>
    </row>
    <row r="40" spans="1:41">
      <c r="A40" s="9" t="s">
        <v>244</v>
      </c>
      <c r="B40" s="36">
        <v>19.109923258119501</v>
      </c>
      <c r="C40" s="32">
        <v>18.784516550205201</v>
      </c>
      <c r="D40" s="32">
        <v>16.595226621143901</v>
      </c>
      <c r="E40" s="32">
        <v>20.716730968591701</v>
      </c>
      <c r="F40" s="15">
        <v>15.625</v>
      </c>
      <c r="G40" s="15">
        <v>29.8507462686567</v>
      </c>
      <c r="H40" s="15">
        <v>17.0731707317073</v>
      </c>
      <c r="I40" s="15">
        <v>27.5</v>
      </c>
      <c r="J40" s="15">
        <v>20.987654320987701</v>
      </c>
      <c r="K40" s="15">
        <v>18</v>
      </c>
      <c r="L40" s="15">
        <v>21.09375</v>
      </c>
      <c r="M40" s="15">
        <v>13.235294117647101</v>
      </c>
      <c r="N40" s="15">
        <v>24.4897959183673</v>
      </c>
      <c r="O40" s="15">
        <v>23.8095238095238</v>
      </c>
      <c r="P40" s="15">
        <v>16.296296296296301</v>
      </c>
      <c r="Q40" s="15">
        <v>16.6666666666667</v>
      </c>
      <c r="R40" s="15">
        <v>24.1758241758242</v>
      </c>
      <c r="S40" s="15">
        <v>27</v>
      </c>
      <c r="T40" s="20" t="s">
        <v>76</v>
      </c>
      <c r="U40" s="15">
        <v>25.531914893617</v>
      </c>
      <c r="V40" s="15">
        <v>14.814814814814801</v>
      </c>
      <c r="W40" s="15">
        <v>10.714285714285699</v>
      </c>
      <c r="X40" s="15">
        <v>36.538461538461497</v>
      </c>
      <c r="Y40" s="15">
        <v>14.634146341463399</v>
      </c>
      <c r="Z40" s="15">
        <v>21.739130434782599</v>
      </c>
      <c r="AA40" s="15">
        <v>24.657534246575299</v>
      </c>
      <c r="AB40" s="15">
        <v>30.769230769230798</v>
      </c>
      <c r="AC40" s="15">
        <v>14.814814814814801</v>
      </c>
      <c r="AD40" s="15">
        <v>14.7368421052632</v>
      </c>
      <c r="AE40" s="15">
        <v>31.1475409836066</v>
      </c>
      <c r="AF40" s="20" t="s">
        <v>76</v>
      </c>
      <c r="AG40" s="32">
        <v>13.395576596118399</v>
      </c>
      <c r="AH40" s="15">
        <v>14.7651006711409</v>
      </c>
      <c r="AI40" s="15">
        <v>11.7994100294985</v>
      </c>
      <c r="AJ40" s="15">
        <v>14.454277286135699</v>
      </c>
      <c r="AK40" s="15">
        <v>12.4567474048443</v>
      </c>
      <c r="AL40" s="15">
        <v>16.201117318435799</v>
      </c>
      <c r="AM40" s="15">
        <v>11.692307692307701</v>
      </c>
      <c r="AN40" s="24">
        <v>18.037974683544299</v>
      </c>
      <c r="AO40" s="38"/>
    </row>
    <row r="41" spans="1:41">
      <c r="A41" s="9" t="s">
        <v>245</v>
      </c>
      <c r="B41" s="36">
        <v>22.321807527942301</v>
      </c>
      <c r="C41" s="32">
        <v>23.361248092777501</v>
      </c>
      <c r="D41" s="32">
        <v>21.329687920780898</v>
      </c>
      <c r="E41" s="32">
        <v>24.2650460315724</v>
      </c>
      <c r="F41" s="15">
        <v>17.7083333333333</v>
      </c>
      <c r="G41" s="15">
        <v>25.373134328358201</v>
      </c>
      <c r="H41" s="15">
        <v>24.390243902439</v>
      </c>
      <c r="I41" s="15">
        <v>40</v>
      </c>
      <c r="J41" s="15">
        <v>38.271604938271601</v>
      </c>
      <c r="K41" s="15">
        <v>38</v>
      </c>
      <c r="L41" s="15">
        <v>20.3125</v>
      </c>
      <c r="M41" s="15">
        <v>26.470588235294102</v>
      </c>
      <c r="N41" s="15">
        <v>12.244897959183699</v>
      </c>
      <c r="O41" s="15">
        <v>33.3333333333333</v>
      </c>
      <c r="P41" s="15">
        <v>14.814814814814801</v>
      </c>
      <c r="Q41" s="15">
        <v>15</v>
      </c>
      <c r="R41" s="15">
        <v>13.1868131868132</v>
      </c>
      <c r="S41" s="15">
        <v>25</v>
      </c>
      <c r="T41" s="15">
        <v>18.181818181818201</v>
      </c>
      <c r="U41" s="15">
        <v>21.2765957446809</v>
      </c>
      <c r="V41" s="15">
        <v>25.925925925925899</v>
      </c>
      <c r="W41" s="15">
        <v>19.6428571428571</v>
      </c>
      <c r="X41" s="15">
        <v>50.961538461538503</v>
      </c>
      <c r="Y41" s="15">
        <v>21.951219512195099</v>
      </c>
      <c r="Z41" s="15">
        <v>19.565217391304301</v>
      </c>
      <c r="AA41" s="15">
        <v>19.178082191780799</v>
      </c>
      <c r="AB41" s="15">
        <v>34.615384615384599</v>
      </c>
      <c r="AC41" s="15">
        <v>11.1111111111111</v>
      </c>
      <c r="AD41" s="15">
        <v>25.2631578947368</v>
      </c>
      <c r="AE41" s="15">
        <v>39.344262295081997</v>
      </c>
      <c r="AF41" s="15">
        <v>35.135135135135101</v>
      </c>
      <c r="AG41" s="32">
        <v>19.0508795389654</v>
      </c>
      <c r="AH41" s="15">
        <v>14.429530201342301</v>
      </c>
      <c r="AI41" s="15">
        <v>24.188790560472</v>
      </c>
      <c r="AJ41" s="15">
        <v>14.7492625368732</v>
      </c>
      <c r="AK41" s="15">
        <v>20.0692041522491</v>
      </c>
      <c r="AL41" s="15">
        <v>28.491620111731802</v>
      </c>
      <c r="AM41" s="15">
        <v>14.153846153846199</v>
      </c>
      <c r="AN41" s="24">
        <v>24.6835443037975</v>
      </c>
      <c r="AO41" s="38"/>
    </row>
    <row r="42" spans="1:41">
      <c r="A42" s="9" t="s">
        <v>246</v>
      </c>
      <c r="B42" s="36">
        <v>11.439386042220599</v>
      </c>
      <c r="C42" s="32">
        <v>11.325044288168501</v>
      </c>
      <c r="D42" s="32">
        <v>8.3020717021692594</v>
      </c>
      <c r="E42" s="32">
        <v>9.9123472435161393</v>
      </c>
      <c r="F42" s="15">
        <v>8.3333333333333304</v>
      </c>
      <c r="G42" s="15">
        <v>11.9402985074627</v>
      </c>
      <c r="H42" s="20" t="s">
        <v>76</v>
      </c>
      <c r="I42" s="15">
        <v>17.5</v>
      </c>
      <c r="J42" s="15">
        <v>16.049382716049401</v>
      </c>
      <c r="K42" s="15">
        <v>24</v>
      </c>
      <c r="L42" s="15">
        <v>3.90625</v>
      </c>
      <c r="M42" s="20" t="s">
        <v>76</v>
      </c>
      <c r="N42" s="20" t="s">
        <v>76</v>
      </c>
      <c r="O42" s="15">
        <v>11.9047619047619</v>
      </c>
      <c r="P42" s="15">
        <v>5.92592592592593</v>
      </c>
      <c r="Q42" s="15">
        <v>8.3333333333333304</v>
      </c>
      <c r="R42" s="15">
        <v>8.7912087912087902</v>
      </c>
      <c r="S42" s="15">
        <v>9</v>
      </c>
      <c r="T42" s="20" t="s">
        <v>76</v>
      </c>
      <c r="U42" s="20" t="s">
        <v>76</v>
      </c>
      <c r="V42" s="15">
        <v>16.6666666666667</v>
      </c>
      <c r="W42" s="20" t="s">
        <v>76</v>
      </c>
      <c r="X42" s="15">
        <v>12.5</v>
      </c>
      <c r="Y42" s="20" t="s">
        <v>76</v>
      </c>
      <c r="Z42" s="15">
        <v>17.3913043478261</v>
      </c>
      <c r="AA42" s="15">
        <v>21.917808219178099</v>
      </c>
      <c r="AB42" s="15">
        <v>17.948717948717899</v>
      </c>
      <c r="AC42" s="15">
        <v>6.1728395061728403</v>
      </c>
      <c r="AD42" s="15">
        <v>6.3157894736842097</v>
      </c>
      <c r="AE42" s="15">
        <v>19.672131147540998</v>
      </c>
      <c r="AF42" s="15">
        <v>18.918918918918902</v>
      </c>
      <c r="AG42" s="32">
        <v>7.0519654929257598</v>
      </c>
      <c r="AH42" s="15">
        <v>6.71140939597315</v>
      </c>
      <c r="AI42" s="15">
        <v>6.7846607669616503</v>
      </c>
      <c r="AJ42" s="15">
        <v>6.4896755162241897</v>
      </c>
      <c r="AK42" s="15">
        <v>4.8442906574394504</v>
      </c>
      <c r="AL42" s="15">
        <v>7.8212290502793298</v>
      </c>
      <c r="AM42" s="15">
        <v>8</v>
      </c>
      <c r="AN42" s="24">
        <v>12.6582278481013</v>
      </c>
      <c r="AO42" s="38"/>
    </row>
    <row r="43" spans="1:41">
      <c r="A43" s="9" t="s">
        <v>247</v>
      </c>
      <c r="B43" s="36">
        <v>21.495499806940298</v>
      </c>
      <c r="C43" s="32">
        <v>24.2023574079975</v>
      </c>
      <c r="D43" s="32">
        <v>23.958497830669501</v>
      </c>
      <c r="E43" s="32">
        <v>25.2410737991008</v>
      </c>
      <c r="F43" s="15">
        <v>9.375</v>
      </c>
      <c r="G43" s="15">
        <v>16.417910447761201</v>
      </c>
      <c r="H43" s="15">
        <v>24.390243902439</v>
      </c>
      <c r="I43" s="15">
        <v>22.5</v>
      </c>
      <c r="J43" s="15">
        <v>32.098765432098801</v>
      </c>
      <c r="K43" s="15">
        <v>34</v>
      </c>
      <c r="L43" s="15">
        <v>19.53125</v>
      </c>
      <c r="M43" s="15">
        <v>20.588235294117599</v>
      </c>
      <c r="N43" s="15">
        <v>22.4489795918367</v>
      </c>
      <c r="O43" s="15">
        <v>30.952380952380999</v>
      </c>
      <c r="P43" s="15">
        <v>17.7777777777778</v>
      </c>
      <c r="Q43" s="15">
        <v>36.6666666666667</v>
      </c>
      <c r="R43" s="15">
        <v>17.582417582417602</v>
      </c>
      <c r="S43" s="15">
        <v>21</v>
      </c>
      <c r="T43" s="15">
        <v>30.303030303030301</v>
      </c>
      <c r="U43" s="15">
        <v>23.404255319148898</v>
      </c>
      <c r="V43" s="15">
        <v>22.2222222222222</v>
      </c>
      <c r="W43" s="15">
        <v>23.214285714285701</v>
      </c>
      <c r="X43" s="15">
        <v>37.5</v>
      </c>
      <c r="Y43" s="15">
        <v>31.707317073170699</v>
      </c>
      <c r="Z43" s="15">
        <v>26.086956521739101</v>
      </c>
      <c r="AA43" s="15">
        <v>28.7671232876712</v>
      </c>
      <c r="AB43" s="15">
        <v>34.615384615384599</v>
      </c>
      <c r="AC43" s="15">
        <v>12.3456790123457</v>
      </c>
      <c r="AD43" s="15">
        <v>37.894736842105303</v>
      </c>
      <c r="AE43" s="15">
        <v>36.065573770491802</v>
      </c>
      <c r="AF43" s="15">
        <v>24.324324324324301</v>
      </c>
      <c r="AG43" s="32">
        <v>22.962794834012499</v>
      </c>
      <c r="AH43" s="15">
        <v>15.1006711409396</v>
      </c>
      <c r="AI43" s="15">
        <v>26.5486725663717</v>
      </c>
      <c r="AJ43" s="15">
        <v>16.519174041297902</v>
      </c>
      <c r="AK43" s="15">
        <v>17.647058823529399</v>
      </c>
      <c r="AL43" s="15">
        <v>24.022346368715102</v>
      </c>
      <c r="AM43" s="15">
        <v>25.846153846153801</v>
      </c>
      <c r="AN43" s="24">
        <v>35.126582278481003</v>
      </c>
      <c r="AO43" s="38"/>
    </row>
    <row r="44" spans="1:41">
      <c r="A44" s="9" t="s">
        <v>248</v>
      </c>
      <c r="B44" s="36">
        <v>36.960989177524603</v>
      </c>
      <c r="C44" s="32">
        <v>37.856600622986399</v>
      </c>
      <c r="D44" s="32">
        <v>35.9257691894855</v>
      </c>
      <c r="E44" s="32">
        <v>41.089468300841197</v>
      </c>
      <c r="F44" s="15">
        <v>45.8333333333333</v>
      </c>
      <c r="G44" s="15">
        <v>29.8507462686567</v>
      </c>
      <c r="H44" s="15">
        <v>37.804878048780502</v>
      </c>
      <c r="I44" s="15">
        <v>37.5</v>
      </c>
      <c r="J44" s="15">
        <v>51.851851851851798</v>
      </c>
      <c r="K44" s="15">
        <v>50</v>
      </c>
      <c r="L44" s="15">
        <v>35.9375</v>
      </c>
      <c r="M44" s="15">
        <v>33.823529411764703</v>
      </c>
      <c r="N44" s="15">
        <v>26.530612244897998</v>
      </c>
      <c r="O44" s="15">
        <v>40.476190476190503</v>
      </c>
      <c r="P44" s="15">
        <v>34.814814814814802</v>
      </c>
      <c r="Q44" s="15">
        <v>48.3333333333333</v>
      </c>
      <c r="R44" s="15">
        <v>38.461538461538503</v>
      </c>
      <c r="S44" s="15">
        <v>43</v>
      </c>
      <c r="T44" s="15">
        <v>33.3333333333333</v>
      </c>
      <c r="U44" s="15">
        <v>63.829787234042598</v>
      </c>
      <c r="V44" s="15">
        <v>40.740740740740698</v>
      </c>
      <c r="W44" s="15">
        <v>28.571428571428601</v>
      </c>
      <c r="X44" s="15">
        <v>51.923076923076898</v>
      </c>
      <c r="Y44" s="15">
        <v>39.024390243902403</v>
      </c>
      <c r="Z44" s="15">
        <v>63.043478260869598</v>
      </c>
      <c r="AA44" s="15">
        <v>42.4657534246575</v>
      </c>
      <c r="AB44" s="15">
        <v>48.717948717948701</v>
      </c>
      <c r="AC44" s="15">
        <v>24.6913580246914</v>
      </c>
      <c r="AD44" s="15">
        <v>37.894736842105303</v>
      </c>
      <c r="AE44" s="15">
        <v>55.737704918032797</v>
      </c>
      <c r="AF44" s="15">
        <v>40.540540540540498</v>
      </c>
      <c r="AG44" s="32">
        <v>31.9170314573261</v>
      </c>
      <c r="AH44" s="15">
        <v>25.167785234899299</v>
      </c>
      <c r="AI44" s="15">
        <v>35.398230088495602</v>
      </c>
      <c r="AJ44" s="15">
        <v>30.383480825958699</v>
      </c>
      <c r="AK44" s="15">
        <v>28.719723183391</v>
      </c>
      <c r="AL44" s="15">
        <v>37.988826815642497</v>
      </c>
      <c r="AM44" s="15">
        <v>28.615384615384599</v>
      </c>
      <c r="AN44" s="24">
        <v>42.4050632911392</v>
      </c>
      <c r="AO44" s="38"/>
    </row>
    <row r="45" spans="1:41">
      <c r="A45" s="9" t="s">
        <v>249</v>
      </c>
      <c r="B45" s="36">
        <v>11.9713357810746</v>
      </c>
      <c r="C45" s="32">
        <v>12.0650803416504</v>
      </c>
      <c r="D45" s="32">
        <v>8.6832866708867797</v>
      </c>
      <c r="E45" s="32">
        <v>10.1960954676653</v>
      </c>
      <c r="F45" s="15">
        <v>16.6666666666667</v>
      </c>
      <c r="G45" s="15">
        <v>13.4328358208955</v>
      </c>
      <c r="H45" s="15">
        <v>6.0975609756097597</v>
      </c>
      <c r="I45" s="15">
        <v>15</v>
      </c>
      <c r="J45" s="15">
        <v>9.8765432098765409</v>
      </c>
      <c r="K45" s="15">
        <v>20</v>
      </c>
      <c r="L45" s="15">
        <v>5.46875</v>
      </c>
      <c r="M45" s="15">
        <v>7.3529411764705896</v>
      </c>
      <c r="N45" s="20" t="s">
        <v>76</v>
      </c>
      <c r="O45" s="20" t="s">
        <v>76</v>
      </c>
      <c r="P45" s="15">
        <v>7.4074074074074101</v>
      </c>
      <c r="Q45" s="15">
        <v>15</v>
      </c>
      <c r="R45" s="15">
        <v>15.384615384615399</v>
      </c>
      <c r="S45" s="15">
        <v>10</v>
      </c>
      <c r="T45" s="20" t="s">
        <v>76</v>
      </c>
      <c r="U45" s="20" t="s">
        <v>76</v>
      </c>
      <c r="V45" s="20" t="s">
        <v>76</v>
      </c>
      <c r="W45" s="20" t="s">
        <v>76</v>
      </c>
      <c r="X45" s="15">
        <v>12.5</v>
      </c>
      <c r="Y45" s="20" t="s">
        <v>76</v>
      </c>
      <c r="Z45" s="15">
        <v>10.869565217391299</v>
      </c>
      <c r="AA45" s="15">
        <v>13.698630136986299</v>
      </c>
      <c r="AB45" s="15">
        <v>14.1025641025641</v>
      </c>
      <c r="AC45" s="20" t="s">
        <v>76</v>
      </c>
      <c r="AD45" s="15">
        <v>13.6842105263158</v>
      </c>
      <c r="AE45" s="15">
        <v>14.7540983606557</v>
      </c>
      <c r="AF45" s="20" t="s">
        <v>76</v>
      </c>
      <c r="AG45" s="32">
        <v>7.5088468798748504</v>
      </c>
      <c r="AH45" s="15">
        <v>6.0402684563758404</v>
      </c>
      <c r="AI45" s="15">
        <v>7.6696165191740402</v>
      </c>
      <c r="AJ45" s="15">
        <v>6.19469026548673</v>
      </c>
      <c r="AK45" s="15">
        <v>8.6505190311418705</v>
      </c>
      <c r="AL45" s="15">
        <v>7.2625698324022299</v>
      </c>
      <c r="AM45" s="15">
        <v>6.1538461538461497</v>
      </c>
      <c r="AN45" s="24">
        <v>15.822784810126601</v>
      </c>
      <c r="AO45" s="38"/>
    </row>
    <row r="46" spans="1:41">
      <c r="A46" s="9" t="s">
        <v>250</v>
      </c>
      <c r="B46" s="36">
        <v>23.372055116721601</v>
      </c>
      <c r="C46" s="32">
        <v>23.6097667571666</v>
      </c>
      <c r="D46" s="32">
        <v>19.750488890084501</v>
      </c>
      <c r="E46" s="32">
        <v>26.4607889384469</v>
      </c>
      <c r="F46" s="15">
        <v>28.125</v>
      </c>
      <c r="G46" s="15">
        <v>26.865671641791</v>
      </c>
      <c r="H46" s="15">
        <v>28.048780487804901</v>
      </c>
      <c r="I46" s="15">
        <v>22.5</v>
      </c>
      <c r="J46" s="15">
        <v>28.395061728395099</v>
      </c>
      <c r="K46" s="15">
        <v>18</v>
      </c>
      <c r="L46" s="15">
        <v>14.84375</v>
      </c>
      <c r="M46" s="15">
        <v>17.647058823529399</v>
      </c>
      <c r="N46" s="15">
        <v>30.612244897959201</v>
      </c>
      <c r="O46" s="15">
        <v>33.3333333333333</v>
      </c>
      <c r="P46" s="15">
        <v>15.5555555555556</v>
      </c>
      <c r="Q46" s="15">
        <v>21.6666666666667</v>
      </c>
      <c r="R46" s="15">
        <v>30.769230769230798</v>
      </c>
      <c r="S46" s="15">
        <v>27</v>
      </c>
      <c r="T46" s="15">
        <v>15.1515151515152</v>
      </c>
      <c r="U46" s="15">
        <v>40.425531914893597</v>
      </c>
      <c r="V46" s="15">
        <v>27.7777777777778</v>
      </c>
      <c r="W46" s="15">
        <v>25</v>
      </c>
      <c r="X46" s="15">
        <v>39.423076923076898</v>
      </c>
      <c r="Y46" s="15">
        <v>24.390243902439</v>
      </c>
      <c r="Z46" s="15">
        <v>21.739130434782599</v>
      </c>
      <c r="AA46" s="15">
        <v>28.7671232876712</v>
      </c>
      <c r="AB46" s="15">
        <v>28.205128205128201</v>
      </c>
      <c r="AC46" s="15">
        <v>22.2222222222222</v>
      </c>
      <c r="AD46" s="15">
        <v>34.7368421052632</v>
      </c>
      <c r="AE46" s="15">
        <v>39.344262295081997</v>
      </c>
      <c r="AF46" s="15">
        <v>13.5135135135135</v>
      </c>
      <c r="AG46" s="32">
        <v>14.541077493741501</v>
      </c>
      <c r="AH46" s="15">
        <v>15.4362416107383</v>
      </c>
      <c r="AI46" s="15">
        <v>17.4041297935103</v>
      </c>
      <c r="AJ46" s="15">
        <v>15.3392330383481</v>
      </c>
      <c r="AK46" s="15">
        <v>16.955017301038101</v>
      </c>
      <c r="AL46" s="15">
        <v>17.877094972066999</v>
      </c>
      <c r="AM46" s="15">
        <v>13.538461538461499</v>
      </c>
      <c r="AN46" s="24">
        <v>20.8860759493671</v>
      </c>
      <c r="AO46" s="38"/>
    </row>
    <row r="47" spans="1:41">
      <c r="A47" s="9" t="s">
        <v>251</v>
      </c>
      <c r="B47" s="36">
        <v>20.858055729713801</v>
      </c>
      <c r="C47" s="32">
        <v>21.127006742747199</v>
      </c>
      <c r="D47" s="32">
        <v>17.598453759956101</v>
      </c>
      <c r="E47" s="32">
        <v>16.9357977125314</v>
      </c>
      <c r="F47" s="15">
        <v>12.5</v>
      </c>
      <c r="G47" s="15">
        <v>20.8955223880597</v>
      </c>
      <c r="H47" s="15">
        <v>18.292682926829301</v>
      </c>
      <c r="I47" s="15">
        <v>30</v>
      </c>
      <c r="J47" s="15">
        <v>25.925925925925899</v>
      </c>
      <c r="K47" s="15">
        <v>26</v>
      </c>
      <c r="L47" s="15">
        <v>11.71875</v>
      </c>
      <c r="M47" s="15">
        <v>16.176470588235301</v>
      </c>
      <c r="N47" s="15">
        <v>16.326530612244898</v>
      </c>
      <c r="O47" s="15">
        <v>28.571428571428601</v>
      </c>
      <c r="P47" s="15">
        <v>9.6296296296296298</v>
      </c>
      <c r="Q47" s="15">
        <v>18.3333333333333</v>
      </c>
      <c r="R47" s="15">
        <v>13.1868131868132</v>
      </c>
      <c r="S47" s="15">
        <v>18</v>
      </c>
      <c r="T47" s="20" t="s">
        <v>76</v>
      </c>
      <c r="U47" s="15">
        <v>17.021276595744698</v>
      </c>
      <c r="V47" s="15">
        <v>18.518518518518501</v>
      </c>
      <c r="W47" s="15">
        <v>10.714285714285699</v>
      </c>
      <c r="X47" s="15">
        <v>16.346153846153801</v>
      </c>
      <c r="Y47" s="20" t="s">
        <v>76</v>
      </c>
      <c r="Z47" s="15">
        <v>15.2173913043478</v>
      </c>
      <c r="AA47" s="15">
        <v>23.287671232876701</v>
      </c>
      <c r="AB47" s="15">
        <v>26.923076923076898</v>
      </c>
      <c r="AC47" s="15">
        <v>12.3456790123457</v>
      </c>
      <c r="AD47" s="15">
        <v>17.894736842105299</v>
      </c>
      <c r="AE47" s="15">
        <v>21.311475409836099</v>
      </c>
      <c r="AF47" s="15">
        <v>16.2162162162162</v>
      </c>
      <c r="AG47" s="32">
        <v>18.112893940041999</v>
      </c>
      <c r="AH47" s="15">
        <v>13.758389261745</v>
      </c>
      <c r="AI47" s="15">
        <v>16.519174041297902</v>
      </c>
      <c r="AJ47" s="15">
        <v>14.454277286135699</v>
      </c>
      <c r="AK47" s="15">
        <v>13.4948096885813</v>
      </c>
      <c r="AL47" s="15">
        <v>25.139664804469302</v>
      </c>
      <c r="AM47" s="15">
        <v>16.307692307692299</v>
      </c>
      <c r="AN47" s="24">
        <v>23.1012658227848</v>
      </c>
      <c r="AO47" s="38"/>
    </row>
    <row r="48" spans="1:41">
      <c r="A48" s="9" t="s">
        <v>252</v>
      </c>
      <c r="B48" s="36">
        <v>12.5778288117999</v>
      </c>
      <c r="C48" s="32">
        <v>12.0135309339417</v>
      </c>
      <c r="D48" s="32">
        <v>8.6517857958896993</v>
      </c>
      <c r="E48" s="32">
        <v>8.7861522724438501</v>
      </c>
      <c r="F48" s="15">
        <v>10.4166666666667</v>
      </c>
      <c r="G48" s="15">
        <v>10.4477611940298</v>
      </c>
      <c r="H48" s="20" t="s">
        <v>76</v>
      </c>
      <c r="I48" s="20" t="s">
        <v>76</v>
      </c>
      <c r="J48" s="15">
        <v>11.1111111111111</v>
      </c>
      <c r="K48" s="15">
        <v>12</v>
      </c>
      <c r="L48" s="15">
        <v>7.8125</v>
      </c>
      <c r="M48" s="15">
        <v>7.3529411764705896</v>
      </c>
      <c r="N48" s="20" t="s">
        <v>76</v>
      </c>
      <c r="O48" s="15">
        <v>14.285714285714301</v>
      </c>
      <c r="P48" s="15">
        <v>7.4074074074074101</v>
      </c>
      <c r="Q48" s="15">
        <v>18.3333333333333</v>
      </c>
      <c r="R48" s="15">
        <v>12.0879120879121</v>
      </c>
      <c r="S48" s="15">
        <v>13</v>
      </c>
      <c r="T48" s="20" t="s">
        <v>76</v>
      </c>
      <c r="U48" s="20" t="s">
        <v>76</v>
      </c>
      <c r="V48" s="15">
        <v>9.2592592592592595</v>
      </c>
      <c r="W48" s="15">
        <v>12.5</v>
      </c>
      <c r="X48" s="15">
        <v>8.6538461538461497</v>
      </c>
      <c r="Y48" s="20" t="s">
        <v>76</v>
      </c>
      <c r="Z48" s="15">
        <v>13.0434782608696</v>
      </c>
      <c r="AA48" s="15">
        <v>13.698630136986299</v>
      </c>
      <c r="AB48" s="20" t="s">
        <v>76</v>
      </c>
      <c r="AC48" s="20" t="s">
        <v>76</v>
      </c>
      <c r="AD48" s="20" t="s">
        <v>76</v>
      </c>
      <c r="AE48" s="15">
        <v>8.1967213114754092</v>
      </c>
      <c r="AF48" s="20" t="s">
        <v>76</v>
      </c>
      <c r="AG48" s="32">
        <v>8.5474729858509697</v>
      </c>
      <c r="AH48" s="15">
        <v>5.3691275167785202</v>
      </c>
      <c r="AI48" s="15">
        <v>11.7994100294985</v>
      </c>
      <c r="AJ48" s="15">
        <v>11.2094395280236</v>
      </c>
      <c r="AK48" s="15">
        <v>7.2664359861591699</v>
      </c>
      <c r="AL48" s="15">
        <v>7.2625698324022299</v>
      </c>
      <c r="AM48" s="15">
        <v>8.3076923076923102</v>
      </c>
      <c r="AN48" s="24">
        <v>11.3924050632911</v>
      </c>
      <c r="AO48" s="38"/>
    </row>
    <row r="49" spans="1:41">
      <c r="A49" s="9" t="s">
        <v>253</v>
      </c>
      <c r="B49" s="36">
        <v>25.520505170376001</v>
      </c>
      <c r="C49" s="32">
        <v>29.8071499020582</v>
      </c>
      <c r="D49" s="32">
        <v>26.581753574440999</v>
      </c>
      <c r="E49" s="32">
        <v>25.273591418473</v>
      </c>
      <c r="F49" s="15">
        <v>27.0833333333333</v>
      </c>
      <c r="G49" s="15">
        <v>34.328358208955201</v>
      </c>
      <c r="H49" s="15">
        <v>41.463414634146297</v>
      </c>
      <c r="I49" s="15">
        <v>30</v>
      </c>
      <c r="J49" s="15">
        <v>33.3333333333333</v>
      </c>
      <c r="K49" s="15">
        <v>36</v>
      </c>
      <c r="L49" s="15">
        <v>17.96875</v>
      </c>
      <c r="M49" s="15">
        <v>17.647058823529399</v>
      </c>
      <c r="N49" s="15">
        <v>32.653061224489797</v>
      </c>
      <c r="O49" s="15">
        <v>30.952380952380999</v>
      </c>
      <c r="P49" s="15">
        <v>12.592592592592601</v>
      </c>
      <c r="Q49" s="15">
        <v>26.6666666666667</v>
      </c>
      <c r="R49" s="15">
        <v>27.472527472527499</v>
      </c>
      <c r="S49" s="15">
        <v>17</v>
      </c>
      <c r="T49" s="15">
        <v>15.1515151515152</v>
      </c>
      <c r="U49" s="15">
        <v>25.531914893617</v>
      </c>
      <c r="V49" s="15">
        <v>24.074074074074101</v>
      </c>
      <c r="W49" s="15">
        <v>12.5</v>
      </c>
      <c r="X49" s="15">
        <v>33.653846153846203</v>
      </c>
      <c r="Y49" s="15">
        <v>12.1951219512195</v>
      </c>
      <c r="Z49" s="15">
        <v>23.913043478260899</v>
      </c>
      <c r="AA49" s="15">
        <v>41.095890410958901</v>
      </c>
      <c r="AB49" s="15">
        <v>38.461538461538503</v>
      </c>
      <c r="AC49" s="15">
        <v>22.2222222222222</v>
      </c>
      <c r="AD49" s="15">
        <v>20</v>
      </c>
      <c r="AE49" s="15">
        <v>27.868852459016399</v>
      </c>
      <c r="AF49" s="15">
        <v>21.6216216216216</v>
      </c>
      <c r="AG49" s="32">
        <v>27.5973199119295</v>
      </c>
      <c r="AH49" s="15">
        <v>18.120805369127499</v>
      </c>
      <c r="AI49" s="15">
        <v>28.613569321533902</v>
      </c>
      <c r="AJ49" s="15">
        <v>24.483775811209401</v>
      </c>
      <c r="AK49" s="15">
        <v>20.4152249134948</v>
      </c>
      <c r="AL49" s="15">
        <v>32.960893854748598</v>
      </c>
      <c r="AM49" s="15">
        <v>24.615384615384599</v>
      </c>
      <c r="AN49" s="24">
        <v>38.924050632911403</v>
      </c>
      <c r="AO49" s="38"/>
    </row>
    <row r="50" spans="1:41">
      <c r="A50" s="9" t="s">
        <v>254</v>
      </c>
      <c r="B50" s="36">
        <v>48.440299269119002</v>
      </c>
      <c r="C50" s="32">
        <v>47.8789201849143</v>
      </c>
      <c r="D50" s="32">
        <v>44.787589057405903</v>
      </c>
      <c r="E50" s="32">
        <v>51.759952873480302</v>
      </c>
      <c r="F50" s="15">
        <v>50</v>
      </c>
      <c r="G50" s="15">
        <v>55.223880597014897</v>
      </c>
      <c r="H50" s="15">
        <v>54.878048780487802</v>
      </c>
      <c r="I50" s="15">
        <v>42.5</v>
      </c>
      <c r="J50" s="15">
        <v>62.962962962962997</v>
      </c>
      <c r="K50" s="15">
        <v>50</v>
      </c>
      <c r="L50" s="15">
        <v>39.0625</v>
      </c>
      <c r="M50" s="15">
        <v>52.941176470588204</v>
      </c>
      <c r="N50" s="15">
        <v>44.8979591836735</v>
      </c>
      <c r="O50" s="15">
        <v>59.523809523809497</v>
      </c>
      <c r="P50" s="15">
        <v>42.962962962962997</v>
      </c>
      <c r="Q50" s="15">
        <v>61.6666666666667</v>
      </c>
      <c r="R50" s="15">
        <v>50.549450549450498</v>
      </c>
      <c r="S50" s="15">
        <v>53</v>
      </c>
      <c r="T50" s="15">
        <v>57.575757575757599</v>
      </c>
      <c r="U50" s="15">
        <v>59.574468085106403</v>
      </c>
      <c r="V50" s="15">
        <v>44.4444444444444</v>
      </c>
      <c r="W50" s="15">
        <v>41.071428571428598</v>
      </c>
      <c r="X50" s="15">
        <v>57.692307692307701</v>
      </c>
      <c r="Y50" s="15">
        <v>53.658536585365901</v>
      </c>
      <c r="Z50" s="15">
        <v>67.391304347826093</v>
      </c>
      <c r="AA50" s="15">
        <v>54.794520547945197</v>
      </c>
      <c r="AB50" s="15">
        <v>69.230769230769198</v>
      </c>
      <c r="AC50" s="15">
        <v>43.209876543209901</v>
      </c>
      <c r="AD50" s="15">
        <v>42.105263157894697</v>
      </c>
      <c r="AE50" s="15">
        <v>62.2950819672131</v>
      </c>
      <c r="AF50" s="15">
        <v>62.162162162162197</v>
      </c>
      <c r="AG50" s="32">
        <v>39.374729533818702</v>
      </c>
      <c r="AH50" s="15">
        <v>38.255033557047</v>
      </c>
      <c r="AI50" s="15">
        <v>38.6430678466077</v>
      </c>
      <c r="AJ50" s="15">
        <v>40.117994100295</v>
      </c>
      <c r="AK50" s="15">
        <v>34.602076124567503</v>
      </c>
      <c r="AL50" s="15">
        <v>48.603351955307303</v>
      </c>
      <c r="AM50" s="15">
        <v>40.615384615384599</v>
      </c>
      <c r="AN50" s="24">
        <v>46.518987341772203</v>
      </c>
      <c r="AO50" s="38"/>
    </row>
    <row r="51" spans="1:41">
      <c r="A51" s="9" t="s">
        <v>255</v>
      </c>
      <c r="B51" s="36">
        <v>32.186628592877398</v>
      </c>
      <c r="C51" s="32">
        <v>32.382723918595602</v>
      </c>
      <c r="D51" s="32">
        <v>28.702361284184999</v>
      </c>
      <c r="E51" s="32">
        <v>29.2717944482844</v>
      </c>
      <c r="F51" s="15">
        <v>26.0416666666667</v>
      </c>
      <c r="G51" s="15">
        <v>35.820895522388099</v>
      </c>
      <c r="H51" s="15">
        <v>21.951219512195099</v>
      </c>
      <c r="I51" s="15">
        <v>37.5</v>
      </c>
      <c r="J51" s="15">
        <v>34.567901234567898</v>
      </c>
      <c r="K51" s="15">
        <v>42</v>
      </c>
      <c r="L51" s="15">
        <v>23.4375</v>
      </c>
      <c r="M51" s="15">
        <v>32.352941176470601</v>
      </c>
      <c r="N51" s="15">
        <v>30.612244897959201</v>
      </c>
      <c r="O51" s="15">
        <v>30.952380952380999</v>
      </c>
      <c r="P51" s="15">
        <v>21.481481481481499</v>
      </c>
      <c r="Q51" s="15">
        <v>36.6666666666667</v>
      </c>
      <c r="R51" s="15">
        <v>26.373626373626401</v>
      </c>
      <c r="S51" s="15">
        <v>24</v>
      </c>
      <c r="T51" s="15">
        <v>45.454545454545503</v>
      </c>
      <c r="U51" s="15">
        <v>42.553191489361701</v>
      </c>
      <c r="V51" s="15">
        <v>22.2222222222222</v>
      </c>
      <c r="W51" s="15">
        <v>21.428571428571399</v>
      </c>
      <c r="X51" s="15">
        <v>38.461538461538503</v>
      </c>
      <c r="Y51" s="15">
        <v>34.146341463414601</v>
      </c>
      <c r="Z51" s="15">
        <v>30.434782608695699</v>
      </c>
      <c r="AA51" s="15">
        <v>31.5068493150685</v>
      </c>
      <c r="AB51" s="15">
        <v>39.743589743589702</v>
      </c>
      <c r="AC51" s="15">
        <v>17.283950617283899</v>
      </c>
      <c r="AD51" s="15">
        <v>22.105263157894701</v>
      </c>
      <c r="AE51" s="15">
        <v>34.426229508196698</v>
      </c>
      <c r="AF51" s="15">
        <v>32.4324324324324</v>
      </c>
      <c r="AG51" s="32">
        <v>28.260292882900998</v>
      </c>
      <c r="AH51" s="15">
        <v>20.469798657718101</v>
      </c>
      <c r="AI51" s="15">
        <v>31.858407079646</v>
      </c>
      <c r="AJ51" s="15">
        <v>28.318584070796501</v>
      </c>
      <c r="AK51" s="15">
        <v>21.107266435986201</v>
      </c>
      <c r="AL51" s="15">
        <v>29.608938547486002</v>
      </c>
      <c r="AM51" s="15">
        <v>26.153846153846199</v>
      </c>
      <c r="AN51" s="24">
        <v>39.240506329113899</v>
      </c>
      <c r="AO51" s="38"/>
    </row>
    <row r="52" spans="1:41">
      <c r="A52" s="9" t="s">
        <v>256</v>
      </c>
      <c r="B52" s="36">
        <v>27.210214309519301</v>
      </c>
      <c r="C52" s="32">
        <v>26.8221782238648</v>
      </c>
      <c r="D52" s="32">
        <v>22.125595030416498</v>
      </c>
      <c r="E52" s="32">
        <v>20.3037966795956</v>
      </c>
      <c r="F52" s="15">
        <v>19.7916666666667</v>
      </c>
      <c r="G52" s="15">
        <v>19.402985074626901</v>
      </c>
      <c r="H52" s="15">
        <v>14.634146341463399</v>
      </c>
      <c r="I52" s="15">
        <v>27.5</v>
      </c>
      <c r="J52" s="15">
        <v>24.6913580246914</v>
      </c>
      <c r="K52" s="15">
        <v>36</v>
      </c>
      <c r="L52" s="15">
        <v>20.3125</v>
      </c>
      <c r="M52" s="15">
        <v>16.176470588235301</v>
      </c>
      <c r="N52" s="15">
        <v>10.2040816326531</v>
      </c>
      <c r="O52" s="15">
        <v>30.952380952380999</v>
      </c>
      <c r="P52" s="15">
        <v>11.851851851851899</v>
      </c>
      <c r="Q52" s="15">
        <v>23.3333333333333</v>
      </c>
      <c r="R52" s="15">
        <v>26.373626373626401</v>
      </c>
      <c r="S52" s="15">
        <v>19</v>
      </c>
      <c r="T52" s="20" t="s">
        <v>76</v>
      </c>
      <c r="U52" s="15">
        <v>27.659574468085101</v>
      </c>
      <c r="V52" s="15">
        <v>25.925925925925899</v>
      </c>
      <c r="W52" s="15">
        <v>10.714285714285699</v>
      </c>
      <c r="X52" s="15">
        <v>19.230769230769202</v>
      </c>
      <c r="Y52" s="20" t="s">
        <v>76</v>
      </c>
      <c r="Z52" s="15">
        <v>26.086956521739101</v>
      </c>
      <c r="AA52" s="15">
        <v>30.136986301369902</v>
      </c>
      <c r="AB52" s="15">
        <v>28.205128205128201</v>
      </c>
      <c r="AC52" s="15">
        <v>16.049382716049401</v>
      </c>
      <c r="AD52" s="15">
        <v>18.947368421052602</v>
      </c>
      <c r="AE52" s="15">
        <v>18.032786885245901</v>
      </c>
      <c r="AF52" s="15">
        <v>18.918918918918902</v>
      </c>
      <c r="AG52" s="32">
        <v>23.539912873464498</v>
      </c>
      <c r="AH52" s="15">
        <v>21.476510067114098</v>
      </c>
      <c r="AI52" s="15">
        <v>28.023598820059</v>
      </c>
      <c r="AJ52" s="15">
        <v>25.958702064896801</v>
      </c>
      <c r="AK52" s="15">
        <v>29.411764705882401</v>
      </c>
      <c r="AL52" s="15">
        <v>27.374301675977701</v>
      </c>
      <c r="AM52" s="15">
        <v>21.230769230769202</v>
      </c>
      <c r="AN52" s="24">
        <v>24.367088607594901</v>
      </c>
      <c r="AO52" s="38"/>
    </row>
    <row r="53" spans="1:41">
      <c r="A53" s="9" t="s">
        <v>257</v>
      </c>
      <c r="B53" s="36">
        <v>37.786350904544499</v>
      </c>
      <c r="C53" s="32">
        <v>38.111072715052202</v>
      </c>
      <c r="D53" s="32">
        <v>35.973965819089798</v>
      </c>
      <c r="E53" s="32">
        <v>36.298374228284203</v>
      </c>
      <c r="F53" s="15">
        <v>31.25</v>
      </c>
      <c r="G53" s="15">
        <v>26.865671641791</v>
      </c>
      <c r="H53" s="15">
        <v>32.9268292682927</v>
      </c>
      <c r="I53" s="15">
        <v>35</v>
      </c>
      <c r="J53" s="15">
        <v>56.790123456790099</v>
      </c>
      <c r="K53" s="15">
        <v>38</v>
      </c>
      <c r="L53" s="15">
        <v>32.8125</v>
      </c>
      <c r="M53" s="15">
        <v>36.764705882352899</v>
      </c>
      <c r="N53" s="15">
        <v>42.857142857142897</v>
      </c>
      <c r="O53" s="15">
        <v>35.714285714285701</v>
      </c>
      <c r="P53" s="15">
        <v>29.629629629629601</v>
      </c>
      <c r="Q53" s="15">
        <v>48.3333333333333</v>
      </c>
      <c r="R53" s="15">
        <v>31.868131868131901</v>
      </c>
      <c r="S53" s="15">
        <v>38</v>
      </c>
      <c r="T53" s="15">
        <v>42.424242424242401</v>
      </c>
      <c r="U53" s="15">
        <v>42.553191489361701</v>
      </c>
      <c r="V53" s="15">
        <v>29.629629629629601</v>
      </c>
      <c r="W53" s="15">
        <v>30.3571428571429</v>
      </c>
      <c r="X53" s="15">
        <v>40.384615384615401</v>
      </c>
      <c r="Y53" s="15">
        <v>41.463414634146297</v>
      </c>
      <c r="Z53" s="15">
        <v>34.7826086956522</v>
      </c>
      <c r="AA53" s="15">
        <v>46.575342465753401</v>
      </c>
      <c r="AB53" s="15">
        <v>39.743589743589702</v>
      </c>
      <c r="AC53" s="15">
        <v>34.567901234567898</v>
      </c>
      <c r="AD53" s="15">
        <v>28.421052631578899</v>
      </c>
      <c r="AE53" s="15">
        <v>40.983606557377101</v>
      </c>
      <c r="AF53" s="15">
        <v>43.243243243243199</v>
      </c>
      <c r="AG53" s="32">
        <v>35.722117637675098</v>
      </c>
      <c r="AH53" s="15">
        <v>24.832214765100701</v>
      </c>
      <c r="AI53" s="15">
        <v>39.823008849557503</v>
      </c>
      <c r="AJ53" s="15">
        <v>34.218289085545699</v>
      </c>
      <c r="AK53" s="15">
        <v>29.411764705882401</v>
      </c>
      <c r="AL53" s="15">
        <v>37.430167597765397</v>
      </c>
      <c r="AM53" s="15">
        <v>29.538461538461501</v>
      </c>
      <c r="AN53" s="24">
        <v>56.645569620253198</v>
      </c>
      <c r="AO53" s="38"/>
    </row>
    <row r="54" spans="1:41">
      <c r="A54" s="9" t="s">
        <v>258</v>
      </c>
      <c r="B54" s="36">
        <v>40.428610396401503</v>
      </c>
      <c r="C54" s="32">
        <v>39.213249897089497</v>
      </c>
      <c r="D54" s="32">
        <v>34.9054606582418</v>
      </c>
      <c r="E54" s="32">
        <v>43.9461076535895</v>
      </c>
      <c r="F54" s="15">
        <v>36.4583333333333</v>
      </c>
      <c r="G54" s="15">
        <v>43.283582089552198</v>
      </c>
      <c r="H54" s="15">
        <v>35.365853658536601</v>
      </c>
      <c r="I54" s="15">
        <v>37.5</v>
      </c>
      <c r="J54" s="15">
        <v>46.913580246913597</v>
      </c>
      <c r="K54" s="15">
        <v>50</v>
      </c>
      <c r="L54" s="15">
        <v>31.25</v>
      </c>
      <c r="M54" s="15">
        <v>42.647058823529399</v>
      </c>
      <c r="N54" s="15">
        <v>36.734693877551003</v>
      </c>
      <c r="O54" s="15">
        <v>54.761904761904802</v>
      </c>
      <c r="P54" s="15">
        <v>42.2222222222222</v>
      </c>
      <c r="Q54" s="15">
        <v>60</v>
      </c>
      <c r="R54" s="15">
        <v>41.758241758241802</v>
      </c>
      <c r="S54" s="15">
        <v>50</v>
      </c>
      <c r="T54" s="15">
        <v>36.363636363636402</v>
      </c>
      <c r="U54" s="15">
        <v>46.808510638297903</v>
      </c>
      <c r="V54" s="15">
        <v>40.740740740740698</v>
      </c>
      <c r="W54" s="15">
        <v>37.5</v>
      </c>
      <c r="X54" s="15">
        <v>51.923076923076898</v>
      </c>
      <c r="Y54" s="15">
        <v>39.024390243902403</v>
      </c>
      <c r="Z54" s="15">
        <v>50</v>
      </c>
      <c r="AA54" s="15">
        <v>36.986301369863</v>
      </c>
      <c r="AB54" s="15">
        <v>57.692307692307701</v>
      </c>
      <c r="AC54" s="15">
        <v>34.567901234567898</v>
      </c>
      <c r="AD54" s="15">
        <v>43.157894736842103</v>
      </c>
      <c r="AE54" s="15">
        <v>67.213114754098399</v>
      </c>
      <c r="AF54" s="15">
        <v>43.243243243243199</v>
      </c>
      <c r="AG54" s="32">
        <v>27.886929571934999</v>
      </c>
      <c r="AH54" s="15">
        <v>25.503355704697999</v>
      </c>
      <c r="AI54" s="15">
        <v>29.793510324483801</v>
      </c>
      <c r="AJ54" s="15">
        <v>33.038348082595903</v>
      </c>
      <c r="AK54" s="15">
        <v>30.7958477508651</v>
      </c>
      <c r="AL54" s="15">
        <v>35.754189944134097</v>
      </c>
      <c r="AM54" s="15">
        <v>29.230769230769202</v>
      </c>
      <c r="AN54" s="24">
        <v>32.5949367088608</v>
      </c>
      <c r="AO54" s="38"/>
    </row>
    <row r="55" spans="1:41">
      <c r="A55" s="9" t="s">
        <v>259</v>
      </c>
      <c r="B55" s="36">
        <v>9.7911944015172097</v>
      </c>
      <c r="C55" s="32">
        <v>10.9903951564719</v>
      </c>
      <c r="D55" s="32">
        <v>7.7590058363597896</v>
      </c>
      <c r="E55" s="32">
        <v>8.1300650896140194</v>
      </c>
      <c r="F55" s="15">
        <v>6.25</v>
      </c>
      <c r="G55" s="15">
        <v>11.9402985074627</v>
      </c>
      <c r="H55" s="20" t="s">
        <v>76</v>
      </c>
      <c r="I55" s="20" t="s">
        <v>76</v>
      </c>
      <c r="J55" s="15">
        <v>9.8765432098765409</v>
      </c>
      <c r="K55" s="15">
        <v>18</v>
      </c>
      <c r="L55" s="15">
        <v>6.25</v>
      </c>
      <c r="M55" s="20" t="s">
        <v>76</v>
      </c>
      <c r="N55" s="20" t="s">
        <v>76</v>
      </c>
      <c r="O55" s="20" t="s">
        <v>76</v>
      </c>
      <c r="P55" s="20" t="s">
        <v>76</v>
      </c>
      <c r="Q55" s="15">
        <v>8.3333333333333304</v>
      </c>
      <c r="R55" s="15">
        <v>9.8901098901098905</v>
      </c>
      <c r="S55" s="15">
        <v>10</v>
      </c>
      <c r="T55" s="15">
        <v>15.1515151515152</v>
      </c>
      <c r="U55" s="20" t="s">
        <v>76</v>
      </c>
      <c r="V55" s="20" t="s">
        <v>76</v>
      </c>
      <c r="W55" s="20" t="s">
        <v>76</v>
      </c>
      <c r="X55" s="15">
        <v>13.461538461538501</v>
      </c>
      <c r="Y55" s="20" t="s">
        <v>76</v>
      </c>
      <c r="Z55" s="15">
        <v>19.565217391304301</v>
      </c>
      <c r="AA55" s="15">
        <v>19.178082191780799</v>
      </c>
      <c r="AB55" s="15">
        <v>10.2564102564103</v>
      </c>
      <c r="AC55" s="20" t="s">
        <v>76</v>
      </c>
      <c r="AD55" s="20" t="s">
        <v>76</v>
      </c>
      <c r="AE55" s="15">
        <v>13.1147540983607</v>
      </c>
      <c r="AF55" s="20" t="s">
        <v>76</v>
      </c>
      <c r="AG55" s="32">
        <v>7.4709411762567202</v>
      </c>
      <c r="AH55" s="15">
        <v>7.0469798657718101</v>
      </c>
      <c r="AI55" s="15">
        <v>6.4896755162241897</v>
      </c>
      <c r="AJ55" s="15">
        <v>6.19469026548673</v>
      </c>
      <c r="AK55" s="15">
        <v>6.5743944636678204</v>
      </c>
      <c r="AL55" s="15">
        <v>7.8212290502793298</v>
      </c>
      <c r="AM55" s="15">
        <v>8.6153846153846096</v>
      </c>
      <c r="AN55" s="24">
        <v>14.2405063291139</v>
      </c>
      <c r="AO55" s="38"/>
    </row>
    <row r="56" spans="1:41">
      <c r="A56" s="9" t="s">
        <v>260</v>
      </c>
      <c r="B56" s="36">
        <v>16.335106745216098</v>
      </c>
      <c r="C56" s="32">
        <v>16.690420040354699</v>
      </c>
      <c r="D56" s="32">
        <v>14.0102841534995</v>
      </c>
      <c r="E56" s="32">
        <v>13.7928750470543</v>
      </c>
      <c r="F56" s="15">
        <v>10.4166666666667</v>
      </c>
      <c r="G56" s="15">
        <v>17.910447761194</v>
      </c>
      <c r="H56" s="20" t="s">
        <v>76</v>
      </c>
      <c r="I56" s="15">
        <v>25</v>
      </c>
      <c r="J56" s="15">
        <v>14.814814814814801</v>
      </c>
      <c r="K56" s="15">
        <v>30</v>
      </c>
      <c r="L56" s="15">
        <v>16.40625</v>
      </c>
      <c r="M56" s="15">
        <v>13.235294117647101</v>
      </c>
      <c r="N56" s="15">
        <v>20.408163265306101</v>
      </c>
      <c r="O56" s="15">
        <v>21.428571428571399</v>
      </c>
      <c r="P56" s="15">
        <v>11.851851851851899</v>
      </c>
      <c r="Q56" s="15">
        <v>16.6666666666667</v>
      </c>
      <c r="R56" s="15">
        <v>9.8901098901098905</v>
      </c>
      <c r="S56" s="15">
        <v>17</v>
      </c>
      <c r="T56" s="20" t="s">
        <v>76</v>
      </c>
      <c r="U56" s="15">
        <v>10.6382978723404</v>
      </c>
      <c r="V56" s="15">
        <v>14.814814814814801</v>
      </c>
      <c r="W56" s="15">
        <v>8.9285714285714306</v>
      </c>
      <c r="X56" s="15">
        <v>15.384615384615399</v>
      </c>
      <c r="Y56" s="20" t="s">
        <v>76</v>
      </c>
      <c r="Z56" s="15">
        <v>10.869565217391299</v>
      </c>
      <c r="AA56" s="15">
        <v>17.808219178082201</v>
      </c>
      <c r="AB56" s="15">
        <v>14.1025641025641</v>
      </c>
      <c r="AC56" s="15">
        <v>8.6419753086419693</v>
      </c>
      <c r="AD56" s="15">
        <v>10.526315789473699</v>
      </c>
      <c r="AE56" s="15">
        <v>16.393442622950801</v>
      </c>
      <c r="AF56" s="15">
        <v>16.2162162162162</v>
      </c>
      <c r="AG56" s="32">
        <v>14.1790654998806</v>
      </c>
      <c r="AH56" s="15">
        <v>11.0738255033557</v>
      </c>
      <c r="AI56" s="15">
        <v>14.159292035398201</v>
      </c>
      <c r="AJ56" s="15">
        <v>12.389380530973501</v>
      </c>
      <c r="AK56" s="15">
        <v>9.3425605536332199</v>
      </c>
      <c r="AL56" s="15">
        <v>22.346368715083798</v>
      </c>
      <c r="AM56" s="15">
        <v>10.7692307692308</v>
      </c>
      <c r="AN56" s="24">
        <v>22.151898734177198</v>
      </c>
      <c r="AO56" s="38"/>
    </row>
    <row r="57" spans="1:41">
      <c r="A57" s="9" t="s">
        <v>261</v>
      </c>
      <c r="B57" s="36">
        <v>13.7379250945341</v>
      </c>
      <c r="C57" s="32">
        <v>13.476736591051401</v>
      </c>
      <c r="D57" s="32">
        <v>10.3761290879662</v>
      </c>
      <c r="E57" s="32">
        <v>12.735655179981601</v>
      </c>
      <c r="F57" s="15">
        <v>11.4583333333333</v>
      </c>
      <c r="G57" s="15">
        <v>17.910447761194</v>
      </c>
      <c r="H57" s="15">
        <v>9.7560975609756095</v>
      </c>
      <c r="I57" s="20" t="s">
        <v>76</v>
      </c>
      <c r="J57" s="15">
        <v>9.8765432098765409</v>
      </c>
      <c r="K57" s="15">
        <v>18</v>
      </c>
      <c r="L57" s="15">
        <v>12.5</v>
      </c>
      <c r="M57" s="15">
        <v>7.3529411764705896</v>
      </c>
      <c r="N57" s="20" t="s">
        <v>76</v>
      </c>
      <c r="O57" s="15">
        <v>16.6666666666667</v>
      </c>
      <c r="P57" s="15">
        <v>5.1851851851851896</v>
      </c>
      <c r="Q57" s="15">
        <v>10</v>
      </c>
      <c r="R57" s="15">
        <v>15.384615384615399</v>
      </c>
      <c r="S57" s="15">
        <v>19</v>
      </c>
      <c r="T57" s="15">
        <v>15.1515151515152</v>
      </c>
      <c r="U57" s="20" t="s">
        <v>76</v>
      </c>
      <c r="V57" s="15">
        <v>11.1111111111111</v>
      </c>
      <c r="W57" s="15">
        <v>14.285714285714301</v>
      </c>
      <c r="X57" s="15">
        <v>21.153846153846199</v>
      </c>
      <c r="Y57" s="20" t="s">
        <v>76</v>
      </c>
      <c r="Z57" s="15">
        <v>21.739130434782599</v>
      </c>
      <c r="AA57" s="15">
        <v>15.068493150684899</v>
      </c>
      <c r="AB57" s="15">
        <v>17.948717948717899</v>
      </c>
      <c r="AC57" s="15">
        <v>7.4074074074074101</v>
      </c>
      <c r="AD57" s="15">
        <v>7.3684210526315796</v>
      </c>
      <c r="AE57" s="15">
        <v>24.590163934426201</v>
      </c>
      <c r="AF57" s="20" t="s">
        <v>76</v>
      </c>
      <c r="AG57" s="32">
        <v>8.5443567342524602</v>
      </c>
      <c r="AH57" s="15">
        <v>7.7181208053691304</v>
      </c>
      <c r="AI57" s="15">
        <v>8.2595870206489703</v>
      </c>
      <c r="AJ57" s="15">
        <v>9.1445427728613602</v>
      </c>
      <c r="AK57" s="15">
        <v>6.5743944636678204</v>
      </c>
      <c r="AL57" s="15">
        <v>11.731843575418999</v>
      </c>
      <c r="AM57" s="15">
        <v>7.0769230769230802</v>
      </c>
      <c r="AN57" s="24">
        <v>14.5569620253165</v>
      </c>
      <c r="AO57" s="38"/>
    </row>
    <row r="58" spans="1:41">
      <c r="A58" s="9" t="s">
        <v>262</v>
      </c>
      <c r="B58" s="36">
        <v>28.341441952680299</v>
      </c>
      <c r="C58" s="32">
        <v>29.543842200310198</v>
      </c>
      <c r="D58" s="32">
        <v>26.8866091826483</v>
      </c>
      <c r="E58" s="32">
        <v>21.821405288123199</v>
      </c>
      <c r="F58" s="15">
        <v>18.75</v>
      </c>
      <c r="G58" s="15">
        <v>10.4477611940298</v>
      </c>
      <c r="H58" s="15">
        <v>18.292682926829301</v>
      </c>
      <c r="I58" s="15">
        <v>17.5</v>
      </c>
      <c r="J58" s="15">
        <v>18.518518518518501</v>
      </c>
      <c r="K58" s="15">
        <v>26</v>
      </c>
      <c r="L58" s="15">
        <v>17.96875</v>
      </c>
      <c r="M58" s="15">
        <v>22.0588235294118</v>
      </c>
      <c r="N58" s="15">
        <v>18.367346938775501</v>
      </c>
      <c r="O58" s="15">
        <v>40.476190476190503</v>
      </c>
      <c r="P58" s="15">
        <v>21.481481481481499</v>
      </c>
      <c r="Q58" s="15">
        <v>23.3333333333333</v>
      </c>
      <c r="R58" s="15">
        <v>20.879120879120901</v>
      </c>
      <c r="S58" s="15">
        <v>22</v>
      </c>
      <c r="T58" s="15">
        <v>18.181818181818201</v>
      </c>
      <c r="U58" s="15">
        <v>25.531914893617</v>
      </c>
      <c r="V58" s="15">
        <v>20.370370370370399</v>
      </c>
      <c r="W58" s="15">
        <v>16.071428571428601</v>
      </c>
      <c r="X58" s="15">
        <v>45.192307692307701</v>
      </c>
      <c r="Y58" s="20" t="s">
        <v>76</v>
      </c>
      <c r="Z58" s="15">
        <v>21.739130434782599</v>
      </c>
      <c r="AA58" s="15">
        <v>16.438356164383599</v>
      </c>
      <c r="AB58" s="15">
        <v>30.769230769230798</v>
      </c>
      <c r="AC58" s="15">
        <v>13.580246913580201</v>
      </c>
      <c r="AD58" s="15">
        <v>16.842105263157901</v>
      </c>
      <c r="AE58" s="15">
        <v>21.311475409836099</v>
      </c>
      <c r="AF58" s="15">
        <v>27.027027027027</v>
      </c>
      <c r="AG58" s="32">
        <v>30.818882062067299</v>
      </c>
      <c r="AH58" s="15">
        <v>21.140939597315398</v>
      </c>
      <c r="AI58" s="15">
        <v>35.398230088495602</v>
      </c>
      <c r="AJ58" s="15">
        <v>23.598820058996999</v>
      </c>
      <c r="AK58" s="15">
        <v>30.4498269896194</v>
      </c>
      <c r="AL58" s="15">
        <v>32.402234636871498</v>
      </c>
      <c r="AM58" s="15">
        <v>29.538461538461501</v>
      </c>
      <c r="AN58" s="24">
        <v>36.3924050632911</v>
      </c>
      <c r="AO58" s="38"/>
    </row>
    <row r="59" spans="1:41">
      <c r="A59" s="9" t="s">
        <v>263</v>
      </c>
      <c r="B59" s="36">
        <v>3.2935584346224198</v>
      </c>
      <c r="C59" s="32">
        <v>3.0994556334127901</v>
      </c>
      <c r="D59" s="32">
        <v>2.2604589089798499</v>
      </c>
      <c r="E59" s="32">
        <v>2.2475245411800899</v>
      </c>
      <c r="F59" s="20" t="s">
        <v>76</v>
      </c>
      <c r="G59" s="20" t="s">
        <v>76</v>
      </c>
      <c r="H59" s="20" t="s">
        <v>76</v>
      </c>
      <c r="I59" s="20" t="s">
        <v>76</v>
      </c>
      <c r="J59" s="20" t="s">
        <v>76</v>
      </c>
      <c r="K59" s="20" t="s">
        <v>76</v>
      </c>
      <c r="L59" s="20" t="s">
        <v>76</v>
      </c>
      <c r="M59" s="20" t="s">
        <v>76</v>
      </c>
      <c r="N59" s="20" t="s">
        <v>76</v>
      </c>
      <c r="O59" s="20" t="s">
        <v>76</v>
      </c>
      <c r="P59" s="20" t="s">
        <v>76</v>
      </c>
      <c r="Q59" s="20" t="s">
        <v>76</v>
      </c>
      <c r="R59" s="15">
        <v>5.4945054945054901</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2">
        <v>2.2705002547520099</v>
      </c>
      <c r="AH59" s="20" t="s">
        <v>76</v>
      </c>
      <c r="AI59" s="15">
        <v>2.65486725663717</v>
      </c>
      <c r="AJ59" s="15">
        <v>1.76991150442478</v>
      </c>
      <c r="AK59" s="20" t="s">
        <v>76</v>
      </c>
      <c r="AL59" s="20" t="s">
        <v>76</v>
      </c>
      <c r="AM59" s="15">
        <v>2.4615384615384599</v>
      </c>
      <c r="AN59" s="24">
        <v>5.37974683544304</v>
      </c>
      <c r="AO59" s="38"/>
    </row>
    <row r="60" spans="1:41">
      <c r="A60" s="9" t="s">
        <v>264</v>
      </c>
      <c r="B60" s="36">
        <v>3.12136901906756</v>
      </c>
      <c r="C60" s="32">
        <v>3.05542214564879</v>
      </c>
      <c r="D60" s="32">
        <v>2.4771249541714102</v>
      </c>
      <c r="E60" s="32">
        <v>2.2095433534229398</v>
      </c>
      <c r="F60" s="20" t="s">
        <v>76</v>
      </c>
      <c r="G60" s="15">
        <v>7.4626865671641802</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2">
        <v>2.6848567441576101</v>
      </c>
      <c r="AH60" s="20" t="s">
        <v>76</v>
      </c>
      <c r="AI60" s="15">
        <v>2.3598820058997001</v>
      </c>
      <c r="AJ60" s="15">
        <v>2.3598820058997001</v>
      </c>
      <c r="AK60" s="15">
        <v>1.73010380622837</v>
      </c>
      <c r="AL60" s="20" t="s">
        <v>76</v>
      </c>
      <c r="AM60" s="15">
        <v>2.7692307692307701</v>
      </c>
      <c r="AN60" s="24">
        <v>4.1139240506329102</v>
      </c>
      <c r="AO60" s="38"/>
    </row>
    <row r="61" spans="1:41">
      <c r="A61" s="9" t="s">
        <v>265</v>
      </c>
      <c r="B61" s="36">
        <v>4.30825136490677</v>
      </c>
      <c r="C61" s="32">
        <v>4.0717527447509401</v>
      </c>
      <c r="D61" s="32">
        <v>3.00293699255388</v>
      </c>
      <c r="E61" s="32">
        <v>2.8806038695712401</v>
      </c>
      <c r="F61" s="20" t="s">
        <v>76</v>
      </c>
      <c r="G61" s="15">
        <v>7.4626865671641802</v>
      </c>
      <c r="H61" s="20" t="s">
        <v>76</v>
      </c>
      <c r="I61" s="20" t="s">
        <v>76</v>
      </c>
      <c r="J61" s="20" t="s">
        <v>76</v>
      </c>
      <c r="K61" s="20" t="s">
        <v>76</v>
      </c>
      <c r="L61" s="20" t="s">
        <v>76</v>
      </c>
      <c r="M61" s="20" t="s">
        <v>76</v>
      </c>
      <c r="N61" s="20" t="s">
        <v>76</v>
      </c>
      <c r="O61" s="20" t="s">
        <v>76</v>
      </c>
      <c r="P61" s="20" t="s">
        <v>76</v>
      </c>
      <c r="Q61" s="20" t="s">
        <v>76</v>
      </c>
      <c r="R61" s="15">
        <v>7.6923076923076898</v>
      </c>
      <c r="S61" s="15">
        <v>5</v>
      </c>
      <c r="T61" s="20" t="s">
        <v>76</v>
      </c>
      <c r="U61" s="20" t="s">
        <v>76</v>
      </c>
      <c r="V61" s="20" t="s">
        <v>76</v>
      </c>
      <c r="W61" s="20" t="s">
        <v>76</v>
      </c>
      <c r="X61" s="20" t="s">
        <v>76</v>
      </c>
      <c r="Y61" s="20" t="s">
        <v>76</v>
      </c>
      <c r="Z61" s="20" t="s">
        <v>76</v>
      </c>
      <c r="AA61" s="20" t="s">
        <v>76</v>
      </c>
      <c r="AB61" s="20" t="s">
        <v>76</v>
      </c>
      <c r="AC61" s="20" t="s">
        <v>76</v>
      </c>
      <c r="AD61" s="20" t="s">
        <v>76</v>
      </c>
      <c r="AE61" s="15">
        <v>8.1967213114754092</v>
      </c>
      <c r="AF61" s="20" t="s">
        <v>76</v>
      </c>
      <c r="AG61" s="32">
        <v>3.0979079417548001</v>
      </c>
      <c r="AH61" s="15">
        <v>2.0134228187919501</v>
      </c>
      <c r="AI61" s="15">
        <v>3.8348082595870201</v>
      </c>
      <c r="AJ61" s="15">
        <v>2.65486725663717</v>
      </c>
      <c r="AK61" s="15">
        <v>3.1141868512110702</v>
      </c>
      <c r="AL61" s="15">
        <v>2.7932960893854699</v>
      </c>
      <c r="AM61" s="15">
        <v>3.3846153846153801</v>
      </c>
      <c r="AN61" s="24">
        <v>5.37974683544304</v>
      </c>
      <c r="AO61" s="38"/>
    </row>
    <row r="62" spans="1:41">
      <c r="A62" s="9" t="s">
        <v>266</v>
      </c>
      <c r="B62" s="36">
        <v>11.167208743126301</v>
      </c>
      <c r="C62" s="32">
        <v>11.1182190804487</v>
      </c>
      <c r="D62" s="32">
        <v>8.2295652198507092</v>
      </c>
      <c r="E62" s="32">
        <v>8.9985197545925502</v>
      </c>
      <c r="F62" s="15">
        <v>6.25</v>
      </c>
      <c r="G62" s="15">
        <v>14.9253731343284</v>
      </c>
      <c r="H62" s="15">
        <v>8.5365853658536608</v>
      </c>
      <c r="I62" s="20" t="s">
        <v>76</v>
      </c>
      <c r="J62" s="15">
        <v>13.580246913580201</v>
      </c>
      <c r="K62" s="15">
        <v>18</v>
      </c>
      <c r="L62" s="15">
        <v>7.03125</v>
      </c>
      <c r="M62" s="20" t="s">
        <v>76</v>
      </c>
      <c r="N62" s="20" t="s">
        <v>76</v>
      </c>
      <c r="O62" s="15">
        <v>11.9047619047619</v>
      </c>
      <c r="P62" s="15">
        <v>5.1851851851851896</v>
      </c>
      <c r="Q62" s="15">
        <v>11.6666666666667</v>
      </c>
      <c r="R62" s="15">
        <v>14.285714285714301</v>
      </c>
      <c r="S62" s="15">
        <v>11</v>
      </c>
      <c r="T62" s="20" t="s">
        <v>76</v>
      </c>
      <c r="U62" s="20" t="s">
        <v>76</v>
      </c>
      <c r="V62" s="15">
        <v>9.2592592592592595</v>
      </c>
      <c r="W62" s="20" t="s">
        <v>76</v>
      </c>
      <c r="X62" s="15">
        <v>10.5769230769231</v>
      </c>
      <c r="Y62" s="20" t="s">
        <v>76</v>
      </c>
      <c r="Z62" s="15">
        <v>13.0434782608696</v>
      </c>
      <c r="AA62" s="15">
        <v>10.958904109589</v>
      </c>
      <c r="AB62" s="15">
        <v>14.1025641025641</v>
      </c>
      <c r="AC62" s="15">
        <v>7.4074074074074101</v>
      </c>
      <c r="AD62" s="15">
        <v>5.2631578947368398</v>
      </c>
      <c r="AE62" s="15">
        <v>13.1147540983607</v>
      </c>
      <c r="AF62" s="20" t="s">
        <v>76</v>
      </c>
      <c r="AG62" s="32">
        <v>7.6326022692101798</v>
      </c>
      <c r="AH62" s="15">
        <v>6.0402684563758404</v>
      </c>
      <c r="AI62" s="15">
        <v>8.2595870206489703</v>
      </c>
      <c r="AJ62" s="15">
        <v>9.4395280235988199</v>
      </c>
      <c r="AK62" s="15">
        <v>6.5743944636678204</v>
      </c>
      <c r="AL62" s="15">
        <v>7.8212290502793298</v>
      </c>
      <c r="AM62" s="15">
        <v>6.7692307692307701</v>
      </c>
      <c r="AN62" s="24">
        <v>12.3417721518987</v>
      </c>
      <c r="AO62" s="38"/>
    </row>
    <row r="63" spans="1:41">
      <c r="A63" s="9" t="s">
        <v>267</v>
      </c>
      <c r="B63" s="36">
        <v>17.6682163190065</v>
      </c>
      <c r="C63" s="32">
        <v>16.674275137087101</v>
      </c>
      <c r="D63" s="32">
        <v>14.3194410099777</v>
      </c>
      <c r="E63" s="32">
        <v>16.7629629845725</v>
      </c>
      <c r="F63" s="15">
        <v>16.6666666666667</v>
      </c>
      <c r="G63" s="15">
        <v>14.9253731343284</v>
      </c>
      <c r="H63" s="15">
        <v>13.4146341463415</v>
      </c>
      <c r="I63" s="15">
        <v>20</v>
      </c>
      <c r="J63" s="15">
        <v>12.3456790123457</v>
      </c>
      <c r="K63" s="15">
        <v>12</v>
      </c>
      <c r="L63" s="15">
        <v>16.40625</v>
      </c>
      <c r="M63" s="15">
        <v>16.176470588235301</v>
      </c>
      <c r="N63" s="20" t="s">
        <v>76</v>
      </c>
      <c r="O63" s="15">
        <v>28.571428571428601</v>
      </c>
      <c r="P63" s="15">
        <v>13.3333333333333</v>
      </c>
      <c r="Q63" s="15">
        <v>20</v>
      </c>
      <c r="R63" s="15">
        <v>21.978021978021999</v>
      </c>
      <c r="S63" s="15">
        <v>18</v>
      </c>
      <c r="T63" s="15">
        <v>15.1515151515152</v>
      </c>
      <c r="U63" s="15">
        <v>17.021276595744698</v>
      </c>
      <c r="V63" s="15">
        <v>11.1111111111111</v>
      </c>
      <c r="W63" s="15">
        <v>10.714285714285699</v>
      </c>
      <c r="X63" s="15">
        <v>12.5</v>
      </c>
      <c r="Y63" s="15">
        <v>14.634146341463399</v>
      </c>
      <c r="Z63" s="15">
        <v>17.3913043478261</v>
      </c>
      <c r="AA63" s="15">
        <v>16.438356164383599</v>
      </c>
      <c r="AB63" s="15">
        <v>25.6410256410256</v>
      </c>
      <c r="AC63" s="15">
        <v>13.580246913580201</v>
      </c>
      <c r="AD63" s="15">
        <v>17.894736842105299</v>
      </c>
      <c r="AE63" s="15">
        <v>29.508196721311499</v>
      </c>
      <c r="AF63" s="15">
        <v>16.2162162162162</v>
      </c>
      <c r="AG63" s="32">
        <v>12.422460080671</v>
      </c>
      <c r="AH63" s="15">
        <v>8.7248322147650992</v>
      </c>
      <c r="AI63" s="15">
        <v>13.2743362831858</v>
      </c>
      <c r="AJ63" s="15">
        <v>10.0294985250737</v>
      </c>
      <c r="AK63" s="15">
        <v>13.840830449826999</v>
      </c>
      <c r="AL63" s="15">
        <v>18.435754189944099</v>
      </c>
      <c r="AM63" s="15">
        <v>15.0769230769231</v>
      </c>
      <c r="AN63" s="24">
        <v>14.2405063291139</v>
      </c>
      <c r="AO63" s="38"/>
    </row>
    <row r="64" spans="1:41">
      <c r="A64" s="11" t="s">
        <v>268</v>
      </c>
      <c r="B64" s="37">
        <v>3.62854876642167</v>
      </c>
      <c r="C64" s="33">
        <v>3.6591985963411</v>
      </c>
      <c r="D64" s="33">
        <v>2.6600625036124899</v>
      </c>
      <c r="E64" s="33">
        <v>3.52970294677012</v>
      </c>
      <c r="F64" s="16">
        <v>6.25</v>
      </c>
      <c r="G64" s="28" t="s">
        <v>76</v>
      </c>
      <c r="H64" s="28" t="s">
        <v>76</v>
      </c>
      <c r="I64" s="28" t="s">
        <v>76</v>
      </c>
      <c r="J64" s="28" t="s">
        <v>76</v>
      </c>
      <c r="K64" s="28" t="s">
        <v>76</v>
      </c>
      <c r="L64" s="28" t="s">
        <v>76</v>
      </c>
      <c r="M64" s="28" t="s">
        <v>76</v>
      </c>
      <c r="N64" s="28" t="s">
        <v>76</v>
      </c>
      <c r="O64" s="28" t="s">
        <v>76</v>
      </c>
      <c r="P64" s="16">
        <v>3.7037037037037002</v>
      </c>
      <c r="Q64" s="16">
        <v>8.3333333333333304</v>
      </c>
      <c r="R64" s="28" t="s">
        <v>76</v>
      </c>
      <c r="S64" s="28" t="s">
        <v>76</v>
      </c>
      <c r="T64" s="28" t="s">
        <v>76</v>
      </c>
      <c r="U64" s="28" t="s">
        <v>76</v>
      </c>
      <c r="V64" s="28" t="s">
        <v>76</v>
      </c>
      <c r="W64" s="28" t="s">
        <v>76</v>
      </c>
      <c r="X64" s="28" t="s">
        <v>76</v>
      </c>
      <c r="Y64" s="28" t="s">
        <v>76</v>
      </c>
      <c r="Z64" s="28" t="s">
        <v>76</v>
      </c>
      <c r="AA64" s="28" t="s">
        <v>76</v>
      </c>
      <c r="AB64" s="16">
        <v>6.4102564102564097</v>
      </c>
      <c r="AC64" s="28" t="s">
        <v>76</v>
      </c>
      <c r="AD64" s="28" t="s">
        <v>76</v>
      </c>
      <c r="AE64" s="28" t="s">
        <v>76</v>
      </c>
      <c r="AF64" s="28" t="s">
        <v>76</v>
      </c>
      <c r="AG64" s="33">
        <v>1.9849339992751001</v>
      </c>
      <c r="AH64" s="28" t="s">
        <v>76</v>
      </c>
      <c r="AI64" s="16">
        <v>4.1297935103244798</v>
      </c>
      <c r="AJ64" s="16">
        <v>1.47492625368732</v>
      </c>
      <c r="AK64" s="16">
        <v>1.73010380622837</v>
      </c>
      <c r="AL64" s="28" t="s">
        <v>76</v>
      </c>
      <c r="AM64" s="28" t="s">
        <v>76</v>
      </c>
      <c r="AN64" s="25">
        <v>3.16455696202532</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302</v>
      </c>
      <c r="B1" s="12"/>
      <c r="C1" s="12"/>
      <c r="D1" s="12"/>
    </row>
    <row r="2" spans="1:4" ht="45">
      <c r="A2" s="7" t="s">
        <v>52</v>
      </c>
      <c r="B2" s="6" t="s">
        <v>68</v>
      </c>
      <c r="C2" s="6" t="s">
        <v>69</v>
      </c>
      <c r="D2" s="8" t="s">
        <v>70</v>
      </c>
    </row>
    <row r="3" spans="1:4">
      <c r="A3" s="9" t="s">
        <v>207</v>
      </c>
      <c r="B3" s="15">
        <v>36.905422439664299</v>
      </c>
      <c r="C3" s="15">
        <v>38.597533730202898</v>
      </c>
      <c r="D3" s="24">
        <v>38.523881579218198</v>
      </c>
    </row>
    <row r="4" spans="1:4">
      <c r="A4" s="9" t="s">
        <v>208</v>
      </c>
      <c r="B4" s="15">
        <v>20.5455108671155</v>
      </c>
      <c r="C4" s="15">
        <v>21.603166363373798</v>
      </c>
      <c r="D4" s="24">
        <v>21.365379796431402</v>
      </c>
    </row>
    <row r="5" spans="1:4">
      <c r="A5" s="9" t="s">
        <v>209</v>
      </c>
      <c r="B5" s="15">
        <v>25.979778082061902</v>
      </c>
      <c r="C5" s="15">
        <v>28.617715823013199</v>
      </c>
      <c r="D5" s="24">
        <v>24.9600574244466</v>
      </c>
    </row>
    <row r="6" spans="1:4">
      <c r="A6" s="9" t="s">
        <v>210</v>
      </c>
      <c r="B6" s="15">
        <v>45.049265183138097</v>
      </c>
      <c r="C6" s="15">
        <v>45.959930653830398</v>
      </c>
      <c r="D6" s="24">
        <v>45.1274830472356</v>
      </c>
    </row>
    <row r="7" spans="1:4">
      <c r="A7" s="9" t="s">
        <v>211</v>
      </c>
      <c r="B7" s="15">
        <v>29.304471416193099</v>
      </c>
      <c r="C7" s="15">
        <v>28.989780275738401</v>
      </c>
      <c r="D7" s="24">
        <v>29.987459810845898</v>
      </c>
    </row>
    <row r="8" spans="1:4">
      <c r="A8" s="9" t="s">
        <v>212</v>
      </c>
      <c r="B8" s="15">
        <v>7.3609573381902003</v>
      </c>
      <c r="C8" s="15">
        <v>5.5247612976016098</v>
      </c>
      <c r="D8" s="26" t="s">
        <v>76</v>
      </c>
    </row>
    <row r="9" spans="1:4">
      <c r="A9" s="9" t="s">
        <v>213</v>
      </c>
      <c r="B9" s="15">
        <v>16.015315661131201</v>
      </c>
      <c r="C9" s="15">
        <v>17.965007754442698</v>
      </c>
      <c r="D9" s="24">
        <v>18.132269171568499</v>
      </c>
    </row>
    <row r="10" spans="1:4">
      <c r="A10" s="9" t="s">
        <v>214</v>
      </c>
      <c r="B10" s="15">
        <v>34.168957855860597</v>
      </c>
      <c r="C10" s="15">
        <v>35.104821382041898</v>
      </c>
      <c r="D10" s="24">
        <v>33.569637152677899</v>
      </c>
    </row>
    <row r="11" spans="1:4">
      <c r="A11" s="9" t="s">
        <v>215</v>
      </c>
      <c r="B11" s="15">
        <v>26.608919592796401</v>
      </c>
      <c r="C11" s="15">
        <v>25.886978730075398</v>
      </c>
      <c r="D11" s="24">
        <v>25.4786532293286</v>
      </c>
    </row>
    <row r="12" spans="1:4">
      <c r="A12" s="9" t="s">
        <v>216</v>
      </c>
      <c r="B12" s="15">
        <v>21.680614083781201</v>
      </c>
      <c r="C12" s="15">
        <v>21.624094485610801</v>
      </c>
      <c r="D12" s="24">
        <v>20.091272555318401</v>
      </c>
    </row>
    <row r="13" spans="1:4">
      <c r="A13" s="9" t="s">
        <v>217</v>
      </c>
      <c r="B13" s="15">
        <v>13.2047882252402</v>
      </c>
      <c r="C13" s="15">
        <v>12.253427003584701</v>
      </c>
      <c r="D13" s="24">
        <v>15.5351082427231</v>
      </c>
    </row>
    <row r="14" spans="1:4">
      <c r="A14" s="9" t="s">
        <v>218</v>
      </c>
      <c r="B14" s="15">
        <v>31.007797683414999</v>
      </c>
      <c r="C14" s="15">
        <v>33.055462116112899</v>
      </c>
      <c r="D14" s="24">
        <v>30.886859365735901</v>
      </c>
    </row>
    <row r="15" spans="1:4">
      <c r="A15" s="9" t="s">
        <v>219</v>
      </c>
      <c r="B15" s="15">
        <v>24.608277846089099</v>
      </c>
      <c r="C15" s="15">
        <v>26.203854125449499</v>
      </c>
      <c r="D15" s="24">
        <v>25.050445099607298</v>
      </c>
    </row>
    <row r="16" spans="1:4">
      <c r="A16" s="9" t="s">
        <v>220</v>
      </c>
      <c r="B16" s="15">
        <v>9.9101874480034002</v>
      </c>
      <c r="C16" s="15">
        <v>10.632945982342401</v>
      </c>
      <c r="D16" s="26" t="s">
        <v>76</v>
      </c>
    </row>
    <row r="17" spans="1:4">
      <c r="A17" s="9" t="s">
        <v>221</v>
      </c>
      <c r="B17" s="15">
        <v>42.864616918986002</v>
      </c>
      <c r="C17" s="15">
        <v>46.256676558147099</v>
      </c>
      <c r="D17" s="24">
        <v>45.6245536393523</v>
      </c>
    </row>
    <row r="18" spans="1:4">
      <c r="A18" s="9" t="s">
        <v>222</v>
      </c>
      <c r="B18" s="15">
        <v>26.062599315431999</v>
      </c>
      <c r="C18" s="15">
        <v>24.899747297978099</v>
      </c>
      <c r="D18" s="24">
        <v>24.609536935294301</v>
      </c>
    </row>
    <row r="19" spans="1:4">
      <c r="A19" s="9" t="s">
        <v>223</v>
      </c>
      <c r="B19" s="15">
        <v>31.348546152243301</v>
      </c>
      <c r="C19" s="15">
        <v>32.341644440805702</v>
      </c>
      <c r="D19" s="24">
        <v>36.755274164635203</v>
      </c>
    </row>
    <row r="20" spans="1:4">
      <c r="A20" s="9" t="s">
        <v>224</v>
      </c>
      <c r="B20" s="15">
        <v>16.2792318739004</v>
      </c>
      <c r="C20" s="15">
        <v>15.6669042309196</v>
      </c>
      <c r="D20" s="24">
        <v>17.4751513117921</v>
      </c>
    </row>
    <row r="21" spans="1:4">
      <c r="A21" s="9" t="s">
        <v>225</v>
      </c>
      <c r="B21" s="15">
        <v>10.5974697590633</v>
      </c>
      <c r="C21" s="15">
        <v>9.6614985847976094</v>
      </c>
      <c r="D21" s="26" t="s">
        <v>76</v>
      </c>
    </row>
    <row r="22" spans="1:4">
      <c r="A22" s="9" t="s">
        <v>226</v>
      </c>
      <c r="B22" s="15">
        <v>22.359537317692801</v>
      </c>
      <c r="C22" s="15">
        <v>23.592712035861101</v>
      </c>
      <c r="D22" s="24">
        <v>21.856349441759601</v>
      </c>
    </row>
    <row r="23" spans="1:4">
      <c r="A23" s="9" t="s">
        <v>227</v>
      </c>
      <c r="B23" s="15">
        <v>18.276694572532101</v>
      </c>
      <c r="C23" s="15">
        <v>18.4293409699264</v>
      </c>
      <c r="D23" s="24">
        <v>17.3289113631558</v>
      </c>
    </row>
    <row r="24" spans="1:4">
      <c r="A24" s="9" t="s">
        <v>228</v>
      </c>
      <c r="B24" s="15">
        <v>40.118812590540998</v>
      </c>
      <c r="C24" s="15">
        <v>43.494182105784702</v>
      </c>
      <c r="D24" s="24">
        <v>45.4757256622527</v>
      </c>
    </row>
    <row r="25" spans="1:4">
      <c r="A25" s="9" t="s">
        <v>229</v>
      </c>
      <c r="B25" s="15">
        <v>6.39157031589935</v>
      </c>
      <c r="C25" s="15">
        <v>6.82242855557661</v>
      </c>
      <c r="D25" s="26" t="s">
        <v>76</v>
      </c>
    </row>
    <row r="26" spans="1:4">
      <c r="A26" s="9" t="s">
        <v>230</v>
      </c>
      <c r="B26" s="15">
        <v>29.7177530967246</v>
      </c>
      <c r="C26" s="15">
        <v>29.196807479217298</v>
      </c>
      <c r="D26" s="24">
        <v>33.0123488491367</v>
      </c>
    </row>
    <row r="27" spans="1:4">
      <c r="A27" s="9" t="s">
        <v>231</v>
      </c>
      <c r="B27" s="15">
        <v>19.556400761885399</v>
      </c>
      <c r="C27" s="15">
        <v>16.941068652277401</v>
      </c>
      <c r="D27" s="24">
        <v>14.7511779322555</v>
      </c>
    </row>
    <row r="28" spans="1:4">
      <c r="A28" s="9" t="s">
        <v>232</v>
      </c>
      <c r="B28" s="15">
        <v>27.9639090100552</v>
      </c>
      <c r="C28" s="15">
        <v>27.029337270577098</v>
      </c>
      <c r="D28" s="24">
        <v>28.727820787634101</v>
      </c>
    </row>
    <row r="29" spans="1:4">
      <c r="A29" s="9" t="s">
        <v>233</v>
      </c>
      <c r="B29" s="15">
        <v>11.9329632884495</v>
      </c>
      <c r="C29" s="15">
        <v>10.866865474194601</v>
      </c>
      <c r="D29" s="26" t="s">
        <v>76</v>
      </c>
    </row>
    <row r="30" spans="1:4">
      <c r="A30" s="9" t="s">
        <v>234</v>
      </c>
      <c r="B30" s="15">
        <v>16.755695176933401</v>
      </c>
      <c r="C30" s="15">
        <v>19.9882774660358</v>
      </c>
      <c r="D30" s="24">
        <v>16.202864347360599</v>
      </c>
    </row>
    <row r="31" spans="1:4">
      <c r="A31" s="9" t="s">
        <v>235</v>
      </c>
      <c r="B31" s="15">
        <v>25.3086009936113</v>
      </c>
      <c r="C31" s="15">
        <v>26.073277583865099</v>
      </c>
      <c r="D31" s="24">
        <v>25.183361295590998</v>
      </c>
    </row>
    <row r="32" spans="1:4">
      <c r="A32" s="9" t="s">
        <v>236</v>
      </c>
      <c r="B32" s="15">
        <v>6.38101461853564</v>
      </c>
      <c r="C32" s="15">
        <v>7.0780995261024398</v>
      </c>
      <c r="D32" s="26" t="s">
        <v>76</v>
      </c>
    </row>
    <row r="33" spans="1:4">
      <c r="A33" s="9" t="s">
        <v>237</v>
      </c>
      <c r="B33" s="15">
        <v>14.9764315837349</v>
      </c>
      <c r="C33" s="15">
        <v>15.4898517223789</v>
      </c>
      <c r="D33" s="24">
        <v>17.3208384176239</v>
      </c>
    </row>
    <row r="34" spans="1:4">
      <c r="A34" s="9" t="s">
        <v>238</v>
      </c>
      <c r="B34" s="15">
        <v>33.555612779234202</v>
      </c>
      <c r="C34" s="15">
        <v>36.368784350326202</v>
      </c>
      <c r="D34" s="24">
        <v>34.774538595636301</v>
      </c>
    </row>
    <row r="35" spans="1:4">
      <c r="A35" s="9" t="s">
        <v>239</v>
      </c>
      <c r="B35" s="15">
        <v>25.0993190765363</v>
      </c>
      <c r="C35" s="15">
        <v>26.8923647536243</v>
      </c>
      <c r="D35" s="24">
        <v>27.9638966288699</v>
      </c>
    </row>
    <row r="36" spans="1:4">
      <c r="A36" s="9" t="s">
        <v>240</v>
      </c>
      <c r="B36" s="15">
        <v>15.6867138965943</v>
      </c>
      <c r="C36" s="15">
        <v>17.374007736354699</v>
      </c>
      <c r="D36" s="24">
        <v>20.171002884367599</v>
      </c>
    </row>
    <row r="37" spans="1:4">
      <c r="A37" s="9" t="s">
        <v>241</v>
      </c>
      <c r="B37" s="15">
        <v>20.992230503124599</v>
      </c>
      <c r="C37" s="15">
        <v>21.271546413759001</v>
      </c>
      <c r="D37" s="24">
        <v>22.079168747479699</v>
      </c>
    </row>
    <row r="38" spans="1:4">
      <c r="A38" s="9" t="s">
        <v>242</v>
      </c>
      <c r="B38" s="15">
        <v>29.8226247515789</v>
      </c>
      <c r="C38" s="15">
        <v>31.145441575503199</v>
      </c>
      <c r="D38" s="24">
        <v>33.9890201928389</v>
      </c>
    </row>
    <row r="39" spans="1:4">
      <c r="A39" s="9" t="s">
        <v>243</v>
      </c>
      <c r="B39" s="15">
        <v>34.396435729224301</v>
      </c>
      <c r="C39" s="15">
        <v>36.5327479817485</v>
      </c>
      <c r="D39" s="24">
        <v>36.799047599286197</v>
      </c>
    </row>
    <row r="40" spans="1:4">
      <c r="A40" s="9" t="s">
        <v>244</v>
      </c>
      <c r="B40" s="15">
        <v>17.8649809724416</v>
      </c>
      <c r="C40" s="15">
        <v>18.526343509767202</v>
      </c>
      <c r="D40" s="24">
        <v>19.6688095448424</v>
      </c>
    </row>
    <row r="41" spans="1:4">
      <c r="A41" s="9" t="s">
        <v>245</v>
      </c>
      <c r="B41" s="15">
        <v>21.692216953657798</v>
      </c>
      <c r="C41" s="15">
        <v>23.0079972170453</v>
      </c>
      <c r="D41" s="24">
        <v>24.5302904612257</v>
      </c>
    </row>
    <row r="42" spans="1:4">
      <c r="A42" s="9" t="s">
        <v>246</v>
      </c>
      <c r="B42" s="15">
        <v>12.992046515475799</v>
      </c>
      <c r="C42" s="15">
        <v>11.699306051299301</v>
      </c>
      <c r="D42" s="26" t="s">
        <v>76</v>
      </c>
    </row>
    <row r="43" spans="1:4">
      <c r="A43" s="9" t="s">
        <v>247</v>
      </c>
      <c r="B43" s="15">
        <v>20.456507134673199</v>
      </c>
      <c r="C43" s="15">
        <v>24.152582320177999</v>
      </c>
      <c r="D43" s="24">
        <v>27.4496187077903</v>
      </c>
    </row>
    <row r="44" spans="1:4">
      <c r="A44" s="9" t="s">
        <v>248</v>
      </c>
      <c r="B44" s="15">
        <v>33.983343501726502</v>
      </c>
      <c r="C44" s="15">
        <v>37.941607357979997</v>
      </c>
      <c r="D44" s="24">
        <v>37.343216123826402</v>
      </c>
    </row>
    <row r="45" spans="1:4">
      <c r="A45" s="9" t="s">
        <v>249</v>
      </c>
      <c r="B45" s="15">
        <v>13.793144107135999</v>
      </c>
      <c r="C45" s="15">
        <v>15.000920654870599</v>
      </c>
      <c r="D45" s="26" t="s">
        <v>76</v>
      </c>
    </row>
    <row r="46" spans="1:4">
      <c r="A46" s="9" t="s">
        <v>250</v>
      </c>
      <c r="B46" s="15">
        <v>23.7931543648609</v>
      </c>
      <c r="C46" s="15">
        <v>25.3500021545997</v>
      </c>
      <c r="D46" s="24">
        <v>28.964450221680401</v>
      </c>
    </row>
    <row r="47" spans="1:4">
      <c r="A47" s="9" t="s">
        <v>251</v>
      </c>
      <c r="B47" s="15">
        <v>19.919883955216999</v>
      </c>
      <c r="C47" s="15">
        <v>19.512869153035801</v>
      </c>
      <c r="D47" s="24">
        <v>19.7738463032853</v>
      </c>
    </row>
    <row r="48" spans="1:4">
      <c r="A48" s="9" t="s">
        <v>252</v>
      </c>
      <c r="B48" s="15">
        <v>13.824942819406401</v>
      </c>
      <c r="C48" s="15">
        <v>14.5047331336221</v>
      </c>
      <c r="D48" s="26" t="s">
        <v>76</v>
      </c>
    </row>
    <row r="49" spans="1:4">
      <c r="A49" s="9" t="s">
        <v>253</v>
      </c>
      <c r="B49" s="15">
        <v>22.802492164630099</v>
      </c>
      <c r="C49" s="15">
        <v>27.093741110916</v>
      </c>
      <c r="D49" s="24">
        <v>29.258779163998199</v>
      </c>
    </row>
    <row r="50" spans="1:4">
      <c r="A50" s="9" t="s">
        <v>254</v>
      </c>
      <c r="B50" s="15">
        <v>47.236813245078501</v>
      </c>
      <c r="C50" s="15">
        <v>47.768626411199399</v>
      </c>
      <c r="D50" s="24">
        <v>51.459864552677999</v>
      </c>
    </row>
    <row r="51" spans="1:4">
      <c r="A51" s="9" t="s">
        <v>255</v>
      </c>
      <c r="B51" s="15">
        <v>30.803619869744299</v>
      </c>
      <c r="C51" s="15">
        <v>32.300425862605898</v>
      </c>
      <c r="D51" s="24">
        <v>34.8450743547494</v>
      </c>
    </row>
    <row r="52" spans="1:4">
      <c r="A52" s="9" t="s">
        <v>256</v>
      </c>
      <c r="B52" s="15">
        <v>30.0228548239924</v>
      </c>
      <c r="C52" s="15">
        <v>33.187896897597803</v>
      </c>
      <c r="D52" s="24">
        <v>36.2124792980308</v>
      </c>
    </row>
    <row r="53" spans="1:4">
      <c r="A53" s="9" t="s">
        <v>257</v>
      </c>
      <c r="B53" s="15">
        <v>34.337447695791603</v>
      </c>
      <c r="C53" s="15">
        <v>34.700330455947302</v>
      </c>
      <c r="D53" s="24">
        <v>32.546006472259897</v>
      </c>
    </row>
    <row r="54" spans="1:4">
      <c r="A54" s="9" t="s">
        <v>258</v>
      </c>
      <c r="B54" s="15">
        <v>40.365079243576197</v>
      </c>
      <c r="C54" s="15">
        <v>37.1956740671421</v>
      </c>
      <c r="D54" s="24">
        <v>39.539639979118199</v>
      </c>
    </row>
    <row r="55" spans="1:4">
      <c r="A55" s="9" t="s">
        <v>259</v>
      </c>
      <c r="B55" s="15">
        <v>9.9319828054878805</v>
      </c>
      <c r="C55" s="15">
        <v>11.763055647170001</v>
      </c>
      <c r="D55" s="26" t="s">
        <v>76</v>
      </c>
    </row>
    <row r="56" spans="1:4">
      <c r="A56" s="9" t="s">
        <v>260</v>
      </c>
      <c r="B56" s="15">
        <v>14.971109122972999</v>
      </c>
      <c r="C56" s="15">
        <v>14.500061469084301</v>
      </c>
      <c r="D56" s="24">
        <v>16.026643286769399</v>
      </c>
    </row>
    <row r="57" spans="1:4">
      <c r="A57" s="9" t="s">
        <v>261</v>
      </c>
      <c r="B57" s="15">
        <v>13.7316128075071</v>
      </c>
      <c r="C57" s="15">
        <v>14.087060794580299</v>
      </c>
      <c r="D57" s="24">
        <v>18.635024878817699</v>
      </c>
    </row>
    <row r="58" spans="1:4">
      <c r="A58" s="9" t="s">
        <v>262</v>
      </c>
      <c r="B58" s="15">
        <v>32.106577673648999</v>
      </c>
      <c r="C58" s="15">
        <v>37.546426714780402</v>
      </c>
      <c r="D58" s="24">
        <v>43.319098088375597</v>
      </c>
    </row>
    <row r="59" spans="1:4">
      <c r="A59" s="9" t="s">
        <v>263</v>
      </c>
      <c r="B59" s="15">
        <v>6.7592849310593204</v>
      </c>
      <c r="C59" s="15">
        <v>5.7344436567360004</v>
      </c>
      <c r="D59" s="26" t="s">
        <v>76</v>
      </c>
    </row>
    <row r="60" spans="1:4">
      <c r="A60" s="9" t="s">
        <v>264</v>
      </c>
      <c r="B60" s="15">
        <v>6.3669254995389597</v>
      </c>
      <c r="C60" s="15">
        <v>5.8422584679352099</v>
      </c>
      <c r="D60" s="26" t="s">
        <v>76</v>
      </c>
    </row>
    <row r="61" spans="1:4">
      <c r="A61" s="9" t="s">
        <v>265</v>
      </c>
      <c r="B61" s="15">
        <v>8.8842244440959508</v>
      </c>
      <c r="C61" s="15">
        <v>8.5463124503063401</v>
      </c>
      <c r="D61" s="26" t="s">
        <v>76</v>
      </c>
    </row>
    <row r="62" spans="1:4">
      <c r="A62" s="9" t="s">
        <v>266</v>
      </c>
      <c r="B62" s="15">
        <v>12.672017089311</v>
      </c>
      <c r="C62" s="15">
        <v>14.544743669103999</v>
      </c>
      <c r="D62" s="26" t="s">
        <v>76</v>
      </c>
    </row>
    <row r="63" spans="1:4">
      <c r="A63" s="9" t="s">
        <v>267</v>
      </c>
      <c r="B63" s="15">
        <v>22.009077814604598</v>
      </c>
      <c r="C63" s="15">
        <v>22.261430545622801</v>
      </c>
      <c r="D63" s="24">
        <v>22.8186081248957</v>
      </c>
    </row>
    <row r="64" spans="1:4">
      <c r="A64" s="11" t="s">
        <v>268</v>
      </c>
      <c r="B64" s="16">
        <v>4.5374072265306502</v>
      </c>
      <c r="C64" s="16">
        <v>4.1886095717738696</v>
      </c>
      <c r="D64" s="29" t="s">
        <v>76</v>
      </c>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303</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9" t="s">
        <v>207</v>
      </c>
      <c r="B3" s="15">
        <v>17.203276111023001</v>
      </c>
      <c r="C3" s="15">
        <v>17.3589601604798</v>
      </c>
      <c r="D3" s="24">
        <v>17.0824138163978</v>
      </c>
      <c r="E3" s="15">
        <v>16.074477409156302</v>
      </c>
      <c r="F3" s="15">
        <v>17.113885195739702</v>
      </c>
      <c r="G3" s="24">
        <v>15.234691870635199</v>
      </c>
      <c r="H3" s="15">
        <v>18.161465738421601</v>
      </c>
      <c r="I3" s="15">
        <v>17.5308683897211</v>
      </c>
      <c r="J3" s="24">
        <v>18.6504173193205</v>
      </c>
      <c r="K3" s="20" t="s">
        <v>76</v>
      </c>
      <c r="L3" s="20" t="s">
        <v>76</v>
      </c>
      <c r="M3" s="26" t="s">
        <v>76</v>
      </c>
      <c r="N3" s="20" t="s">
        <v>76</v>
      </c>
      <c r="O3" s="20" t="s">
        <v>76</v>
      </c>
      <c r="P3" s="26" t="s">
        <v>76</v>
      </c>
    </row>
    <row r="4" spans="1:16">
      <c r="A4" s="9" t="s">
        <v>208</v>
      </c>
      <c r="B4" s="15">
        <v>8.6844809898586206</v>
      </c>
      <c r="C4" s="15">
        <v>10.4555553377633</v>
      </c>
      <c r="D4" s="24">
        <v>7.3095417434389898</v>
      </c>
      <c r="E4" s="15">
        <v>6.8845000282315398</v>
      </c>
      <c r="F4" s="15">
        <v>9.1046287952028599</v>
      </c>
      <c r="G4" s="24">
        <v>5.09075549771807</v>
      </c>
      <c r="H4" s="15">
        <v>10.7220736334449</v>
      </c>
      <c r="I4" s="15">
        <v>11.8759108390328</v>
      </c>
      <c r="J4" s="24">
        <v>9.8274131548766395</v>
      </c>
      <c r="K4" s="20" t="s">
        <v>76</v>
      </c>
      <c r="L4" s="20" t="s">
        <v>76</v>
      </c>
      <c r="M4" s="26" t="s">
        <v>76</v>
      </c>
      <c r="N4" s="20" t="s">
        <v>76</v>
      </c>
      <c r="O4" s="20" t="s">
        <v>76</v>
      </c>
      <c r="P4" s="26" t="s">
        <v>76</v>
      </c>
    </row>
    <row r="5" spans="1:16">
      <c r="A5" s="9" t="s">
        <v>209</v>
      </c>
      <c r="B5" s="15">
        <v>9.4890788621516595</v>
      </c>
      <c r="C5" s="15">
        <v>6.2399770471202496</v>
      </c>
      <c r="D5" s="24">
        <v>12.011456088373301</v>
      </c>
      <c r="E5" s="15">
        <v>8.1248268107289903</v>
      </c>
      <c r="F5" s="15">
        <v>6.1461764204842604</v>
      </c>
      <c r="G5" s="24">
        <v>9.7234698120273499</v>
      </c>
      <c r="H5" s="15">
        <v>10.953392076199799</v>
      </c>
      <c r="I5" s="15">
        <v>6.3255250965052499</v>
      </c>
      <c r="J5" s="24">
        <v>14.5417402996344</v>
      </c>
      <c r="K5" s="20" t="s">
        <v>76</v>
      </c>
      <c r="L5" s="20" t="s">
        <v>76</v>
      </c>
      <c r="M5" s="26" t="s">
        <v>76</v>
      </c>
      <c r="N5" s="20" t="s">
        <v>76</v>
      </c>
      <c r="O5" s="20" t="s">
        <v>76</v>
      </c>
      <c r="P5" s="26" t="s">
        <v>76</v>
      </c>
    </row>
    <row r="6" spans="1:16">
      <c r="A6" s="9" t="s">
        <v>210</v>
      </c>
      <c r="B6" s="15">
        <v>13.7415628796577</v>
      </c>
      <c r="C6" s="15">
        <v>15.653590298250601</v>
      </c>
      <c r="D6" s="24">
        <v>12.257197448492199</v>
      </c>
      <c r="E6" s="15">
        <v>11.954520311403799</v>
      </c>
      <c r="F6" s="15">
        <v>14.361965040656299</v>
      </c>
      <c r="G6" s="24">
        <v>10.0094345668948</v>
      </c>
      <c r="H6" s="15">
        <v>15.9935151101536</v>
      </c>
      <c r="I6" s="15">
        <v>17.299058782956902</v>
      </c>
      <c r="J6" s="24">
        <v>14.9812247095273</v>
      </c>
      <c r="K6" s="20" t="s">
        <v>76</v>
      </c>
      <c r="L6" s="20" t="s">
        <v>76</v>
      </c>
      <c r="M6" s="26" t="s">
        <v>76</v>
      </c>
      <c r="N6" s="20" t="s">
        <v>76</v>
      </c>
      <c r="O6" s="20" t="s">
        <v>76</v>
      </c>
      <c r="P6" s="26" t="s">
        <v>76</v>
      </c>
    </row>
    <row r="7" spans="1:16">
      <c r="A7" s="9" t="s">
        <v>211</v>
      </c>
      <c r="B7" s="15">
        <v>9.1570409470909002</v>
      </c>
      <c r="C7" s="15">
        <v>10.764565480585601</v>
      </c>
      <c r="D7" s="24">
        <v>7.9090704294787102</v>
      </c>
      <c r="E7" s="15">
        <v>12.0301114451843</v>
      </c>
      <c r="F7" s="15">
        <v>14.4938361729421</v>
      </c>
      <c r="G7" s="24">
        <v>10.0395544915283</v>
      </c>
      <c r="H7" s="15">
        <v>6.2285387055150601</v>
      </c>
      <c r="I7" s="15">
        <v>6.9939128333085998</v>
      </c>
      <c r="J7" s="24">
        <v>5.6350841175199404</v>
      </c>
      <c r="K7" s="20" t="s">
        <v>76</v>
      </c>
      <c r="L7" s="20" t="s">
        <v>76</v>
      </c>
      <c r="M7" s="26" t="s">
        <v>76</v>
      </c>
      <c r="N7" s="20" t="s">
        <v>76</v>
      </c>
      <c r="O7" s="20" t="s">
        <v>76</v>
      </c>
      <c r="P7" s="26" t="s">
        <v>76</v>
      </c>
    </row>
    <row r="8" spans="1:16">
      <c r="A8" s="9" t="s">
        <v>212</v>
      </c>
      <c r="B8" s="15">
        <v>2.0245341601142801</v>
      </c>
      <c r="C8" s="15">
        <v>2.1659900807143599</v>
      </c>
      <c r="D8" s="24">
        <v>1.9147175975845501</v>
      </c>
      <c r="E8" s="15">
        <v>2.01721523141999</v>
      </c>
      <c r="F8" s="20" t="s">
        <v>76</v>
      </c>
      <c r="G8" s="26" t="s">
        <v>76</v>
      </c>
      <c r="H8" s="15">
        <v>2.0549025130042202</v>
      </c>
      <c r="I8" s="20" t="s">
        <v>76</v>
      </c>
      <c r="J8" s="24">
        <v>2.5404307612719799</v>
      </c>
      <c r="K8" s="20" t="s">
        <v>76</v>
      </c>
      <c r="L8" s="20" t="s">
        <v>76</v>
      </c>
      <c r="M8" s="26" t="s">
        <v>76</v>
      </c>
      <c r="N8" s="20" t="s">
        <v>76</v>
      </c>
      <c r="O8" s="20" t="s">
        <v>76</v>
      </c>
      <c r="P8" s="26" t="s">
        <v>76</v>
      </c>
    </row>
    <row r="9" spans="1:16">
      <c r="A9" s="9" t="s">
        <v>213</v>
      </c>
      <c r="B9" s="15">
        <v>5.0984362415846904</v>
      </c>
      <c r="C9" s="15">
        <v>5.6070329689938099</v>
      </c>
      <c r="D9" s="24">
        <v>4.7035970289097904</v>
      </c>
      <c r="E9" s="15">
        <v>5.3424178050019098</v>
      </c>
      <c r="F9" s="15">
        <v>6.1975191023645602</v>
      </c>
      <c r="G9" s="24">
        <v>4.6515419882484199</v>
      </c>
      <c r="H9" s="15">
        <v>4.8825696445464102</v>
      </c>
      <c r="I9" s="15">
        <v>4.98031597877333</v>
      </c>
      <c r="J9" s="24">
        <v>4.8067792455765703</v>
      </c>
      <c r="K9" s="20" t="s">
        <v>76</v>
      </c>
      <c r="L9" s="20" t="s">
        <v>76</v>
      </c>
      <c r="M9" s="26" t="s">
        <v>76</v>
      </c>
      <c r="N9" s="20" t="s">
        <v>76</v>
      </c>
      <c r="O9" s="20" t="s">
        <v>76</v>
      </c>
      <c r="P9" s="26" t="s">
        <v>76</v>
      </c>
    </row>
    <row r="10" spans="1:16">
      <c r="A10" s="9" t="s">
        <v>214</v>
      </c>
      <c r="B10" s="15">
        <v>14.699581169790299</v>
      </c>
      <c r="C10" s="15">
        <v>11.905274053963</v>
      </c>
      <c r="D10" s="24">
        <v>16.868887345246002</v>
      </c>
      <c r="E10" s="15">
        <v>17.6735094328785</v>
      </c>
      <c r="F10" s="15">
        <v>15.778917385247199</v>
      </c>
      <c r="G10" s="24">
        <v>19.204237818344701</v>
      </c>
      <c r="H10" s="15">
        <v>11.460198912972499</v>
      </c>
      <c r="I10" s="15">
        <v>7.6369791140142498</v>
      </c>
      <c r="J10" s="24">
        <v>14.4246410703609</v>
      </c>
      <c r="K10" s="20" t="s">
        <v>76</v>
      </c>
      <c r="L10" s="20" t="s">
        <v>76</v>
      </c>
      <c r="M10" s="26" t="s">
        <v>76</v>
      </c>
      <c r="N10" s="20" t="s">
        <v>76</v>
      </c>
      <c r="O10" s="20" t="s">
        <v>76</v>
      </c>
      <c r="P10" s="26" t="s">
        <v>76</v>
      </c>
    </row>
    <row r="11" spans="1:16">
      <c r="A11" s="9" t="s">
        <v>215</v>
      </c>
      <c r="B11" s="15">
        <v>13.2832078656202</v>
      </c>
      <c r="C11" s="15">
        <v>13.432884079555</v>
      </c>
      <c r="D11" s="24">
        <v>13.1670096376701</v>
      </c>
      <c r="E11" s="15">
        <v>12.262002163713399</v>
      </c>
      <c r="F11" s="15">
        <v>13.2220797570707</v>
      </c>
      <c r="G11" s="24">
        <v>11.486311150843701</v>
      </c>
      <c r="H11" s="15">
        <v>14.3418666439952</v>
      </c>
      <c r="I11" s="15">
        <v>13.6668719887527</v>
      </c>
      <c r="J11" s="24">
        <v>14.865242938645499</v>
      </c>
      <c r="K11" s="20" t="s">
        <v>76</v>
      </c>
      <c r="L11" s="20" t="s">
        <v>76</v>
      </c>
      <c r="M11" s="26" t="s">
        <v>76</v>
      </c>
      <c r="N11" s="20" t="s">
        <v>76</v>
      </c>
      <c r="O11" s="20" t="s">
        <v>76</v>
      </c>
      <c r="P11" s="26" t="s">
        <v>76</v>
      </c>
    </row>
    <row r="12" spans="1:16">
      <c r="A12" s="9" t="s">
        <v>216</v>
      </c>
      <c r="B12" s="15">
        <v>10.0955254033203</v>
      </c>
      <c r="C12" s="15">
        <v>11.042065420914801</v>
      </c>
      <c r="D12" s="24">
        <v>9.3606974046893807</v>
      </c>
      <c r="E12" s="15">
        <v>11.311469426376901</v>
      </c>
      <c r="F12" s="15">
        <v>13.0550597795573</v>
      </c>
      <c r="G12" s="24">
        <v>9.9027422813564705</v>
      </c>
      <c r="H12" s="15">
        <v>8.7486068907410495</v>
      </c>
      <c r="I12" s="15">
        <v>8.9982785377618697</v>
      </c>
      <c r="J12" s="24">
        <v>8.5550168815726604</v>
      </c>
      <c r="K12" s="20" t="s">
        <v>76</v>
      </c>
      <c r="L12" s="20" t="s">
        <v>76</v>
      </c>
      <c r="M12" s="26" t="s">
        <v>76</v>
      </c>
      <c r="N12" s="20" t="s">
        <v>76</v>
      </c>
      <c r="O12" s="20" t="s">
        <v>76</v>
      </c>
      <c r="P12" s="26" t="s">
        <v>76</v>
      </c>
    </row>
    <row r="13" spans="1:16">
      <c r="A13" s="9" t="s">
        <v>217</v>
      </c>
      <c r="B13" s="15">
        <v>9.6407225502706595</v>
      </c>
      <c r="C13" s="15">
        <v>11.247859995827801</v>
      </c>
      <c r="D13" s="24">
        <v>8.3930525408769299</v>
      </c>
      <c r="E13" s="15">
        <v>1.80574881644582</v>
      </c>
      <c r="F13" s="20" t="s">
        <v>76</v>
      </c>
      <c r="G13" s="26" t="s">
        <v>76</v>
      </c>
      <c r="H13" s="15">
        <v>17.782985059586998</v>
      </c>
      <c r="I13" s="15">
        <v>20.570355782365699</v>
      </c>
      <c r="J13" s="24">
        <v>15.6217179304706</v>
      </c>
      <c r="K13" s="20" t="s">
        <v>76</v>
      </c>
      <c r="L13" s="20" t="s">
        <v>76</v>
      </c>
      <c r="M13" s="26" t="s">
        <v>76</v>
      </c>
      <c r="N13" s="20" t="s">
        <v>76</v>
      </c>
      <c r="O13" s="20" t="s">
        <v>76</v>
      </c>
      <c r="P13" s="26" t="s">
        <v>76</v>
      </c>
    </row>
    <row r="14" spans="1:16">
      <c r="A14" s="9" t="s">
        <v>218</v>
      </c>
      <c r="B14" s="15">
        <v>13.0476848836954</v>
      </c>
      <c r="C14" s="15">
        <v>13.115022700750201</v>
      </c>
      <c r="D14" s="24">
        <v>12.9954084744378</v>
      </c>
      <c r="E14" s="15">
        <v>10.4427822385829</v>
      </c>
      <c r="F14" s="15">
        <v>12.3951826958994</v>
      </c>
      <c r="G14" s="24">
        <v>8.8653477700133507</v>
      </c>
      <c r="H14" s="15">
        <v>15.5885138071166</v>
      </c>
      <c r="I14" s="15">
        <v>13.973285237968099</v>
      </c>
      <c r="J14" s="24">
        <v>16.840927195828002</v>
      </c>
      <c r="K14" s="20" t="s">
        <v>76</v>
      </c>
      <c r="L14" s="20" t="s">
        <v>76</v>
      </c>
      <c r="M14" s="26" t="s">
        <v>76</v>
      </c>
      <c r="N14" s="20" t="s">
        <v>76</v>
      </c>
      <c r="O14" s="20" t="s">
        <v>76</v>
      </c>
      <c r="P14" s="26" t="s">
        <v>76</v>
      </c>
    </row>
    <row r="15" spans="1:16">
      <c r="A15" s="9" t="s">
        <v>219</v>
      </c>
      <c r="B15" s="15">
        <v>8.2882371032415492</v>
      </c>
      <c r="C15" s="15">
        <v>8.98823195334184</v>
      </c>
      <c r="D15" s="24">
        <v>7.7448096673277496</v>
      </c>
      <c r="E15" s="15">
        <v>8.6076786421503702</v>
      </c>
      <c r="F15" s="15">
        <v>10.028791724445099</v>
      </c>
      <c r="G15" s="24">
        <v>7.4594957725212696</v>
      </c>
      <c r="H15" s="15">
        <v>8.1515129478668396</v>
      </c>
      <c r="I15" s="15">
        <v>7.9350898549883402</v>
      </c>
      <c r="J15" s="24">
        <v>8.3193227453930501</v>
      </c>
      <c r="K15" s="20" t="s">
        <v>76</v>
      </c>
      <c r="L15" s="20" t="s">
        <v>76</v>
      </c>
      <c r="M15" s="26" t="s">
        <v>76</v>
      </c>
      <c r="N15" s="20" t="s">
        <v>76</v>
      </c>
      <c r="O15" s="20" t="s">
        <v>76</v>
      </c>
      <c r="P15" s="26" t="s">
        <v>76</v>
      </c>
    </row>
    <row r="16" spans="1:16">
      <c r="A16" s="9" t="s">
        <v>220</v>
      </c>
      <c r="B16" s="15">
        <v>4.4044822221257602</v>
      </c>
      <c r="C16" s="15">
        <v>5.2886210191305496</v>
      </c>
      <c r="D16" s="24">
        <v>3.71809820175848</v>
      </c>
      <c r="E16" s="15">
        <v>5.0839653164707199</v>
      </c>
      <c r="F16" s="15">
        <v>7.0376687458101399</v>
      </c>
      <c r="G16" s="24">
        <v>3.50547811664774</v>
      </c>
      <c r="H16" s="15">
        <v>3.6229710131629198</v>
      </c>
      <c r="I16" s="15">
        <v>3.3553554068892302</v>
      </c>
      <c r="J16" s="24">
        <v>3.8304743812478299</v>
      </c>
      <c r="K16" s="20" t="s">
        <v>76</v>
      </c>
      <c r="L16" s="20" t="s">
        <v>76</v>
      </c>
      <c r="M16" s="26" t="s">
        <v>76</v>
      </c>
      <c r="N16" s="20" t="s">
        <v>76</v>
      </c>
      <c r="O16" s="20" t="s">
        <v>76</v>
      </c>
      <c r="P16" s="26" t="s">
        <v>76</v>
      </c>
    </row>
    <row r="17" spans="1:16">
      <c r="A17" s="9" t="s">
        <v>221</v>
      </c>
      <c r="B17" s="15">
        <v>8.0117297310606901</v>
      </c>
      <c r="C17" s="15">
        <v>9.2382651350833598</v>
      </c>
      <c r="D17" s="24">
        <v>7.0595327405113402</v>
      </c>
      <c r="E17" s="15">
        <v>7.1416138017839303</v>
      </c>
      <c r="F17" s="15">
        <v>9.0198961482986295</v>
      </c>
      <c r="G17" s="24">
        <v>5.6240627768418303</v>
      </c>
      <c r="H17" s="15">
        <v>9.0499954230313406</v>
      </c>
      <c r="I17" s="15">
        <v>9.7492673571245998</v>
      </c>
      <c r="J17" s="24">
        <v>8.5077950500709907</v>
      </c>
      <c r="K17" s="20" t="s">
        <v>76</v>
      </c>
      <c r="L17" s="20" t="s">
        <v>76</v>
      </c>
      <c r="M17" s="26" t="s">
        <v>76</v>
      </c>
      <c r="N17" s="20" t="s">
        <v>76</v>
      </c>
      <c r="O17" s="20" t="s">
        <v>76</v>
      </c>
      <c r="P17" s="26" t="s">
        <v>76</v>
      </c>
    </row>
    <row r="18" spans="1:16">
      <c r="A18" s="9" t="s">
        <v>222</v>
      </c>
      <c r="B18" s="15">
        <v>5.79378869496293</v>
      </c>
      <c r="C18" s="15">
        <v>5.7302518478381996</v>
      </c>
      <c r="D18" s="24">
        <v>5.8431142948785499</v>
      </c>
      <c r="E18" s="15">
        <v>2.0520737925649901</v>
      </c>
      <c r="F18" s="20" t="s">
        <v>76</v>
      </c>
      <c r="G18" s="26" t="s">
        <v>76</v>
      </c>
      <c r="H18" s="15">
        <v>9.7918240713460705</v>
      </c>
      <c r="I18" s="15">
        <v>9.5197776533913405</v>
      </c>
      <c r="J18" s="24">
        <v>10.0027629952267</v>
      </c>
      <c r="K18" s="20" t="s">
        <v>76</v>
      </c>
      <c r="L18" s="20" t="s">
        <v>76</v>
      </c>
      <c r="M18" s="26" t="s">
        <v>76</v>
      </c>
      <c r="N18" s="20" t="s">
        <v>76</v>
      </c>
      <c r="O18" s="20" t="s">
        <v>76</v>
      </c>
      <c r="P18" s="26" t="s">
        <v>76</v>
      </c>
    </row>
    <row r="19" spans="1:16">
      <c r="A19" s="9" t="s">
        <v>223</v>
      </c>
      <c r="B19" s="15">
        <v>12.0843195397118</v>
      </c>
      <c r="C19" s="15">
        <v>12.023257189897601</v>
      </c>
      <c r="D19" s="24">
        <v>12.1317241115963</v>
      </c>
      <c r="E19" s="15">
        <v>10.6890195504283</v>
      </c>
      <c r="F19" s="15">
        <v>10.820420013990701</v>
      </c>
      <c r="G19" s="24">
        <v>10.582855049373901</v>
      </c>
      <c r="H19" s="15">
        <v>13.615607478124501</v>
      </c>
      <c r="I19" s="15">
        <v>13.4627946547912</v>
      </c>
      <c r="J19" s="24">
        <v>13.7340952448499</v>
      </c>
      <c r="K19" s="20" t="s">
        <v>76</v>
      </c>
      <c r="L19" s="20" t="s">
        <v>76</v>
      </c>
      <c r="M19" s="26" t="s">
        <v>76</v>
      </c>
      <c r="N19" s="20" t="s">
        <v>76</v>
      </c>
      <c r="O19" s="20" t="s">
        <v>76</v>
      </c>
      <c r="P19" s="26" t="s">
        <v>76</v>
      </c>
    </row>
    <row r="20" spans="1:16">
      <c r="A20" s="9" t="s">
        <v>224</v>
      </c>
      <c r="B20" s="15">
        <v>9.41311663845695</v>
      </c>
      <c r="C20" s="15">
        <v>9.9574814037333006</v>
      </c>
      <c r="D20" s="24">
        <v>8.9905096027715299</v>
      </c>
      <c r="E20" s="15">
        <v>10.069864666272601</v>
      </c>
      <c r="F20" s="15">
        <v>11.747255461201201</v>
      </c>
      <c r="G20" s="24">
        <v>8.7146232006878996</v>
      </c>
      <c r="H20" s="15">
        <v>8.5808280155458903</v>
      </c>
      <c r="I20" s="15">
        <v>8.0709719091931706</v>
      </c>
      <c r="J20" s="24">
        <v>8.9761594417656703</v>
      </c>
      <c r="K20" s="20" t="s">
        <v>76</v>
      </c>
      <c r="L20" s="20" t="s">
        <v>76</v>
      </c>
      <c r="M20" s="26" t="s">
        <v>76</v>
      </c>
      <c r="N20" s="20" t="s">
        <v>76</v>
      </c>
      <c r="O20" s="20" t="s">
        <v>76</v>
      </c>
      <c r="P20" s="26" t="s">
        <v>76</v>
      </c>
    </row>
    <row r="21" spans="1:16">
      <c r="A21" s="9" t="s">
        <v>225</v>
      </c>
      <c r="B21" s="15">
        <v>4.7437963161462999</v>
      </c>
      <c r="C21" s="15">
        <v>4.6653978142201202</v>
      </c>
      <c r="D21" s="24">
        <v>4.8046594737468498</v>
      </c>
      <c r="E21" s="15">
        <v>4.0182540989520001</v>
      </c>
      <c r="F21" s="15">
        <v>5.2979104151868901</v>
      </c>
      <c r="G21" s="24">
        <v>2.9843606814477899</v>
      </c>
      <c r="H21" s="15">
        <v>5.5439326770256399</v>
      </c>
      <c r="I21" s="15">
        <v>4.0273588824376798</v>
      </c>
      <c r="J21" s="24">
        <v>6.7198512817294498</v>
      </c>
      <c r="K21" s="20" t="s">
        <v>76</v>
      </c>
      <c r="L21" s="20" t="s">
        <v>76</v>
      </c>
      <c r="M21" s="26" t="s">
        <v>76</v>
      </c>
      <c r="N21" s="20" t="s">
        <v>76</v>
      </c>
      <c r="O21" s="20" t="s">
        <v>76</v>
      </c>
      <c r="P21" s="26" t="s">
        <v>76</v>
      </c>
    </row>
    <row r="22" spans="1:16">
      <c r="A22" s="9" t="s">
        <v>226</v>
      </c>
      <c r="B22" s="15">
        <v>9.5297285075314697</v>
      </c>
      <c r="C22" s="15">
        <v>11.900943552449901</v>
      </c>
      <c r="D22" s="24">
        <v>7.6888816617644702</v>
      </c>
      <c r="E22" s="15">
        <v>12.406545996857499</v>
      </c>
      <c r="F22" s="15">
        <v>14.9285807449334</v>
      </c>
      <c r="G22" s="24">
        <v>10.368877685709201</v>
      </c>
      <c r="H22" s="15">
        <v>6.4770276128836999</v>
      </c>
      <c r="I22" s="15">
        <v>8.72237926416196</v>
      </c>
      <c r="J22" s="24">
        <v>4.7360303793413099</v>
      </c>
      <c r="K22" s="20" t="s">
        <v>76</v>
      </c>
      <c r="L22" s="20" t="s">
        <v>76</v>
      </c>
      <c r="M22" s="26" t="s">
        <v>76</v>
      </c>
      <c r="N22" s="20" t="s">
        <v>76</v>
      </c>
      <c r="O22" s="20" t="s">
        <v>76</v>
      </c>
      <c r="P22" s="26" t="s">
        <v>76</v>
      </c>
    </row>
    <row r="23" spans="1:16">
      <c r="A23" s="9" t="s">
        <v>227</v>
      </c>
      <c r="B23" s="15">
        <v>7.5466367077836001</v>
      </c>
      <c r="C23" s="15">
        <v>7.3308673345302502</v>
      </c>
      <c r="D23" s="24">
        <v>7.7141450790794703</v>
      </c>
      <c r="E23" s="15">
        <v>3.7813000840465398</v>
      </c>
      <c r="F23" s="15">
        <v>4.0984927516443097</v>
      </c>
      <c r="G23" s="24">
        <v>3.52502548363287</v>
      </c>
      <c r="H23" s="15">
        <v>11.645934495996899</v>
      </c>
      <c r="I23" s="15">
        <v>10.7834568909201</v>
      </c>
      <c r="J23" s="24">
        <v>12.314681025555499</v>
      </c>
      <c r="K23" s="20" t="s">
        <v>76</v>
      </c>
      <c r="L23" s="20" t="s">
        <v>76</v>
      </c>
      <c r="M23" s="26" t="s">
        <v>76</v>
      </c>
      <c r="N23" s="20" t="s">
        <v>76</v>
      </c>
      <c r="O23" s="20" t="s">
        <v>76</v>
      </c>
      <c r="P23" s="26" t="s">
        <v>76</v>
      </c>
    </row>
    <row r="24" spans="1:16">
      <c r="A24" s="9" t="s">
        <v>228</v>
      </c>
      <c r="B24" s="15">
        <v>3.77488927883629</v>
      </c>
      <c r="C24" s="15">
        <v>4.6829819462198401</v>
      </c>
      <c r="D24" s="24">
        <v>3.0699091354285701</v>
      </c>
      <c r="E24" s="15">
        <v>2.98684810654257</v>
      </c>
      <c r="F24" s="15">
        <v>4.2263723026549798</v>
      </c>
      <c r="G24" s="26" t="s">
        <v>76</v>
      </c>
      <c r="H24" s="15">
        <v>4.6491037809499103</v>
      </c>
      <c r="I24" s="15">
        <v>5.3105971948748998</v>
      </c>
      <c r="J24" s="24">
        <v>4.1361960575675703</v>
      </c>
      <c r="K24" s="20" t="s">
        <v>76</v>
      </c>
      <c r="L24" s="20" t="s">
        <v>76</v>
      </c>
      <c r="M24" s="26" t="s">
        <v>76</v>
      </c>
      <c r="N24" s="20" t="s">
        <v>76</v>
      </c>
      <c r="O24" s="20" t="s">
        <v>76</v>
      </c>
      <c r="P24" s="26" t="s">
        <v>76</v>
      </c>
    </row>
    <row r="25" spans="1:16">
      <c r="A25" s="9" t="s">
        <v>229</v>
      </c>
      <c r="B25" s="15">
        <v>2.4362133758246598</v>
      </c>
      <c r="C25" s="15">
        <v>2.87384737577778</v>
      </c>
      <c r="D25" s="24">
        <v>2.09646470134633</v>
      </c>
      <c r="E25" s="15">
        <v>2.5324591579305999</v>
      </c>
      <c r="F25" s="15">
        <v>3.48822231661461</v>
      </c>
      <c r="G25" s="26" t="s">
        <v>76</v>
      </c>
      <c r="H25" s="15">
        <v>2.3380562950954702</v>
      </c>
      <c r="I25" s="20" t="s">
        <v>76</v>
      </c>
      <c r="J25" s="24">
        <v>2.3630699991419899</v>
      </c>
      <c r="K25" s="20" t="s">
        <v>76</v>
      </c>
      <c r="L25" s="20" t="s">
        <v>76</v>
      </c>
      <c r="M25" s="26" t="s">
        <v>76</v>
      </c>
      <c r="N25" s="20" t="s">
        <v>76</v>
      </c>
      <c r="O25" s="20" t="s">
        <v>76</v>
      </c>
      <c r="P25" s="26" t="s">
        <v>76</v>
      </c>
    </row>
    <row r="26" spans="1:16">
      <c r="A26" s="9" t="s">
        <v>230</v>
      </c>
      <c r="B26" s="15">
        <v>10.1157834235833</v>
      </c>
      <c r="C26" s="15">
        <v>11.770800762336</v>
      </c>
      <c r="D26" s="24">
        <v>8.8309427870237993</v>
      </c>
      <c r="E26" s="15">
        <v>10.840277148554501</v>
      </c>
      <c r="F26" s="15">
        <v>12.9011491779001</v>
      </c>
      <c r="G26" s="24">
        <v>9.1752034889892897</v>
      </c>
      <c r="H26" s="15">
        <v>9.5007317868456607</v>
      </c>
      <c r="I26" s="15">
        <v>10.6842860752911</v>
      </c>
      <c r="J26" s="24">
        <v>8.5830293232882493</v>
      </c>
      <c r="K26" s="20" t="s">
        <v>76</v>
      </c>
      <c r="L26" s="20" t="s">
        <v>76</v>
      </c>
      <c r="M26" s="26" t="s">
        <v>76</v>
      </c>
      <c r="N26" s="20" t="s">
        <v>76</v>
      </c>
      <c r="O26" s="20" t="s">
        <v>76</v>
      </c>
      <c r="P26" s="26" t="s">
        <v>76</v>
      </c>
    </row>
    <row r="27" spans="1:16">
      <c r="A27" s="9" t="s">
        <v>231</v>
      </c>
      <c r="B27" s="15">
        <v>8.4151692708942605</v>
      </c>
      <c r="C27" s="15">
        <v>9.2185648455106897</v>
      </c>
      <c r="D27" s="24">
        <v>7.7914686864174598</v>
      </c>
      <c r="E27" s="15">
        <v>2.0817385654600802</v>
      </c>
      <c r="F27" s="20" t="s">
        <v>76</v>
      </c>
      <c r="G27" s="26" t="s">
        <v>76</v>
      </c>
      <c r="H27" s="15">
        <v>14.8659040696189</v>
      </c>
      <c r="I27" s="15">
        <v>16.426695404176801</v>
      </c>
      <c r="J27" s="24">
        <v>13.6557001382858</v>
      </c>
      <c r="K27" s="20" t="s">
        <v>76</v>
      </c>
      <c r="L27" s="20" t="s">
        <v>76</v>
      </c>
      <c r="M27" s="26" t="s">
        <v>76</v>
      </c>
      <c r="N27" s="20" t="s">
        <v>76</v>
      </c>
      <c r="O27" s="20" t="s">
        <v>76</v>
      </c>
      <c r="P27" s="26" t="s">
        <v>76</v>
      </c>
    </row>
    <row r="28" spans="1:16">
      <c r="A28" s="9" t="s">
        <v>232</v>
      </c>
      <c r="B28" s="15">
        <v>14.8240775595686</v>
      </c>
      <c r="C28" s="15">
        <v>18.174680607873999</v>
      </c>
      <c r="D28" s="24">
        <v>12.222901817997601</v>
      </c>
      <c r="E28" s="15">
        <v>7.3410920179937804</v>
      </c>
      <c r="F28" s="15">
        <v>10.073840985962001</v>
      </c>
      <c r="G28" s="24">
        <v>5.1331779602671004</v>
      </c>
      <c r="H28" s="15">
        <v>22.549484978689399</v>
      </c>
      <c r="I28" s="15">
        <v>26.775502005155801</v>
      </c>
      <c r="J28" s="24">
        <v>19.2727225402569</v>
      </c>
      <c r="K28" s="20" t="s">
        <v>76</v>
      </c>
      <c r="L28" s="20" t="s">
        <v>76</v>
      </c>
      <c r="M28" s="26" t="s">
        <v>76</v>
      </c>
      <c r="N28" s="20" t="s">
        <v>76</v>
      </c>
      <c r="O28" s="20" t="s">
        <v>76</v>
      </c>
      <c r="P28" s="26" t="s">
        <v>76</v>
      </c>
    </row>
    <row r="29" spans="1:16">
      <c r="A29" s="9" t="s">
        <v>233</v>
      </c>
      <c r="B29" s="15">
        <v>7.3826376703621497</v>
      </c>
      <c r="C29" s="15">
        <v>7.2269308274612696</v>
      </c>
      <c r="D29" s="24">
        <v>7.5035176602359801</v>
      </c>
      <c r="E29" s="15">
        <v>7.3068998007270096</v>
      </c>
      <c r="F29" s="15">
        <v>8.1608151995346994</v>
      </c>
      <c r="G29" s="24">
        <v>6.6169821261670503</v>
      </c>
      <c r="H29" s="15">
        <v>7.40970101404488</v>
      </c>
      <c r="I29" s="15">
        <v>6.1106315280626298</v>
      </c>
      <c r="J29" s="24">
        <v>8.4169714698716493</v>
      </c>
      <c r="K29" s="20" t="s">
        <v>76</v>
      </c>
      <c r="L29" s="20" t="s">
        <v>76</v>
      </c>
      <c r="M29" s="26" t="s">
        <v>76</v>
      </c>
      <c r="N29" s="20" t="s">
        <v>76</v>
      </c>
      <c r="O29" s="20" t="s">
        <v>76</v>
      </c>
      <c r="P29" s="26" t="s">
        <v>76</v>
      </c>
    </row>
    <row r="30" spans="1:16">
      <c r="A30" s="9" t="s">
        <v>234</v>
      </c>
      <c r="B30" s="15">
        <v>7.5911373636777304</v>
      </c>
      <c r="C30" s="15">
        <v>7.1465225766205496</v>
      </c>
      <c r="D30" s="24">
        <v>7.9363054369360198</v>
      </c>
      <c r="E30" s="15">
        <v>9.0004851068465701</v>
      </c>
      <c r="F30" s="15">
        <v>8.9504391238835392</v>
      </c>
      <c r="G30" s="24">
        <v>9.04091956702276</v>
      </c>
      <c r="H30" s="15">
        <v>6.1514113047055003</v>
      </c>
      <c r="I30" s="15">
        <v>5.2122039259768496</v>
      </c>
      <c r="J30" s="24">
        <v>6.8796524455345098</v>
      </c>
      <c r="K30" s="20" t="s">
        <v>76</v>
      </c>
      <c r="L30" s="20" t="s">
        <v>76</v>
      </c>
      <c r="M30" s="26" t="s">
        <v>76</v>
      </c>
      <c r="N30" s="20" t="s">
        <v>76</v>
      </c>
      <c r="O30" s="20" t="s">
        <v>76</v>
      </c>
      <c r="P30" s="26" t="s">
        <v>76</v>
      </c>
    </row>
    <row r="31" spans="1:16">
      <c r="A31" s="9" t="s">
        <v>235</v>
      </c>
      <c r="B31" s="15">
        <v>11.0067759923952</v>
      </c>
      <c r="C31" s="15">
        <v>12.975634289508299</v>
      </c>
      <c r="D31" s="24">
        <v>9.4782910100778093</v>
      </c>
      <c r="E31" s="15">
        <v>10.3229765813371</v>
      </c>
      <c r="F31" s="15">
        <v>12.575358771301101</v>
      </c>
      <c r="G31" s="24">
        <v>8.5031730213006291</v>
      </c>
      <c r="H31" s="15">
        <v>11.632415379645501</v>
      </c>
      <c r="I31" s="15">
        <v>13.307068226116</v>
      </c>
      <c r="J31" s="24">
        <v>10.3339256882026</v>
      </c>
      <c r="K31" s="20" t="s">
        <v>76</v>
      </c>
      <c r="L31" s="20" t="s">
        <v>76</v>
      </c>
      <c r="M31" s="26" t="s">
        <v>76</v>
      </c>
      <c r="N31" s="20" t="s">
        <v>76</v>
      </c>
      <c r="O31" s="20" t="s">
        <v>76</v>
      </c>
      <c r="P31" s="26" t="s">
        <v>76</v>
      </c>
    </row>
    <row r="32" spans="1:16">
      <c r="A32" s="9" t="s">
        <v>236</v>
      </c>
      <c r="B32" s="15">
        <v>3.7516562304871499</v>
      </c>
      <c r="C32" s="15">
        <v>2.2221100834641399</v>
      </c>
      <c r="D32" s="24">
        <v>4.9390897389900399</v>
      </c>
      <c r="E32" s="15">
        <v>2.6026914852900802</v>
      </c>
      <c r="F32" s="20" t="s">
        <v>76</v>
      </c>
      <c r="G32" s="24">
        <v>3.15988578015391</v>
      </c>
      <c r="H32" s="15">
        <v>4.9359465308868602</v>
      </c>
      <c r="I32" s="20" t="s">
        <v>76</v>
      </c>
      <c r="J32" s="24">
        <v>6.7329458756962097</v>
      </c>
      <c r="K32" s="20" t="s">
        <v>76</v>
      </c>
      <c r="L32" s="20" t="s">
        <v>76</v>
      </c>
      <c r="M32" s="26" t="s">
        <v>76</v>
      </c>
      <c r="N32" s="20" t="s">
        <v>76</v>
      </c>
      <c r="O32" s="20" t="s">
        <v>76</v>
      </c>
      <c r="P32" s="26" t="s">
        <v>76</v>
      </c>
    </row>
    <row r="33" spans="1:16">
      <c r="A33" s="9" t="s">
        <v>237</v>
      </c>
      <c r="B33" s="15">
        <v>9.0918295953970798</v>
      </c>
      <c r="C33" s="15">
        <v>8.9722228663998393</v>
      </c>
      <c r="D33" s="24">
        <v>9.1846839614652005</v>
      </c>
      <c r="E33" s="15">
        <v>6.5571334946339697</v>
      </c>
      <c r="F33" s="15">
        <v>8.1047590394453195</v>
      </c>
      <c r="G33" s="24">
        <v>5.3067353656662801</v>
      </c>
      <c r="H33" s="15">
        <v>11.936035484909301</v>
      </c>
      <c r="I33" s="15">
        <v>10.0027027275151</v>
      </c>
      <c r="J33" s="24">
        <v>13.4350999990241</v>
      </c>
      <c r="K33" s="20" t="s">
        <v>76</v>
      </c>
      <c r="L33" s="20" t="s">
        <v>76</v>
      </c>
      <c r="M33" s="26" t="s">
        <v>76</v>
      </c>
      <c r="N33" s="20" t="s">
        <v>76</v>
      </c>
      <c r="O33" s="20" t="s">
        <v>76</v>
      </c>
      <c r="P33" s="26" t="s">
        <v>76</v>
      </c>
    </row>
    <row r="34" spans="1:16">
      <c r="A34" s="9" t="s">
        <v>238</v>
      </c>
      <c r="B34" s="15">
        <v>17.868069001363999</v>
      </c>
      <c r="C34" s="15">
        <v>16.5146451364086</v>
      </c>
      <c r="D34" s="24">
        <v>18.918773389449001</v>
      </c>
      <c r="E34" s="15">
        <v>23.957771526629799</v>
      </c>
      <c r="F34" s="15">
        <v>22.5150371999108</v>
      </c>
      <c r="G34" s="24">
        <v>25.1234231978464</v>
      </c>
      <c r="H34" s="15">
        <v>11.7044498356428</v>
      </c>
      <c r="I34" s="15">
        <v>10.083582294088901</v>
      </c>
      <c r="J34" s="24">
        <v>12.961235561913099</v>
      </c>
      <c r="K34" s="20" t="s">
        <v>76</v>
      </c>
      <c r="L34" s="20" t="s">
        <v>76</v>
      </c>
      <c r="M34" s="26" t="s">
        <v>76</v>
      </c>
      <c r="N34" s="20" t="s">
        <v>76</v>
      </c>
      <c r="O34" s="20" t="s">
        <v>76</v>
      </c>
      <c r="P34" s="26" t="s">
        <v>76</v>
      </c>
    </row>
    <row r="35" spans="1:16">
      <c r="A35" s="9" t="s">
        <v>239</v>
      </c>
      <c r="B35" s="15">
        <v>9.1289770668143095</v>
      </c>
      <c r="C35" s="15">
        <v>10.7164030812535</v>
      </c>
      <c r="D35" s="24">
        <v>7.8966096449597396</v>
      </c>
      <c r="E35" s="15">
        <v>10.3977279092598</v>
      </c>
      <c r="F35" s="15">
        <v>12.903048886603299</v>
      </c>
      <c r="G35" s="24">
        <v>8.3735634251334794</v>
      </c>
      <c r="H35" s="15">
        <v>8.0986049927462798</v>
      </c>
      <c r="I35" s="15">
        <v>8.6475045998440496</v>
      </c>
      <c r="J35" s="24">
        <v>7.6730000782974903</v>
      </c>
      <c r="K35" s="20" t="s">
        <v>76</v>
      </c>
      <c r="L35" s="20" t="s">
        <v>76</v>
      </c>
      <c r="M35" s="26" t="s">
        <v>76</v>
      </c>
      <c r="N35" s="20" t="s">
        <v>76</v>
      </c>
      <c r="O35" s="20" t="s">
        <v>76</v>
      </c>
      <c r="P35" s="26" t="s">
        <v>76</v>
      </c>
    </row>
    <row r="36" spans="1:16">
      <c r="A36" s="9" t="s">
        <v>240</v>
      </c>
      <c r="B36" s="15">
        <v>4.75913884481505</v>
      </c>
      <c r="C36" s="15">
        <v>5.8300563486467603</v>
      </c>
      <c r="D36" s="24">
        <v>3.9277527951904099</v>
      </c>
      <c r="E36" s="15">
        <v>2.2888688179472498</v>
      </c>
      <c r="F36" s="15">
        <v>3.7641048965739299</v>
      </c>
      <c r="G36" s="26" t="s">
        <v>76</v>
      </c>
      <c r="H36" s="15">
        <v>7.3351850781563703</v>
      </c>
      <c r="I36" s="15">
        <v>8.2070254185866691</v>
      </c>
      <c r="J36" s="24">
        <v>6.65917888557816</v>
      </c>
      <c r="K36" s="20" t="s">
        <v>76</v>
      </c>
      <c r="L36" s="20" t="s">
        <v>76</v>
      </c>
      <c r="M36" s="26" t="s">
        <v>76</v>
      </c>
      <c r="N36" s="20" t="s">
        <v>76</v>
      </c>
      <c r="O36" s="20" t="s">
        <v>76</v>
      </c>
      <c r="P36" s="26" t="s">
        <v>76</v>
      </c>
    </row>
    <row r="37" spans="1:16">
      <c r="A37" s="9" t="s">
        <v>241</v>
      </c>
      <c r="B37" s="15">
        <v>10.952302723400701</v>
      </c>
      <c r="C37" s="15">
        <v>10.8401980566644</v>
      </c>
      <c r="D37" s="24">
        <v>11.0393330088231</v>
      </c>
      <c r="E37" s="15">
        <v>8.1546990060638098</v>
      </c>
      <c r="F37" s="15">
        <v>9.9589260013663505</v>
      </c>
      <c r="G37" s="24">
        <v>6.69698071837922</v>
      </c>
      <c r="H37" s="15">
        <v>13.870270720866801</v>
      </c>
      <c r="I37" s="15">
        <v>11.684741789215799</v>
      </c>
      <c r="J37" s="24">
        <v>15.564882708109501</v>
      </c>
      <c r="K37" s="20" t="s">
        <v>76</v>
      </c>
      <c r="L37" s="20" t="s">
        <v>76</v>
      </c>
      <c r="M37" s="26" t="s">
        <v>76</v>
      </c>
      <c r="N37" s="20" t="s">
        <v>76</v>
      </c>
      <c r="O37" s="20" t="s">
        <v>76</v>
      </c>
      <c r="P37" s="26" t="s">
        <v>76</v>
      </c>
    </row>
    <row r="38" spans="1:16">
      <c r="A38" s="9" t="s">
        <v>242</v>
      </c>
      <c r="B38" s="15">
        <v>13.052864427472301</v>
      </c>
      <c r="C38" s="15">
        <v>15.4893820234196</v>
      </c>
      <c r="D38" s="24">
        <v>11.1613212117831</v>
      </c>
      <c r="E38" s="15">
        <v>13.0221032100582</v>
      </c>
      <c r="F38" s="15">
        <v>16.327358916152701</v>
      </c>
      <c r="G38" s="24">
        <v>10.3516345269091</v>
      </c>
      <c r="H38" s="15">
        <v>13.060818813856701</v>
      </c>
      <c r="I38" s="15">
        <v>14.522470165281501</v>
      </c>
      <c r="J38" s="24">
        <v>11.9274858867914</v>
      </c>
      <c r="K38" s="20" t="s">
        <v>76</v>
      </c>
      <c r="L38" s="20" t="s">
        <v>76</v>
      </c>
      <c r="M38" s="26" t="s">
        <v>76</v>
      </c>
      <c r="N38" s="20" t="s">
        <v>76</v>
      </c>
      <c r="O38" s="20" t="s">
        <v>76</v>
      </c>
      <c r="P38" s="26" t="s">
        <v>76</v>
      </c>
    </row>
    <row r="39" spans="1:16">
      <c r="A39" s="9" t="s">
        <v>243</v>
      </c>
      <c r="B39" s="15">
        <v>7.7592485633136601</v>
      </c>
      <c r="C39" s="15">
        <v>8.05685319296302</v>
      </c>
      <c r="D39" s="24">
        <v>7.5282089766892</v>
      </c>
      <c r="E39" s="15">
        <v>8.9338706462038004</v>
      </c>
      <c r="F39" s="15">
        <v>10.047709851882701</v>
      </c>
      <c r="G39" s="24">
        <v>8.0339485278198595</v>
      </c>
      <c r="H39" s="15">
        <v>6.7258536550174304</v>
      </c>
      <c r="I39" s="15">
        <v>6.0808544260289796</v>
      </c>
      <c r="J39" s="24">
        <v>7.2259721432135002</v>
      </c>
      <c r="K39" s="20" t="s">
        <v>76</v>
      </c>
      <c r="L39" s="20" t="s">
        <v>76</v>
      </c>
      <c r="M39" s="26" t="s">
        <v>76</v>
      </c>
      <c r="N39" s="20" t="s">
        <v>76</v>
      </c>
      <c r="O39" s="20" t="s">
        <v>76</v>
      </c>
      <c r="P39" s="26" t="s">
        <v>76</v>
      </c>
    </row>
    <row r="40" spans="1:16">
      <c r="A40" s="9" t="s">
        <v>244</v>
      </c>
      <c r="B40" s="15">
        <v>10.3441116329019</v>
      </c>
      <c r="C40" s="15">
        <v>11.730618358928499</v>
      </c>
      <c r="D40" s="24">
        <v>9.2677240067730509</v>
      </c>
      <c r="E40" s="15">
        <v>6.5554739960083799</v>
      </c>
      <c r="F40" s="15">
        <v>9.0973494717734606</v>
      </c>
      <c r="G40" s="24">
        <v>4.5017754449464302</v>
      </c>
      <c r="H40" s="15">
        <v>14.079500688450899</v>
      </c>
      <c r="I40" s="15">
        <v>14.4613471958831</v>
      </c>
      <c r="J40" s="24">
        <v>13.783425143803401</v>
      </c>
      <c r="K40" s="20" t="s">
        <v>76</v>
      </c>
      <c r="L40" s="20" t="s">
        <v>76</v>
      </c>
      <c r="M40" s="26" t="s">
        <v>76</v>
      </c>
      <c r="N40" s="20" t="s">
        <v>76</v>
      </c>
      <c r="O40" s="20" t="s">
        <v>76</v>
      </c>
      <c r="P40" s="26" t="s">
        <v>76</v>
      </c>
    </row>
    <row r="41" spans="1:16">
      <c r="A41" s="9" t="s">
        <v>245</v>
      </c>
      <c r="B41" s="15">
        <v>7.5177211183389296</v>
      </c>
      <c r="C41" s="15">
        <v>7.8925450586425301</v>
      </c>
      <c r="D41" s="24">
        <v>7.2267338164050603</v>
      </c>
      <c r="E41" s="15">
        <v>6.7839815775482499</v>
      </c>
      <c r="F41" s="15">
        <v>8.0408166273308694</v>
      </c>
      <c r="G41" s="24">
        <v>5.7685265148309997</v>
      </c>
      <c r="H41" s="15">
        <v>8.3904499985208805</v>
      </c>
      <c r="I41" s="15">
        <v>7.8726300262795599</v>
      </c>
      <c r="J41" s="24">
        <v>8.7919564345537005</v>
      </c>
      <c r="K41" s="20" t="s">
        <v>76</v>
      </c>
      <c r="L41" s="20" t="s">
        <v>76</v>
      </c>
      <c r="M41" s="26" t="s">
        <v>76</v>
      </c>
      <c r="N41" s="20" t="s">
        <v>76</v>
      </c>
      <c r="O41" s="20" t="s">
        <v>76</v>
      </c>
      <c r="P41" s="26" t="s">
        <v>76</v>
      </c>
    </row>
    <row r="42" spans="1:16">
      <c r="A42" s="9" t="s">
        <v>246</v>
      </c>
      <c r="B42" s="15">
        <v>6.3001063651930096</v>
      </c>
      <c r="C42" s="15">
        <v>6.9269377625963697</v>
      </c>
      <c r="D42" s="24">
        <v>5.8134779578663496</v>
      </c>
      <c r="E42" s="15">
        <v>5.4723807320942202</v>
      </c>
      <c r="F42" s="15">
        <v>6.81961526086645</v>
      </c>
      <c r="G42" s="24">
        <v>4.3838877567066596</v>
      </c>
      <c r="H42" s="15">
        <v>7.1695321677183497</v>
      </c>
      <c r="I42" s="15">
        <v>7.2499829142535299</v>
      </c>
      <c r="J42" s="24">
        <v>7.1071523943432497</v>
      </c>
      <c r="K42" s="20" t="s">
        <v>76</v>
      </c>
      <c r="L42" s="20" t="s">
        <v>76</v>
      </c>
      <c r="M42" s="26" t="s">
        <v>76</v>
      </c>
      <c r="N42" s="20" t="s">
        <v>76</v>
      </c>
      <c r="O42" s="20" t="s">
        <v>76</v>
      </c>
      <c r="P42" s="26" t="s">
        <v>76</v>
      </c>
    </row>
    <row r="43" spans="1:16">
      <c r="A43" s="9" t="s">
        <v>247</v>
      </c>
      <c r="B43" s="15">
        <v>3.7878053381874102</v>
      </c>
      <c r="C43" s="15">
        <v>3.85110508807221</v>
      </c>
      <c r="D43" s="24">
        <v>3.7386638041190499</v>
      </c>
      <c r="E43" s="15">
        <v>3.39270512026863</v>
      </c>
      <c r="F43" s="15">
        <v>4.5986797448611103</v>
      </c>
      <c r="G43" s="24">
        <v>2.4183425432043002</v>
      </c>
      <c r="H43" s="15">
        <v>4.2826417313362697</v>
      </c>
      <c r="I43" s="15">
        <v>3.0659320687690501</v>
      </c>
      <c r="J43" s="24">
        <v>5.22605215675802</v>
      </c>
      <c r="K43" s="20" t="s">
        <v>76</v>
      </c>
      <c r="L43" s="20" t="s">
        <v>76</v>
      </c>
      <c r="M43" s="26" t="s">
        <v>76</v>
      </c>
      <c r="N43" s="20" t="s">
        <v>76</v>
      </c>
      <c r="O43" s="20" t="s">
        <v>76</v>
      </c>
      <c r="P43" s="26" t="s">
        <v>76</v>
      </c>
    </row>
    <row r="44" spans="1:16">
      <c r="A44" s="9" t="s">
        <v>248</v>
      </c>
      <c r="B44" s="15">
        <v>3.8135475651062598</v>
      </c>
      <c r="C44" s="15">
        <v>5.0683002222089799</v>
      </c>
      <c r="D44" s="24">
        <v>2.8394446569810601</v>
      </c>
      <c r="E44" s="15">
        <v>3.3464278360646</v>
      </c>
      <c r="F44" s="15">
        <v>5.2312134407667497</v>
      </c>
      <c r="G44" s="26" t="s">
        <v>76</v>
      </c>
      <c r="H44" s="15">
        <v>4.4272656282275502</v>
      </c>
      <c r="I44" s="15">
        <v>4.9349898872684301</v>
      </c>
      <c r="J44" s="24">
        <v>4.0335871904250302</v>
      </c>
      <c r="K44" s="20" t="s">
        <v>76</v>
      </c>
      <c r="L44" s="20" t="s">
        <v>76</v>
      </c>
      <c r="M44" s="26" t="s">
        <v>76</v>
      </c>
      <c r="N44" s="20" t="s">
        <v>76</v>
      </c>
      <c r="O44" s="20" t="s">
        <v>76</v>
      </c>
      <c r="P44" s="26" t="s">
        <v>76</v>
      </c>
    </row>
    <row r="45" spans="1:16">
      <c r="A45" s="9" t="s">
        <v>249</v>
      </c>
      <c r="B45" s="15">
        <v>7.0093682067748304</v>
      </c>
      <c r="C45" s="15">
        <v>8.2514354424793908</v>
      </c>
      <c r="D45" s="24">
        <v>6.0451133797075096</v>
      </c>
      <c r="E45" s="15">
        <v>7.8010743514717902</v>
      </c>
      <c r="F45" s="15">
        <v>9.4045069727359305</v>
      </c>
      <c r="G45" s="24">
        <v>6.5055871089173598</v>
      </c>
      <c r="H45" s="15">
        <v>6.1206014675045601</v>
      </c>
      <c r="I45" s="15">
        <v>7.0875977797651704</v>
      </c>
      <c r="J45" s="24">
        <v>5.3708133870793899</v>
      </c>
      <c r="K45" s="20" t="s">
        <v>76</v>
      </c>
      <c r="L45" s="20" t="s">
        <v>76</v>
      </c>
      <c r="M45" s="26" t="s">
        <v>76</v>
      </c>
      <c r="N45" s="20" t="s">
        <v>76</v>
      </c>
      <c r="O45" s="20" t="s">
        <v>76</v>
      </c>
      <c r="P45" s="26" t="s">
        <v>76</v>
      </c>
    </row>
    <row r="46" spans="1:16">
      <c r="A46" s="9" t="s">
        <v>250</v>
      </c>
      <c r="B46" s="15">
        <v>10.6594940184468</v>
      </c>
      <c r="C46" s="15">
        <v>13.407126238455399</v>
      </c>
      <c r="D46" s="24">
        <v>8.5264229937964409</v>
      </c>
      <c r="E46" s="15">
        <v>8.6978975002717807</v>
      </c>
      <c r="F46" s="15">
        <v>12.216088690605099</v>
      </c>
      <c r="G46" s="24">
        <v>5.8553884085265402</v>
      </c>
      <c r="H46" s="15">
        <v>12.2791159879625</v>
      </c>
      <c r="I46" s="15">
        <v>14.5623609211075</v>
      </c>
      <c r="J46" s="24">
        <v>10.5087371210968</v>
      </c>
      <c r="K46" s="20" t="s">
        <v>76</v>
      </c>
      <c r="L46" s="20" t="s">
        <v>76</v>
      </c>
      <c r="M46" s="26" t="s">
        <v>76</v>
      </c>
      <c r="N46" s="20" t="s">
        <v>76</v>
      </c>
      <c r="O46" s="20" t="s">
        <v>76</v>
      </c>
      <c r="P46" s="26" t="s">
        <v>76</v>
      </c>
    </row>
    <row r="47" spans="1:16">
      <c r="A47" s="9" t="s">
        <v>251</v>
      </c>
      <c r="B47" s="15">
        <v>14.270466889518501</v>
      </c>
      <c r="C47" s="15">
        <v>13.368994256111</v>
      </c>
      <c r="D47" s="24">
        <v>14.970307697845801</v>
      </c>
      <c r="E47" s="15">
        <v>14.651524310922399</v>
      </c>
      <c r="F47" s="15">
        <v>15.149575269285</v>
      </c>
      <c r="G47" s="24">
        <v>14.249125947471301</v>
      </c>
      <c r="H47" s="15">
        <v>14.0642885264072</v>
      </c>
      <c r="I47" s="15">
        <v>11.6584298164074</v>
      </c>
      <c r="J47" s="24">
        <v>15.9297394708145</v>
      </c>
      <c r="K47" s="20" t="s">
        <v>76</v>
      </c>
      <c r="L47" s="20" t="s">
        <v>76</v>
      </c>
      <c r="M47" s="26" t="s">
        <v>76</v>
      </c>
      <c r="N47" s="20" t="s">
        <v>76</v>
      </c>
      <c r="O47" s="20" t="s">
        <v>76</v>
      </c>
      <c r="P47" s="26" t="s">
        <v>76</v>
      </c>
    </row>
    <row r="48" spans="1:16">
      <c r="A48" s="9" t="s">
        <v>252</v>
      </c>
      <c r="B48" s="15">
        <v>6.1312158945631596</v>
      </c>
      <c r="C48" s="15">
        <v>5.82343833125947</v>
      </c>
      <c r="D48" s="24">
        <v>6.3701530410778204</v>
      </c>
      <c r="E48" s="15">
        <v>6.1290657406376399</v>
      </c>
      <c r="F48" s="15">
        <v>6.7097568346938798</v>
      </c>
      <c r="G48" s="24">
        <v>5.6598985962011499</v>
      </c>
      <c r="H48" s="15">
        <v>6.18876060863587</v>
      </c>
      <c r="I48" s="15">
        <v>4.9498513002837496</v>
      </c>
      <c r="J48" s="24">
        <v>7.1493841605071502</v>
      </c>
      <c r="K48" s="20" t="s">
        <v>76</v>
      </c>
      <c r="L48" s="20" t="s">
        <v>76</v>
      </c>
      <c r="M48" s="26" t="s">
        <v>76</v>
      </c>
      <c r="N48" s="20" t="s">
        <v>76</v>
      </c>
      <c r="O48" s="20" t="s">
        <v>76</v>
      </c>
      <c r="P48" s="26" t="s">
        <v>76</v>
      </c>
    </row>
    <row r="49" spans="1:16">
      <c r="A49" s="9" t="s">
        <v>253</v>
      </c>
      <c r="B49" s="15">
        <v>17.043289225313899</v>
      </c>
      <c r="C49" s="15">
        <v>16.2905623065942</v>
      </c>
      <c r="D49" s="24">
        <v>17.627654180748301</v>
      </c>
      <c r="E49" s="15">
        <v>13.291893137406401</v>
      </c>
      <c r="F49" s="15">
        <v>14.3710836852017</v>
      </c>
      <c r="G49" s="24">
        <v>12.419965269397901</v>
      </c>
      <c r="H49" s="15">
        <v>21.260058656742</v>
      </c>
      <c r="I49" s="15">
        <v>18.662003850792399</v>
      </c>
      <c r="J49" s="24">
        <v>23.274534307883201</v>
      </c>
      <c r="K49" s="20" t="s">
        <v>76</v>
      </c>
      <c r="L49" s="20" t="s">
        <v>76</v>
      </c>
      <c r="M49" s="26" t="s">
        <v>76</v>
      </c>
      <c r="N49" s="20" t="s">
        <v>76</v>
      </c>
      <c r="O49" s="20" t="s">
        <v>76</v>
      </c>
      <c r="P49" s="26" t="s">
        <v>76</v>
      </c>
    </row>
    <row r="50" spans="1:16">
      <c r="A50" s="9" t="s">
        <v>254</v>
      </c>
      <c r="B50" s="15">
        <v>10.8046902168551</v>
      </c>
      <c r="C50" s="15">
        <v>9.9719062797080298</v>
      </c>
      <c r="D50" s="24">
        <v>11.4512058870336</v>
      </c>
      <c r="E50" s="15">
        <v>9.2313443760721494</v>
      </c>
      <c r="F50" s="15">
        <v>8.1294344259926792</v>
      </c>
      <c r="G50" s="24">
        <v>10.1216282981033</v>
      </c>
      <c r="H50" s="15">
        <v>12.252915728734999</v>
      </c>
      <c r="I50" s="15">
        <v>12.120872922178499</v>
      </c>
      <c r="J50" s="24">
        <v>12.355298872503599</v>
      </c>
      <c r="K50" s="20" t="s">
        <v>76</v>
      </c>
      <c r="L50" s="20" t="s">
        <v>76</v>
      </c>
      <c r="M50" s="26" t="s">
        <v>76</v>
      </c>
      <c r="N50" s="20" t="s">
        <v>76</v>
      </c>
      <c r="O50" s="20" t="s">
        <v>76</v>
      </c>
      <c r="P50" s="26" t="s">
        <v>76</v>
      </c>
    </row>
    <row r="51" spans="1:16">
      <c r="A51" s="9" t="s">
        <v>255</v>
      </c>
      <c r="B51" s="15">
        <v>12.108723368201201</v>
      </c>
      <c r="C51" s="15">
        <v>13.140696165858399</v>
      </c>
      <c r="D51" s="24">
        <v>11.3075712864633</v>
      </c>
      <c r="E51" s="15">
        <v>11.9471944786044</v>
      </c>
      <c r="F51" s="15">
        <v>14.3225701957489</v>
      </c>
      <c r="G51" s="24">
        <v>10.028018769550799</v>
      </c>
      <c r="H51" s="15">
        <v>12.3433079869782</v>
      </c>
      <c r="I51" s="15">
        <v>11.986503717212001</v>
      </c>
      <c r="J51" s="24">
        <v>12.6199663207521</v>
      </c>
      <c r="K51" s="20" t="s">
        <v>76</v>
      </c>
      <c r="L51" s="20" t="s">
        <v>76</v>
      </c>
      <c r="M51" s="26" t="s">
        <v>76</v>
      </c>
      <c r="N51" s="20" t="s">
        <v>76</v>
      </c>
      <c r="O51" s="20" t="s">
        <v>76</v>
      </c>
      <c r="P51" s="26" t="s">
        <v>76</v>
      </c>
    </row>
    <row r="52" spans="1:16">
      <c r="A52" s="9" t="s">
        <v>256</v>
      </c>
      <c r="B52" s="15">
        <v>14.603366778153701</v>
      </c>
      <c r="C52" s="15">
        <v>13.221951741343201</v>
      </c>
      <c r="D52" s="24">
        <v>15.675801570036899</v>
      </c>
      <c r="E52" s="15">
        <v>16.255098741720602</v>
      </c>
      <c r="F52" s="15">
        <v>16.2978087271931</v>
      </c>
      <c r="G52" s="24">
        <v>16.220591372607799</v>
      </c>
      <c r="H52" s="15">
        <v>12.598954855706999</v>
      </c>
      <c r="I52" s="15">
        <v>9.8993924557800899</v>
      </c>
      <c r="J52" s="24">
        <v>14.6921373054904</v>
      </c>
      <c r="K52" s="20" t="s">
        <v>76</v>
      </c>
      <c r="L52" s="20" t="s">
        <v>76</v>
      </c>
      <c r="M52" s="26" t="s">
        <v>76</v>
      </c>
      <c r="N52" s="20" t="s">
        <v>76</v>
      </c>
      <c r="O52" s="20" t="s">
        <v>76</v>
      </c>
      <c r="P52" s="26" t="s">
        <v>76</v>
      </c>
    </row>
    <row r="53" spans="1:16">
      <c r="A53" s="9" t="s">
        <v>257</v>
      </c>
      <c r="B53" s="15">
        <v>15.909618531790001</v>
      </c>
      <c r="C53" s="15">
        <v>16.1370863617684</v>
      </c>
      <c r="D53" s="24">
        <v>15.7330282903328</v>
      </c>
      <c r="E53" s="15">
        <v>15.6445847973716</v>
      </c>
      <c r="F53" s="15">
        <v>16.8079628043171</v>
      </c>
      <c r="G53" s="24">
        <v>14.7046379943197</v>
      </c>
      <c r="H53" s="15">
        <v>16.1631955275226</v>
      </c>
      <c r="I53" s="15">
        <v>15.3696362923223</v>
      </c>
      <c r="J53" s="24">
        <v>16.778504239790099</v>
      </c>
      <c r="K53" s="20" t="s">
        <v>76</v>
      </c>
      <c r="L53" s="20" t="s">
        <v>76</v>
      </c>
      <c r="M53" s="26" t="s">
        <v>76</v>
      </c>
      <c r="N53" s="20" t="s">
        <v>76</v>
      </c>
      <c r="O53" s="20" t="s">
        <v>76</v>
      </c>
      <c r="P53" s="26" t="s">
        <v>76</v>
      </c>
    </row>
    <row r="54" spans="1:16">
      <c r="A54" s="9" t="s">
        <v>258</v>
      </c>
      <c r="B54" s="15">
        <v>14.8914204016643</v>
      </c>
      <c r="C54" s="15">
        <v>15.8621376409251</v>
      </c>
      <c r="D54" s="24">
        <v>14.1378228855493</v>
      </c>
      <c r="E54" s="15">
        <v>10.816020822893201</v>
      </c>
      <c r="F54" s="15">
        <v>12.865965593461301</v>
      </c>
      <c r="G54" s="24">
        <v>9.1597758001877896</v>
      </c>
      <c r="H54" s="15">
        <v>19.359506507061599</v>
      </c>
      <c r="I54" s="15">
        <v>19.254612182939301</v>
      </c>
      <c r="J54" s="24">
        <v>19.4408393031994</v>
      </c>
      <c r="K54" s="20" t="s">
        <v>76</v>
      </c>
      <c r="L54" s="20" t="s">
        <v>76</v>
      </c>
      <c r="M54" s="26" t="s">
        <v>76</v>
      </c>
      <c r="N54" s="20" t="s">
        <v>76</v>
      </c>
      <c r="O54" s="20" t="s">
        <v>76</v>
      </c>
      <c r="P54" s="26" t="s">
        <v>76</v>
      </c>
    </row>
    <row r="55" spans="1:16">
      <c r="A55" s="9" t="s">
        <v>259</v>
      </c>
      <c r="B55" s="15">
        <v>6.3797511694651003</v>
      </c>
      <c r="C55" s="15">
        <v>6.2821025773849897</v>
      </c>
      <c r="D55" s="24">
        <v>6.4555587614882199</v>
      </c>
      <c r="E55" s="15">
        <v>5.6733821428299196</v>
      </c>
      <c r="F55" s="15">
        <v>6.9259296213324202</v>
      </c>
      <c r="G55" s="24">
        <v>4.6613912068999799</v>
      </c>
      <c r="H55" s="15">
        <v>7.2421808845051903</v>
      </c>
      <c r="I55" s="15">
        <v>5.7853511978337604</v>
      </c>
      <c r="J55" s="24">
        <v>8.3717751967339602</v>
      </c>
      <c r="K55" s="20" t="s">
        <v>76</v>
      </c>
      <c r="L55" s="20" t="s">
        <v>76</v>
      </c>
      <c r="M55" s="26" t="s">
        <v>76</v>
      </c>
      <c r="N55" s="20" t="s">
        <v>76</v>
      </c>
      <c r="O55" s="20" t="s">
        <v>76</v>
      </c>
      <c r="P55" s="26" t="s">
        <v>76</v>
      </c>
    </row>
    <row r="56" spans="1:16">
      <c r="A56" s="9" t="s">
        <v>260</v>
      </c>
      <c r="B56" s="15">
        <v>8.8567889429022095</v>
      </c>
      <c r="C56" s="15">
        <v>8.0060080391757094</v>
      </c>
      <c r="D56" s="24">
        <v>9.5172762093017909</v>
      </c>
      <c r="E56" s="15">
        <v>6.7251475698504102</v>
      </c>
      <c r="F56" s="15">
        <v>7.9216172872474599</v>
      </c>
      <c r="G56" s="24">
        <v>5.7584644461351404</v>
      </c>
      <c r="H56" s="15">
        <v>11.046653292658499</v>
      </c>
      <c r="I56" s="15">
        <v>8.2324919724299797</v>
      </c>
      <c r="J56" s="24">
        <v>13.228693273109</v>
      </c>
      <c r="K56" s="20" t="s">
        <v>76</v>
      </c>
      <c r="L56" s="20" t="s">
        <v>76</v>
      </c>
      <c r="M56" s="26" t="s">
        <v>76</v>
      </c>
      <c r="N56" s="20" t="s">
        <v>76</v>
      </c>
      <c r="O56" s="20" t="s">
        <v>76</v>
      </c>
      <c r="P56" s="26" t="s">
        <v>76</v>
      </c>
    </row>
    <row r="57" spans="1:16">
      <c r="A57" s="9" t="s">
        <v>261</v>
      </c>
      <c r="B57" s="15">
        <v>6.74092499590044</v>
      </c>
      <c r="C57" s="15">
        <v>7.6621046898084</v>
      </c>
      <c r="D57" s="24">
        <v>6.0257849930782301</v>
      </c>
      <c r="E57" s="15">
        <v>4.9074066055583803</v>
      </c>
      <c r="F57" s="15">
        <v>6.4456135722472103</v>
      </c>
      <c r="G57" s="24">
        <v>3.6646181806960501</v>
      </c>
      <c r="H57" s="15">
        <v>8.6846422959290397</v>
      </c>
      <c r="I57" s="15">
        <v>9.1891464506055307</v>
      </c>
      <c r="J57" s="24">
        <v>8.2934606575863796</v>
      </c>
      <c r="K57" s="20" t="s">
        <v>76</v>
      </c>
      <c r="L57" s="20" t="s">
        <v>76</v>
      </c>
      <c r="M57" s="26" t="s">
        <v>76</v>
      </c>
      <c r="N57" s="20" t="s">
        <v>76</v>
      </c>
      <c r="O57" s="20" t="s">
        <v>76</v>
      </c>
      <c r="P57" s="26" t="s">
        <v>76</v>
      </c>
    </row>
    <row r="58" spans="1:16">
      <c r="A58" s="9" t="s">
        <v>262</v>
      </c>
      <c r="B58" s="15">
        <v>11.8873164647168</v>
      </c>
      <c r="C58" s="15">
        <v>11.561794175702</v>
      </c>
      <c r="D58" s="24">
        <v>12.140029385142901</v>
      </c>
      <c r="E58" s="15">
        <v>14.1495670568085</v>
      </c>
      <c r="F58" s="15">
        <v>14.891983557974299</v>
      </c>
      <c r="G58" s="24">
        <v>13.5497344893734</v>
      </c>
      <c r="H58" s="15">
        <v>9.5422218825687803</v>
      </c>
      <c r="I58" s="15">
        <v>8.1483915239094298</v>
      </c>
      <c r="J58" s="24">
        <v>10.6229678748822</v>
      </c>
      <c r="K58" s="20" t="s">
        <v>76</v>
      </c>
      <c r="L58" s="20" t="s">
        <v>76</v>
      </c>
      <c r="M58" s="26" t="s">
        <v>76</v>
      </c>
      <c r="N58" s="20" t="s">
        <v>76</v>
      </c>
      <c r="O58" s="20" t="s">
        <v>76</v>
      </c>
      <c r="P58" s="26" t="s">
        <v>76</v>
      </c>
    </row>
    <row r="59" spans="1:16">
      <c r="A59" s="9" t="s">
        <v>263</v>
      </c>
      <c r="B59" s="15">
        <v>2.1092002295065502</v>
      </c>
      <c r="C59" s="15">
        <v>2.03399785814829</v>
      </c>
      <c r="D59" s="24">
        <v>2.1675821330819902</v>
      </c>
      <c r="E59" s="15">
        <v>2.1994746478046698</v>
      </c>
      <c r="F59" s="20" t="s">
        <v>76</v>
      </c>
      <c r="G59" s="26" t="s">
        <v>76</v>
      </c>
      <c r="H59" s="15">
        <v>2.0044020887366201</v>
      </c>
      <c r="I59" s="20" t="s">
        <v>76</v>
      </c>
      <c r="J59" s="24">
        <v>2.3524185976448302</v>
      </c>
      <c r="K59" s="20" t="s">
        <v>76</v>
      </c>
      <c r="L59" s="20" t="s">
        <v>76</v>
      </c>
      <c r="M59" s="26" t="s">
        <v>76</v>
      </c>
      <c r="N59" s="20" t="s">
        <v>76</v>
      </c>
      <c r="O59" s="20" t="s">
        <v>76</v>
      </c>
      <c r="P59" s="26" t="s">
        <v>76</v>
      </c>
    </row>
    <row r="60" spans="1:16">
      <c r="A60" s="9" t="s">
        <v>264</v>
      </c>
      <c r="B60" s="15">
        <v>2.2878944520236799</v>
      </c>
      <c r="C60" s="15">
        <v>1.8655426094153</v>
      </c>
      <c r="D60" s="24">
        <v>2.61577911981697</v>
      </c>
      <c r="E60" s="15">
        <v>2.5688888098259999</v>
      </c>
      <c r="F60" s="20" t="s">
        <v>76</v>
      </c>
      <c r="G60" s="24">
        <v>2.8590499547344002</v>
      </c>
      <c r="H60" s="15">
        <v>1.7777738900351201</v>
      </c>
      <c r="I60" s="20" t="s">
        <v>76</v>
      </c>
      <c r="J60" s="26" t="s">
        <v>76</v>
      </c>
      <c r="K60" s="20" t="s">
        <v>76</v>
      </c>
      <c r="L60" s="20" t="s">
        <v>76</v>
      </c>
      <c r="M60" s="26" t="s">
        <v>76</v>
      </c>
      <c r="N60" s="20" t="s">
        <v>76</v>
      </c>
      <c r="O60" s="20" t="s">
        <v>76</v>
      </c>
      <c r="P60" s="26" t="s">
        <v>76</v>
      </c>
    </row>
    <row r="61" spans="1:16">
      <c r="A61" s="9" t="s">
        <v>265</v>
      </c>
      <c r="B61" s="15">
        <v>2.8583419513271302</v>
      </c>
      <c r="C61" s="15">
        <v>2.6778611506130199</v>
      </c>
      <c r="D61" s="24">
        <v>2.9984547232277898</v>
      </c>
      <c r="E61" s="15">
        <v>2.8100879471484599</v>
      </c>
      <c r="F61" s="20" t="s">
        <v>76</v>
      </c>
      <c r="G61" s="24">
        <v>2.7212472210504601</v>
      </c>
      <c r="H61" s="15">
        <v>2.82660945413192</v>
      </c>
      <c r="I61" s="20" t="s">
        <v>76</v>
      </c>
      <c r="J61" s="24">
        <v>3.0794808448833799</v>
      </c>
      <c r="K61" s="20" t="s">
        <v>76</v>
      </c>
      <c r="L61" s="20" t="s">
        <v>76</v>
      </c>
      <c r="M61" s="26" t="s">
        <v>76</v>
      </c>
      <c r="N61" s="20" t="s">
        <v>76</v>
      </c>
      <c r="O61" s="20" t="s">
        <v>76</v>
      </c>
      <c r="P61" s="26" t="s">
        <v>76</v>
      </c>
    </row>
    <row r="62" spans="1:16">
      <c r="A62" s="9" t="s">
        <v>266</v>
      </c>
      <c r="B62" s="15">
        <v>7.5232346671794703</v>
      </c>
      <c r="C62" s="15">
        <v>8.1231792418042303</v>
      </c>
      <c r="D62" s="24">
        <v>7.0574793236479803</v>
      </c>
      <c r="E62" s="15">
        <v>7.3173452826126697</v>
      </c>
      <c r="F62" s="15">
        <v>8.3075061569316109</v>
      </c>
      <c r="G62" s="24">
        <v>6.5173485981586499</v>
      </c>
      <c r="H62" s="15">
        <v>7.8440382788054501</v>
      </c>
      <c r="I62" s="15">
        <v>8.0471983893447092</v>
      </c>
      <c r="J62" s="24">
        <v>7.6865123116752399</v>
      </c>
      <c r="K62" s="20" t="s">
        <v>76</v>
      </c>
      <c r="L62" s="20" t="s">
        <v>76</v>
      </c>
      <c r="M62" s="26" t="s">
        <v>76</v>
      </c>
      <c r="N62" s="20" t="s">
        <v>76</v>
      </c>
      <c r="O62" s="20" t="s">
        <v>76</v>
      </c>
      <c r="P62" s="26" t="s">
        <v>76</v>
      </c>
    </row>
    <row r="63" spans="1:16">
      <c r="A63" s="9" t="s">
        <v>267</v>
      </c>
      <c r="B63" s="15">
        <v>9.4876281271859995</v>
      </c>
      <c r="C63" s="15">
        <v>9.9426233088605809</v>
      </c>
      <c r="D63" s="24">
        <v>9.1344014357394396</v>
      </c>
      <c r="E63" s="15">
        <v>11.4145718996058</v>
      </c>
      <c r="F63" s="15">
        <v>13.0162007006923</v>
      </c>
      <c r="G63" s="24">
        <v>10.1205420466523</v>
      </c>
      <c r="H63" s="15">
        <v>7.57744501865555</v>
      </c>
      <c r="I63" s="15">
        <v>6.8625551989201101</v>
      </c>
      <c r="J63" s="24">
        <v>8.1317551632328904</v>
      </c>
      <c r="K63" s="20" t="s">
        <v>76</v>
      </c>
      <c r="L63" s="20" t="s">
        <v>76</v>
      </c>
      <c r="M63" s="26" t="s">
        <v>76</v>
      </c>
      <c r="N63" s="20" t="s">
        <v>76</v>
      </c>
      <c r="O63" s="20" t="s">
        <v>76</v>
      </c>
      <c r="P63" s="26" t="s">
        <v>76</v>
      </c>
    </row>
    <row r="64" spans="1:16">
      <c r="A64" s="11" t="s">
        <v>268</v>
      </c>
      <c r="B64" s="16">
        <v>1.3290513507974899</v>
      </c>
      <c r="C64" s="16">
        <v>1.98395616775415</v>
      </c>
      <c r="D64" s="29" t="s">
        <v>76</v>
      </c>
      <c r="E64" s="16">
        <v>1.3575014246408299</v>
      </c>
      <c r="F64" s="28" t="s">
        <v>76</v>
      </c>
      <c r="G64" s="29" t="s">
        <v>76</v>
      </c>
      <c r="H64" s="28" t="s">
        <v>76</v>
      </c>
      <c r="I64" s="28" t="s">
        <v>76</v>
      </c>
      <c r="J64" s="29" t="s">
        <v>76</v>
      </c>
      <c r="K64" s="28" t="s">
        <v>76</v>
      </c>
      <c r="L64" s="28" t="s">
        <v>76</v>
      </c>
      <c r="M64" s="29" t="s">
        <v>76</v>
      </c>
      <c r="N64" s="28" t="s">
        <v>76</v>
      </c>
      <c r="O64" s="28" t="s">
        <v>76</v>
      </c>
      <c r="P64" s="29" t="s">
        <v>76</v>
      </c>
    </row>
    <row r="65" spans="1:1" ht="30" customHeight="1">
      <c r="A65" t="s">
        <v>143</v>
      </c>
    </row>
    <row r="66" spans="1:1">
      <c r="A66" t="s">
        <v>144</v>
      </c>
    </row>
    <row r="67" spans="1:1">
      <c r="A67" t="s">
        <v>145</v>
      </c>
    </row>
    <row r="68" spans="1:1">
      <c r="A68" t="s">
        <v>146</v>
      </c>
    </row>
    <row r="69" spans="1:1">
      <c r="A69" t="s">
        <v>147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O71"/>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304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9" t="s">
        <v>207</v>
      </c>
      <c r="B3" s="36">
        <v>21.046246025691801</v>
      </c>
      <c r="C3" s="32">
        <v>19.900902902869699</v>
      </c>
      <c r="D3" s="32">
        <v>17.203276111023001</v>
      </c>
      <c r="E3" s="32">
        <v>17.3589601604798</v>
      </c>
      <c r="F3" s="15">
        <v>16.6666666666667</v>
      </c>
      <c r="G3" s="15">
        <v>17.910447761194</v>
      </c>
      <c r="H3" s="15">
        <v>20.731707317073202</v>
      </c>
      <c r="I3" s="15">
        <v>20</v>
      </c>
      <c r="J3" s="15">
        <v>22.2222222222222</v>
      </c>
      <c r="K3" s="15">
        <v>22</v>
      </c>
      <c r="L3" s="15">
        <v>14.84375</v>
      </c>
      <c r="M3" s="15">
        <v>13.235294117647101</v>
      </c>
      <c r="N3" s="15">
        <v>16.326530612244898</v>
      </c>
      <c r="O3" s="15">
        <v>26.1904761904762</v>
      </c>
      <c r="P3" s="15">
        <v>17.037037037036999</v>
      </c>
      <c r="Q3" s="15">
        <v>21.6666666666667</v>
      </c>
      <c r="R3" s="15">
        <v>15.384615384615399</v>
      </c>
      <c r="S3" s="15">
        <v>27</v>
      </c>
      <c r="T3" s="20" t="s">
        <v>76</v>
      </c>
      <c r="U3" s="15">
        <v>14.893617021276601</v>
      </c>
      <c r="V3" s="15">
        <v>18.518518518518501</v>
      </c>
      <c r="W3" s="15">
        <v>10.714285714285699</v>
      </c>
      <c r="X3" s="15">
        <v>22.115384615384599</v>
      </c>
      <c r="Y3" s="15">
        <v>17.0731707317073</v>
      </c>
      <c r="Z3" s="20" t="s">
        <v>76</v>
      </c>
      <c r="AA3" s="15">
        <v>17.808219178082201</v>
      </c>
      <c r="AB3" s="15">
        <v>19.230769230769202</v>
      </c>
      <c r="AC3" s="15">
        <v>13.580246913580201</v>
      </c>
      <c r="AD3" s="15">
        <v>13.6842105263158</v>
      </c>
      <c r="AE3" s="15">
        <v>16.393442622950801</v>
      </c>
      <c r="AF3" s="20" t="s">
        <v>76</v>
      </c>
      <c r="AG3" s="32">
        <v>17.0824138163978</v>
      </c>
      <c r="AH3" s="15">
        <v>15.7718120805369</v>
      </c>
      <c r="AI3" s="15">
        <v>18.289085545722699</v>
      </c>
      <c r="AJ3" s="15">
        <v>19.174041297935101</v>
      </c>
      <c r="AK3" s="15">
        <v>19.031141868512101</v>
      </c>
      <c r="AL3" s="15">
        <v>18.435754189944099</v>
      </c>
      <c r="AM3" s="15">
        <v>14.7692307692308</v>
      </c>
      <c r="AN3" s="24">
        <v>17.4050632911392</v>
      </c>
      <c r="AO3" s="38"/>
    </row>
    <row r="4" spans="1:41">
      <c r="A4" s="9" t="s">
        <v>208</v>
      </c>
      <c r="B4" s="36">
        <v>9.6275013879961193</v>
      </c>
      <c r="C4" s="32">
        <v>9.5158344097915908</v>
      </c>
      <c r="D4" s="32">
        <v>8.6844809898586206</v>
      </c>
      <c r="E4" s="32">
        <v>10.4555553377633</v>
      </c>
      <c r="F4" s="15">
        <v>11.4583333333333</v>
      </c>
      <c r="G4" s="15">
        <v>10.4477611940298</v>
      </c>
      <c r="H4" s="15">
        <v>18.292682926829301</v>
      </c>
      <c r="I4" s="20" t="s">
        <v>76</v>
      </c>
      <c r="J4" s="15">
        <v>17.283950617283899</v>
      </c>
      <c r="K4" s="15">
        <v>28</v>
      </c>
      <c r="L4" s="15">
        <v>4.6875</v>
      </c>
      <c r="M4" s="15">
        <v>8.8235294117646994</v>
      </c>
      <c r="N4" s="20" t="s">
        <v>76</v>
      </c>
      <c r="O4" s="20" t="s">
        <v>76</v>
      </c>
      <c r="P4" s="15">
        <v>4.4444444444444402</v>
      </c>
      <c r="Q4" s="15">
        <v>15</v>
      </c>
      <c r="R4" s="15">
        <v>5.4945054945054901</v>
      </c>
      <c r="S4" s="15">
        <v>19</v>
      </c>
      <c r="T4" s="20" t="s">
        <v>76</v>
      </c>
      <c r="U4" s="20" t="s">
        <v>76</v>
      </c>
      <c r="V4" s="15">
        <v>20.370370370370399</v>
      </c>
      <c r="W4" s="20" t="s">
        <v>76</v>
      </c>
      <c r="X4" s="15">
        <v>12.5</v>
      </c>
      <c r="Y4" s="20" t="s">
        <v>76</v>
      </c>
      <c r="Z4" s="20" t="s">
        <v>76</v>
      </c>
      <c r="AA4" s="15">
        <v>17.808219178082201</v>
      </c>
      <c r="AB4" s="15">
        <v>10.2564102564103</v>
      </c>
      <c r="AC4" s="20" t="s">
        <v>76</v>
      </c>
      <c r="AD4" s="15">
        <v>9.4736842105263204</v>
      </c>
      <c r="AE4" s="15">
        <v>14.7540983606557</v>
      </c>
      <c r="AF4" s="20" t="s">
        <v>76</v>
      </c>
      <c r="AG4" s="32">
        <v>7.3095417434389898</v>
      </c>
      <c r="AH4" s="15">
        <v>4.3624161073825496</v>
      </c>
      <c r="AI4" s="15">
        <v>7.9646017699114999</v>
      </c>
      <c r="AJ4" s="15">
        <v>5.8997050147492596</v>
      </c>
      <c r="AK4" s="15">
        <v>6.9204152249134898</v>
      </c>
      <c r="AL4" s="15">
        <v>5.0279329608938497</v>
      </c>
      <c r="AM4" s="15">
        <v>10.7692307692308</v>
      </c>
      <c r="AN4" s="24">
        <v>8.2278481012658204</v>
      </c>
      <c r="AO4" s="38"/>
    </row>
    <row r="5" spans="1:41">
      <c r="A5" s="9" t="s">
        <v>209</v>
      </c>
      <c r="B5" s="36">
        <v>10.404927245985601</v>
      </c>
      <c r="C5" s="32">
        <v>10.7920917611112</v>
      </c>
      <c r="D5" s="32">
        <v>9.4890788621516595</v>
      </c>
      <c r="E5" s="32">
        <v>6.2399770471202496</v>
      </c>
      <c r="F5" s="20" t="s">
        <v>76</v>
      </c>
      <c r="G5" s="20" t="s">
        <v>76</v>
      </c>
      <c r="H5" s="15">
        <v>10.975609756097599</v>
      </c>
      <c r="I5" s="20" t="s">
        <v>76</v>
      </c>
      <c r="J5" s="15">
        <v>8.6419753086419693</v>
      </c>
      <c r="K5" s="15">
        <v>18</v>
      </c>
      <c r="L5" s="15">
        <v>6.25</v>
      </c>
      <c r="M5" s="20" t="s">
        <v>76</v>
      </c>
      <c r="N5" s="20" t="s">
        <v>76</v>
      </c>
      <c r="O5" s="15">
        <v>14.285714285714301</v>
      </c>
      <c r="P5" s="15">
        <v>5.92592592592593</v>
      </c>
      <c r="Q5" s="15">
        <v>8.3333333333333304</v>
      </c>
      <c r="R5" s="15">
        <v>7.6923076923076898</v>
      </c>
      <c r="S5" s="15">
        <v>11</v>
      </c>
      <c r="T5" s="20" t="s">
        <v>76</v>
      </c>
      <c r="U5" s="20" t="s">
        <v>76</v>
      </c>
      <c r="V5" s="20" t="s">
        <v>76</v>
      </c>
      <c r="W5" s="20" t="s">
        <v>76</v>
      </c>
      <c r="X5" s="20" t="s">
        <v>76</v>
      </c>
      <c r="Y5" s="20" t="s">
        <v>76</v>
      </c>
      <c r="Z5" s="20" t="s">
        <v>76</v>
      </c>
      <c r="AA5" s="15">
        <v>8.2191780821917799</v>
      </c>
      <c r="AB5" s="20" t="s">
        <v>76</v>
      </c>
      <c r="AC5" s="15">
        <v>7.4074074074074101</v>
      </c>
      <c r="AD5" s="20" t="s">
        <v>76</v>
      </c>
      <c r="AE5" s="20" t="s">
        <v>76</v>
      </c>
      <c r="AF5" s="20" t="s">
        <v>76</v>
      </c>
      <c r="AG5" s="32">
        <v>12.011456088373301</v>
      </c>
      <c r="AH5" s="15">
        <v>9.0604026845637602</v>
      </c>
      <c r="AI5" s="15">
        <v>11.7994100294985</v>
      </c>
      <c r="AJ5" s="15">
        <v>15.044247787610599</v>
      </c>
      <c r="AK5" s="15">
        <v>7.2664359861591699</v>
      </c>
      <c r="AL5" s="15">
        <v>11.731843575418999</v>
      </c>
      <c r="AM5" s="15">
        <v>12.9230769230769</v>
      </c>
      <c r="AN5" s="24">
        <v>8.8607594936708907</v>
      </c>
      <c r="AO5" s="38"/>
    </row>
    <row r="6" spans="1:41">
      <c r="A6" s="9" t="s">
        <v>210</v>
      </c>
      <c r="B6" s="36">
        <v>13.3200141643004</v>
      </c>
      <c r="C6" s="32">
        <v>13.297983932378999</v>
      </c>
      <c r="D6" s="32">
        <v>13.7415628796577</v>
      </c>
      <c r="E6" s="32">
        <v>15.653590298250601</v>
      </c>
      <c r="F6" s="15">
        <v>12.5</v>
      </c>
      <c r="G6" s="15">
        <v>17.910447761194</v>
      </c>
      <c r="H6" s="15">
        <v>34.146341463414601</v>
      </c>
      <c r="I6" s="15">
        <v>12.5</v>
      </c>
      <c r="J6" s="15">
        <v>11.1111111111111</v>
      </c>
      <c r="K6" s="15">
        <v>18</v>
      </c>
      <c r="L6" s="15">
        <v>15.625</v>
      </c>
      <c r="M6" s="15">
        <v>22.0588235294118</v>
      </c>
      <c r="N6" s="15">
        <v>12.244897959183699</v>
      </c>
      <c r="O6" s="15">
        <v>16.6666666666667</v>
      </c>
      <c r="P6" s="15">
        <v>15.5555555555556</v>
      </c>
      <c r="Q6" s="15">
        <v>11.6666666666667</v>
      </c>
      <c r="R6" s="15">
        <v>7.6923076923076898</v>
      </c>
      <c r="S6" s="15">
        <v>25</v>
      </c>
      <c r="T6" s="20" t="s">
        <v>76</v>
      </c>
      <c r="U6" s="15">
        <v>14.893617021276601</v>
      </c>
      <c r="V6" s="15">
        <v>16.6666666666667</v>
      </c>
      <c r="W6" s="15">
        <v>10.714285714285699</v>
      </c>
      <c r="X6" s="15">
        <v>22.115384615384599</v>
      </c>
      <c r="Y6" s="15">
        <v>17.0731707317073</v>
      </c>
      <c r="Z6" s="15">
        <v>15.2173913043478</v>
      </c>
      <c r="AA6" s="15">
        <v>15.068493150684899</v>
      </c>
      <c r="AB6" s="15">
        <v>23.076923076923102</v>
      </c>
      <c r="AC6" s="15">
        <v>16.049382716049401</v>
      </c>
      <c r="AD6" s="15">
        <v>10.526315789473699</v>
      </c>
      <c r="AE6" s="20" t="s">
        <v>76</v>
      </c>
      <c r="AF6" s="20" t="s">
        <v>76</v>
      </c>
      <c r="AG6" s="32">
        <v>12.257197448492199</v>
      </c>
      <c r="AH6" s="15">
        <v>7.7181208053691304</v>
      </c>
      <c r="AI6" s="15">
        <v>15.929203539823</v>
      </c>
      <c r="AJ6" s="15">
        <v>10.0294985250737</v>
      </c>
      <c r="AK6" s="15">
        <v>13.4948096885813</v>
      </c>
      <c r="AL6" s="15">
        <v>10.055865921787699</v>
      </c>
      <c r="AM6" s="15">
        <v>16.307692307692299</v>
      </c>
      <c r="AN6" s="24">
        <v>10.126582278480999</v>
      </c>
      <c r="AO6" s="38"/>
    </row>
    <row r="7" spans="1:41">
      <c r="A7" s="9" t="s">
        <v>211</v>
      </c>
      <c r="B7" s="36">
        <v>11.445858685249799</v>
      </c>
      <c r="C7" s="32">
        <v>11.0548805829701</v>
      </c>
      <c r="D7" s="32">
        <v>9.1570409470909002</v>
      </c>
      <c r="E7" s="32">
        <v>10.764565480585601</v>
      </c>
      <c r="F7" s="15">
        <v>9.375</v>
      </c>
      <c r="G7" s="20" t="s">
        <v>76</v>
      </c>
      <c r="H7" s="15">
        <v>12.1951219512195</v>
      </c>
      <c r="I7" s="20" t="s">
        <v>76</v>
      </c>
      <c r="J7" s="15">
        <v>9.8765432098765409</v>
      </c>
      <c r="K7" s="20" t="s">
        <v>76</v>
      </c>
      <c r="L7" s="15">
        <v>8.59375</v>
      </c>
      <c r="M7" s="15">
        <v>16.176470588235301</v>
      </c>
      <c r="N7" s="20" t="s">
        <v>76</v>
      </c>
      <c r="O7" s="15">
        <v>16.6666666666667</v>
      </c>
      <c r="P7" s="15">
        <v>6.6666666666666696</v>
      </c>
      <c r="Q7" s="15">
        <v>10</v>
      </c>
      <c r="R7" s="15">
        <v>14.285714285714301</v>
      </c>
      <c r="S7" s="15">
        <v>10</v>
      </c>
      <c r="T7" s="15">
        <v>18.181818181818201</v>
      </c>
      <c r="U7" s="20" t="s">
        <v>76</v>
      </c>
      <c r="V7" s="15">
        <v>11.1111111111111</v>
      </c>
      <c r="W7" s="15">
        <v>12.5</v>
      </c>
      <c r="X7" s="15">
        <v>23.076923076923102</v>
      </c>
      <c r="Y7" s="20" t="s">
        <v>76</v>
      </c>
      <c r="Z7" s="20" t="s">
        <v>76</v>
      </c>
      <c r="AA7" s="15">
        <v>9.5890410958904102</v>
      </c>
      <c r="AB7" s="15">
        <v>10.2564102564103</v>
      </c>
      <c r="AC7" s="15">
        <v>9.8765432098765409</v>
      </c>
      <c r="AD7" s="15">
        <v>9.4736842105263204</v>
      </c>
      <c r="AE7" s="15">
        <v>11.4754098360656</v>
      </c>
      <c r="AF7" s="20" t="s">
        <v>76</v>
      </c>
      <c r="AG7" s="32">
        <v>7.9090704294787102</v>
      </c>
      <c r="AH7" s="15">
        <v>7.3825503355704702</v>
      </c>
      <c r="AI7" s="15">
        <v>10.914454277286101</v>
      </c>
      <c r="AJ7" s="15">
        <v>8.8495575221238898</v>
      </c>
      <c r="AK7" s="15">
        <v>8.3044982698961896</v>
      </c>
      <c r="AL7" s="15">
        <v>10.055865921787699</v>
      </c>
      <c r="AM7" s="15">
        <v>10.153846153846199</v>
      </c>
      <c r="AN7" s="24">
        <v>7.9113924050632898</v>
      </c>
      <c r="AO7" s="38"/>
    </row>
    <row r="8" spans="1:41">
      <c r="A8" s="9" t="s">
        <v>212</v>
      </c>
      <c r="B8" s="36">
        <v>2.4856594057021</v>
      </c>
      <c r="C8" s="32">
        <v>2.3992723426820799</v>
      </c>
      <c r="D8" s="32">
        <v>2.0245341601142801</v>
      </c>
      <c r="E8" s="32">
        <v>2.1659900807143599</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2">
        <v>1.9147175975845501</v>
      </c>
      <c r="AH8" s="20" t="s">
        <v>76</v>
      </c>
      <c r="AI8" s="15">
        <v>1.47492625368732</v>
      </c>
      <c r="AJ8" s="15">
        <v>1.76991150442478</v>
      </c>
      <c r="AK8" s="20" t="s">
        <v>76</v>
      </c>
      <c r="AL8" s="15">
        <v>2.7932960893854699</v>
      </c>
      <c r="AM8" s="15">
        <v>2.1538461538461502</v>
      </c>
      <c r="AN8" s="24">
        <v>3.16455696202532</v>
      </c>
      <c r="AO8" s="38"/>
    </row>
    <row r="9" spans="1:41">
      <c r="A9" s="9" t="s">
        <v>213</v>
      </c>
      <c r="B9" s="36">
        <v>6.5154896858226596</v>
      </c>
      <c r="C9" s="32">
        <v>6.4870657969001302</v>
      </c>
      <c r="D9" s="32">
        <v>5.0984362415846904</v>
      </c>
      <c r="E9" s="32">
        <v>5.6070329689938099</v>
      </c>
      <c r="F9" s="20" t="s">
        <v>76</v>
      </c>
      <c r="G9" s="20" t="s">
        <v>76</v>
      </c>
      <c r="H9" s="15">
        <v>7.3170731707317103</v>
      </c>
      <c r="I9" s="20" t="s">
        <v>76</v>
      </c>
      <c r="J9" s="20" t="s">
        <v>76</v>
      </c>
      <c r="K9" s="15">
        <v>10</v>
      </c>
      <c r="L9" s="20" t="s">
        <v>76</v>
      </c>
      <c r="M9" s="20" t="s">
        <v>76</v>
      </c>
      <c r="N9" s="20" t="s">
        <v>76</v>
      </c>
      <c r="O9" s="15">
        <v>11.9047619047619</v>
      </c>
      <c r="P9" s="20" t="s">
        <v>76</v>
      </c>
      <c r="Q9" s="20" t="s">
        <v>76</v>
      </c>
      <c r="R9" s="15">
        <v>6.5934065934065904</v>
      </c>
      <c r="S9" s="15">
        <v>9</v>
      </c>
      <c r="T9" s="20" t="s">
        <v>76</v>
      </c>
      <c r="U9" s="20" t="s">
        <v>76</v>
      </c>
      <c r="V9" s="20" t="s">
        <v>76</v>
      </c>
      <c r="W9" s="20" t="s">
        <v>76</v>
      </c>
      <c r="X9" s="15">
        <v>7.6923076923076898</v>
      </c>
      <c r="Y9" s="20" t="s">
        <v>76</v>
      </c>
      <c r="Z9" s="15">
        <v>10.869565217391299</v>
      </c>
      <c r="AA9" s="15">
        <v>8.2191780821917799</v>
      </c>
      <c r="AB9" s="15">
        <v>6.4102564102564097</v>
      </c>
      <c r="AC9" s="20" t="s">
        <v>76</v>
      </c>
      <c r="AD9" s="15">
        <v>5.2631578947368398</v>
      </c>
      <c r="AE9" s="20" t="s">
        <v>76</v>
      </c>
      <c r="AF9" s="20" t="s">
        <v>76</v>
      </c>
      <c r="AG9" s="32">
        <v>4.7035970289097904</v>
      </c>
      <c r="AH9" s="15">
        <v>4.6979865771812097</v>
      </c>
      <c r="AI9" s="15">
        <v>4.71976401179941</v>
      </c>
      <c r="AJ9" s="15">
        <v>5.8997050147492596</v>
      </c>
      <c r="AK9" s="15">
        <v>5.5363321799307998</v>
      </c>
      <c r="AL9" s="15">
        <v>3.3519553072625698</v>
      </c>
      <c r="AM9" s="15">
        <v>4.6153846153846096</v>
      </c>
      <c r="AN9" s="24">
        <v>5.0632911392405102</v>
      </c>
      <c r="AO9" s="38"/>
    </row>
    <row r="10" spans="1:41">
      <c r="A10" s="9" t="s">
        <v>214</v>
      </c>
      <c r="B10" s="36">
        <v>17.081788786613501</v>
      </c>
      <c r="C10" s="32">
        <v>16.753103035682301</v>
      </c>
      <c r="D10" s="32">
        <v>14.699581169790299</v>
      </c>
      <c r="E10" s="32">
        <v>11.905274053963</v>
      </c>
      <c r="F10" s="15">
        <v>8.3333333333333304</v>
      </c>
      <c r="G10" s="15">
        <v>11.9402985074627</v>
      </c>
      <c r="H10" s="15">
        <v>15.853658536585399</v>
      </c>
      <c r="I10" s="15">
        <v>17.5</v>
      </c>
      <c r="J10" s="15">
        <v>12.3456790123457</v>
      </c>
      <c r="K10" s="20" t="s">
        <v>76</v>
      </c>
      <c r="L10" s="15">
        <v>10.9375</v>
      </c>
      <c r="M10" s="15">
        <v>16.176470588235301</v>
      </c>
      <c r="N10" s="20" t="s">
        <v>76</v>
      </c>
      <c r="O10" s="15">
        <v>11.9047619047619</v>
      </c>
      <c r="P10" s="15">
        <v>8.8888888888888893</v>
      </c>
      <c r="Q10" s="15">
        <v>13.3333333333333</v>
      </c>
      <c r="R10" s="15">
        <v>17.582417582417602</v>
      </c>
      <c r="S10" s="15">
        <v>16</v>
      </c>
      <c r="T10" s="20" t="s">
        <v>76</v>
      </c>
      <c r="U10" s="20" t="s">
        <v>76</v>
      </c>
      <c r="V10" s="15">
        <v>12.962962962962999</v>
      </c>
      <c r="W10" s="15">
        <v>12.5</v>
      </c>
      <c r="X10" s="15">
        <v>15.384615384615399</v>
      </c>
      <c r="Y10" s="20" t="s">
        <v>76</v>
      </c>
      <c r="Z10" s="15">
        <v>10.869565217391299</v>
      </c>
      <c r="AA10" s="15">
        <v>8.2191780821917799</v>
      </c>
      <c r="AB10" s="15">
        <v>16.6666666666667</v>
      </c>
      <c r="AC10" s="15">
        <v>12.3456790123457</v>
      </c>
      <c r="AD10" s="15">
        <v>7.3684210526315796</v>
      </c>
      <c r="AE10" s="15">
        <v>14.7540983606557</v>
      </c>
      <c r="AF10" s="20" t="s">
        <v>76</v>
      </c>
      <c r="AG10" s="32">
        <v>16.868887345246002</v>
      </c>
      <c r="AH10" s="15">
        <v>13.4228187919463</v>
      </c>
      <c r="AI10" s="15">
        <v>21.828908554572301</v>
      </c>
      <c r="AJ10" s="15">
        <v>13.569321533923301</v>
      </c>
      <c r="AK10" s="15">
        <v>16.6089965397924</v>
      </c>
      <c r="AL10" s="15">
        <v>22.905027932960898</v>
      </c>
      <c r="AM10" s="15">
        <v>16.615384615384599</v>
      </c>
      <c r="AN10" s="24">
        <v>16.772151898734201</v>
      </c>
      <c r="AO10" s="38"/>
    </row>
    <row r="11" spans="1:41">
      <c r="A11" s="9" t="s">
        <v>215</v>
      </c>
      <c r="B11" s="36">
        <v>15.3790368882698</v>
      </c>
      <c r="C11" s="32">
        <v>15.3706963302782</v>
      </c>
      <c r="D11" s="32">
        <v>13.2832078656202</v>
      </c>
      <c r="E11" s="32">
        <v>13.432884079555</v>
      </c>
      <c r="F11" s="15">
        <v>20.8333333333333</v>
      </c>
      <c r="G11" s="15">
        <v>11.9402985074627</v>
      </c>
      <c r="H11" s="15">
        <v>13.4146341463415</v>
      </c>
      <c r="I11" s="15">
        <v>20</v>
      </c>
      <c r="J11" s="15">
        <v>16.049382716049401</v>
      </c>
      <c r="K11" s="15">
        <v>16</v>
      </c>
      <c r="L11" s="15">
        <v>10.9375</v>
      </c>
      <c r="M11" s="15">
        <v>16.176470588235301</v>
      </c>
      <c r="N11" s="15">
        <v>10.2040816326531</v>
      </c>
      <c r="O11" s="15">
        <v>28.571428571428601</v>
      </c>
      <c r="P11" s="15">
        <v>7.4074074074074101</v>
      </c>
      <c r="Q11" s="15">
        <v>16.6666666666667</v>
      </c>
      <c r="R11" s="15">
        <v>14.285714285714301</v>
      </c>
      <c r="S11" s="15">
        <v>13</v>
      </c>
      <c r="T11" s="20" t="s">
        <v>76</v>
      </c>
      <c r="U11" s="20" t="s">
        <v>76</v>
      </c>
      <c r="V11" s="15">
        <v>14.814814814814801</v>
      </c>
      <c r="W11" s="20" t="s">
        <v>76</v>
      </c>
      <c r="X11" s="15">
        <v>24.038461538461501</v>
      </c>
      <c r="Y11" s="20" t="s">
        <v>76</v>
      </c>
      <c r="Z11" s="20" t="s">
        <v>76</v>
      </c>
      <c r="AA11" s="15">
        <v>10.958904109589</v>
      </c>
      <c r="AB11" s="15">
        <v>16.6666666666667</v>
      </c>
      <c r="AC11" s="15">
        <v>12.3456790123457</v>
      </c>
      <c r="AD11" s="15">
        <v>10.526315789473699</v>
      </c>
      <c r="AE11" s="15">
        <v>22.9508196721311</v>
      </c>
      <c r="AF11" s="20" t="s">
        <v>76</v>
      </c>
      <c r="AG11" s="32">
        <v>13.1670096376701</v>
      </c>
      <c r="AH11" s="15">
        <v>11.4093959731544</v>
      </c>
      <c r="AI11" s="15">
        <v>11.2094395280236</v>
      </c>
      <c r="AJ11" s="15">
        <v>13.2743362831858</v>
      </c>
      <c r="AK11" s="15">
        <v>16.955017301038101</v>
      </c>
      <c r="AL11" s="15">
        <v>13.407821229050301</v>
      </c>
      <c r="AM11" s="15">
        <v>13.2307692307692</v>
      </c>
      <c r="AN11" s="24">
        <v>12.025316455696199</v>
      </c>
      <c r="AO11" s="38"/>
    </row>
    <row r="12" spans="1:41">
      <c r="A12" s="9" t="s">
        <v>216</v>
      </c>
      <c r="B12" s="36">
        <v>13.718292537910401</v>
      </c>
      <c r="C12" s="32">
        <v>12.4160677846195</v>
      </c>
      <c r="D12" s="32">
        <v>10.0955254033203</v>
      </c>
      <c r="E12" s="32">
        <v>11.042065420914801</v>
      </c>
      <c r="F12" s="15">
        <v>7.2916666666666696</v>
      </c>
      <c r="G12" s="15">
        <v>8.9552238805970106</v>
      </c>
      <c r="H12" s="15">
        <v>15.853658536585399</v>
      </c>
      <c r="I12" s="15">
        <v>15</v>
      </c>
      <c r="J12" s="15">
        <v>11.1111111111111</v>
      </c>
      <c r="K12" s="20" t="s">
        <v>76</v>
      </c>
      <c r="L12" s="15">
        <v>10.9375</v>
      </c>
      <c r="M12" s="20" t="s">
        <v>76</v>
      </c>
      <c r="N12" s="20" t="s">
        <v>76</v>
      </c>
      <c r="O12" s="15">
        <v>11.9047619047619</v>
      </c>
      <c r="P12" s="15">
        <v>5.92592592592593</v>
      </c>
      <c r="Q12" s="15">
        <v>11.6666666666667</v>
      </c>
      <c r="R12" s="15">
        <v>18.6813186813187</v>
      </c>
      <c r="S12" s="15">
        <v>8</v>
      </c>
      <c r="T12" s="20" t="s">
        <v>76</v>
      </c>
      <c r="U12" s="20" t="s">
        <v>76</v>
      </c>
      <c r="V12" s="20" t="s">
        <v>76</v>
      </c>
      <c r="W12" s="20" t="s">
        <v>76</v>
      </c>
      <c r="X12" s="15">
        <v>15.384615384615399</v>
      </c>
      <c r="Y12" s="20" t="s">
        <v>76</v>
      </c>
      <c r="Z12" s="15">
        <v>10.869565217391299</v>
      </c>
      <c r="AA12" s="15">
        <v>17.808219178082201</v>
      </c>
      <c r="AB12" s="15">
        <v>19.230769230769202</v>
      </c>
      <c r="AC12" s="15">
        <v>17.283950617283899</v>
      </c>
      <c r="AD12" s="15">
        <v>12.6315789473684</v>
      </c>
      <c r="AE12" s="15">
        <v>14.7540983606557</v>
      </c>
      <c r="AF12" s="15">
        <v>16.2162162162162</v>
      </c>
      <c r="AG12" s="32">
        <v>9.3606974046893807</v>
      </c>
      <c r="AH12" s="15">
        <v>13.4228187919463</v>
      </c>
      <c r="AI12" s="15">
        <v>5.6047197640117998</v>
      </c>
      <c r="AJ12" s="15">
        <v>10.6194690265487</v>
      </c>
      <c r="AK12" s="15">
        <v>11.0726643598616</v>
      </c>
      <c r="AL12" s="15">
        <v>8.9385474860335208</v>
      </c>
      <c r="AM12" s="15">
        <v>8.3076923076923102</v>
      </c>
      <c r="AN12" s="24">
        <v>8.5443037974683502</v>
      </c>
      <c r="AO12" s="38"/>
    </row>
    <row r="13" spans="1:41">
      <c r="A13" s="9" t="s">
        <v>217</v>
      </c>
      <c r="B13" s="36">
        <v>10.2328218593206</v>
      </c>
      <c r="C13" s="32">
        <v>10.0536579090183</v>
      </c>
      <c r="D13" s="32">
        <v>9.6407225502706595</v>
      </c>
      <c r="E13" s="32">
        <v>11.247859995827801</v>
      </c>
      <c r="F13" s="15">
        <v>14.5833333333333</v>
      </c>
      <c r="G13" s="15">
        <v>11.9402985074627</v>
      </c>
      <c r="H13" s="15">
        <v>10.975609756097599</v>
      </c>
      <c r="I13" s="15">
        <v>20</v>
      </c>
      <c r="J13" s="15">
        <v>17.283950617283899</v>
      </c>
      <c r="K13" s="15">
        <v>22</v>
      </c>
      <c r="L13" s="15">
        <v>10.15625</v>
      </c>
      <c r="M13" s="20" t="s">
        <v>76</v>
      </c>
      <c r="N13" s="20" t="s">
        <v>76</v>
      </c>
      <c r="O13" s="15">
        <v>23.8095238095238</v>
      </c>
      <c r="P13" s="15">
        <v>6.6666666666666696</v>
      </c>
      <c r="Q13" s="15">
        <v>8.3333333333333304</v>
      </c>
      <c r="R13" s="15">
        <v>9.8901098901098905</v>
      </c>
      <c r="S13" s="15">
        <v>24</v>
      </c>
      <c r="T13" s="20" t="s">
        <v>76</v>
      </c>
      <c r="U13" s="15">
        <v>10.6382978723404</v>
      </c>
      <c r="V13" s="20" t="s">
        <v>76</v>
      </c>
      <c r="W13" s="15">
        <v>12.5</v>
      </c>
      <c r="X13" s="15">
        <v>13.461538461538501</v>
      </c>
      <c r="Y13" s="20" t="s">
        <v>76</v>
      </c>
      <c r="Z13" s="20" t="s">
        <v>76</v>
      </c>
      <c r="AA13" s="15">
        <v>15.068493150684899</v>
      </c>
      <c r="AB13" s="15">
        <v>19.230769230769202</v>
      </c>
      <c r="AC13" s="20" t="s">
        <v>76</v>
      </c>
      <c r="AD13" s="15">
        <v>5.2631578947368398</v>
      </c>
      <c r="AE13" s="15">
        <v>18.032786885245901</v>
      </c>
      <c r="AF13" s="20" t="s">
        <v>76</v>
      </c>
      <c r="AG13" s="32">
        <v>8.3930525408769299</v>
      </c>
      <c r="AH13" s="15">
        <v>4.6979865771812097</v>
      </c>
      <c r="AI13" s="15">
        <v>7.0796460176991101</v>
      </c>
      <c r="AJ13" s="15">
        <v>8.8495575221238898</v>
      </c>
      <c r="AK13" s="15">
        <v>7.2664359861591699</v>
      </c>
      <c r="AL13" s="15">
        <v>10.055865921787699</v>
      </c>
      <c r="AM13" s="15">
        <v>11.692307692307701</v>
      </c>
      <c r="AN13" s="24">
        <v>7.9113924050632898</v>
      </c>
      <c r="AO13" s="38"/>
    </row>
    <row r="14" spans="1:41">
      <c r="A14" s="9" t="s">
        <v>218</v>
      </c>
      <c r="B14" s="36">
        <v>14.627234360471499</v>
      </c>
      <c r="C14" s="32">
        <v>14.0602365334792</v>
      </c>
      <c r="D14" s="32">
        <v>13.0476848836954</v>
      </c>
      <c r="E14" s="32">
        <v>13.115022700750201</v>
      </c>
      <c r="F14" s="15">
        <v>7.2916666666666696</v>
      </c>
      <c r="G14" s="20" t="s">
        <v>76</v>
      </c>
      <c r="H14" s="15">
        <v>20.731707317073202</v>
      </c>
      <c r="I14" s="15">
        <v>12.5</v>
      </c>
      <c r="J14" s="15">
        <v>8.6419753086419693</v>
      </c>
      <c r="K14" s="15">
        <v>16</v>
      </c>
      <c r="L14" s="15">
        <v>9.375</v>
      </c>
      <c r="M14" s="15">
        <v>19.117647058823501</v>
      </c>
      <c r="N14" s="15">
        <v>10.2040816326531</v>
      </c>
      <c r="O14" s="15">
        <v>19.047619047619001</v>
      </c>
      <c r="P14" s="15">
        <v>7.4074074074074101</v>
      </c>
      <c r="Q14" s="15">
        <v>13.3333333333333</v>
      </c>
      <c r="R14" s="15">
        <v>13.1868131868132</v>
      </c>
      <c r="S14" s="15">
        <v>20</v>
      </c>
      <c r="T14" s="20" t="s">
        <v>76</v>
      </c>
      <c r="U14" s="15">
        <v>10.6382978723404</v>
      </c>
      <c r="V14" s="15">
        <v>14.814814814814801</v>
      </c>
      <c r="W14" s="20" t="s">
        <v>76</v>
      </c>
      <c r="X14" s="15">
        <v>17.307692307692299</v>
      </c>
      <c r="Y14" s="20" t="s">
        <v>76</v>
      </c>
      <c r="Z14" s="20" t="s">
        <v>76</v>
      </c>
      <c r="AA14" s="15">
        <v>16.438356164383599</v>
      </c>
      <c r="AB14" s="15">
        <v>15.384615384615399</v>
      </c>
      <c r="AC14" s="15">
        <v>11.1111111111111</v>
      </c>
      <c r="AD14" s="15">
        <v>20</v>
      </c>
      <c r="AE14" s="15">
        <v>22.9508196721311</v>
      </c>
      <c r="AF14" s="20" t="s">
        <v>76</v>
      </c>
      <c r="AG14" s="32">
        <v>12.9954084744378</v>
      </c>
      <c r="AH14" s="15">
        <v>11.0738255033557</v>
      </c>
      <c r="AI14" s="15">
        <v>11.7994100294985</v>
      </c>
      <c r="AJ14" s="15">
        <v>12.6843657817109</v>
      </c>
      <c r="AK14" s="15">
        <v>13.840830449826999</v>
      </c>
      <c r="AL14" s="15">
        <v>15.083798882681601</v>
      </c>
      <c r="AM14" s="15">
        <v>9.8461538461538503</v>
      </c>
      <c r="AN14" s="24">
        <v>14.2405063291139</v>
      </c>
      <c r="AO14" s="38"/>
    </row>
    <row r="15" spans="1:41">
      <c r="A15" s="9" t="s">
        <v>219</v>
      </c>
      <c r="B15" s="36">
        <v>8.5928605591753797</v>
      </c>
      <c r="C15" s="32">
        <v>8.3434739885976104</v>
      </c>
      <c r="D15" s="32">
        <v>8.2882371032415492</v>
      </c>
      <c r="E15" s="32">
        <v>8.98823195334184</v>
      </c>
      <c r="F15" s="15">
        <v>6.25</v>
      </c>
      <c r="G15" s="20" t="s">
        <v>76</v>
      </c>
      <c r="H15" s="15">
        <v>20.731707317073202</v>
      </c>
      <c r="I15" s="20" t="s">
        <v>76</v>
      </c>
      <c r="J15" s="15">
        <v>7.4074074074074101</v>
      </c>
      <c r="K15" s="15">
        <v>14</v>
      </c>
      <c r="L15" s="15">
        <v>6.25</v>
      </c>
      <c r="M15" s="15">
        <v>14.705882352941201</v>
      </c>
      <c r="N15" s="20" t="s">
        <v>76</v>
      </c>
      <c r="O15" s="20" t="s">
        <v>76</v>
      </c>
      <c r="P15" s="15">
        <v>3.7037037037037002</v>
      </c>
      <c r="Q15" s="15">
        <v>11.6666666666667</v>
      </c>
      <c r="R15" s="15">
        <v>9.8901098901098905</v>
      </c>
      <c r="S15" s="15">
        <v>11</v>
      </c>
      <c r="T15" s="20" t="s">
        <v>76</v>
      </c>
      <c r="U15" s="20" t="s">
        <v>76</v>
      </c>
      <c r="V15" s="15">
        <v>9.2592592592592595</v>
      </c>
      <c r="W15" s="20" t="s">
        <v>76</v>
      </c>
      <c r="X15" s="15">
        <v>10.5769230769231</v>
      </c>
      <c r="Y15" s="20" t="s">
        <v>76</v>
      </c>
      <c r="Z15" s="15">
        <v>15.2173913043478</v>
      </c>
      <c r="AA15" s="15">
        <v>6.8493150684931496</v>
      </c>
      <c r="AB15" s="15">
        <v>7.6923076923076898</v>
      </c>
      <c r="AC15" s="20" t="s">
        <v>76</v>
      </c>
      <c r="AD15" s="15">
        <v>12.6315789473684</v>
      </c>
      <c r="AE15" s="15">
        <v>18.032786885245901</v>
      </c>
      <c r="AF15" s="20" t="s">
        <v>76</v>
      </c>
      <c r="AG15" s="32">
        <v>7.7448096673277496</v>
      </c>
      <c r="AH15" s="15">
        <v>4.0268456375838904</v>
      </c>
      <c r="AI15" s="15">
        <v>6.19469026548673</v>
      </c>
      <c r="AJ15" s="15">
        <v>5.6047197640117998</v>
      </c>
      <c r="AK15" s="15">
        <v>8.9965397923875408</v>
      </c>
      <c r="AL15" s="15">
        <v>11.173184357541899</v>
      </c>
      <c r="AM15" s="15">
        <v>12.307692307692299</v>
      </c>
      <c r="AN15" s="24">
        <v>8.2278481012658204</v>
      </c>
      <c r="AO15" s="38"/>
    </row>
    <row r="16" spans="1:41">
      <c r="A16" s="9" t="s">
        <v>220</v>
      </c>
      <c r="B16" s="36">
        <v>5.7324915437842803</v>
      </c>
      <c r="C16" s="32">
        <v>5.5859116838301803</v>
      </c>
      <c r="D16" s="32">
        <v>4.4044822221257602</v>
      </c>
      <c r="E16" s="32">
        <v>5.2886210191305496</v>
      </c>
      <c r="F16" s="20" t="s">
        <v>76</v>
      </c>
      <c r="G16" s="15">
        <v>8.9552238805970106</v>
      </c>
      <c r="H16" s="20" t="s">
        <v>76</v>
      </c>
      <c r="I16" s="20" t="s">
        <v>76</v>
      </c>
      <c r="J16" s="20" t="s">
        <v>76</v>
      </c>
      <c r="K16" s="20" t="s">
        <v>76</v>
      </c>
      <c r="L16" s="20" t="s">
        <v>76</v>
      </c>
      <c r="M16" s="20" t="s">
        <v>76</v>
      </c>
      <c r="N16" s="20" t="s">
        <v>76</v>
      </c>
      <c r="O16" s="15">
        <v>14.285714285714301</v>
      </c>
      <c r="P16" s="20" t="s">
        <v>76</v>
      </c>
      <c r="Q16" s="15">
        <v>11.6666666666667</v>
      </c>
      <c r="R16" s="20" t="s">
        <v>76</v>
      </c>
      <c r="S16" s="15">
        <v>5</v>
      </c>
      <c r="T16" s="20" t="s">
        <v>76</v>
      </c>
      <c r="U16" s="20" t="s">
        <v>76</v>
      </c>
      <c r="V16" s="20" t="s">
        <v>76</v>
      </c>
      <c r="W16" s="15">
        <v>8.9285714285714306</v>
      </c>
      <c r="X16" s="15">
        <v>6.7307692307692299</v>
      </c>
      <c r="Y16" s="20" t="s">
        <v>76</v>
      </c>
      <c r="Z16" s="20" t="s">
        <v>76</v>
      </c>
      <c r="AA16" s="20" t="s">
        <v>76</v>
      </c>
      <c r="AB16" s="15">
        <v>7.6923076923076898</v>
      </c>
      <c r="AC16" s="20" t="s">
        <v>76</v>
      </c>
      <c r="AD16" s="20" t="s">
        <v>76</v>
      </c>
      <c r="AE16" s="15">
        <v>8.1967213114754092</v>
      </c>
      <c r="AF16" s="20" t="s">
        <v>76</v>
      </c>
      <c r="AG16" s="32">
        <v>3.71809820175848</v>
      </c>
      <c r="AH16" s="15">
        <v>1.6778523489932899</v>
      </c>
      <c r="AI16" s="15">
        <v>3.5398230088495599</v>
      </c>
      <c r="AJ16" s="15">
        <v>5.0147492625368697</v>
      </c>
      <c r="AK16" s="15">
        <v>3.8062283737024201</v>
      </c>
      <c r="AL16" s="15">
        <v>3.3519553072625698</v>
      </c>
      <c r="AM16" s="15">
        <v>2.7692307692307701</v>
      </c>
      <c r="AN16" s="24">
        <v>6.64556962025316</v>
      </c>
      <c r="AO16" s="38"/>
    </row>
    <row r="17" spans="1:41">
      <c r="A17" s="9" t="s">
        <v>221</v>
      </c>
      <c r="B17" s="36">
        <v>9.8846775743843907</v>
      </c>
      <c r="C17" s="32">
        <v>9.0132857489868492</v>
      </c>
      <c r="D17" s="32">
        <v>8.0117297310606901</v>
      </c>
      <c r="E17" s="32">
        <v>9.2382651350833598</v>
      </c>
      <c r="F17" s="15">
        <v>5.2083333333333304</v>
      </c>
      <c r="G17" s="20" t="s">
        <v>76</v>
      </c>
      <c r="H17" s="15">
        <v>8.5365853658536608</v>
      </c>
      <c r="I17" s="20" t="s">
        <v>76</v>
      </c>
      <c r="J17" s="15">
        <v>7.4074074074074101</v>
      </c>
      <c r="K17" s="20" t="s">
        <v>76</v>
      </c>
      <c r="L17" s="15">
        <v>9.375</v>
      </c>
      <c r="M17" s="15">
        <v>16.176470588235301</v>
      </c>
      <c r="N17" s="20" t="s">
        <v>76</v>
      </c>
      <c r="O17" s="20" t="s">
        <v>76</v>
      </c>
      <c r="P17" s="15">
        <v>7.4074074074074101</v>
      </c>
      <c r="Q17" s="20" t="s">
        <v>76</v>
      </c>
      <c r="R17" s="15">
        <v>12.0879120879121</v>
      </c>
      <c r="S17" s="15">
        <v>18</v>
      </c>
      <c r="T17" s="20" t="s">
        <v>76</v>
      </c>
      <c r="U17" s="20" t="s">
        <v>76</v>
      </c>
      <c r="V17" s="20" t="s">
        <v>76</v>
      </c>
      <c r="W17" s="20" t="s">
        <v>76</v>
      </c>
      <c r="X17" s="15">
        <v>12.5</v>
      </c>
      <c r="Y17" s="20" t="s">
        <v>76</v>
      </c>
      <c r="Z17" s="20" t="s">
        <v>76</v>
      </c>
      <c r="AA17" s="15">
        <v>9.5890410958904102</v>
      </c>
      <c r="AB17" s="15">
        <v>8.9743589743589691</v>
      </c>
      <c r="AC17" s="15">
        <v>12.3456790123457</v>
      </c>
      <c r="AD17" s="15">
        <v>9.4736842105263204</v>
      </c>
      <c r="AE17" s="15">
        <v>9.8360655737704903</v>
      </c>
      <c r="AF17" s="20" t="s">
        <v>76</v>
      </c>
      <c r="AG17" s="32">
        <v>7.0595327405113402</v>
      </c>
      <c r="AH17" s="15">
        <v>6.3758389261744997</v>
      </c>
      <c r="AI17" s="15">
        <v>7.6696165191740402</v>
      </c>
      <c r="AJ17" s="15">
        <v>10.6194690265487</v>
      </c>
      <c r="AK17" s="15">
        <v>7.6124567474048401</v>
      </c>
      <c r="AL17" s="15">
        <v>6.1452513966480398</v>
      </c>
      <c r="AM17" s="15">
        <v>8</v>
      </c>
      <c r="AN17" s="24">
        <v>4.43037974683544</v>
      </c>
      <c r="AO17" s="38"/>
    </row>
    <row r="18" spans="1:41">
      <c r="A18" s="9" t="s">
        <v>222</v>
      </c>
      <c r="B18" s="36">
        <v>5.4093888466835098</v>
      </c>
      <c r="C18" s="32">
        <v>5.79972341680506</v>
      </c>
      <c r="D18" s="32">
        <v>5.79378869496293</v>
      </c>
      <c r="E18" s="32">
        <v>5.7302518478381996</v>
      </c>
      <c r="F18" s="20" t="s">
        <v>76</v>
      </c>
      <c r="G18" s="15">
        <v>10.4477611940298</v>
      </c>
      <c r="H18" s="15">
        <v>7.3170731707317103</v>
      </c>
      <c r="I18" s="20" t="s">
        <v>76</v>
      </c>
      <c r="J18" s="15">
        <v>6.1728395061728403</v>
      </c>
      <c r="K18" s="15">
        <v>12</v>
      </c>
      <c r="L18" s="15">
        <v>3.90625</v>
      </c>
      <c r="M18" s="20" t="s">
        <v>76</v>
      </c>
      <c r="N18" s="20" t="s">
        <v>76</v>
      </c>
      <c r="O18" s="20" t="s">
        <v>76</v>
      </c>
      <c r="P18" s="15">
        <v>5.1851851851851896</v>
      </c>
      <c r="Q18" s="20" t="s">
        <v>76</v>
      </c>
      <c r="R18" s="15">
        <v>6.5934065934065904</v>
      </c>
      <c r="S18" s="15">
        <v>11</v>
      </c>
      <c r="T18" s="20" t="s">
        <v>76</v>
      </c>
      <c r="U18" s="20" t="s">
        <v>76</v>
      </c>
      <c r="V18" s="15">
        <v>11.1111111111111</v>
      </c>
      <c r="W18" s="20" t="s">
        <v>76</v>
      </c>
      <c r="X18" s="15">
        <v>4.8076923076923102</v>
      </c>
      <c r="Y18" s="20" t="s">
        <v>76</v>
      </c>
      <c r="Z18" s="20" t="s">
        <v>76</v>
      </c>
      <c r="AA18" s="20" t="s">
        <v>76</v>
      </c>
      <c r="AB18" s="15">
        <v>7.6923076923076898</v>
      </c>
      <c r="AC18" s="15">
        <v>6.1728395061728403</v>
      </c>
      <c r="AD18" s="15">
        <v>8.4210526315789505</v>
      </c>
      <c r="AE18" s="20" t="s">
        <v>76</v>
      </c>
      <c r="AF18" s="20" t="s">
        <v>76</v>
      </c>
      <c r="AG18" s="32">
        <v>5.8431142948785499</v>
      </c>
      <c r="AH18" s="15">
        <v>5.0335570469798698</v>
      </c>
      <c r="AI18" s="15">
        <v>5.8997050147492596</v>
      </c>
      <c r="AJ18" s="15">
        <v>7.0796460176991101</v>
      </c>
      <c r="AK18" s="15">
        <v>5.8823529411764701</v>
      </c>
      <c r="AL18" s="15">
        <v>2.7932960893854699</v>
      </c>
      <c r="AM18" s="15">
        <v>7.6923076923076898</v>
      </c>
      <c r="AN18" s="24">
        <v>4.1139240506329102</v>
      </c>
      <c r="AO18" s="38"/>
    </row>
    <row r="19" spans="1:41">
      <c r="A19" s="9" t="s">
        <v>223</v>
      </c>
      <c r="B19" s="36">
        <v>12.821723986790101</v>
      </c>
      <c r="C19" s="32">
        <v>12.324250155870899</v>
      </c>
      <c r="D19" s="32">
        <v>12.0843195397118</v>
      </c>
      <c r="E19" s="32">
        <v>12.023257189897601</v>
      </c>
      <c r="F19" s="15">
        <v>5.2083333333333304</v>
      </c>
      <c r="G19" s="15">
        <v>14.9253731343284</v>
      </c>
      <c r="H19" s="15">
        <v>26.829268292682901</v>
      </c>
      <c r="I19" s="20" t="s">
        <v>76</v>
      </c>
      <c r="J19" s="15">
        <v>14.814814814814801</v>
      </c>
      <c r="K19" s="15">
        <v>22</v>
      </c>
      <c r="L19" s="15">
        <v>11.71875</v>
      </c>
      <c r="M19" s="15">
        <v>20.588235294117599</v>
      </c>
      <c r="N19" s="15">
        <v>10.2040816326531</v>
      </c>
      <c r="O19" s="20" t="s">
        <v>76</v>
      </c>
      <c r="P19" s="15">
        <v>8.8888888888888893</v>
      </c>
      <c r="Q19" s="15">
        <v>26.6666666666667</v>
      </c>
      <c r="R19" s="15">
        <v>5.4945054945054901</v>
      </c>
      <c r="S19" s="15">
        <v>16</v>
      </c>
      <c r="T19" s="20" t="s">
        <v>76</v>
      </c>
      <c r="U19" s="20" t="s">
        <v>76</v>
      </c>
      <c r="V19" s="15">
        <v>16.6666666666667</v>
      </c>
      <c r="W19" s="20" t="s">
        <v>76</v>
      </c>
      <c r="X19" s="15">
        <v>17.307692307692299</v>
      </c>
      <c r="Y19" s="20" t="s">
        <v>76</v>
      </c>
      <c r="Z19" s="20" t="s">
        <v>76</v>
      </c>
      <c r="AA19" s="15">
        <v>9.5890410958904102</v>
      </c>
      <c r="AB19" s="20" t="s">
        <v>76</v>
      </c>
      <c r="AC19" s="15">
        <v>18.518518518518501</v>
      </c>
      <c r="AD19" s="15">
        <v>18.947368421052602</v>
      </c>
      <c r="AE19" s="15">
        <v>9.8360655737704903</v>
      </c>
      <c r="AF19" s="20" t="s">
        <v>76</v>
      </c>
      <c r="AG19" s="32">
        <v>12.1317241115963</v>
      </c>
      <c r="AH19" s="15">
        <v>8.0536912751677896</v>
      </c>
      <c r="AI19" s="15">
        <v>12.094395280236</v>
      </c>
      <c r="AJ19" s="15">
        <v>9.7345132743362797</v>
      </c>
      <c r="AK19" s="15">
        <v>12.1107266435986</v>
      </c>
      <c r="AL19" s="15">
        <v>15.083798882681601</v>
      </c>
      <c r="AM19" s="15">
        <v>12.9230769230769</v>
      </c>
      <c r="AN19" s="24">
        <v>15.506329113924</v>
      </c>
      <c r="AO19" s="38"/>
    </row>
    <row r="20" spans="1:41">
      <c r="A20" s="9" t="s">
        <v>224</v>
      </c>
      <c r="B20" s="36">
        <v>12.6038598136868</v>
      </c>
      <c r="C20" s="32">
        <v>11.845845425044301</v>
      </c>
      <c r="D20" s="32">
        <v>9.41311663845695</v>
      </c>
      <c r="E20" s="32">
        <v>9.9574814037333006</v>
      </c>
      <c r="F20" s="15">
        <v>11.4583333333333</v>
      </c>
      <c r="G20" s="15">
        <v>7.4626865671641802</v>
      </c>
      <c r="H20" s="15">
        <v>8.5365853658536608</v>
      </c>
      <c r="I20" s="15">
        <v>20</v>
      </c>
      <c r="J20" s="15">
        <v>8.6419753086419693</v>
      </c>
      <c r="K20" s="15">
        <v>16</v>
      </c>
      <c r="L20" s="15">
        <v>7.03125</v>
      </c>
      <c r="M20" s="15">
        <v>7.3529411764705896</v>
      </c>
      <c r="N20" s="15">
        <v>10.2040816326531</v>
      </c>
      <c r="O20" s="15">
        <v>14.285714285714301</v>
      </c>
      <c r="P20" s="15">
        <v>4.4444444444444402</v>
      </c>
      <c r="Q20" s="15">
        <v>11.6666666666667</v>
      </c>
      <c r="R20" s="15">
        <v>8.7912087912087902</v>
      </c>
      <c r="S20" s="15">
        <v>14</v>
      </c>
      <c r="T20" s="20" t="s">
        <v>76</v>
      </c>
      <c r="U20" s="15">
        <v>19.148936170212799</v>
      </c>
      <c r="V20" s="15">
        <v>12.962962962962999</v>
      </c>
      <c r="W20" s="20" t="s">
        <v>76</v>
      </c>
      <c r="X20" s="15">
        <v>10.5769230769231</v>
      </c>
      <c r="Y20" s="20" t="s">
        <v>76</v>
      </c>
      <c r="Z20" s="15">
        <v>10.869565217391299</v>
      </c>
      <c r="AA20" s="15">
        <v>10.958904109589</v>
      </c>
      <c r="AB20" s="15">
        <v>11.538461538461499</v>
      </c>
      <c r="AC20" s="15">
        <v>9.8765432098765409</v>
      </c>
      <c r="AD20" s="15">
        <v>5.2631578947368398</v>
      </c>
      <c r="AE20" s="15">
        <v>8.1967213114754092</v>
      </c>
      <c r="AF20" s="15">
        <v>13.5135135135135</v>
      </c>
      <c r="AG20" s="32">
        <v>8.9905096027715299</v>
      </c>
      <c r="AH20" s="15">
        <v>7.0469798657718101</v>
      </c>
      <c r="AI20" s="15">
        <v>10.324483775811199</v>
      </c>
      <c r="AJ20" s="15">
        <v>10.6194690265487</v>
      </c>
      <c r="AK20" s="15">
        <v>12.1107266435986</v>
      </c>
      <c r="AL20" s="15">
        <v>11.731843575418999</v>
      </c>
      <c r="AM20" s="15">
        <v>7.0769230769230802</v>
      </c>
      <c r="AN20" s="24">
        <v>10.7594936708861</v>
      </c>
      <c r="AO20" s="38"/>
    </row>
    <row r="21" spans="1:41">
      <c r="A21" s="9" t="s">
        <v>225</v>
      </c>
      <c r="B21" s="36">
        <v>5.4283707713785097</v>
      </c>
      <c r="C21" s="32">
        <v>5.2949275589697598</v>
      </c>
      <c r="D21" s="32">
        <v>4.7437963161462999</v>
      </c>
      <c r="E21" s="32">
        <v>4.6653978142201202</v>
      </c>
      <c r="F21" s="15">
        <v>5.2083333333333304</v>
      </c>
      <c r="G21" s="20" t="s">
        <v>76</v>
      </c>
      <c r="H21" s="15">
        <v>7.3170731707317103</v>
      </c>
      <c r="I21" s="15">
        <v>15</v>
      </c>
      <c r="J21" s="20" t="s">
        <v>76</v>
      </c>
      <c r="K21" s="15">
        <v>12</v>
      </c>
      <c r="L21" s="20" t="s">
        <v>76</v>
      </c>
      <c r="M21" s="20" t="s">
        <v>76</v>
      </c>
      <c r="N21" s="20" t="s">
        <v>76</v>
      </c>
      <c r="O21" s="20" t="s">
        <v>76</v>
      </c>
      <c r="P21" s="20" t="s">
        <v>76</v>
      </c>
      <c r="Q21" s="20" t="s">
        <v>76</v>
      </c>
      <c r="R21" s="20" t="s">
        <v>76</v>
      </c>
      <c r="S21" s="20" t="s">
        <v>76</v>
      </c>
      <c r="T21" s="20" t="s">
        <v>76</v>
      </c>
      <c r="U21" s="20" t="s">
        <v>76</v>
      </c>
      <c r="V21" s="20" t="s">
        <v>76</v>
      </c>
      <c r="W21" s="20" t="s">
        <v>76</v>
      </c>
      <c r="X21" s="15">
        <v>5.7692307692307701</v>
      </c>
      <c r="Y21" s="20" t="s">
        <v>76</v>
      </c>
      <c r="Z21" s="20" t="s">
        <v>76</v>
      </c>
      <c r="AA21" s="15">
        <v>8.2191780821917799</v>
      </c>
      <c r="AB21" s="20" t="s">
        <v>76</v>
      </c>
      <c r="AC21" s="20" t="s">
        <v>76</v>
      </c>
      <c r="AD21" s="20" t="s">
        <v>76</v>
      </c>
      <c r="AE21" s="15">
        <v>8.1967213114754092</v>
      </c>
      <c r="AF21" s="20" t="s">
        <v>76</v>
      </c>
      <c r="AG21" s="32">
        <v>4.8046594737468498</v>
      </c>
      <c r="AH21" s="20" t="s">
        <v>76</v>
      </c>
      <c r="AI21" s="15">
        <v>4.4247787610619502</v>
      </c>
      <c r="AJ21" s="15">
        <v>4.1297935103244798</v>
      </c>
      <c r="AK21" s="15">
        <v>5.5363321799307998</v>
      </c>
      <c r="AL21" s="15">
        <v>4.4692737430167604</v>
      </c>
      <c r="AM21" s="15">
        <v>5.2307692307692299</v>
      </c>
      <c r="AN21" s="24">
        <v>7.2784810126582302</v>
      </c>
      <c r="AO21" s="38"/>
    </row>
    <row r="22" spans="1:41">
      <c r="A22" s="9" t="s">
        <v>226</v>
      </c>
      <c r="B22" s="36">
        <v>10.8232154664533</v>
      </c>
      <c r="C22" s="32">
        <v>10.6493811449484</v>
      </c>
      <c r="D22" s="32">
        <v>9.5297285075314697</v>
      </c>
      <c r="E22" s="32">
        <v>11.900943552449901</v>
      </c>
      <c r="F22" s="15">
        <v>10.4166666666667</v>
      </c>
      <c r="G22" s="15">
        <v>13.4328358208955</v>
      </c>
      <c r="H22" s="15">
        <v>12.1951219512195</v>
      </c>
      <c r="I22" s="20" t="s">
        <v>76</v>
      </c>
      <c r="J22" s="15">
        <v>17.283950617283899</v>
      </c>
      <c r="K22" s="15">
        <v>14</v>
      </c>
      <c r="L22" s="15">
        <v>10.15625</v>
      </c>
      <c r="M22" s="15">
        <v>16.176470588235301</v>
      </c>
      <c r="N22" s="15">
        <v>12.244897959183699</v>
      </c>
      <c r="O22" s="15">
        <v>14.285714285714301</v>
      </c>
      <c r="P22" s="15">
        <v>9.6296296296296298</v>
      </c>
      <c r="Q22" s="15">
        <v>11.6666666666667</v>
      </c>
      <c r="R22" s="15">
        <v>16.4835164835165</v>
      </c>
      <c r="S22" s="15">
        <v>11</v>
      </c>
      <c r="T22" s="20" t="s">
        <v>76</v>
      </c>
      <c r="U22" s="20" t="s">
        <v>76</v>
      </c>
      <c r="V22" s="15">
        <v>12.962962962962999</v>
      </c>
      <c r="W22" s="20" t="s">
        <v>76</v>
      </c>
      <c r="X22" s="15">
        <v>21.153846153846199</v>
      </c>
      <c r="Y22" s="20" t="s">
        <v>76</v>
      </c>
      <c r="Z22" s="20" t="s">
        <v>76</v>
      </c>
      <c r="AA22" s="15">
        <v>16.438356164383599</v>
      </c>
      <c r="AB22" s="15">
        <v>12.8205128205128</v>
      </c>
      <c r="AC22" s="15">
        <v>9.8765432098765409</v>
      </c>
      <c r="AD22" s="15">
        <v>7.3684210526315796</v>
      </c>
      <c r="AE22" s="15">
        <v>22.9508196721311</v>
      </c>
      <c r="AF22" s="20" t="s">
        <v>76</v>
      </c>
      <c r="AG22" s="32">
        <v>7.6888816617644702</v>
      </c>
      <c r="AH22" s="15">
        <v>6.71140939597315</v>
      </c>
      <c r="AI22" s="15">
        <v>7.9646017699114999</v>
      </c>
      <c r="AJ22" s="15">
        <v>7.3746312684365796</v>
      </c>
      <c r="AK22" s="15">
        <v>9.3425605536332199</v>
      </c>
      <c r="AL22" s="15">
        <v>8.9385474860335208</v>
      </c>
      <c r="AM22" s="15">
        <v>7.3846153846153904</v>
      </c>
      <c r="AN22" s="24">
        <v>9.1772151898734204</v>
      </c>
      <c r="AO22" s="38"/>
    </row>
    <row r="23" spans="1:41">
      <c r="A23" s="9" t="s">
        <v>227</v>
      </c>
      <c r="B23" s="36">
        <v>7.2788847199500397</v>
      </c>
      <c r="C23" s="32">
        <v>7.5087096531186202</v>
      </c>
      <c r="D23" s="32">
        <v>7.5466367077836001</v>
      </c>
      <c r="E23" s="32">
        <v>7.3308673345302502</v>
      </c>
      <c r="F23" s="15">
        <v>5.2083333333333304</v>
      </c>
      <c r="G23" s="15">
        <v>14.9253731343284</v>
      </c>
      <c r="H23" s="15">
        <v>7.3170731707317103</v>
      </c>
      <c r="I23" s="20" t="s">
        <v>76</v>
      </c>
      <c r="J23" s="15">
        <v>11.1111111111111</v>
      </c>
      <c r="K23" s="15">
        <v>14</v>
      </c>
      <c r="L23" s="20" t="s">
        <v>76</v>
      </c>
      <c r="M23" s="20" t="s">
        <v>76</v>
      </c>
      <c r="N23" s="15">
        <v>10.2040816326531</v>
      </c>
      <c r="O23" s="20" t="s">
        <v>76</v>
      </c>
      <c r="P23" s="15">
        <v>5.1851851851851896</v>
      </c>
      <c r="Q23" s="20" t="s">
        <v>76</v>
      </c>
      <c r="R23" s="15">
        <v>7.6923076923076898</v>
      </c>
      <c r="S23" s="15">
        <v>11</v>
      </c>
      <c r="T23" s="20" t="s">
        <v>76</v>
      </c>
      <c r="U23" s="20" t="s">
        <v>76</v>
      </c>
      <c r="V23" s="15">
        <v>11.1111111111111</v>
      </c>
      <c r="W23" s="20" t="s">
        <v>76</v>
      </c>
      <c r="X23" s="15">
        <v>7.6923076923076898</v>
      </c>
      <c r="Y23" s="20" t="s">
        <v>76</v>
      </c>
      <c r="Z23" s="15">
        <v>10.869565217391299</v>
      </c>
      <c r="AA23" s="15">
        <v>8.2191780821917799</v>
      </c>
      <c r="AB23" s="15">
        <v>10.2564102564103</v>
      </c>
      <c r="AC23" s="20" t="s">
        <v>76</v>
      </c>
      <c r="AD23" s="15">
        <v>5.2631578947368398</v>
      </c>
      <c r="AE23" s="15">
        <v>13.1147540983607</v>
      </c>
      <c r="AF23" s="20" t="s">
        <v>76</v>
      </c>
      <c r="AG23" s="32">
        <v>7.7141450790794703</v>
      </c>
      <c r="AH23" s="15">
        <v>5.7046979865771803</v>
      </c>
      <c r="AI23" s="15">
        <v>5.6047197640117998</v>
      </c>
      <c r="AJ23" s="15">
        <v>9.1445427728613602</v>
      </c>
      <c r="AK23" s="15">
        <v>7.2664359861591699</v>
      </c>
      <c r="AL23" s="15">
        <v>11.731843575418999</v>
      </c>
      <c r="AM23" s="15">
        <v>8.6153846153846096</v>
      </c>
      <c r="AN23" s="24">
        <v>5.6962025316455698</v>
      </c>
      <c r="AO23" s="38"/>
    </row>
    <row r="24" spans="1:41">
      <c r="A24" s="9" t="s">
        <v>228</v>
      </c>
      <c r="B24" s="36">
        <v>4.4512455467420997</v>
      </c>
      <c r="C24" s="32">
        <v>4.3088989391367303</v>
      </c>
      <c r="D24" s="32">
        <v>3.77488927883629</v>
      </c>
      <c r="E24" s="32">
        <v>4.6829819462198401</v>
      </c>
      <c r="F24" s="15">
        <v>6.25</v>
      </c>
      <c r="G24" s="20" t="s">
        <v>76</v>
      </c>
      <c r="H24" s="15">
        <v>6.0975609756097597</v>
      </c>
      <c r="I24" s="20" t="s">
        <v>76</v>
      </c>
      <c r="J24" s="20" t="s">
        <v>76</v>
      </c>
      <c r="K24" s="15">
        <v>12</v>
      </c>
      <c r="L24" s="15">
        <v>6.25</v>
      </c>
      <c r="M24" s="20" t="s">
        <v>76</v>
      </c>
      <c r="N24" s="20" t="s">
        <v>76</v>
      </c>
      <c r="O24" s="20" t="s">
        <v>76</v>
      </c>
      <c r="P24" s="15">
        <v>5.92592592592593</v>
      </c>
      <c r="Q24" s="20" t="s">
        <v>76</v>
      </c>
      <c r="R24" s="20" t="s">
        <v>76</v>
      </c>
      <c r="S24" s="20" t="s">
        <v>76</v>
      </c>
      <c r="T24" s="20" t="s">
        <v>76</v>
      </c>
      <c r="U24" s="20" t="s">
        <v>76</v>
      </c>
      <c r="V24" s="20" t="s">
        <v>76</v>
      </c>
      <c r="W24" s="20" t="s">
        <v>76</v>
      </c>
      <c r="X24" s="15">
        <v>4.8076923076923102</v>
      </c>
      <c r="Y24" s="20" t="s">
        <v>76</v>
      </c>
      <c r="Z24" s="20" t="s">
        <v>76</v>
      </c>
      <c r="AA24" s="20" t="s">
        <v>76</v>
      </c>
      <c r="AB24" s="20" t="s">
        <v>76</v>
      </c>
      <c r="AC24" s="20" t="s">
        <v>76</v>
      </c>
      <c r="AD24" s="15">
        <v>6.3157894736842097</v>
      </c>
      <c r="AE24" s="20" t="s">
        <v>76</v>
      </c>
      <c r="AF24" s="20" t="s">
        <v>76</v>
      </c>
      <c r="AG24" s="32">
        <v>3.0699091354285701</v>
      </c>
      <c r="AH24" s="15">
        <v>3.0201342281879202</v>
      </c>
      <c r="AI24" s="15">
        <v>1.76991150442478</v>
      </c>
      <c r="AJ24" s="20" t="s">
        <v>76</v>
      </c>
      <c r="AK24" s="15">
        <v>6.5743944636678204</v>
      </c>
      <c r="AL24" s="20" t="s">
        <v>76</v>
      </c>
      <c r="AM24" s="15">
        <v>5.5384615384615401</v>
      </c>
      <c r="AN24" s="24">
        <v>1.89873417721519</v>
      </c>
      <c r="AO24" s="38"/>
    </row>
    <row r="25" spans="1:41">
      <c r="A25" s="9" t="s">
        <v>229</v>
      </c>
      <c r="B25" s="36">
        <v>3.2530387665106701</v>
      </c>
      <c r="C25" s="32">
        <v>3.1942850945255299</v>
      </c>
      <c r="D25" s="32">
        <v>2.4362133758246598</v>
      </c>
      <c r="E25" s="32">
        <v>2.87384737577778</v>
      </c>
      <c r="F25" s="20" t="s">
        <v>76</v>
      </c>
      <c r="G25" s="20" t="s">
        <v>76</v>
      </c>
      <c r="H25" s="20" t="s">
        <v>76</v>
      </c>
      <c r="I25" s="20" t="s">
        <v>76</v>
      </c>
      <c r="J25" s="20" t="s">
        <v>76</v>
      </c>
      <c r="K25" s="20" t="s">
        <v>76</v>
      </c>
      <c r="L25" s="20" t="s">
        <v>76</v>
      </c>
      <c r="M25" s="20" t="s">
        <v>76</v>
      </c>
      <c r="N25" s="20" t="s">
        <v>76</v>
      </c>
      <c r="O25" s="15">
        <v>11.9047619047619</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2">
        <v>2.09646470134633</v>
      </c>
      <c r="AH25" s="20" t="s">
        <v>76</v>
      </c>
      <c r="AI25" s="20" t="s">
        <v>76</v>
      </c>
      <c r="AJ25" s="15">
        <v>2.3598820058997001</v>
      </c>
      <c r="AK25" s="20" t="s">
        <v>76</v>
      </c>
      <c r="AL25" s="15">
        <v>2.7932960893854699</v>
      </c>
      <c r="AM25" s="15">
        <v>2.7692307692307701</v>
      </c>
      <c r="AN25" s="24">
        <v>3.16455696202532</v>
      </c>
      <c r="AO25" s="38"/>
    </row>
    <row r="26" spans="1:41">
      <c r="A26" s="9" t="s">
        <v>230</v>
      </c>
      <c r="B26" s="36">
        <v>11.558222336867599</v>
      </c>
      <c r="C26" s="32">
        <v>11.1463304267302</v>
      </c>
      <c r="D26" s="32">
        <v>10.1157834235833</v>
      </c>
      <c r="E26" s="32">
        <v>11.770800762336</v>
      </c>
      <c r="F26" s="15">
        <v>5.2083333333333304</v>
      </c>
      <c r="G26" s="15">
        <v>16.417910447761201</v>
      </c>
      <c r="H26" s="15">
        <v>17.0731707317073</v>
      </c>
      <c r="I26" s="20" t="s">
        <v>76</v>
      </c>
      <c r="J26" s="15">
        <v>9.8765432098765409</v>
      </c>
      <c r="K26" s="15">
        <v>18</v>
      </c>
      <c r="L26" s="15">
        <v>7.8125</v>
      </c>
      <c r="M26" s="15">
        <v>19.117647058823501</v>
      </c>
      <c r="N26" s="15">
        <v>10.2040816326531</v>
      </c>
      <c r="O26" s="15">
        <v>11.9047619047619</v>
      </c>
      <c r="P26" s="15">
        <v>8.1481481481481506</v>
      </c>
      <c r="Q26" s="15">
        <v>13.3333333333333</v>
      </c>
      <c r="R26" s="15">
        <v>8.7912087912087902</v>
      </c>
      <c r="S26" s="15">
        <v>14</v>
      </c>
      <c r="T26" s="20" t="s">
        <v>76</v>
      </c>
      <c r="U26" s="20" t="s">
        <v>76</v>
      </c>
      <c r="V26" s="15">
        <v>12.962962962962999</v>
      </c>
      <c r="W26" s="20" t="s">
        <v>76</v>
      </c>
      <c r="X26" s="15">
        <v>21.153846153846199</v>
      </c>
      <c r="Y26" s="20" t="s">
        <v>76</v>
      </c>
      <c r="Z26" s="15">
        <v>10.869565217391299</v>
      </c>
      <c r="AA26" s="15">
        <v>13.698630136986299</v>
      </c>
      <c r="AB26" s="15">
        <v>15.384615384615399</v>
      </c>
      <c r="AC26" s="15">
        <v>9.8765432098765409</v>
      </c>
      <c r="AD26" s="15">
        <v>13.6842105263158</v>
      </c>
      <c r="AE26" s="15">
        <v>9.8360655737704903</v>
      </c>
      <c r="AF26" s="20" t="s">
        <v>76</v>
      </c>
      <c r="AG26" s="32">
        <v>8.8309427870237993</v>
      </c>
      <c r="AH26" s="15">
        <v>4.3624161073825496</v>
      </c>
      <c r="AI26" s="15">
        <v>8.8495575221238898</v>
      </c>
      <c r="AJ26" s="15">
        <v>8.8495575221238898</v>
      </c>
      <c r="AK26" s="15">
        <v>7.6124567474048401</v>
      </c>
      <c r="AL26" s="15">
        <v>5.5865921787709496</v>
      </c>
      <c r="AM26" s="15">
        <v>9.2307692307692299</v>
      </c>
      <c r="AN26" s="24">
        <v>12.3417721518987</v>
      </c>
      <c r="AO26" s="38"/>
    </row>
    <row r="27" spans="1:41">
      <c r="A27" s="9" t="s">
        <v>231</v>
      </c>
      <c r="B27" s="36">
        <v>9.58892706314737</v>
      </c>
      <c r="C27" s="32">
        <v>9.9181563306815406</v>
      </c>
      <c r="D27" s="32">
        <v>8.4151692708942605</v>
      </c>
      <c r="E27" s="32">
        <v>9.2185648455106897</v>
      </c>
      <c r="F27" s="15">
        <v>6.25</v>
      </c>
      <c r="G27" s="20" t="s">
        <v>76</v>
      </c>
      <c r="H27" s="15">
        <v>12.1951219512195</v>
      </c>
      <c r="I27" s="15">
        <v>15</v>
      </c>
      <c r="J27" s="15">
        <v>8.6419753086419693</v>
      </c>
      <c r="K27" s="15">
        <v>16</v>
      </c>
      <c r="L27" s="15">
        <v>8.59375</v>
      </c>
      <c r="M27" s="15">
        <v>8.8235294117646994</v>
      </c>
      <c r="N27" s="20" t="s">
        <v>76</v>
      </c>
      <c r="O27" s="15">
        <v>19.047619047619001</v>
      </c>
      <c r="P27" s="15">
        <v>8.1481481481481506</v>
      </c>
      <c r="Q27" s="15">
        <v>10</v>
      </c>
      <c r="R27" s="15">
        <v>5.4945054945054901</v>
      </c>
      <c r="S27" s="15">
        <v>19</v>
      </c>
      <c r="T27" s="20" t="s">
        <v>76</v>
      </c>
      <c r="U27" s="20" t="s">
        <v>76</v>
      </c>
      <c r="V27" s="20" t="s">
        <v>76</v>
      </c>
      <c r="W27" s="20" t="s">
        <v>76</v>
      </c>
      <c r="X27" s="15">
        <v>5.7692307692307701</v>
      </c>
      <c r="Y27" s="20" t="s">
        <v>76</v>
      </c>
      <c r="Z27" s="15">
        <v>10.869565217391299</v>
      </c>
      <c r="AA27" s="15">
        <v>12.328767123287699</v>
      </c>
      <c r="AB27" s="15">
        <v>6.4102564102564097</v>
      </c>
      <c r="AC27" s="15">
        <v>8.6419753086419693</v>
      </c>
      <c r="AD27" s="15">
        <v>12.6315789473684</v>
      </c>
      <c r="AE27" s="20" t="s">
        <v>76</v>
      </c>
      <c r="AF27" s="20" t="s">
        <v>76</v>
      </c>
      <c r="AG27" s="32">
        <v>7.7914686864174598</v>
      </c>
      <c r="AH27" s="15">
        <v>6.0402684563758404</v>
      </c>
      <c r="AI27" s="15">
        <v>8.5545722713864301</v>
      </c>
      <c r="AJ27" s="15">
        <v>8.8495575221238898</v>
      </c>
      <c r="AK27" s="15">
        <v>7.6124567474048401</v>
      </c>
      <c r="AL27" s="15">
        <v>6.1452513966480398</v>
      </c>
      <c r="AM27" s="15">
        <v>8.3076923076923102</v>
      </c>
      <c r="AN27" s="24">
        <v>8.5443037974683502</v>
      </c>
      <c r="AO27" s="38"/>
    </row>
    <row r="28" spans="1:41">
      <c r="A28" s="9" t="s">
        <v>232</v>
      </c>
      <c r="B28" s="36">
        <v>17.599537843594899</v>
      </c>
      <c r="C28" s="32">
        <v>17.120797378836599</v>
      </c>
      <c r="D28" s="32">
        <v>14.8240775595686</v>
      </c>
      <c r="E28" s="32">
        <v>18.174680607873999</v>
      </c>
      <c r="F28" s="15">
        <v>11.4583333333333</v>
      </c>
      <c r="G28" s="15">
        <v>26.865671641791</v>
      </c>
      <c r="H28" s="15">
        <v>25.609756097561</v>
      </c>
      <c r="I28" s="15">
        <v>25</v>
      </c>
      <c r="J28" s="15">
        <v>9.8765432098765409</v>
      </c>
      <c r="K28" s="15">
        <v>14</v>
      </c>
      <c r="L28" s="15">
        <v>12.5</v>
      </c>
      <c r="M28" s="15">
        <v>25</v>
      </c>
      <c r="N28" s="15">
        <v>16.326530612244898</v>
      </c>
      <c r="O28" s="15">
        <v>28.571428571428601</v>
      </c>
      <c r="P28" s="15">
        <v>14.814814814814801</v>
      </c>
      <c r="Q28" s="15">
        <v>10</v>
      </c>
      <c r="R28" s="15">
        <v>15.384615384615399</v>
      </c>
      <c r="S28" s="15">
        <v>36</v>
      </c>
      <c r="T28" s="15">
        <v>15.1515151515152</v>
      </c>
      <c r="U28" s="15">
        <v>14.893617021276601</v>
      </c>
      <c r="V28" s="15">
        <v>14.814814814814801</v>
      </c>
      <c r="W28" s="15">
        <v>14.285714285714301</v>
      </c>
      <c r="X28" s="15">
        <v>24.038461538461501</v>
      </c>
      <c r="Y28" s="15">
        <v>12.1951219512195</v>
      </c>
      <c r="Z28" s="15">
        <v>15.2173913043478</v>
      </c>
      <c r="AA28" s="15">
        <v>21.917808219178099</v>
      </c>
      <c r="AB28" s="15">
        <v>25.6410256410256</v>
      </c>
      <c r="AC28" s="15">
        <v>12.3456790123457</v>
      </c>
      <c r="AD28" s="15">
        <v>17.894736842105299</v>
      </c>
      <c r="AE28" s="15">
        <v>13.1147540983607</v>
      </c>
      <c r="AF28" s="15">
        <v>18.918918918918902</v>
      </c>
      <c r="AG28" s="32">
        <v>12.222901817997601</v>
      </c>
      <c r="AH28" s="15">
        <v>12.751677852348999</v>
      </c>
      <c r="AI28" s="15">
        <v>10.6194690265487</v>
      </c>
      <c r="AJ28" s="15">
        <v>14.454277286135699</v>
      </c>
      <c r="AK28" s="15">
        <v>14.532871972318301</v>
      </c>
      <c r="AL28" s="15">
        <v>11.173184357541899</v>
      </c>
      <c r="AM28" s="15">
        <v>13.846153846153801</v>
      </c>
      <c r="AN28" s="24">
        <v>10.7594936708861</v>
      </c>
      <c r="AO28" s="38"/>
    </row>
    <row r="29" spans="1:41">
      <c r="A29" s="9" t="s">
        <v>233</v>
      </c>
      <c r="B29" s="36">
        <v>9.2462001212724996</v>
      </c>
      <c r="C29" s="32">
        <v>8.7129699662323201</v>
      </c>
      <c r="D29" s="32">
        <v>7.3826376703621497</v>
      </c>
      <c r="E29" s="32">
        <v>7.2269308274612696</v>
      </c>
      <c r="F29" s="15">
        <v>6.25</v>
      </c>
      <c r="G29" s="15">
        <v>8.9552238805970106</v>
      </c>
      <c r="H29" s="15">
        <v>7.3170731707317103</v>
      </c>
      <c r="I29" s="15">
        <v>17.5</v>
      </c>
      <c r="J29" s="15">
        <v>8.6419753086419693</v>
      </c>
      <c r="K29" s="15">
        <v>16</v>
      </c>
      <c r="L29" s="20" t="s">
        <v>76</v>
      </c>
      <c r="M29" s="20" t="s">
        <v>76</v>
      </c>
      <c r="N29" s="20" t="s">
        <v>76</v>
      </c>
      <c r="O29" s="15">
        <v>11.9047619047619</v>
      </c>
      <c r="P29" s="15">
        <v>4.4444444444444402</v>
      </c>
      <c r="Q29" s="15">
        <v>11.6666666666667</v>
      </c>
      <c r="R29" s="20" t="s">
        <v>76</v>
      </c>
      <c r="S29" s="15">
        <v>8</v>
      </c>
      <c r="T29" s="20" t="s">
        <v>76</v>
      </c>
      <c r="U29" s="20" t="s">
        <v>76</v>
      </c>
      <c r="V29" s="20" t="s">
        <v>76</v>
      </c>
      <c r="W29" s="20" t="s">
        <v>76</v>
      </c>
      <c r="X29" s="15">
        <v>11.538461538461499</v>
      </c>
      <c r="Y29" s="20" t="s">
        <v>76</v>
      </c>
      <c r="Z29" s="20" t="s">
        <v>76</v>
      </c>
      <c r="AA29" s="15">
        <v>12.328767123287699</v>
      </c>
      <c r="AB29" s="15">
        <v>7.6923076923076898</v>
      </c>
      <c r="AC29" s="15">
        <v>6.1728395061728403</v>
      </c>
      <c r="AD29" s="20" t="s">
        <v>76</v>
      </c>
      <c r="AE29" s="15">
        <v>16.393442622950801</v>
      </c>
      <c r="AF29" s="20" t="s">
        <v>76</v>
      </c>
      <c r="AG29" s="32">
        <v>7.5035176602359801</v>
      </c>
      <c r="AH29" s="15">
        <v>4.6979865771812097</v>
      </c>
      <c r="AI29" s="15">
        <v>7.3746312684365796</v>
      </c>
      <c r="AJ29" s="15">
        <v>8.2595870206489703</v>
      </c>
      <c r="AK29" s="15">
        <v>6.9204152249134898</v>
      </c>
      <c r="AL29" s="15">
        <v>9.4972067039106101</v>
      </c>
      <c r="AM29" s="15">
        <v>8.3076923076923102</v>
      </c>
      <c r="AN29" s="24">
        <v>11.7088607594937</v>
      </c>
      <c r="AO29" s="38"/>
    </row>
    <row r="30" spans="1:41">
      <c r="A30" s="9" t="s">
        <v>234</v>
      </c>
      <c r="B30" s="36">
        <v>10.1101111094081</v>
      </c>
      <c r="C30" s="32">
        <v>10.127537765361399</v>
      </c>
      <c r="D30" s="32">
        <v>7.5911373636777304</v>
      </c>
      <c r="E30" s="32">
        <v>7.1465225766205496</v>
      </c>
      <c r="F30" s="20" t="s">
        <v>76</v>
      </c>
      <c r="G30" s="15">
        <v>7.4626865671641802</v>
      </c>
      <c r="H30" s="15">
        <v>7.3170731707317103</v>
      </c>
      <c r="I30" s="15">
        <v>15</v>
      </c>
      <c r="J30" s="15">
        <v>9.8765432098765409</v>
      </c>
      <c r="K30" s="15">
        <v>14</v>
      </c>
      <c r="L30" s="15">
        <v>6.25</v>
      </c>
      <c r="M30" s="15">
        <v>7.3529411764705896</v>
      </c>
      <c r="N30" s="20" t="s">
        <v>76</v>
      </c>
      <c r="O30" s="15">
        <v>11.9047619047619</v>
      </c>
      <c r="P30" s="15">
        <v>5.1851851851851896</v>
      </c>
      <c r="Q30" s="15">
        <v>11.6666666666667</v>
      </c>
      <c r="R30" s="15">
        <v>10.989010989011</v>
      </c>
      <c r="S30" s="15">
        <v>8</v>
      </c>
      <c r="T30" s="15">
        <v>18.181818181818201</v>
      </c>
      <c r="U30" s="20" t="s">
        <v>76</v>
      </c>
      <c r="V30" s="20" t="s">
        <v>76</v>
      </c>
      <c r="W30" s="20" t="s">
        <v>76</v>
      </c>
      <c r="X30" s="15">
        <v>7.6923076923076898</v>
      </c>
      <c r="Y30" s="20" t="s">
        <v>76</v>
      </c>
      <c r="Z30" s="15">
        <v>13.0434782608696</v>
      </c>
      <c r="AA30" s="20" t="s">
        <v>76</v>
      </c>
      <c r="AB30" s="15">
        <v>12.8205128205128</v>
      </c>
      <c r="AC30" s="20" t="s">
        <v>76</v>
      </c>
      <c r="AD30" s="20" t="s">
        <v>76</v>
      </c>
      <c r="AE30" s="15">
        <v>9.8360655737704903</v>
      </c>
      <c r="AF30" s="15">
        <v>13.5135135135135</v>
      </c>
      <c r="AG30" s="32">
        <v>7.9363054369360198</v>
      </c>
      <c r="AH30" s="15">
        <v>8.0536912751677896</v>
      </c>
      <c r="AI30" s="15">
        <v>5.3097345132743401</v>
      </c>
      <c r="AJ30" s="15">
        <v>8.5545722713864301</v>
      </c>
      <c r="AK30" s="15">
        <v>10.0346020761246</v>
      </c>
      <c r="AL30" s="15">
        <v>12.290502793296101</v>
      </c>
      <c r="AM30" s="15">
        <v>7.3846153846153904</v>
      </c>
      <c r="AN30" s="24">
        <v>8.5443037974683502</v>
      </c>
      <c r="AO30" s="38"/>
    </row>
    <row r="31" spans="1:41">
      <c r="A31" s="9" t="s">
        <v>235</v>
      </c>
      <c r="B31" s="36">
        <v>14.5558272876762</v>
      </c>
      <c r="C31" s="32">
        <v>14.2558580513036</v>
      </c>
      <c r="D31" s="32">
        <v>11.0067759923952</v>
      </c>
      <c r="E31" s="32">
        <v>12.975634289508299</v>
      </c>
      <c r="F31" s="15">
        <v>10.4166666666667</v>
      </c>
      <c r="G31" s="15">
        <v>11.9402985074627</v>
      </c>
      <c r="H31" s="15">
        <v>15.853658536585399</v>
      </c>
      <c r="I31" s="20" t="s">
        <v>76</v>
      </c>
      <c r="J31" s="15">
        <v>16.049382716049401</v>
      </c>
      <c r="K31" s="15">
        <v>14</v>
      </c>
      <c r="L31" s="15">
        <v>16.40625</v>
      </c>
      <c r="M31" s="15">
        <v>11.764705882352899</v>
      </c>
      <c r="N31" s="20" t="s">
        <v>76</v>
      </c>
      <c r="O31" s="15">
        <v>26.1904761904762</v>
      </c>
      <c r="P31" s="15">
        <v>10.3703703703704</v>
      </c>
      <c r="Q31" s="15">
        <v>13.3333333333333</v>
      </c>
      <c r="R31" s="15">
        <v>12.0879120879121</v>
      </c>
      <c r="S31" s="15">
        <v>26</v>
      </c>
      <c r="T31" s="20" t="s">
        <v>76</v>
      </c>
      <c r="U31" s="20" t="s">
        <v>76</v>
      </c>
      <c r="V31" s="20" t="s">
        <v>76</v>
      </c>
      <c r="W31" s="20" t="s">
        <v>76</v>
      </c>
      <c r="X31" s="15">
        <v>12.5</v>
      </c>
      <c r="Y31" s="20" t="s">
        <v>76</v>
      </c>
      <c r="Z31" s="15">
        <v>10.869565217391299</v>
      </c>
      <c r="AA31" s="15">
        <v>13.698630136986299</v>
      </c>
      <c r="AB31" s="15">
        <v>16.6666666666667</v>
      </c>
      <c r="AC31" s="15">
        <v>7.4074074074074101</v>
      </c>
      <c r="AD31" s="15">
        <v>10.526315789473699</v>
      </c>
      <c r="AE31" s="15">
        <v>9.8360655737704903</v>
      </c>
      <c r="AF31" s="15">
        <v>13.5135135135135</v>
      </c>
      <c r="AG31" s="32">
        <v>9.4782910100778093</v>
      </c>
      <c r="AH31" s="15">
        <v>6.71140939597315</v>
      </c>
      <c r="AI31" s="15">
        <v>8.5545722713864301</v>
      </c>
      <c r="AJ31" s="15">
        <v>12.094395280236</v>
      </c>
      <c r="AK31" s="15">
        <v>10.726643598615899</v>
      </c>
      <c r="AL31" s="15">
        <v>11.173184357541899</v>
      </c>
      <c r="AM31" s="15">
        <v>8</v>
      </c>
      <c r="AN31" s="24">
        <v>12.6582278481013</v>
      </c>
      <c r="AO31" s="38"/>
    </row>
    <row r="32" spans="1:41">
      <c r="A32" s="9" t="s">
        <v>236</v>
      </c>
      <c r="B32" s="36">
        <v>4.4676446380830601</v>
      </c>
      <c r="C32" s="32">
        <v>4.4036600252259701</v>
      </c>
      <c r="D32" s="32">
        <v>3.7516562304871499</v>
      </c>
      <c r="E32" s="32">
        <v>2.2221100834641399</v>
      </c>
      <c r="F32" s="20" t="s">
        <v>76</v>
      </c>
      <c r="G32" s="20" t="s">
        <v>76</v>
      </c>
      <c r="H32" s="20" t="s">
        <v>76</v>
      </c>
      <c r="I32" s="20" t="s">
        <v>76</v>
      </c>
      <c r="J32" s="20" t="s">
        <v>76</v>
      </c>
      <c r="K32" s="15">
        <v>10</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2">
        <v>4.9390897389900399</v>
      </c>
      <c r="AH32" s="15">
        <v>2.3489932885906</v>
      </c>
      <c r="AI32" s="15">
        <v>5.3097345132743401</v>
      </c>
      <c r="AJ32" s="15">
        <v>2.9498525073746298</v>
      </c>
      <c r="AK32" s="15">
        <v>2.7681660899653999</v>
      </c>
      <c r="AL32" s="15">
        <v>3.91061452513966</v>
      </c>
      <c r="AM32" s="15">
        <v>6.1538461538461497</v>
      </c>
      <c r="AN32" s="24">
        <v>7.9113924050632898</v>
      </c>
      <c r="AO32" s="38"/>
    </row>
    <row r="33" spans="1:41">
      <c r="A33" s="9" t="s">
        <v>237</v>
      </c>
      <c r="B33" s="36">
        <v>9.5550964472049706</v>
      </c>
      <c r="C33" s="32">
        <v>9.7452060251110293</v>
      </c>
      <c r="D33" s="32">
        <v>9.0918295953970798</v>
      </c>
      <c r="E33" s="32">
        <v>8.9722228663998393</v>
      </c>
      <c r="F33" s="15">
        <v>9.375</v>
      </c>
      <c r="G33" s="15">
        <v>7.4626865671641802</v>
      </c>
      <c r="H33" s="15">
        <v>8.5365853658536608</v>
      </c>
      <c r="I33" s="15">
        <v>20</v>
      </c>
      <c r="J33" s="15">
        <v>8.6419753086419693</v>
      </c>
      <c r="K33" s="20" t="s">
        <v>76</v>
      </c>
      <c r="L33" s="15">
        <v>4.6875</v>
      </c>
      <c r="M33" s="20" t="s">
        <v>76</v>
      </c>
      <c r="N33" s="15">
        <v>16.326530612244898</v>
      </c>
      <c r="O33" s="15">
        <v>14.285714285714301</v>
      </c>
      <c r="P33" s="15">
        <v>3.7037037037037002</v>
      </c>
      <c r="Q33" s="15">
        <v>13.3333333333333</v>
      </c>
      <c r="R33" s="15">
        <v>10.989010989011</v>
      </c>
      <c r="S33" s="15">
        <v>11</v>
      </c>
      <c r="T33" s="20" t="s">
        <v>76</v>
      </c>
      <c r="U33" s="20" t="s">
        <v>76</v>
      </c>
      <c r="V33" s="15">
        <v>14.814814814814801</v>
      </c>
      <c r="W33" s="20" t="s">
        <v>76</v>
      </c>
      <c r="X33" s="15">
        <v>15.384615384615399</v>
      </c>
      <c r="Y33" s="20" t="s">
        <v>76</v>
      </c>
      <c r="Z33" s="20" t="s">
        <v>76</v>
      </c>
      <c r="AA33" s="15">
        <v>12.328767123287699</v>
      </c>
      <c r="AB33" s="15">
        <v>15.384615384615399</v>
      </c>
      <c r="AC33" s="20" t="s">
        <v>76</v>
      </c>
      <c r="AD33" s="15">
        <v>6.3157894736842097</v>
      </c>
      <c r="AE33" s="15">
        <v>13.1147540983607</v>
      </c>
      <c r="AF33" s="20" t="s">
        <v>76</v>
      </c>
      <c r="AG33" s="32">
        <v>9.1846839614652005</v>
      </c>
      <c r="AH33" s="15">
        <v>6.0402684563758404</v>
      </c>
      <c r="AI33" s="15">
        <v>8.8495575221238898</v>
      </c>
      <c r="AJ33" s="15">
        <v>7.9646017699114999</v>
      </c>
      <c r="AK33" s="15">
        <v>7.9584775086505202</v>
      </c>
      <c r="AL33" s="15">
        <v>11.173184357541899</v>
      </c>
      <c r="AM33" s="15">
        <v>8.6153846153846096</v>
      </c>
      <c r="AN33" s="24">
        <v>13.2911392405063</v>
      </c>
      <c r="AO33" s="38"/>
    </row>
    <row r="34" spans="1:41">
      <c r="A34" s="9" t="s">
        <v>238</v>
      </c>
      <c r="B34" s="36">
        <v>19.740940613097202</v>
      </c>
      <c r="C34" s="32">
        <v>19.225060588592999</v>
      </c>
      <c r="D34" s="32">
        <v>17.868069001363999</v>
      </c>
      <c r="E34" s="32">
        <v>16.5146451364086</v>
      </c>
      <c r="F34" s="15">
        <v>13.5416666666667</v>
      </c>
      <c r="G34" s="15">
        <v>17.910447761194</v>
      </c>
      <c r="H34" s="15">
        <v>19.512195121951201</v>
      </c>
      <c r="I34" s="15">
        <v>15</v>
      </c>
      <c r="J34" s="15">
        <v>13.580246913580201</v>
      </c>
      <c r="K34" s="15">
        <v>18</v>
      </c>
      <c r="L34" s="15">
        <v>13.28125</v>
      </c>
      <c r="M34" s="15">
        <v>13.235294117647101</v>
      </c>
      <c r="N34" s="20" t="s">
        <v>76</v>
      </c>
      <c r="O34" s="15">
        <v>26.1904761904762</v>
      </c>
      <c r="P34" s="15">
        <v>10.3703703703704</v>
      </c>
      <c r="Q34" s="15">
        <v>25</v>
      </c>
      <c r="R34" s="15">
        <v>16.4835164835165</v>
      </c>
      <c r="S34" s="15">
        <v>19</v>
      </c>
      <c r="T34" s="15">
        <v>15.1515151515152</v>
      </c>
      <c r="U34" s="15">
        <v>17.021276595744698</v>
      </c>
      <c r="V34" s="15">
        <v>16.6666666666667</v>
      </c>
      <c r="W34" s="20" t="s">
        <v>76</v>
      </c>
      <c r="X34" s="15">
        <v>19.230769230769202</v>
      </c>
      <c r="Y34" s="20" t="s">
        <v>76</v>
      </c>
      <c r="Z34" s="15">
        <v>17.3913043478261</v>
      </c>
      <c r="AA34" s="15">
        <v>31.5068493150685</v>
      </c>
      <c r="AB34" s="15">
        <v>15.384615384615399</v>
      </c>
      <c r="AC34" s="15">
        <v>17.283950617283899</v>
      </c>
      <c r="AD34" s="15">
        <v>16.842105263157901</v>
      </c>
      <c r="AE34" s="15">
        <v>24.590163934426201</v>
      </c>
      <c r="AF34" s="15">
        <v>21.6216216216216</v>
      </c>
      <c r="AG34" s="32">
        <v>18.918773389449001</v>
      </c>
      <c r="AH34" s="15">
        <v>13.087248322147699</v>
      </c>
      <c r="AI34" s="15">
        <v>20.0589970501475</v>
      </c>
      <c r="AJ34" s="15">
        <v>15.044247787610599</v>
      </c>
      <c r="AK34" s="15">
        <v>21.799307958477499</v>
      </c>
      <c r="AL34" s="15">
        <v>22.905027932960898</v>
      </c>
      <c r="AM34" s="15">
        <v>18.153846153846199</v>
      </c>
      <c r="AN34" s="24">
        <v>18.9873417721519</v>
      </c>
      <c r="AO34" s="38"/>
    </row>
    <row r="35" spans="1:41">
      <c r="A35" s="9" t="s">
        <v>239</v>
      </c>
      <c r="B35" s="36">
        <v>11.265976099813701</v>
      </c>
      <c r="C35" s="32">
        <v>10.744908808084601</v>
      </c>
      <c r="D35" s="32">
        <v>9.1289770668143095</v>
      </c>
      <c r="E35" s="32">
        <v>10.7164030812535</v>
      </c>
      <c r="F35" s="15">
        <v>12.5</v>
      </c>
      <c r="G35" s="15">
        <v>7.4626865671641802</v>
      </c>
      <c r="H35" s="15">
        <v>12.1951219512195</v>
      </c>
      <c r="I35" s="20" t="s">
        <v>76</v>
      </c>
      <c r="J35" s="15">
        <v>6.1728395061728403</v>
      </c>
      <c r="K35" s="15">
        <v>14</v>
      </c>
      <c r="L35" s="15">
        <v>6.25</v>
      </c>
      <c r="M35" s="20" t="s">
        <v>76</v>
      </c>
      <c r="N35" s="15">
        <v>12.244897959183699</v>
      </c>
      <c r="O35" s="20" t="s">
        <v>76</v>
      </c>
      <c r="P35" s="15">
        <v>8.1481481481481506</v>
      </c>
      <c r="Q35" s="15">
        <v>15</v>
      </c>
      <c r="R35" s="15">
        <v>13.1868131868132</v>
      </c>
      <c r="S35" s="15">
        <v>10</v>
      </c>
      <c r="T35" s="15">
        <v>15.1515151515152</v>
      </c>
      <c r="U35" s="15">
        <v>12.7659574468085</v>
      </c>
      <c r="V35" s="15">
        <v>9.2592592592592595</v>
      </c>
      <c r="W35" s="20" t="s">
        <v>76</v>
      </c>
      <c r="X35" s="15">
        <v>13.461538461538501</v>
      </c>
      <c r="Y35" s="20" t="s">
        <v>76</v>
      </c>
      <c r="Z35" s="20" t="s">
        <v>76</v>
      </c>
      <c r="AA35" s="15">
        <v>20.5479452054795</v>
      </c>
      <c r="AB35" s="15">
        <v>11.538461538461499</v>
      </c>
      <c r="AC35" s="15">
        <v>8.6419753086419693</v>
      </c>
      <c r="AD35" s="15">
        <v>8.4210526315789505</v>
      </c>
      <c r="AE35" s="15">
        <v>21.311475409836099</v>
      </c>
      <c r="AF35" s="15">
        <v>18.918918918918902</v>
      </c>
      <c r="AG35" s="32">
        <v>7.8966096449597396</v>
      </c>
      <c r="AH35" s="15">
        <v>7.0469798657718101</v>
      </c>
      <c r="AI35" s="15">
        <v>8.2595870206489703</v>
      </c>
      <c r="AJ35" s="15">
        <v>7.9646017699114999</v>
      </c>
      <c r="AK35" s="15">
        <v>8.3044982698961896</v>
      </c>
      <c r="AL35" s="15">
        <v>11.731843575418999</v>
      </c>
      <c r="AM35" s="15">
        <v>7.0769230769230802</v>
      </c>
      <c r="AN35" s="24">
        <v>7.2784810126582302</v>
      </c>
      <c r="AO35" s="38"/>
    </row>
    <row r="36" spans="1:41">
      <c r="A36" s="9" t="s">
        <v>240</v>
      </c>
      <c r="B36" s="36">
        <v>6.8900706240652898</v>
      </c>
      <c r="C36" s="32">
        <v>6.5221261455985102</v>
      </c>
      <c r="D36" s="32">
        <v>4.75913884481505</v>
      </c>
      <c r="E36" s="32">
        <v>5.8300563486467603</v>
      </c>
      <c r="F36" s="15">
        <v>5.2083333333333304</v>
      </c>
      <c r="G36" s="20" t="s">
        <v>76</v>
      </c>
      <c r="H36" s="15">
        <v>8.5365853658536608</v>
      </c>
      <c r="I36" s="20" t="s">
        <v>76</v>
      </c>
      <c r="J36" s="15">
        <v>14.814814814814801</v>
      </c>
      <c r="K36" s="20" t="s">
        <v>76</v>
      </c>
      <c r="L36" s="20" t="s">
        <v>76</v>
      </c>
      <c r="M36" s="20" t="s">
        <v>76</v>
      </c>
      <c r="N36" s="20" t="s">
        <v>76</v>
      </c>
      <c r="O36" s="20" t="s">
        <v>76</v>
      </c>
      <c r="P36" s="15">
        <v>5.1851851851851896</v>
      </c>
      <c r="Q36" s="20" t="s">
        <v>76</v>
      </c>
      <c r="R36" s="20" t="s">
        <v>76</v>
      </c>
      <c r="S36" s="15">
        <v>10</v>
      </c>
      <c r="T36" s="20" t="s">
        <v>76</v>
      </c>
      <c r="U36" s="20" t="s">
        <v>76</v>
      </c>
      <c r="V36" s="15">
        <v>9.2592592592592595</v>
      </c>
      <c r="W36" s="20" t="s">
        <v>76</v>
      </c>
      <c r="X36" s="15">
        <v>9.6153846153846096</v>
      </c>
      <c r="Y36" s="20" t="s">
        <v>76</v>
      </c>
      <c r="Z36" s="20" t="s">
        <v>76</v>
      </c>
      <c r="AA36" s="20" t="s">
        <v>76</v>
      </c>
      <c r="AB36" s="15">
        <v>6.4102564102564097</v>
      </c>
      <c r="AC36" s="15">
        <v>6.1728395061728403</v>
      </c>
      <c r="AD36" s="15">
        <v>6.3157894736842097</v>
      </c>
      <c r="AE36" s="15">
        <v>8.1967213114754092</v>
      </c>
      <c r="AF36" s="20" t="s">
        <v>76</v>
      </c>
      <c r="AG36" s="32">
        <v>3.9277527951904099</v>
      </c>
      <c r="AH36" s="15">
        <v>3.0201342281879202</v>
      </c>
      <c r="AI36" s="15">
        <v>4.4247787610619502</v>
      </c>
      <c r="AJ36" s="15">
        <v>5.6047197640117998</v>
      </c>
      <c r="AK36" s="15">
        <v>4.4982698961937704</v>
      </c>
      <c r="AL36" s="20" t="s">
        <v>76</v>
      </c>
      <c r="AM36" s="15">
        <v>4</v>
      </c>
      <c r="AN36" s="24">
        <v>2.84810126582278</v>
      </c>
      <c r="AO36" s="38"/>
    </row>
    <row r="37" spans="1:41">
      <c r="A37" s="9" t="s">
        <v>241</v>
      </c>
      <c r="B37" s="36">
        <v>11.9070620275164</v>
      </c>
      <c r="C37" s="32">
        <v>12.068950733314299</v>
      </c>
      <c r="D37" s="32">
        <v>10.952302723400701</v>
      </c>
      <c r="E37" s="32">
        <v>10.8401980566644</v>
      </c>
      <c r="F37" s="15">
        <v>9.375</v>
      </c>
      <c r="G37" s="15">
        <v>13.4328358208955</v>
      </c>
      <c r="H37" s="15">
        <v>13.4146341463415</v>
      </c>
      <c r="I37" s="15">
        <v>30</v>
      </c>
      <c r="J37" s="15">
        <v>13.580246913580201</v>
      </c>
      <c r="K37" s="15">
        <v>16</v>
      </c>
      <c r="L37" s="15">
        <v>6.25</v>
      </c>
      <c r="M37" s="20" t="s">
        <v>76</v>
      </c>
      <c r="N37" s="15">
        <v>14.285714285714301</v>
      </c>
      <c r="O37" s="15">
        <v>14.285714285714301</v>
      </c>
      <c r="P37" s="15">
        <v>5.92592592592593</v>
      </c>
      <c r="Q37" s="15">
        <v>13.3333333333333</v>
      </c>
      <c r="R37" s="15">
        <v>14.285714285714301</v>
      </c>
      <c r="S37" s="15">
        <v>9</v>
      </c>
      <c r="T37" s="20" t="s">
        <v>76</v>
      </c>
      <c r="U37" s="15">
        <v>12.7659574468085</v>
      </c>
      <c r="V37" s="15">
        <v>11.1111111111111</v>
      </c>
      <c r="W37" s="20" t="s">
        <v>76</v>
      </c>
      <c r="X37" s="15">
        <v>15.384615384615399</v>
      </c>
      <c r="Y37" s="20" t="s">
        <v>76</v>
      </c>
      <c r="Z37" s="20" t="s">
        <v>76</v>
      </c>
      <c r="AA37" s="15">
        <v>10.958904109589</v>
      </c>
      <c r="AB37" s="15">
        <v>19.230769230769202</v>
      </c>
      <c r="AC37" s="15">
        <v>7.4074074074074101</v>
      </c>
      <c r="AD37" s="15">
        <v>7.3684210526315796</v>
      </c>
      <c r="AE37" s="15">
        <v>21.311475409836099</v>
      </c>
      <c r="AF37" s="20" t="s">
        <v>76</v>
      </c>
      <c r="AG37" s="32">
        <v>11.0393330088231</v>
      </c>
      <c r="AH37" s="15">
        <v>8.0536912751677896</v>
      </c>
      <c r="AI37" s="15">
        <v>9.7345132743362797</v>
      </c>
      <c r="AJ37" s="15">
        <v>9.4395280235988199</v>
      </c>
      <c r="AK37" s="15">
        <v>11.0726643598616</v>
      </c>
      <c r="AL37" s="15">
        <v>12.290502793296101</v>
      </c>
      <c r="AM37" s="15">
        <v>12</v>
      </c>
      <c r="AN37" s="24">
        <v>12.6582278481013</v>
      </c>
      <c r="AO37" s="38"/>
    </row>
    <row r="38" spans="1:41">
      <c r="A38" s="9" t="s">
        <v>242</v>
      </c>
      <c r="B38" s="36">
        <v>15.6664229990508</v>
      </c>
      <c r="C38" s="32">
        <v>15.334451680389501</v>
      </c>
      <c r="D38" s="32">
        <v>13.052864427472301</v>
      </c>
      <c r="E38" s="32">
        <v>15.4893820234196</v>
      </c>
      <c r="F38" s="15">
        <v>14.5833333333333</v>
      </c>
      <c r="G38" s="15">
        <v>16.417910447761201</v>
      </c>
      <c r="H38" s="15">
        <v>18.292682926829301</v>
      </c>
      <c r="I38" s="15">
        <v>20</v>
      </c>
      <c r="J38" s="15">
        <v>18.518518518518501</v>
      </c>
      <c r="K38" s="15">
        <v>20</v>
      </c>
      <c r="L38" s="15">
        <v>16.40625</v>
      </c>
      <c r="M38" s="15">
        <v>19.117647058823501</v>
      </c>
      <c r="N38" s="15">
        <v>16.326530612244898</v>
      </c>
      <c r="O38" s="15">
        <v>14.285714285714301</v>
      </c>
      <c r="P38" s="15">
        <v>7.4074074074074101</v>
      </c>
      <c r="Q38" s="15">
        <v>13.3333333333333</v>
      </c>
      <c r="R38" s="15">
        <v>14.285714285714301</v>
      </c>
      <c r="S38" s="15">
        <v>24</v>
      </c>
      <c r="T38" s="15">
        <v>18.181818181818201</v>
      </c>
      <c r="U38" s="15">
        <v>14.893617021276601</v>
      </c>
      <c r="V38" s="15">
        <v>14.814814814814801</v>
      </c>
      <c r="W38" s="20" t="s">
        <v>76</v>
      </c>
      <c r="X38" s="15">
        <v>23.076923076923102</v>
      </c>
      <c r="Y38" s="20" t="s">
        <v>76</v>
      </c>
      <c r="Z38" s="15">
        <v>15.2173913043478</v>
      </c>
      <c r="AA38" s="15">
        <v>19.178082191780799</v>
      </c>
      <c r="AB38" s="15">
        <v>14.1025641025641</v>
      </c>
      <c r="AC38" s="15">
        <v>11.1111111111111</v>
      </c>
      <c r="AD38" s="15">
        <v>11.578947368421099</v>
      </c>
      <c r="AE38" s="15">
        <v>26.229508196721302</v>
      </c>
      <c r="AF38" s="15">
        <v>18.918918918918902</v>
      </c>
      <c r="AG38" s="32">
        <v>11.1613212117831</v>
      </c>
      <c r="AH38" s="15">
        <v>9.3959731543624194</v>
      </c>
      <c r="AI38" s="15">
        <v>13.2743362831858</v>
      </c>
      <c r="AJ38" s="15">
        <v>11.5044247787611</v>
      </c>
      <c r="AK38" s="15">
        <v>8.3044982698961896</v>
      </c>
      <c r="AL38" s="15">
        <v>16.201117318435799</v>
      </c>
      <c r="AM38" s="15">
        <v>10.461538461538501</v>
      </c>
      <c r="AN38" s="24">
        <v>14.5569620253165</v>
      </c>
      <c r="AO38" s="38"/>
    </row>
    <row r="39" spans="1:41">
      <c r="A39" s="9" t="s">
        <v>243</v>
      </c>
      <c r="B39" s="36">
        <v>9.6429154198159299</v>
      </c>
      <c r="C39" s="32">
        <v>9.0453188888306801</v>
      </c>
      <c r="D39" s="32">
        <v>7.7592485633136601</v>
      </c>
      <c r="E39" s="32">
        <v>8.05685319296302</v>
      </c>
      <c r="F39" s="15">
        <v>6.25</v>
      </c>
      <c r="G39" s="15">
        <v>10.4477611940298</v>
      </c>
      <c r="H39" s="15">
        <v>6.0975609756097597</v>
      </c>
      <c r="I39" s="20" t="s">
        <v>76</v>
      </c>
      <c r="J39" s="15">
        <v>11.1111111111111</v>
      </c>
      <c r="K39" s="20" t="s">
        <v>76</v>
      </c>
      <c r="L39" s="15">
        <v>6.25</v>
      </c>
      <c r="M39" s="15">
        <v>7.3529411764705896</v>
      </c>
      <c r="N39" s="20" t="s">
        <v>76</v>
      </c>
      <c r="O39" s="20" t="s">
        <v>76</v>
      </c>
      <c r="P39" s="15">
        <v>8.8888888888888893</v>
      </c>
      <c r="Q39" s="15">
        <v>8.3333333333333304</v>
      </c>
      <c r="R39" s="15">
        <v>7.6923076923076898</v>
      </c>
      <c r="S39" s="15">
        <v>10</v>
      </c>
      <c r="T39" s="20" t="s">
        <v>76</v>
      </c>
      <c r="U39" s="20" t="s">
        <v>76</v>
      </c>
      <c r="V39" s="20" t="s">
        <v>76</v>
      </c>
      <c r="W39" s="20" t="s">
        <v>76</v>
      </c>
      <c r="X39" s="15">
        <v>12.5</v>
      </c>
      <c r="Y39" s="20" t="s">
        <v>76</v>
      </c>
      <c r="Z39" s="20" t="s">
        <v>76</v>
      </c>
      <c r="AA39" s="15">
        <v>12.328767123287699</v>
      </c>
      <c r="AB39" s="15">
        <v>11.538461538461499</v>
      </c>
      <c r="AC39" s="20" t="s">
        <v>76</v>
      </c>
      <c r="AD39" s="15">
        <v>6.3157894736842097</v>
      </c>
      <c r="AE39" s="15">
        <v>14.7540983606557</v>
      </c>
      <c r="AF39" s="20" t="s">
        <v>76</v>
      </c>
      <c r="AG39" s="32">
        <v>7.5282089766892</v>
      </c>
      <c r="AH39" s="15">
        <v>7.3825503355704702</v>
      </c>
      <c r="AI39" s="15">
        <v>9.4395280235988199</v>
      </c>
      <c r="AJ39" s="15">
        <v>8.5545722713864301</v>
      </c>
      <c r="AK39" s="15">
        <v>7.9584775086505202</v>
      </c>
      <c r="AL39" s="15">
        <v>6.7039106145251397</v>
      </c>
      <c r="AM39" s="15">
        <v>6.4615384615384599</v>
      </c>
      <c r="AN39" s="24">
        <v>8.8607594936708907</v>
      </c>
      <c r="AO39" s="38"/>
    </row>
    <row r="40" spans="1:41">
      <c r="A40" s="9" t="s">
        <v>244</v>
      </c>
      <c r="B40" s="36">
        <v>11.799331259253799</v>
      </c>
      <c r="C40" s="32">
        <v>11.5508706627297</v>
      </c>
      <c r="D40" s="32">
        <v>10.3441116329019</v>
      </c>
      <c r="E40" s="32">
        <v>11.730618358928499</v>
      </c>
      <c r="F40" s="15">
        <v>9.375</v>
      </c>
      <c r="G40" s="15">
        <v>22.388059701492502</v>
      </c>
      <c r="H40" s="15">
        <v>9.7560975609756095</v>
      </c>
      <c r="I40" s="15">
        <v>17.5</v>
      </c>
      <c r="J40" s="15">
        <v>8.6419753086419693</v>
      </c>
      <c r="K40" s="15">
        <v>10</v>
      </c>
      <c r="L40" s="15">
        <v>12.5</v>
      </c>
      <c r="M40" s="15">
        <v>8.8235294117646994</v>
      </c>
      <c r="N40" s="15">
        <v>14.285714285714301</v>
      </c>
      <c r="O40" s="15">
        <v>21.428571428571399</v>
      </c>
      <c r="P40" s="15">
        <v>10.3703703703704</v>
      </c>
      <c r="Q40" s="20" t="s">
        <v>76</v>
      </c>
      <c r="R40" s="15">
        <v>13.1868131868132</v>
      </c>
      <c r="S40" s="15">
        <v>23</v>
      </c>
      <c r="T40" s="20" t="s">
        <v>76</v>
      </c>
      <c r="U40" s="20" t="s">
        <v>76</v>
      </c>
      <c r="V40" s="15">
        <v>12.962962962962999</v>
      </c>
      <c r="W40" s="20" t="s">
        <v>76</v>
      </c>
      <c r="X40" s="15">
        <v>17.307692307692299</v>
      </c>
      <c r="Y40" s="20" t="s">
        <v>76</v>
      </c>
      <c r="Z40" s="20" t="s">
        <v>76</v>
      </c>
      <c r="AA40" s="15">
        <v>12.328767123287699</v>
      </c>
      <c r="AB40" s="15">
        <v>14.1025641025641</v>
      </c>
      <c r="AC40" s="15">
        <v>9.8765432098765409</v>
      </c>
      <c r="AD40" s="15">
        <v>7.3684210526315796</v>
      </c>
      <c r="AE40" s="15">
        <v>13.1147540983607</v>
      </c>
      <c r="AF40" s="20" t="s">
        <v>76</v>
      </c>
      <c r="AG40" s="32">
        <v>9.2677240067730509</v>
      </c>
      <c r="AH40" s="15">
        <v>11.744966442953</v>
      </c>
      <c r="AI40" s="15">
        <v>6.7846607669616503</v>
      </c>
      <c r="AJ40" s="15">
        <v>9.1445427728613602</v>
      </c>
      <c r="AK40" s="15">
        <v>9.3425605536332199</v>
      </c>
      <c r="AL40" s="15">
        <v>10.055865921787699</v>
      </c>
      <c r="AM40" s="15">
        <v>7.3846153846153904</v>
      </c>
      <c r="AN40" s="24">
        <v>13.2911392405063</v>
      </c>
      <c r="AO40" s="38"/>
    </row>
    <row r="41" spans="1:41">
      <c r="A41" s="9" t="s">
        <v>245</v>
      </c>
      <c r="B41" s="36">
        <v>8.4257752529168908</v>
      </c>
      <c r="C41" s="32">
        <v>8.3014564207397203</v>
      </c>
      <c r="D41" s="32">
        <v>7.5177211183389296</v>
      </c>
      <c r="E41" s="32">
        <v>7.8925450586425301</v>
      </c>
      <c r="F41" s="15">
        <v>9.375</v>
      </c>
      <c r="G41" s="15">
        <v>10.4477611940298</v>
      </c>
      <c r="H41" s="15">
        <v>20.731707317073202</v>
      </c>
      <c r="I41" s="20" t="s">
        <v>76</v>
      </c>
      <c r="J41" s="20" t="s">
        <v>76</v>
      </c>
      <c r="K41" s="15">
        <v>20</v>
      </c>
      <c r="L41" s="15">
        <v>7.8125</v>
      </c>
      <c r="M41" s="15">
        <v>17.647058823529399</v>
      </c>
      <c r="N41" s="20" t="s">
        <v>76</v>
      </c>
      <c r="O41" s="20" t="s">
        <v>76</v>
      </c>
      <c r="P41" s="15">
        <v>4.4444444444444402</v>
      </c>
      <c r="Q41" s="20" t="s">
        <v>76</v>
      </c>
      <c r="R41" s="15">
        <v>5.4945054945054901</v>
      </c>
      <c r="S41" s="15">
        <v>11</v>
      </c>
      <c r="T41" s="20" t="s">
        <v>76</v>
      </c>
      <c r="U41" s="20" t="s">
        <v>76</v>
      </c>
      <c r="V41" s="20" t="s">
        <v>76</v>
      </c>
      <c r="W41" s="15">
        <v>8.9285714285714306</v>
      </c>
      <c r="X41" s="15">
        <v>5.7692307692307701</v>
      </c>
      <c r="Y41" s="20" t="s">
        <v>76</v>
      </c>
      <c r="Z41" s="20" t="s">
        <v>76</v>
      </c>
      <c r="AA41" s="20" t="s">
        <v>76</v>
      </c>
      <c r="AB41" s="15">
        <v>7.6923076923076898</v>
      </c>
      <c r="AC41" s="15">
        <v>7.4074074074074101</v>
      </c>
      <c r="AD41" s="15">
        <v>5.2631578947368398</v>
      </c>
      <c r="AE41" s="15">
        <v>16.393442622950801</v>
      </c>
      <c r="AF41" s="20" t="s">
        <v>76</v>
      </c>
      <c r="AG41" s="32">
        <v>7.2267338164050603</v>
      </c>
      <c r="AH41" s="15">
        <v>4.6979865771812097</v>
      </c>
      <c r="AI41" s="15">
        <v>8.2595870206489703</v>
      </c>
      <c r="AJ41" s="15">
        <v>5.8997050147492596</v>
      </c>
      <c r="AK41" s="15">
        <v>8.3044982698961896</v>
      </c>
      <c r="AL41" s="15">
        <v>10.614525139664799</v>
      </c>
      <c r="AM41" s="15">
        <v>7.6923076923076898</v>
      </c>
      <c r="AN41" s="24">
        <v>5.6962025316455698</v>
      </c>
      <c r="AO41" s="38"/>
    </row>
    <row r="42" spans="1:41">
      <c r="A42" s="9" t="s">
        <v>246</v>
      </c>
      <c r="B42" s="36">
        <v>8.64224629944494</v>
      </c>
      <c r="C42" s="32">
        <v>8.5592412431964195</v>
      </c>
      <c r="D42" s="32">
        <v>6.3001063651930096</v>
      </c>
      <c r="E42" s="32">
        <v>6.9269377625963697</v>
      </c>
      <c r="F42" s="15">
        <v>6.25</v>
      </c>
      <c r="G42" s="15">
        <v>7.4626865671641802</v>
      </c>
      <c r="H42" s="20" t="s">
        <v>76</v>
      </c>
      <c r="I42" s="15">
        <v>17.5</v>
      </c>
      <c r="J42" s="15">
        <v>11.1111111111111</v>
      </c>
      <c r="K42" s="15">
        <v>16</v>
      </c>
      <c r="L42" s="20" t="s">
        <v>76</v>
      </c>
      <c r="M42" s="20" t="s">
        <v>76</v>
      </c>
      <c r="N42" s="20" t="s">
        <v>76</v>
      </c>
      <c r="O42" s="20" t="s">
        <v>76</v>
      </c>
      <c r="P42" s="15">
        <v>5.1851851851851896</v>
      </c>
      <c r="Q42" s="20" t="s">
        <v>76</v>
      </c>
      <c r="R42" s="15">
        <v>6.5934065934065904</v>
      </c>
      <c r="S42" s="15">
        <v>7</v>
      </c>
      <c r="T42" s="20" t="s">
        <v>76</v>
      </c>
      <c r="U42" s="20" t="s">
        <v>76</v>
      </c>
      <c r="V42" s="15">
        <v>12.962962962962999</v>
      </c>
      <c r="W42" s="20" t="s">
        <v>76</v>
      </c>
      <c r="X42" s="15">
        <v>9.6153846153846096</v>
      </c>
      <c r="Y42" s="20" t="s">
        <v>76</v>
      </c>
      <c r="Z42" s="20" t="s">
        <v>76</v>
      </c>
      <c r="AA42" s="20" t="s">
        <v>76</v>
      </c>
      <c r="AB42" s="15">
        <v>15.384615384615399</v>
      </c>
      <c r="AC42" s="20" t="s">
        <v>76</v>
      </c>
      <c r="AD42" s="15">
        <v>5.2631578947368398</v>
      </c>
      <c r="AE42" s="15">
        <v>14.7540983606557</v>
      </c>
      <c r="AF42" s="15">
        <v>16.2162162162162</v>
      </c>
      <c r="AG42" s="32">
        <v>5.8134779578663496</v>
      </c>
      <c r="AH42" s="15">
        <v>6.0402684563758404</v>
      </c>
      <c r="AI42" s="15">
        <v>5.0147492625368697</v>
      </c>
      <c r="AJ42" s="15">
        <v>5.8997050147492596</v>
      </c>
      <c r="AK42" s="15">
        <v>3.4602076124567498</v>
      </c>
      <c r="AL42" s="15">
        <v>7.8212290502793298</v>
      </c>
      <c r="AM42" s="15">
        <v>5.8461538461538503</v>
      </c>
      <c r="AN42" s="24">
        <v>9.4936708860759502</v>
      </c>
      <c r="AO42" s="38"/>
    </row>
    <row r="43" spans="1:41">
      <c r="A43" s="9" t="s">
        <v>247</v>
      </c>
      <c r="B43" s="36">
        <v>5.04071518210396</v>
      </c>
      <c r="C43" s="32">
        <v>4.64970047276476</v>
      </c>
      <c r="D43" s="32">
        <v>3.7878053381874102</v>
      </c>
      <c r="E43" s="32">
        <v>3.85110508807221</v>
      </c>
      <c r="F43" s="20" t="s">
        <v>76</v>
      </c>
      <c r="G43" s="20" t="s">
        <v>76</v>
      </c>
      <c r="H43" s="20" t="s">
        <v>76</v>
      </c>
      <c r="I43" s="20" t="s">
        <v>76</v>
      </c>
      <c r="J43" s="20" t="s">
        <v>76</v>
      </c>
      <c r="K43" s="20" t="s">
        <v>76</v>
      </c>
      <c r="L43" s="20" t="s">
        <v>76</v>
      </c>
      <c r="M43" s="20" t="s">
        <v>76</v>
      </c>
      <c r="N43" s="20" t="s">
        <v>76</v>
      </c>
      <c r="O43" s="20" t="s">
        <v>76</v>
      </c>
      <c r="P43" s="20" t="s">
        <v>76</v>
      </c>
      <c r="Q43" s="20" t="s">
        <v>76</v>
      </c>
      <c r="R43" s="20" t="s">
        <v>76</v>
      </c>
      <c r="S43" s="15">
        <v>6</v>
      </c>
      <c r="T43" s="20" t="s">
        <v>76</v>
      </c>
      <c r="U43" s="20" t="s">
        <v>76</v>
      </c>
      <c r="V43" s="20" t="s">
        <v>76</v>
      </c>
      <c r="W43" s="20" t="s">
        <v>76</v>
      </c>
      <c r="X43" s="15">
        <v>8.6538461538461497</v>
      </c>
      <c r="Y43" s="20" t="s">
        <v>76</v>
      </c>
      <c r="Z43" s="20" t="s">
        <v>76</v>
      </c>
      <c r="AA43" s="15">
        <v>6.8493150684931496</v>
      </c>
      <c r="AB43" s="20" t="s">
        <v>76</v>
      </c>
      <c r="AC43" s="20" t="s">
        <v>76</v>
      </c>
      <c r="AD43" s="15">
        <v>5.2631578947368398</v>
      </c>
      <c r="AE43" s="20" t="s">
        <v>76</v>
      </c>
      <c r="AF43" s="20" t="s">
        <v>76</v>
      </c>
      <c r="AG43" s="32">
        <v>3.7386638041190499</v>
      </c>
      <c r="AH43" s="15">
        <v>1.6778523489932899</v>
      </c>
      <c r="AI43" s="15">
        <v>5.6047197640117998</v>
      </c>
      <c r="AJ43" s="15">
        <v>3.24483775811209</v>
      </c>
      <c r="AK43" s="15">
        <v>5.5363321799307998</v>
      </c>
      <c r="AL43" s="15">
        <v>4.4692737430167604</v>
      </c>
      <c r="AM43" s="15">
        <v>4.3076923076923102</v>
      </c>
      <c r="AN43" s="24">
        <v>3.16455696202532</v>
      </c>
      <c r="AO43" s="38"/>
    </row>
    <row r="44" spans="1:41">
      <c r="A44" s="9" t="s">
        <v>248</v>
      </c>
      <c r="B44" s="36">
        <v>4.2750869581579201</v>
      </c>
      <c r="C44" s="32">
        <v>4.0666296394674299</v>
      </c>
      <c r="D44" s="32">
        <v>3.8135475651062598</v>
      </c>
      <c r="E44" s="32">
        <v>5.0683002222089799</v>
      </c>
      <c r="F44" s="15">
        <v>6.25</v>
      </c>
      <c r="G44" s="20" t="s">
        <v>76</v>
      </c>
      <c r="H44" s="15">
        <v>8.5365853658536608</v>
      </c>
      <c r="I44" s="20" t="s">
        <v>76</v>
      </c>
      <c r="J44" s="20" t="s">
        <v>76</v>
      </c>
      <c r="K44" s="20" t="s">
        <v>76</v>
      </c>
      <c r="L44" s="15">
        <v>5.46875</v>
      </c>
      <c r="M44" s="15">
        <v>13.235294117647101</v>
      </c>
      <c r="N44" s="20" t="s">
        <v>76</v>
      </c>
      <c r="O44" s="20" t="s">
        <v>76</v>
      </c>
      <c r="P44" s="15">
        <v>5.92592592592593</v>
      </c>
      <c r="Q44" s="20" t="s">
        <v>76</v>
      </c>
      <c r="R44" s="20" t="s">
        <v>76</v>
      </c>
      <c r="S44" s="15">
        <v>10</v>
      </c>
      <c r="T44" s="20" t="s">
        <v>76</v>
      </c>
      <c r="U44" s="20" t="s">
        <v>76</v>
      </c>
      <c r="V44" s="20" t="s">
        <v>76</v>
      </c>
      <c r="W44" s="20" t="s">
        <v>76</v>
      </c>
      <c r="X44" s="20" t="s">
        <v>76</v>
      </c>
      <c r="Y44" s="20" t="s">
        <v>76</v>
      </c>
      <c r="Z44" s="20" t="s">
        <v>76</v>
      </c>
      <c r="AA44" s="20" t="s">
        <v>76</v>
      </c>
      <c r="AB44" s="20" t="s">
        <v>76</v>
      </c>
      <c r="AC44" s="20" t="s">
        <v>76</v>
      </c>
      <c r="AD44" s="20" t="s">
        <v>76</v>
      </c>
      <c r="AE44" s="20" t="s">
        <v>76</v>
      </c>
      <c r="AF44" s="20" t="s">
        <v>76</v>
      </c>
      <c r="AG44" s="32">
        <v>2.8394446569810601</v>
      </c>
      <c r="AH44" s="15">
        <v>2.3489932885906</v>
      </c>
      <c r="AI44" s="15">
        <v>2.0648967551622399</v>
      </c>
      <c r="AJ44" s="15">
        <v>3.24483775811209</v>
      </c>
      <c r="AK44" s="15">
        <v>3.1141868512110702</v>
      </c>
      <c r="AL44" s="15">
        <v>3.3519553072625698</v>
      </c>
      <c r="AM44" s="15">
        <v>2.4615384615384599</v>
      </c>
      <c r="AN44" s="24">
        <v>5.0632911392405102</v>
      </c>
      <c r="AO44" s="38"/>
    </row>
    <row r="45" spans="1:41">
      <c r="A45" s="9" t="s">
        <v>249</v>
      </c>
      <c r="B45" s="36">
        <v>9.4786400672536804</v>
      </c>
      <c r="C45" s="32">
        <v>9.4646857799728394</v>
      </c>
      <c r="D45" s="32">
        <v>7.0093682067748304</v>
      </c>
      <c r="E45" s="32">
        <v>8.2514354424793908</v>
      </c>
      <c r="F45" s="15">
        <v>13.5416666666667</v>
      </c>
      <c r="G45" s="15">
        <v>11.9402985074627</v>
      </c>
      <c r="H45" s="20" t="s">
        <v>76</v>
      </c>
      <c r="I45" s="15">
        <v>12.5</v>
      </c>
      <c r="J45" s="15">
        <v>7.4074074074074101</v>
      </c>
      <c r="K45" s="15">
        <v>18</v>
      </c>
      <c r="L45" s="15">
        <v>5.46875</v>
      </c>
      <c r="M45" s="15">
        <v>7.3529411764705896</v>
      </c>
      <c r="N45" s="20" t="s">
        <v>76</v>
      </c>
      <c r="O45" s="20" t="s">
        <v>76</v>
      </c>
      <c r="P45" s="15">
        <v>5.92592592592593</v>
      </c>
      <c r="Q45" s="15">
        <v>13.3333333333333</v>
      </c>
      <c r="R45" s="15">
        <v>13.1868131868132</v>
      </c>
      <c r="S45" s="15">
        <v>10</v>
      </c>
      <c r="T45" s="20" t="s">
        <v>76</v>
      </c>
      <c r="U45" s="20" t="s">
        <v>76</v>
      </c>
      <c r="V45" s="20" t="s">
        <v>76</v>
      </c>
      <c r="W45" s="20" t="s">
        <v>76</v>
      </c>
      <c r="X45" s="15">
        <v>9.6153846153846096</v>
      </c>
      <c r="Y45" s="20" t="s">
        <v>76</v>
      </c>
      <c r="Z45" s="20" t="s">
        <v>76</v>
      </c>
      <c r="AA45" s="15">
        <v>12.328767123287699</v>
      </c>
      <c r="AB45" s="15">
        <v>8.9743589743589691</v>
      </c>
      <c r="AC45" s="20" t="s">
        <v>76</v>
      </c>
      <c r="AD45" s="15">
        <v>7.3684210526315796</v>
      </c>
      <c r="AE45" s="15">
        <v>11.4754098360656</v>
      </c>
      <c r="AF45" s="20" t="s">
        <v>76</v>
      </c>
      <c r="AG45" s="32">
        <v>6.0451133797075096</v>
      </c>
      <c r="AH45" s="15">
        <v>5.0335570469798698</v>
      </c>
      <c r="AI45" s="15">
        <v>5.0147492625368697</v>
      </c>
      <c r="AJ45" s="15">
        <v>5.8997050147492596</v>
      </c>
      <c r="AK45" s="15">
        <v>6.9204152249134898</v>
      </c>
      <c r="AL45" s="15">
        <v>6.1452513966480398</v>
      </c>
      <c r="AM45" s="15">
        <v>4</v>
      </c>
      <c r="AN45" s="24">
        <v>13.2911392405063</v>
      </c>
      <c r="AO45" s="38"/>
    </row>
    <row r="46" spans="1:41">
      <c r="A46" s="9" t="s">
        <v>250</v>
      </c>
      <c r="B46" s="36">
        <v>12.134961699338399</v>
      </c>
      <c r="C46" s="32">
        <v>12.135224378193101</v>
      </c>
      <c r="D46" s="32">
        <v>10.6594940184468</v>
      </c>
      <c r="E46" s="32">
        <v>13.407126238455399</v>
      </c>
      <c r="F46" s="15">
        <v>12.5</v>
      </c>
      <c r="G46" s="15">
        <v>19.402985074626901</v>
      </c>
      <c r="H46" s="15">
        <v>18.292682926829301</v>
      </c>
      <c r="I46" s="20" t="s">
        <v>76</v>
      </c>
      <c r="J46" s="15">
        <v>18.518518518518501</v>
      </c>
      <c r="K46" s="20" t="s">
        <v>76</v>
      </c>
      <c r="L46" s="15">
        <v>7.8125</v>
      </c>
      <c r="M46" s="15">
        <v>13.235294117647101</v>
      </c>
      <c r="N46" s="15">
        <v>16.326530612244898</v>
      </c>
      <c r="O46" s="15">
        <v>14.285714285714301</v>
      </c>
      <c r="P46" s="15">
        <v>5.92592592592593</v>
      </c>
      <c r="Q46" s="15">
        <v>11.6666666666667</v>
      </c>
      <c r="R46" s="15">
        <v>17.582417582417602</v>
      </c>
      <c r="S46" s="15">
        <v>17</v>
      </c>
      <c r="T46" s="20" t="s">
        <v>76</v>
      </c>
      <c r="U46" s="20" t="s">
        <v>76</v>
      </c>
      <c r="V46" s="15">
        <v>12.962962962962999</v>
      </c>
      <c r="W46" s="20" t="s">
        <v>76</v>
      </c>
      <c r="X46" s="15">
        <v>22.115384615384599</v>
      </c>
      <c r="Y46" s="20" t="s">
        <v>76</v>
      </c>
      <c r="Z46" s="20" t="s">
        <v>76</v>
      </c>
      <c r="AA46" s="15">
        <v>13.698630136986299</v>
      </c>
      <c r="AB46" s="15">
        <v>10.2564102564103</v>
      </c>
      <c r="AC46" s="15">
        <v>16.049382716049401</v>
      </c>
      <c r="AD46" s="15">
        <v>18.947368421052602</v>
      </c>
      <c r="AE46" s="15">
        <v>9.8360655737704903</v>
      </c>
      <c r="AF46" s="15">
        <v>13.5135135135135</v>
      </c>
      <c r="AG46" s="32">
        <v>8.5264229937964409</v>
      </c>
      <c r="AH46" s="15">
        <v>7.7181208053691304</v>
      </c>
      <c r="AI46" s="15">
        <v>9.4395280235988199</v>
      </c>
      <c r="AJ46" s="15">
        <v>10.914454277286101</v>
      </c>
      <c r="AK46" s="15">
        <v>8.9965397923875408</v>
      </c>
      <c r="AL46" s="15">
        <v>7.8212290502793298</v>
      </c>
      <c r="AM46" s="15">
        <v>8.9230769230769198</v>
      </c>
      <c r="AN46" s="24">
        <v>10.4430379746835</v>
      </c>
      <c r="AO46" s="38"/>
    </row>
    <row r="47" spans="1:41">
      <c r="A47" s="9" t="s">
        <v>251</v>
      </c>
      <c r="B47" s="36">
        <v>16.396052662636802</v>
      </c>
      <c r="C47" s="32">
        <v>16.417575132437999</v>
      </c>
      <c r="D47" s="32">
        <v>14.270466889518501</v>
      </c>
      <c r="E47" s="32">
        <v>13.368994256111</v>
      </c>
      <c r="F47" s="15">
        <v>9.375</v>
      </c>
      <c r="G47" s="15">
        <v>17.910447761194</v>
      </c>
      <c r="H47" s="15">
        <v>13.4146341463415</v>
      </c>
      <c r="I47" s="15">
        <v>27.5</v>
      </c>
      <c r="J47" s="15">
        <v>20.987654320987701</v>
      </c>
      <c r="K47" s="15">
        <v>18</v>
      </c>
      <c r="L47" s="15">
        <v>8.59375</v>
      </c>
      <c r="M47" s="15">
        <v>11.764705882352899</v>
      </c>
      <c r="N47" s="15">
        <v>10.2040816326531</v>
      </c>
      <c r="O47" s="15">
        <v>26.1904761904762</v>
      </c>
      <c r="P47" s="15">
        <v>8.1481481481481506</v>
      </c>
      <c r="Q47" s="15">
        <v>11.6666666666667</v>
      </c>
      <c r="R47" s="15">
        <v>10.989010989011</v>
      </c>
      <c r="S47" s="15">
        <v>18</v>
      </c>
      <c r="T47" s="20" t="s">
        <v>76</v>
      </c>
      <c r="U47" s="20" t="s">
        <v>76</v>
      </c>
      <c r="V47" s="15">
        <v>14.814814814814801</v>
      </c>
      <c r="W47" s="20" t="s">
        <v>76</v>
      </c>
      <c r="X47" s="15">
        <v>13.461538461538501</v>
      </c>
      <c r="Y47" s="20" t="s">
        <v>76</v>
      </c>
      <c r="Z47" s="15">
        <v>10.869565217391299</v>
      </c>
      <c r="AA47" s="15">
        <v>15.068493150684899</v>
      </c>
      <c r="AB47" s="15">
        <v>23.076923076923102</v>
      </c>
      <c r="AC47" s="15">
        <v>12.3456790123457</v>
      </c>
      <c r="AD47" s="15">
        <v>13.6842105263158</v>
      </c>
      <c r="AE47" s="15">
        <v>19.672131147540998</v>
      </c>
      <c r="AF47" s="20" t="s">
        <v>76</v>
      </c>
      <c r="AG47" s="32">
        <v>14.970307697845801</v>
      </c>
      <c r="AH47" s="15">
        <v>9.0604026845637602</v>
      </c>
      <c r="AI47" s="15">
        <v>13.864306784660799</v>
      </c>
      <c r="AJ47" s="15">
        <v>12.979351032448401</v>
      </c>
      <c r="AK47" s="15">
        <v>11.764705882352899</v>
      </c>
      <c r="AL47" s="15">
        <v>21.787709497206698</v>
      </c>
      <c r="AM47" s="15">
        <v>13.538461538461499</v>
      </c>
      <c r="AN47" s="24">
        <v>17.4050632911392</v>
      </c>
      <c r="AO47" s="38"/>
    </row>
    <row r="48" spans="1:41">
      <c r="A48" s="9" t="s">
        <v>252</v>
      </c>
      <c r="B48" s="36">
        <v>8.0721542520431093</v>
      </c>
      <c r="C48" s="32">
        <v>7.8046431174528399</v>
      </c>
      <c r="D48" s="32">
        <v>6.1312158945631596</v>
      </c>
      <c r="E48" s="32">
        <v>5.82343833125947</v>
      </c>
      <c r="F48" s="20" t="s">
        <v>76</v>
      </c>
      <c r="G48" s="20" t="s">
        <v>76</v>
      </c>
      <c r="H48" s="20" t="s">
        <v>76</v>
      </c>
      <c r="I48" s="20" t="s">
        <v>76</v>
      </c>
      <c r="J48" s="15">
        <v>8.6419753086419693</v>
      </c>
      <c r="K48" s="20" t="s">
        <v>76</v>
      </c>
      <c r="L48" s="20" t="s">
        <v>76</v>
      </c>
      <c r="M48" s="20" t="s">
        <v>76</v>
      </c>
      <c r="N48" s="20" t="s">
        <v>76</v>
      </c>
      <c r="O48" s="20" t="s">
        <v>76</v>
      </c>
      <c r="P48" s="15">
        <v>3.7037037037037002</v>
      </c>
      <c r="Q48" s="15">
        <v>13.3333333333333</v>
      </c>
      <c r="R48" s="15">
        <v>7.6923076923076898</v>
      </c>
      <c r="S48" s="15">
        <v>11</v>
      </c>
      <c r="T48" s="20" t="s">
        <v>76</v>
      </c>
      <c r="U48" s="20" t="s">
        <v>76</v>
      </c>
      <c r="V48" s="20" t="s">
        <v>76</v>
      </c>
      <c r="W48" s="20" t="s">
        <v>76</v>
      </c>
      <c r="X48" s="15">
        <v>6.7307692307692299</v>
      </c>
      <c r="Y48" s="20" t="s">
        <v>76</v>
      </c>
      <c r="Z48" s="20" t="s">
        <v>76</v>
      </c>
      <c r="AA48" s="15">
        <v>9.5890410958904102</v>
      </c>
      <c r="AB48" s="20" t="s">
        <v>76</v>
      </c>
      <c r="AC48" s="20" t="s">
        <v>76</v>
      </c>
      <c r="AD48" s="20" t="s">
        <v>76</v>
      </c>
      <c r="AE48" s="20" t="s">
        <v>76</v>
      </c>
      <c r="AF48" s="20" t="s">
        <v>76</v>
      </c>
      <c r="AG48" s="32">
        <v>6.3701530410778204</v>
      </c>
      <c r="AH48" s="15">
        <v>3.0201342281879202</v>
      </c>
      <c r="AI48" s="15">
        <v>7.9646017699114999</v>
      </c>
      <c r="AJ48" s="15">
        <v>7.3746312684365796</v>
      </c>
      <c r="AK48" s="15">
        <v>6.2283737024221404</v>
      </c>
      <c r="AL48" s="15">
        <v>6.1452513966480398</v>
      </c>
      <c r="AM48" s="15">
        <v>6.1538461538461497</v>
      </c>
      <c r="AN48" s="24">
        <v>7.9113924050632898</v>
      </c>
      <c r="AO48" s="38"/>
    </row>
    <row r="49" spans="1:41">
      <c r="A49" s="9" t="s">
        <v>253</v>
      </c>
      <c r="B49" s="36">
        <v>17.887479680374099</v>
      </c>
      <c r="C49" s="32">
        <v>18.497256954996701</v>
      </c>
      <c r="D49" s="32">
        <v>17.043289225313899</v>
      </c>
      <c r="E49" s="32">
        <v>16.2905623065942</v>
      </c>
      <c r="F49" s="15">
        <v>15.625</v>
      </c>
      <c r="G49" s="15">
        <v>20.8955223880597</v>
      </c>
      <c r="H49" s="15">
        <v>29.268292682926798</v>
      </c>
      <c r="I49" s="15">
        <v>22.5</v>
      </c>
      <c r="J49" s="15">
        <v>19.7530864197531</v>
      </c>
      <c r="K49" s="15">
        <v>16</v>
      </c>
      <c r="L49" s="15">
        <v>10.9375</v>
      </c>
      <c r="M49" s="15">
        <v>11.764705882352899</v>
      </c>
      <c r="N49" s="15">
        <v>24.4897959183673</v>
      </c>
      <c r="O49" s="15">
        <v>19.047619047619001</v>
      </c>
      <c r="P49" s="15">
        <v>8.8888888888888893</v>
      </c>
      <c r="Q49" s="15">
        <v>18.3333333333333</v>
      </c>
      <c r="R49" s="15">
        <v>20.879120879120901</v>
      </c>
      <c r="S49" s="15">
        <v>16</v>
      </c>
      <c r="T49" s="15">
        <v>15.1515151515152</v>
      </c>
      <c r="U49" s="20" t="s">
        <v>76</v>
      </c>
      <c r="V49" s="15">
        <v>14.814814814814801</v>
      </c>
      <c r="W49" s="20" t="s">
        <v>76</v>
      </c>
      <c r="X49" s="15">
        <v>21.153846153846199</v>
      </c>
      <c r="Y49" s="15">
        <v>12.1951219512195</v>
      </c>
      <c r="Z49" s="15">
        <v>10.869565217391299</v>
      </c>
      <c r="AA49" s="15">
        <v>13.698630136986299</v>
      </c>
      <c r="AB49" s="15">
        <v>24.3589743589744</v>
      </c>
      <c r="AC49" s="15">
        <v>19.7530864197531</v>
      </c>
      <c r="AD49" s="15">
        <v>15.789473684210501</v>
      </c>
      <c r="AE49" s="15">
        <v>9.8360655737704903</v>
      </c>
      <c r="AF49" s="15">
        <v>16.2162162162162</v>
      </c>
      <c r="AG49" s="32">
        <v>17.627654180748301</v>
      </c>
      <c r="AH49" s="15">
        <v>12.416107382550299</v>
      </c>
      <c r="AI49" s="15">
        <v>18.879056047197601</v>
      </c>
      <c r="AJ49" s="15">
        <v>16.2241887905605</v>
      </c>
      <c r="AK49" s="15">
        <v>15.2249134948097</v>
      </c>
      <c r="AL49" s="15">
        <v>20.111731843575399</v>
      </c>
      <c r="AM49" s="15">
        <v>16</v>
      </c>
      <c r="AN49" s="24">
        <v>21.835443037974699</v>
      </c>
      <c r="AO49" s="38"/>
    </row>
    <row r="50" spans="1:41">
      <c r="A50" s="9" t="s">
        <v>254</v>
      </c>
      <c r="B50" s="36">
        <v>11.3567429047348</v>
      </c>
      <c r="C50" s="32">
        <v>10.8094948091147</v>
      </c>
      <c r="D50" s="32">
        <v>10.8046902168551</v>
      </c>
      <c r="E50" s="32">
        <v>9.9719062797080298</v>
      </c>
      <c r="F50" s="15">
        <v>6.25</v>
      </c>
      <c r="G50" s="20" t="s">
        <v>76</v>
      </c>
      <c r="H50" s="15">
        <v>24.390243902439</v>
      </c>
      <c r="I50" s="15">
        <v>12.5</v>
      </c>
      <c r="J50" s="15">
        <v>6.1728395061728403</v>
      </c>
      <c r="K50" s="20" t="s">
        <v>76</v>
      </c>
      <c r="L50" s="15">
        <v>7.8125</v>
      </c>
      <c r="M50" s="15">
        <v>13.235294117647101</v>
      </c>
      <c r="N50" s="15">
        <v>14.285714285714301</v>
      </c>
      <c r="O50" s="15">
        <v>11.9047619047619</v>
      </c>
      <c r="P50" s="15">
        <v>8.1481481481481506</v>
      </c>
      <c r="Q50" s="15">
        <v>10</v>
      </c>
      <c r="R50" s="20" t="s">
        <v>76</v>
      </c>
      <c r="S50" s="15">
        <v>19</v>
      </c>
      <c r="T50" s="20" t="s">
        <v>76</v>
      </c>
      <c r="U50" s="20" t="s">
        <v>76</v>
      </c>
      <c r="V50" s="20" t="s">
        <v>76</v>
      </c>
      <c r="W50" s="20" t="s">
        <v>76</v>
      </c>
      <c r="X50" s="15">
        <v>12.5</v>
      </c>
      <c r="Y50" s="20" t="s">
        <v>76</v>
      </c>
      <c r="Z50" s="20" t="s">
        <v>76</v>
      </c>
      <c r="AA50" s="20" t="s">
        <v>76</v>
      </c>
      <c r="AB50" s="20" t="s">
        <v>76</v>
      </c>
      <c r="AC50" s="15">
        <v>20.987654320987701</v>
      </c>
      <c r="AD50" s="15">
        <v>11.578947368421099</v>
      </c>
      <c r="AE50" s="15">
        <v>14.7540983606557</v>
      </c>
      <c r="AF50" s="20" t="s">
        <v>76</v>
      </c>
      <c r="AG50" s="32">
        <v>11.4512058870336</v>
      </c>
      <c r="AH50" s="15">
        <v>12.416107382550299</v>
      </c>
      <c r="AI50" s="15">
        <v>12.389380530973501</v>
      </c>
      <c r="AJ50" s="15">
        <v>13.2743362831858</v>
      </c>
      <c r="AK50" s="15">
        <v>8.3044982698961896</v>
      </c>
      <c r="AL50" s="15">
        <v>8.9385474860335208</v>
      </c>
      <c r="AM50" s="15">
        <v>14.7692307692308</v>
      </c>
      <c r="AN50" s="24">
        <v>9.81012658227848</v>
      </c>
      <c r="AO50" s="38"/>
    </row>
    <row r="51" spans="1:41">
      <c r="A51" s="9" t="s">
        <v>255</v>
      </c>
      <c r="B51" s="36">
        <v>13.537086730306299</v>
      </c>
      <c r="C51" s="32">
        <v>13.06358433736</v>
      </c>
      <c r="D51" s="32">
        <v>12.108723368201201</v>
      </c>
      <c r="E51" s="32">
        <v>13.140696165858399</v>
      </c>
      <c r="F51" s="15">
        <v>5.2083333333333304</v>
      </c>
      <c r="G51" s="15">
        <v>19.402985074626901</v>
      </c>
      <c r="H51" s="15">
        <v>17.0731707317073</v>
      </c>
      <c r="I51" s="15">
        <v>20</v>
      </c>
      <c r="J51" s="15">
        <v>18.518518518518501</v>
      </c>
      <c r="K51" s="15">
        <v>16</v>
      </c>
      <c r="L51" s="15">
        <v>8.59375</v>
      </c>
      <c r="M51" s="15">
        <v>13.235294117647101</v>
      </c>
      <c r="N51" s="20" t="s">
        <v>76</v>
      </c>
      <c r="O51" s="20" t="s">
        <v>76</v>
      </c>
      <c r="P51" s="15">
        <v>10.3703703703704</v>
      </c>
      <c r="Q51" s="15">
        <v>16.6666666666667</v>
      </c>
      <c r="R51" s="15">
        <v>12.0879120879121</v>
      </c>
      <c r="S51" s="15">
        <v>17</v>
      </c>
      <c r="T51" s="20" t="s">
        <v>76</v>
      </c>
      <c r="U51" s="15">
        <v>17.021276595744698</v>
      </c>
      <c r="V51" s="15">
        <v>12.962962962962999</v>
      </c>
      <c r="W51" s="20" t="s">
        <v>76</v>
      </c>
      <c r="X51" s="15">
        <v>18.269230769230798</v>
      </c>
      <c r="Y51" s="20" t="s">
        <v>76</v>
      </c>
      <c r="Z51" s="15">
        <v>10.869565217391299</v>
      </c>
      <c r="AA51" s="15">
        <v>15.068493150684899</v>
      </c>
      <c r="AB51" s="15">
        <v>19.230769230769202</v>
      </c>
      <c r="AC51" s="15">
        <v>9.8765432098765409</v>
      </c>
      <c r="AD51" s="15">
        <v>10.526315789473699</v>
      </c>
      <c r="AE51" s="15">
        <v>18.032786885245901</v>
      </c>
      <c r="AF51" s="20" t="s">
        <v>76</v>
      </c>
      <c r="AG51" s="32">
        <v>11.3075712864633</v>
      </c>
      <c r="AH51" s="15">
        <v>9.3959731543624194</v>
      </c>
      <c r="AI51" s="15">
        <v>9.7345132743362797</v>
      </c>
      <c r="AJ51" s="15">
        <v>14.7492625368732</v>
      </c>
      <c r="AK51" s="15">
        <v>8.3044982698961896</v>
      </c>
      <c r="AL51" s="15">
        <v>6.7039106145251397</v>
      </c>
      <c r="AM51" s="15">
        <v>12.307692307692299</v>
      </c>
      <c r="AN51" s="24">
        <v>12.974683544303801</v>
      </c>
      <c r="AO51" s="38"/>
    </row>
    <row r="52" spans="1:41">
      <c r="A52" s="9" t="s">
        <v>256</v>
      </c>
      <c r="B52" s="36">
        <v>19.038375606849701</v>
      </c>
      <c r="C52" s="32">
        <v>17.5410907929632</v>
      </c>
      <c r="D52" s="32">
        <v>14.603366778153701</v>
      </c>
      <c r="E52" s="32">
        <v>13.221951741343201</v>
      </c>
      <c r="F52" s="15">
        <v>9.375</v>
      </c>
      <c r="G52" s="15">
        <v>14.9253731343284</v>
      </c>
      <c r="H52" s="15">
        <v>13.4146341463415</v>
      </c>
      <c r="I52" s="15">
        <v>20</v>
      </c>
      <c r="J52" s="15">
        <v>16.049382716049401</v>
      </c>
      <c r="K52" s="15">
        <v>22</v>
      </c>
      <c r="L52" s="15">
        <v>16.40625</v>
      </c>
      <c r="M52" s="15">
        <v>16.176470588235301</v>
      </c>
      <c r="N52" s="15">
        <v>10.2040816326531</v>
      </c>
      <c r="O52" s="15">
        <v>16.6666666666667</v>
      </c>
      <c r="P52" s="15">
        <v>7.4074074074074101</v>
      </c>
      <c r="Q52" s="15">
        <v>16.6666666666667</v>
      </c>
      <c r="R52" s="15">
        <v>14.285714285714301</v>
      </c>
      <c r="S52" s="15">
        <v>14</v>
      </c>
      <c r="T52" s="20" t="s">
        <v>76</v>
      </c>
      <c r="U52" s="15">
        <v>12.7659574468085</v>
      </c>
      <c r="V52" s="15">
        <v>14.814814814814801</v>
      </c>
      <c r="W52" s="20" t="s">
        <v>76</v>
      </c>
      <c r="X52" s="15">
        <v>14.4230769230769</v>
      </c>
      <c r="Y52" s="20" t="s">
        <v>76</v>
      </c>
      <c r="Z52" s="20" t="s">
        <v>76</v>
      </c>
      <c r="AA52" s="15">
        <v>19.178082191780799</v>
      </c>
      <c r="AB52" s="15">
        <v>16.6666666666667</v>
      </c>
      <c r="AC52" s="15">
        <v>14.814814814814801</v>
      </c>
      <c r="AD52" s="15">
        <v>11.578947368421099</v>
      </c>
      <c r="AE52" s="20" t="s">
        <v>76</v>
      </c>
      <c r="AF52" s="15">
        <v>13.5135135135135</v>
      </c>
      <c r="AG52" s="32">
        <v>15.675801570036899</v>
      </c>
      <c r="AH52" s="15">
        <v>13.4228187919463</v>
      </c>
      <c r="AI52" s="15">
        <v>18.5840707964602</v>
      </c>
      <c r="AJ52" s="15">
        <v>16.814159292035399</v>
      </c>
      <c r="AK52" s="15">
        <v>19.377162629757802</v>
      </c>
      <c r="AL52" s="15">
        <v>17.318435754189899</v>
      </c>
      <c r="AM52" s="15">
        <v>15.692307692307701</v>
      </c>
      <c r="AN52" s="24">
        <v>14.5569620253165</v>
      </c>
      <c r="AO52" s="38"/>
    </row>
    <row r="53" spans="1:41">
      <c r="A53" s="9" t="s">
        <v>257</v>
      </c>
      <c r="B53" s="36">
        <v>16.492159997940099</v>
      </c>
      <c r="C53" s="32">
        <v>16.607758166374499</v>
      </c>
      <c r="D53" s="32">
        <v>15.909618531790001</v>
      </c>
      <c r="E53" s="32">
        <v>16.1370863617684</v>
      </c>
      <c r="F53" s="15">
        <v>10.4166666666667</v>
      </c>
      <c r="G53" s="15">
        <v>11.9402985074627</v>
      </c>
      <c r="H53" s="15">
        <v>26.829268292682901</v>
      </c>
      <c r="I53" s="15">
        <v>12.5</v>
      </c>
      <c r="J53" s="15">
        <v>14.814814814814801</v>
      </c>
      <c r="K53" s="15">
        <v>20</v>
      </c>
      <c r="L53" s="15">
        <v>16.40625</v>
      </c>
      <c r="M53" s="15">
        <v>19.117647058823501</v>
      </c>
      <c r="N53" s="15">
        <v>18.367346938775501</v>
      </c>
      <c r="O53" s="15">
        <v>11.9047619047619</v>
      </c>
      <c r="P53" s="15">
        <v>12.592592592592601</v>
      </c>
      <c r="Q53" s="15">
        <v>21.6666666666667</v>
      </c>
      <c r="R53" s="15">
        <v>15.384615384615399</v>
      </c>
      <c r="S53" s="15">
        <v>23</v>
      </c>
      <c r="T53" s="15">
        <v>21.2121212121212</v>
      </c>
      <c r="U53" s="15">
        <v>12.7659574468085</v>
      </c>
      <c r="V53" s="15">
        <v>16.6666666666667</v>
      </c>
      <c r="W53" s="20" t="s">
        <v>76</v>
      </c>
      <c r="X53" s="15">
        <v>15.384615384615399</v>
      </c>
      <c r="Y53" s="20" t="s">
        <v>76</v>
      </c>
      <c r="Z53" s="15">
        <v>15.2173913043478</v>
      </c>
      <c r="AA53" s="15">
        <v>19.178082191780799</v>
      </c>
      <c r="AB53" s="15">
        <v>17.948717948717899</v>
      </c>
      <c r="AC53" s="15">
        <v>20.987654320987701</v>
      </c>
      <c r="AD53" s="15">
        <v>14.7368421052632</v>
      </c>
      <c r="AE53" s="15">
        <v>13.1147540983607</v>
      </c>
      <c r="AF53" s="15">
        <v>16.2162162162162</v>
      </c>
      <c r="AG53" s="32">
        <v>15.7330282903328</v>
      </c>
      <c r="AH53" s="15">
        <v>12.0805369127517</v>
      </c>
      <c r="AI53" s="15">
        <v>13.2743362831858</v>
      </c>
      <c r="AJ53" s="15">
        <v>18.5840707964602</v>
      </c>
      <c r="AK53" s="15">
        <v>15.916955017300999</v>
      </c>
      <c r="AL53" s="15">
        <v>17.877094972066999</v>
      </c>
      <c r="AM53" s="15">
        <v>17.538461538461501</v>
      </c>
      <c r="AN53" s="24">
        <v>15.822784810126601</v>
      </c>
      <c r="AO53" s="38"/>
    </row>
    <row r="54" spans="1:41">
      <c r="A54" s="9" t="s">
        <v>258</v>
      </c>
      <c r="B54" s="36">
        <v>17.1272477347595</v>
      </c>
      <c r="C54" s="32">
        <v>16.011226180524201</v>
      </c>
      <c r="D54" s="32">
        <v>14.8914204016643</v>
      </c>
      <c r="E54" s="32">
        <v>15.8621376409251</v>
      </c>
      <c r="F54" s="15">
        <v>9.375</v>
      </c>
      <c r="G54" s="15">
        <v>16.417910447761201</v>
      </c>
      <c r="H54" s="15">
        <v>20.731707317073202</v>
      </c>
      <c r="I54" s="20" t="s">
        <v>76</v>
      </c>
      <c r="J54" s="15">
        <v>18.518518518518501</v>
      </c>
      <c r="K54" s="15">
        <v>28</v>
      </c>
      <c r="L54" s="15">
        <v>13.28125</v>
      </c>
      <c r="M54" s="15">
        <v>20.588235294117599</v>
      </c>
      <c r="N54" s="15">
        <v>18.367346938775501</v>
      </c>
      <c r="O54" s="15">
        <v>14.285714285714301</v>
      </c>
      <c r="P54" s="15">
        <v>11.851851851851899</v>
      </c>
      <c r="Q54" s="15">
        <v>16.6666666666667</v>
      </c>
      <c r="R54" s="15">
        <v>17.582417582417602</v>
      </c>
      <c r="S54" s="15">
        <v>25</v>
      </c>
      <c r="T54" s="20" t="s">
        <v>76</v>
      </c>
      <c r="U54" s="15">
        <v>12.7659574468085</v>
      </c>
      <c r="V54" s="15">
        <v>11.1111111111111</v>
      </c>
      <c r="W54" s="15">
        <v>8.9285714285714306</v>
      </c>
      <c r="X54" s="15">
        <v>19.230769230769202</v>
      </c>
      <c r="Y54" s="20" t="s">
        <v>76</v>
      </c>
      <c r="Z54" s="20" t="s">
        <v>76</v>
      </c>
      <c r="AA54" s="15">
        <v>20.5479452054795</v>
      </c>
      <c r="AB54" s="15">
        <v>17.948717948717899</v>
      </c>
      <c r="AC54" s="15">
        <v>14.814814814814801</v>
      </c>
      <c r="AD54" s="15">
        <v>14.7368421052632</v>
      </c>
      <c r="AE54" s="15">
        <v>21.311475409836099</v>
      </c>
      <c r="AF54" s="15">
        <v>18.918918918918902</v>
      </c>
      <c r="AG54" s="32">
        <v>14.1378228855493</v>
      </c>
      <c r="AH54" s="15">
        <v>12.751677852348999</v>
      </c>
      <c r="AI54" s="15">
        <v>14.159292035398201</v>
      </c>
      <c r="AJ54" s="15">
        <v>17.109144542772899</v>
      </c>
      <c r="AK54" s="15">
        <v>14.1868512110727</v>
      </c>
      <c r="AL54" s="15">
        <v>13.407821229050301</v>
      </c>
      <c r="AM54" s="15">
        <v>17.230769230769202</v>
      </c>
      <c r="AN54" s="24">
        <v>12.025316455696199</v>
      </c>
      <c r="AO54" s="38"/>
    </row>
    <row r="55" spans="1:41">
      <c r="A55" s="9" t="s">
        <v>259</v>
      </c>
      <c r="B55" s="36">
        <v>7.3665660204329297</v>
      </c>
      <c r="C55" s="32">
        <v>7.9162055279894998</v>
      </c>
      <c r="D55" s="32">
        <v>6.3797511694651003</v>
      </c>
      <c r="E55" s="32">
        <v>6.2821025773849897</v>
      </c>
      <c r="F55" s="20" t="s">
        <v>76</v>
      </c>
      <c r="G55" s="15">
        <v>7.4626865671641802</v>
      </c>
      <c r="H55" s="20" t="s">
        <v>76</v>
      </c>
      <c r="I55" s="20" t="s">
        <v>76</v>
      </c>
      <c r="J55" s="15">
        <v>9.8765432098765409</v>
      </c>
      <c r="K55" s="15">
        <v>12</v>
      </c>
      <c r="L55" s="15">
        <v>3.90625</v>
      </c>
      <c r="M55" s="20" t="s">
        <v>76</v>
      </c>
      <c r="N55" s="20" t="s">
        <v>76</v>
      </c>
      <c r="O55" s="20" t="s">
        <v>76</v>
      </c>
      <c r="P55" s="20" t="s">
        <v>76</v>
      </c>
      <c r="Q55" s="20" t="s">
        <v>76</v>
      </c>
      <c r="R55" s="15">
        <v>7.6923076923076898</v>
      </c>
      <c r="S55" s="15">
        <v>9</v>
      </c>
      <c r="T55" s="20" t="s">
        <v>76</v>
      </c>
      <c r="U55" s="20" t="s">
        <v>76</v>
      </c>
      <c r="V55" s="20" t="s">
        <v>76</v>
      </c>
      <c r="W55" s="20" t="s">
        <v>76</v>
      </c>
      <c r="X55" s="15">
        <v>10.5769230769231</v>
      </c>
      <c r="Y55" s="20" t="s">
        <v>76</v>
      </c>
      <c r="Z55" s="15">
        <v>13.0434782608696</v>
      </c>
      <c r="AA55" s="15">
        <v>13.698630136986299</v>
      </c>
      <c r="AB55" s="15">
        <v>7.6923076923076898</v>
      </c>
      <c r="AC55" s="20" t="s">
        <v>76</v>
      </c>
      <c r="AD55" s="20" t="s">
        <v>76</v>
      </c>
      <c r="AE55" s="15">
        <v>9.8360655737704903</v>
      </c>
      <c r="AF55" s="20" t="s">
        <v>76</v>
      </c>
      <c r="AG55" s="32">
        <v>6.4555587614882199</v>
      </c>
      <c r="AH55" s="15">
        <v>5.3691275167785202</v>
      </c>
      <c r="AI55" s="15">
        <v>5.8997050147492596</v>
      </c>
      <c r="AJ55" s="15">
        <v>5.0147492625368697</v>
      </c>
      <c r="AK55" s="15">
        <v>5.8823529411764701</v>
      </c>
      <c r="AL55" s="15">
        <v>6.7039106145251397</v>
      </c>
      <c r="AM55" s="15">
        <v>7.6923076923076898</v>
      </c>
      <c r="AN55" s="24">
        <v>11.7088607594937</v>
      </c>
      <c r="AO55" s="38"/>
    </row>
    <row r="56" spans="1:41">
      <c r="A56" s="9" t="s">
        <v>260</v>
      </c>
      <c r="B56" s="36">
        <v>10.333373390479901</v>
      </c>
      <c r="C56" s="32">
        <v>10.497953996089301</v>
      </c>
      <c r="D56" s="32">
        <v>8.8567889429022095</v>
      </c>
      <c r="E56" s="32">
        <v>8.0060080391757094</v>
      </c>
      <c r="F56" s="20" t="s">
        <v>76</v>
      </c>
      <c r="G56" s="15">
        <v>10.4477611940298</v>
      </c>
      <c r="H56" s="20" t="s">
        <v>76</v>
      </c>
      <c r="I56" s="15">
        <v>12.5</v>
      </c>
      <c r="J56" s="15">
        <v>8.6419753086419693</v>
      </c>
      <c r="K56" s="15">
        <v>18</v>
      </c>
      <c r="L56" s="15">
        <v>10.15625</v>
      </c>
      <c r="M56" s="15">
        <v>11.764705882352899</v>
      </c>
      <c r="N56" s="15">
        <v>14.285714285714301</v>
      </c>
      <c r="O56" s="20" t="s">
        <v>76</v>
      </c>
      <c r="P56" s="15">
        <v>5.1851851851851896</v>
      </c>
      <c r="Q56" s="15">
        <v>11.6666666666667</v>
      </c>
      <c r="R56" s="15">
        <v>6.5934065934065904</v>
      </c>
      <c r="S56" s="15">
        <v>12</v>
      </c>
      <c r="T56" s="20" t="s">
        <v>76</v>
      </c>
      <c r="U56" s="20" t="s">
        <v>76</v>
      </c>
      <c r="V56" s="20" t="s">
        <v>76</v>
      </c>
      <c r="W56" s="20" t="s">
        <v>76</v>
      </c>
      <c r="X56" s="15">
        <v>8.6538461538461497</v>
      </c>
      <c r="Y56" s="20" t="s">
        <v>76</v>
      </c>
      <c r="Z56" s="20" t="s">
        <v>76</v>
      </c>
      <c r="AA56" s="15">
        <v>13.698630136986299</v>
      </c>
      <c r="AB56" s="20" t="s">
        <v>76</v>
      </c>
      <c r="AC56" s="15">
        <v>7.4074074074074101</v>
      </c>
      <c r="AD56" s="15">
        <v>8.4210526315789505</v>
      </c>
      <c r="AE56" s="20" t="s">
        <v>76</v>
      </c>
      <c r="AF56" s="20" t="s">
        <v>76</v>
      </c>
      <c r="AG56" s="32">
        <v>9.5172762093017909</v>
      </c>
      <c r="AH56" s="15">
        <v>7.3825503355704702</v>
      </c>
      <c r="AI56" s="15">
        <v>8.2595870206489703</v>
      </c>
      <c r="AJ56" s="15">
        <v>8.8495575221238898</v>
      </c>
      <c r="AK56" s="15">
        <v>8.6505190311418705</v>
      </c>
      <c r="AL56" s="15">
        <v>9.4972067039106101</v>
      </c>
      <c r="AM56" s="15">
        <v>9.2307692307692299</v>
      </c>
      <c r="AN56" s="24">
        <v>14.2405063291139</v>
      </c>
      <c r="AO56" s="38"/>
    </row>
    <row r="57" spans="1:41">
      <c r="A57" s="9" t="s">
        <v>261</v>
      </c>
      <c r="B57" s="36">
        <v>9.0367005028882907</v>
      </c>
      <c r="C57" s="32">
        <v>8.94287216543478</v>
      </c>
      <c r="D57" s="32">
        <v>6.74092499590044</v>
      </c>
      <c r="E57" s="32">
        <v>7.6621046898084</v>
      </c>
      <c r="F57" s="15">
        <v>5.2083333333333304</v>
      </c>
      <c r="G57" s="15">
        <v>10.4477611940298</v>
      </c>
      <c r="H57" s="15">
        <v>7.3170731707317103</v>
      </c>
      <c r="I57" s="20" t="s">
        <v>76</v>
      </c>
      <c r="J57" s="15">
        <v>7.4074074074074101</v>
      </c>
      <c r="K57" s="15">
        <v>14</v>
      </c>
      <c r="L57" s="15">
        <v>7.8125</v>
      </c>
      <c r="M57" s="20" t="s">
        <v>76</v>
      </c>
      <c r="N57" s="20" t="s">
        <v>76</v>
      </c>
      <c r="O57" s="20" t="s">
        <v>76</v>
      </c>
      <c r="P57" s="20" t="s">
        <v>76</v>
      </c>
      <c r="Q57" s="20" t="s">
        <v>76</v>
      </c>
      <c r="R57" s="15">
        <v>9.8901098901098905</v>
      </c>
      <c r="S57" s="15">
        <v>16</v>
      </c>
      <c r="T57" s="20" t="s">
        <v>76</v>
      </c>
      <c r="U57" s="20" t="s">
        <v>76</v>
      </c>
      <c r="V57" s="20" t="s">
        <v>76</v>
      </c>
      <c r="W57" s="20" t="s">
        <v>76</v>
      </c>
      <c r="X57" s="15">
        <v>17.307692307692299</v>
      </c>
      <c r="Y57" s="20" t="s">
        <v>76</v>
      </c>
      <c r="Z57" s="20" t="s">
        <v>76</v>
      </c>
      <c r="AA57" s="15">
        <v>9.5890410958904102</v>
      </c>
      <c r="AB57" s="15">
        <v>12.8205128205128</v>
      </c>
      <c r="AC57" s="15">
        <v>7.4074074074074101</v>
      </c>
      <c r="AD57" s="20" t="s">
        <v>76</v>
      </c>
      <c r="AE57" s="15">
        <v>11.4754098360656</v>
      </c>
      <c r="AF57" s="20" t="s">
        <v>76</v>
      </c>
      <c r="AG57" s="32">
        <v>6.0257849930782301</v>
      </c>
      <c r="AH57" s="15">
        <v>5.7046979865771803</v>
      </c>
      <c r="AI57" s="15">
        <v>5.3097345132743401</v>
      </c>
      <c r="AJ57" s="15">
        <v>7.3746312684365796</v>
      </c>
      <c r="AK57" s="15">
        <v>6.2283737024221404</v>
      </c>
      <c r="AL57" s="15">
        <v>7.8212290502793298</v>
      </c>
      <c r="AM57" s="15">
        <v>4.6153846153846096</v>
      </c>
      <c r="AN57" s="24">
        <v>9.1772151898734204</v>
      </c>
      <c r="AO57" s="38"/>
    </row>
    <row r="58" spans="1:41">
      <c r="A58" s="9" t="s">
        <v>262</v>
      </c>
      <c r="B58" s="36">
        <v>12.578480973612001</v>
      </c>
      <c r="C58" s="32">
        <v>13.039370272176701</v>
      </c>
      <c r="D58" s="32">
        <v>11.8873164647168</v>
      </c>
      <c r="E58" s="32">
        <v>11.561794175702</v>
      </c>
      <c r="F58" s="15">
        <v>7.2916666666666696</v>
      </c>
      <c r="G58" s="20" t="s">
        <v>76</v>
      </c>
      <c r="H58" s="15">
        <v>13.4146341463415</v>
      </c>
      <c r="I58" s="15">
        <v>15</v>
      </c>
      <c r="J58" s="15">
        <v>6.1728395061728403</v>
      </c>
      <c r="K58" s="15">
        <v>16</v>
      </c>
      <c r="L58" s="15">
        <v>8.59375</v>
      </c>
      <c r="M58" s="15">
        <v>16.176470588235301</v>
      </c>
      <c r="N58" s="15">
        <v>12.244897959183699</v>
      </c>
      <c r="O58" s="15">
        <v>14.285714285714301</v>
      </c>
      <c r="P58" s="15">
        <v>9.6296296296296298</v>
      </c>
      <c r="Q58" s="15">
        <v>11.6666666666667</v>
      </c>
      <c r="R58" s="15">
        <v>10.989010989011</v>
      </c>
      <c r="S58" s="15">
        <v>16</v>
      </c>
      <c r="T58" s="20" t="s">
        <v>76</v>
      </c>
      <c r="U58" s="15">
        <v>10.6382978723404</v>
      </c>
      <c r="V58" s="15">
        <v>12.962962962962999</v>
      </c>
      <c r="W58" s="20" t="s">
        <v>76</v>
      </c>
      <c r="X58" s="15">
        <v>31.730769230769202</v>
      </c>
      <c r="Y58" s="20" t="s">
        <v>76</v>
      </c>
      <c r="Z58" s="20" t="s">
        <v>76</v>
      </c>
      <c r="AA58" s="15">
        <v>12.328767123287699</v>
      </c>
      <c r="AB58" s="15">
        <v>11.538461538461499</v>
      </c>
      <c r="AC58" s="15">
        <v>12.3456790123457</v>
      </c>
      <c r="AD58" s="15">
        <v>6.3157894736842097</v>
      </c>
      <c r="AE58" s="15">
        <v>8.1967213114754092</v>
      </c>
      <c r="AF58" s="20" t="s">
        <v>76</v>
      </c>
      <c r="AG58" s="32">
        <v>12.140029385142901</v>
      </c>
      <c r="AH58" s="15">
        <v>8.3892617449664399</v>
      </c>
      <c r="AI58" s="15">
        <v>15.044247787610599</v>
      </c>
      <c r="AJ58" s="15">
        <v>10.914454277286101</v>
      </c>
      <c r="AK58" s="15">
        <v>12.802768166090001</v>
      </c>
      <c r="AL58" s="15">
        <v>13.966480446927401</v>
      </c>
      <c r="AM58" s="15">
        <v>14.153846153846199</v>
      </c>
      <c r="AN58" s="24">
        <v>14.5569620253165</v>
      </c>
      <c r="AO58" s="38"/>
    </row>
    <row r="59" spans="1:41">
      <c r="A59" s="9" t="s">
        <v>263</v>
      </c>
      <c r="B59" s="36">
        <v>2.7703451670810102</v>
      </c>
      <c r="C59" s="32">
        <v>2.7154581272209599</v>
      </c>
      <c r="D59" s="32">
        <v>2.1092002295065502</v>
      </c>
      <c r="E59" s="32">
        <v>2.03399785814829</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2">
        <v>2.1675821330819902</v>
      </c>
      <c r="AH59" s="20" t="s">
        <v>76</v>
      </c>
      <c r="AI59" s="15">
        <v>2.0648967551622399</v>
      </c>
      <c r="AJ59" s="15">
        <v>1.76991150442478</v>
      </c>
      <c r="AK59" s="20" t="s">
        <v>76</v>
      </c>
      <c r="AL59" s="20" t="s">
        <v>76</v>
      </c>
      <c r="AM59" s="15">
        <v>2.4615384615384599</v>
      </c>
      <c r="AN59" s="24">
        <v>5.0632911392405102</v>
      </c>
      <c r="AO59" s="38"/>
    </row>
    <row r="60" spans="1:41">
      <c r="A60" s="9" t="s">
        <v>264</v>
      </c>
      <c r="B60" s="36">
        <v>2.7574126033696298</v>
      </c>
      <c r="C60" s="32">
        <v>2.7687150404199699</v>
      </c>
      <c r="D60" s="32">
        <v>2.2878944520236799</v>
      </c>
      <c r="E60" s="32">
        <v>1.8655426094153</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2">
        <v>2.61577911981697</v>
      </c>
      <c r="AH60" s="20" t="s">
        <v>76</v>
      </c>
      <c r="AI60" s="15">
        <v>1.76991150442478</v>
      </c>
      <c r="AJ60" s="15">
        <v>2.3598820058997001</v>
      </c>
      <c r="AK60" s="15">
        <v>1.73010380622837</v>
      </c>
      <c r="AL60" s="20" t="s">
        <v>76</v>
      </c>
      <c r="AM60" s="15">
        <v>2.7692307692307701</v>
      </c>
      <c r="AN60" s="24">
        <v>4.1139240506329102</v>
      </c>
      <c r="AO60" s="38"/>
    </row>
    <row r="61" spans="1:41">
      <c r="A61" s="9" t="s">
        <v>265</v>
      </c>
      <c r="B61" s="36">
        <v>3.8513079361879301</v>
      </c>
      <c r="C61" s="32">
        <v>3.72792337132466</v>
      </c>
      <c r="D61" s="32">
        <v>2.8583419513271302</v>
      </c>
      <c r="E61" s="32">
        <v>2.6778611506130199</v>
      </c>
      <c r="F61" s="20" t="s">
        <v>76</v>
      </c>
      <c r="G61" s="20" t="s">
        <v>76</v>
      </c>
      <c r="H61" s="20" t="s">
        <v>76</v>
      </c>
      <c r="I61" s="20" t="s">
        <v>76</v>
      </c>
      <c r="J61" s="20" t="s">
        <v>76</v>
      </c>
      <c r="K61" s="20" t="s">
        <v>76</v>
      </c>
      <c r="L61" s="20" t="s">
        <v>76</v>
      </c>
      <c r="M61" s="20" t="s">
        <v>76</v>
      </c>
      <c r="N61" s="20" t="s">
        <v>76</v>
      </c>
      <c r="O61" s="20" t="s">
        <v>76</v>
      </c>
      <c r="P61" s="20" t="s">
        <v>76</v>
      </c>
      <c r="Q61" s="20" t="s">
        <v>76</v>
      </c>
      <c r="R61" s="15">
        <v>7.6923076923076898</v>
      </c>
      <c r="S61" s="15">
        <v>5</v>
      </c>
      <c r="T61" s="20" t="s">
        <v>76</v>
      </c>
      <c r="U61" s="20" t="s">
        <v>76</v>
      </c>
      <c r="V61" s="20" t="s">
        <v>76</v>
      </c>
      <c r="W61" s="20" t="s">
        <v>76</v>
      </c>
      <c r="X61" s="20" t="s">
        <v>76</v>
      </c>
      <c r="Y61" s="20" t="s">
        <v>76</v>
      </c>
      <c r="Z61" s="20" t="s">
        <v>76</v>
      </c>
      <c r="AA61" s="20" t="s">
        <v>76</v>
      </c>
      <c r="AB61" s="20" t="s">
        <v>76</v>
      </c>
      <c r="AC61" s="20" t="s">
        <v>76</v>
      </c>
      <c r="AD61" s="20" t="s">
        <v>76</v>
      </c>
      <c r="AE61" s="15">
        <v>8.1967213114754092</v>
      </c>
      <c r="AF61" s="20" t="s">
        <v>76</v>
      </c>
      <c r="AG61" s="32">
        <v>2.9984547232277898</v>
      </c>
      <c r="AH61" s="15">
        <v>2.0134228187919501</v>
      </c>
      <c r="AI61" s="15">
        <v>3.24483775811209</v>
      </c>
      <c r="AJ61" s="15">
        <v>2.65486725663717</v>
      </c>
      <c r="AK61" s="15">
        <v>3.1141868512110702</v>
      </c>
      <c r="AL61" s="15">
        <v>2.7932960893854699</v>
      </c>
      <c r="AM61" s="15">
        <v>3.3846153846153801</v>
      </c>
      <c r="AN61" s="24">
        <v>5.0632911392405102</v>
      </c>
      <c r="AO61" s="38"/>
    </row>
    <row r="62" spans="1:41">
      <c r="A62" s="9" t="s">
        <v>266</v>
      </c>
      <c r="B62" s="36">
        <v>9.9645988293959995</v>
      </c>
      <c r="C62" s="32">
        <v>9.8672052033820297</v>
      </c>
      <c r="D62" s="32">
        <v>7.5232346671794703</v>
      </c>
      <c r="E62" s="32">
        <v>8.1231792418042303</v>
      </c>
      <c r="F62" s="15">
        <v>6.25</v>
      </c>
      <c r="G62" s="15">
        <v>14.9253731343284</v>
      </c>
      <c r="H62" s="15">
        <v>8.5365853658536608</v>
      </c>
      <c r="I62" s="20" t="s">
        <v>76</v>
      </c>
      <c r="J62" s="15">
        <v>13.580246913580201</v>
      </c>
      <c r="K62" s="15">
        <v>18</v>
      </c>
      <c r="L62" s="15">
        <v>6.25</v>
      </c>
      <c r="M62" s="20" t="s">
        <v>76</v>
      </c>
      <c r="N62" s="20" t="s">
        <v>76</v>
      </c>
      <c r="O62" s="20" t="s">
        <v>76</v>
      </c>
      <c r="P62" s="15">
        <v>4.4444444444444402</v>
      </c>
      <c r="Q62" s="15">
        <v>10</v>
      </c>
      <c r="R62" s="15">
        <v>12.0879120879121</v>
      </c>
      <c r="S62" s="15">
        <v>11</v>
      </c>
      <c r="T62" s="20" t="s">
        <v>76</v>
      </c>
      <c r="U62" s="20" t="s">
        <v>76</v>
      </c>
      <c r="V62" s="15">
        <v>9.2592592592592595</v>
      </c>
      <c r="W62" s="20" t="s">
        <v>76</v>
      </c>
      <c r="X62" s="15">
        <v>8.6538461538461497</v>
      </c>
      <c r="Y62" s="20" t="s">
        <v>76</v>
      </c>
      <c r="Z62" s="20" t="s">
        <v>76</v>
      </c>
      <c r="AA62" s="15">
        <v>9.5890410958904102</v>
      </c>
      <c r="AB62" s="15">
        <v>11.538461538461499</v>
      </c>
      <c r="AC62" s="15">
        <v>7.4074074074074101</v>
      </c>
      <c r="AD62" s="15">
        <v>5.2631578947368398</v>
      </c>
      <c r="AE62" s="15">
        <v>11.4754098360656</v>
      </c>
      <c r="AF62" s="20" t="s">
        <v>76</v>
      </c>
      <c r="AG62" s="32">
        <v>7.0574793236479803</v>
      </c>
      <c r="AH62" s="15">
        <v>5.7046979865771803</v>
      </c>
      <c r="AI62" s="15">
        <v>7.6696165191740402</v>
      </c>
      <c r="AJ62" s="15">
        <v>9.1445427728613602</v>
      </c>
      <c r="AK62" s="15">
        <v>6.2283737024221404</v>
      </c>
      <c r="AL62" s="15">
        <v>6.7039106145251397</v>
      </c>
      <c r="AM62" s="15">
        <v>5.8461538461538503</v>
      </c>
      <c r="AN62" s="24">
        <v>11.3924050632911</v>
      </c>
      <c r="AO62" s="38"/>
    </row>
    <row r="63" spans="1:41">
      <c r="A63" s="9" t="s">
        <v>267</v>
      </c>
      <c r="B63" s="36">
        <v>11.1626096279553</v>
      </c>
      <c r="C63" s="32">
        <v>10.7299333836168</v>
      </c>
      <c r="D63" s="32">
        <v>9.4876281271859995</v>
      </c>
      <c r="E63" s="32">
        <v>9.9426233088605809</v>
      </c>
      <c r="F63" s="15">
        <v>11.4583333333333</v>
      </c>
      <c r="G63" s="15">
        <v>11.9402985074627</v>
      </c>
      <c r="H63" s="15">
        <v>12.1951219512195</v>
      </c>
      <c r="I63" s="15">
        <v>15</v>
      </c>
      <c r="J63" s="20" t="s">
        <v>76</v>
      </c>
      <c r="K63" s="20" t="s">
        <v>76</v>
      </c>
      <c r="L63" s="15">
        <v>7.8125</v>
      </c>
      <c r="M63" s="15">
        <v>8.8235294117646994</v>
      </c>
      <c r="N63" s="20" t="s">
        <v>76</v>
      </c>
      <c r="O63" s="15">
        <v>14.285714285714301</v>
      </c>
      <c r="P63" s="15">
        <v>8.8888888888888893</v>
      </c>
      <c r="Q63" s="15">
        <v>13.3333333333333</v>
      </c>
      <c r="R63" s="15">
        <v>12.0879120879121</v>
      </c>
      <c r="S63" s="15">
        <v>13</v>
      </c>
      <c r="T63" s="20" t="s">
        <v>76</v>
      </c>
      <c r="U63" s="20" t="s">
        <v>76</v>
      </c>
      <c r="V63" s="20" t="s">
        <v>76</v>
      </c>
      <c r="W63" s="20" t="s">
        <v>76</v>
      </c>
      <c r="X63" s="15">
        <v>8.6538461538461497</v>
      </c>
      <c r="Y63" s="20" t="s">
        <v>76</v>
      </c>
      <c r="Z63" s="15">
        <v>10.869565217391299</v>
      </c>
      <c r="AA63" s="15">
        <v>9.5890410958904102</v>
      </c>
      <c r="AB63" s="15">
        <v>14.1025641025641</v>
      </c>
      <c r="AC63" s="15">
        <v>8.6419753086419693</v>
      </c>
      <c r="AD63" s="15">
        <v>9.4736842105263204</v>
      </c>
      <c r="AE63" s="15">
        <v>18.032786885245901</v>
      </c>
      <c r="AF63" s="20" t="s">
        <v>76</v>
      </c>
      <c r="AG63" s="32">
        <v>9.1344014357394396</v>
      </c>
      <c r="AH63" s="15">
        <v>6.3758389261744997</v>
      </c>
      <c r="AI63" s="15">
        <v>7.9646017699114999</v>
      </c>
      <c r="AJ63" s="15">
        <v>6.7846607669616503</v>
      </c>
      <c r="AK63" s="15">
        <v>10.0346020761246</v>
      </c>
      <c r="AL63" s="15">
        <v>15.6424581005587</v>
      </c>
      <c r="AM63" s="15">
        <v>9.8461538461538503</v>
      </c>
      <c r="AN63" s="24">
        <v>10.126582278480999</v>
      </c>
      <c r="AO63" s="38"/>
    </row>
    <row r="64" spans="1:41">
      <c r="A64" s="11" t="s">
        <v>268</v>
      </c>
      <c r="B64" s="37">
        <v>1.56184640078493</v>
      </c>
      <c r="C64" s="33">
        <v>1.6551901519563299</v>
      </c>
      <c r="D64" s="33">
        <v>1.3290513507974899</v>
      </c>
      <c r="E64" s="33">
        <v>1.98395616775415</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9" t="s">
        <v>76</v>
      </c>
      <c r="AH64" s="28" t="s">
        <v>76</v>
      </c>
      <c r="AI64" s="16">
        <v>1.47492625368732</v>
      </c>
      <c r="AJ64" s="28" t="s">
        <v>76</v>
      </c>
      <c r="AK64" s="28" t="s">
        <v>76</v>
      </c>
      <c r="AL64" s="28" t="s">
        <v>76</v>
      </c>
      <c r="AM64" s="28" t="s">
        <v>76</v>
      </c>
      <c r="AN64" s="25">
        <v>1.58227848101266</v>
      </c>
      <c r="AO64" s="38"/>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88671875" defaultRowHeight="15"/>
  <cols>
    <col min="1" max="1" width="51.6640625" customWidth="1"/>
    <col min="2" max="4" width="15.88671875" customWidth="1"/>
  </cols>
  <sheetData>
    <row r="1" spans="1:4" ht="39.950000000000003" customHeight="1">
      <c r="A1" s="10" t="s">
        <v>305</v>
      </c>
      <c r="B1" s="12"/>
      <c r="C1" s="12"/>
      <c r="D1" s="12"/>
    </row>
    <row r="2" spans="1:4" ht="45">
      <c r="A2" s="7" t="s">
        <v>52</v>
      </c>
      <c r="B2" s="6" t="s">
        <v>68</v>
      </c>
      <c r="C2" s="6" t="s">
        <v>69</v>
      </c>
      <c r="D2" s="8" t="s">
        <v>70</v>
      </c>
    </row>
    <row r="3" spans="1:4">
      <c r="A3" s="9" t="s">
        <v>207</v>
      </c>
      <c r="B3" s="15">
        <v>19.663407937520599</v>
      </c>
      <c r="C3" s="15">
        <v>20.075821170752999</v>
      </c>
      <c r="D3" s="24">
        <v>19.859552886837999</v>
      </c>
    </row>
    <row r="4" spans="1:4">
      <c r="A4" s="9" t="s">
        <v>208</v>
      </c>
      <c r="B4" s="15">
        <v>9.12371896411012</v>
      </c>
      <c r="C4" s="15">
        <v>7.5753089711349499</v>
      </c>
      <c r="D4" s="26" t="s">
        <v>76</v>
      </c>
    </row>
    <row r="5" spans="1:4">
      <c r="A5" s="9" t="s">
        <v>209</v>
      </c>
      <c r="B5" s="15">
        <v>10.3043655453636</v>
      </c>
      <c r="C5" s="15">
        <v>11.5639640944938</v>
      </c>
      <c r="D5" s="26" t="s">
        <v>76</v>
      </c>
    </row>
    <row r="6" spans="1:4">
      <c r="A6" s="9" t="s">
        <v>210</v>
      </c>
      <c r="B6" s="15">
        <v>11.435387030166901</v>
      </c>
      <c r="C6" s="15">
        <v>10.6471952520344</v>
      </c>
      <c r="D6" s="26" t="s">
        <v>76</v>
      </c>
    </row>
    <row r="7" spans="1:4">
      <c r="A7" s="9" t="s">
        <v>211</v>
      </c>
      <c r="B7" s="15">
        <v>12.5204858525183</v>
      </c>
      <c r="C7" s="15">
        <v>12.1386571185365</v>
      </c>
      <c r="D7" s="26" t="s">
        <v>76</v>
      </c>
    </row>
    <row r="8" spans="1:4">
      <c r="A8" s="9" t="s">
        <v>212</v>
      </c>
      <c r="B8" s="15">
        <v>4.2647697475436797</v>
      </c>
      <c r="C8" s="15">
        <v>3.58635545960452</v>
      </c>
      <c r="D8" s="26" t="s">
        <v>76</v>
      </c>
    </row>
    <row r="9" spans="1:4">
      <c r="A9" s="9" t="s">
        <v>213</v>
      </c>
      <c r="B9" s="15">
        <v>6.9763653054640304</v>
      </c>
      <c r="C9" s="15">
        <v>6.5321897216169802</v>
      </c>
      <c r="D9" s="26" t="s">
        <v>76</v>
      </c>
    </row>
    <row r="10" spans="1:4">
      <c r="A10" s="9" t="s">
        <v>214</v>
      </c>
      <c r="B10" s="15">
        <v>15.646436313533099</v>
      </c>
      <c r="C10" s="15">
        <v>15.458505314532401</v>
      </c>
      <c r="D10" s="26" t="s">
        <v>76</v>
      </c>
    </row>
    <row r="11" spans="1:4">
      <c r="A11" s="9" t="s">
        <v>215</v>
      </c>
      <c r="B11" s="15">
        <v>14.8212994657453</v>
      </c>
      <c r="C11" s="15">
        <v>14.7403663361354</v>
      </c>
      <c r="D11" s="24">
        <v>17.951604286366599</v>
      </c>
    </row>
    <row r="12" spans="1:4">
      <c r="A12" s="9" t="s">
        <v>216</v>
      </c>
      <c r="B12" s="15">
        <v>15.0174873659606</v>
      </c>
      <c r="C12" s="15">
        <v>15.0182753343611</v>
      </c>
      <c r="D12" s="26" t="s">
        <v>76</v>
      </c>
    </row>
    <row r="13" spans="1:4">
      <c r="A13" s="9" t="s">
        <v>217</v>
      </c>
      <c r="B13" s="15">
        <v>8.6292681075159692</v>
      </c>
      <c r="C13" s="15">
        <v>8.2753673515878301</v>
      </c>
      <c r="D13" s="26" t="s">
        <v>76</v>
      </c>
    </row>
    <row r="14" spans="1:4">
      <c r="A14" s="9" t="s">
        <v>218</v>
      </c>
      <c r="B14" s="15">
        <v>13.0424501775009</v>
      </c>
      <c r="C14" s="15">
        <v>14.3822656816004</v>
      </c>
      <c r="D14" s="26" t="s">
        <v>76</v>
      </c>
    </row>
    <row r="15" spans="1:4">
      <c r="A15" s="9" t="s">
        <v>219</v>
      </c>
      <c r="B15" s="15">
        <v>8.0664929830010799</v>
      </c>
      <c r="C15" s="15">
        <v>8.0928373053001792</v>
      </c>
      <c r="D15" s="26" t="s">
        <v>76</v>
      </c>
    </row>
    <row r="16" spans="1:4">
      <c r="A16" s="9" t="s">
        <v>220</v>
      </c>
      <c r="B16" s="15">
        <v>7.6822119995059897</v>
      </c>
      <c r="C16" s="15">
        <v>8.0405705226938906</v>
      </c>
      <c r="D16" s="26" t="s">
        <v>76</v>
      </c>
    </row>
    <row r="17" spans="1:4">
      <c r="A17" s="9" t="s">
        <v>221</v>
      </c>
      <c r="B17" s="15">
        <v>10.2865473444041</v>
      </c>
      <c r="C17" s="15">
        <v>9.1882863230999394</v>
      </c>
      <c r="D17" s="26" t="s">
        <v>76</v>
      </c>
    </row>
    <row r="18" spans="1:4">
      <c r="A18" s="9" t="s">
        <v>222</v>
      </c>
      <c r="B18" s="15">
        <v>5.7490051227088399</v>
      </c>
      <c r="C18" s="15">
        <v>6.0459944604474298</v>
      </c>
      <c r="D18" s="26" t="s">
        <v>76</v>
      </c>
    </row>
    <row r="19" spans="1:4">
      <c r="A19" s="9" t="s">
        <v>223</v>
      </c>
      <c r="B19" s="15">
        <v>10.987776797482899</v>
      </c>
      <c r="C19" s="15">
        <v>9.0603162254681706</v>
      </c>
      <c r="D19" s="26" t="s">
        <v>76</v>
      </c>
    </row>
    <row r="20" spans="1:4">
      <c r="A20" s="9" t="s">
        <v>224</v>
      </c>
      <c r="B20" s="15">
        <v>12.3359358628576</v>
      </c>
      <c r="C20" s="15">
        <v>11.4784887221138</v>
      </c>
      <c r="D20" s="26" t="s">
        <v>76</v>
      </c>
    </row>
    <row r="21" spans="1:4">
      <c r="A21" s="9" t="s">
        <v>225</v>
      </c>
      <c r="B21" s="15">
        <v>5.51532538032051</v>
      </c>
      <c r="C21" s="15">
        <v>4.8535392331522997</v>
      </c>
      <c r="D21" s="26" t="s">
        <v>76</v>
      </c>
    </row>
    <row r="22" spans="1:4">
      <c r="A22" s="9" t="s">
        <v>226</v>
      </c>
      <c r="B22" s="15">
        <v>12.097493076620101</v>
      </c>
      <c r="C22" s="15">
        <v>11.1621471602648</v>
      </c>
      <c r="D22" s="26" t="s">
        <v>76</v>
      </c>
    </row>
    <row r="23" spans="1:4">
      <c r="A23" s="9" t="s">
        <v>227</v>
      </c>
      <c r="B23" s="15">
        <v>6.6440855274347204</v>
      </c>
      <c r="C23" s="15">
        <v>6.4246242025334199</v>
      </c>
      <c r="D23" s="26" t="s">
        <v>76</v>
      </c>
    </row>
    <row r="24" spans="1:4">
      <c r="A24" s="9" t="s">
        <v>228</v>
      </c>
      <c r="B24" s="15">
        <v>4.4522684338142797</v>
      </c>
      <c r="C24" s="15">
        <v>3.48060386729958</v>
      </c>
      <c r="D24" s="26" t="s">
        <v>76</v>
      </c>
    </row>
    <row r="25" spans="1:4">
      <c r="A25" s="9" t="s">
        <v>229</v>
      </c>
      <c r="B25" s="15">
        <v>4.3640742239868997</v>
      </c>
      <c r="C25" s="15">
        <v>4.2881055008423097</v>
      </c>
      <c r="D25" s="26" t="s">
        <v>76</v>
      </c>
    </row>
    <row r="26" spans="1:4">
      <c r="A26" s="9" t="s">
        <v>230</v>
      </c>
      <c r="B26" s="15">
        <v>10.9753941611577</v>
      </c>
      <c r="C26" s="15">
        <v>10.720435967749699</v>
      </c>
      <c r="D26" s="26" t="s">
        <v>76</v>
      </c>
    </row>
    <row r="27" spans="1:4">
      <c r="A27" s="9" t="s">
        <v>231</v>
      </c>
      <c r="B27" s="15">
        <v>9.0327579865323795</v>
      </c>
      <c r="C27" s="15">
        <v>6.6671333941998103</v>
      </c>
      <c r="D27" s="26" t="s">
        <v>76</v>
      </c>
    </row>
    <row r="28" spans="1:4">
      <c r="A28" s="9" t="s">
        <v>232</v>
      </c>
      <c r="B28" s="15">
        <v>16.1305789291171</v>
      </c>
      <c r="C28" s="15">
        <v>16.205007230951999</v>
      </c>
      <c r="D28" s="24">
        <v>16.567204062817702</v>
      </c>
    </row>
    <row r="29" spans="1:4">
      <c r="A29" s="9" t="s">
        <v>233</v>
      </c>
      <c r="B29" s="15">
        <v>9.0591510656122303</v>
      </c>
      <c r="C29" s="15">
        <v>7.70214475074863</v>
      </c>
      <c r="D29" s="26" t="s">
        <v>76</v>
      </c>
    </row>
    <row r="30" spans="1:4">
      <c r="A30" s="9" t="s">
        <v>234</v>
      </c>
      <c r="B30" s="15">
        <v>11.2765127816303</v>
      </c>
      <c r="C30" s="15">
        <v>13.9849626148757</v>
      </c>
      <c r="D30" s="26" t="s">
        <v>76</v>
      </c>
    </row>
    <row r="31" spans="1:4">
      <c r="A31" s="9" t="s">
        <v>235</v>
      </c>
      <c r="B31" s="15">
        <v>14.171154459351101</v>
      </c>
      <c r="C31" s="15">
        <v>14.891041847392099</v>
      </c>
      <c r="D31" s="26" t="s">
        <v>76</v>
      </c>
    </row>
    <row r="32" spans="1:4">
      <c r="A32" s="9" t="s">
        <v>236</v>
      </c>
      <c r="B32" s="15">
        <v>5.1471384786880696</v>
      </c>
      <c r="C32" s="15">
        <v>5.5980499336740497</v>
      </c>
      <c r="D32" s="26" t="s">
        <v>76</v>
      </c>
    </row>
    <row r="33" spans="1:4">
      <c r="A33" s="9" t="s">
        <v>237</v>
      </c>
      <c r="B33" s="15">
        <v>9.4367004799546095</v>
      </c>
      <c r="C33" s="15">
        <v>8.9362400267970301</v>
      </c>
      <c r="D33" s="26" t="s">
        <v>76</v>
      </c>
    </row>
    <row r="34" spans="1:4">
      <c r="A34" s="9" t="s">
        <v>238</v>
      </c>
      <c r="B34" s="15">
        <v>18.329980402851501</v>
      </c>
      <c r="C34" s="15">
        <v>17.075863284635101</v>
      </c>
      <c r="D34" s="24">
        <v>21.681843386206602</v>
      </c>
    </row>
    <row r="35" spans="1:4">
      <c r="A35" s="9" t="s">
        <v>239</v>
      </c>
      <c r="B35" s="15">
        <v>11.5432778201159</v>
      </c>
      <c r="C35" s="15">
        <v>10.995753092343</v>
      </c>
      <c r="D35" s="24">
        <v>14.5484734709151</v>
      </c>
    </row>
    <row r="36" spans="1:4">
      <c r="A36" s="9" t="s">
        <v>240</v>
      </c>
      <c r="B36" s="15">
        <v>6.1474383846734604</v>
      </c>
      <c r="C36" s="15">
        <v>4.8721702009875498</v>
      </c>
      <c r="D36" s="26" t="s">
        <v>76</v>
      </c>
    </row>
    <row r="37" spans="1:4">
      <c r="A37" s="9" t="s">
        <v>241</v>
      </c>
      <c r="B37" s="15">
        <v>11.152704531694599</v>
      </c>
      <c r="C37" s="15">
        <v>10.2079207125552</v>
      </c>
      <c r="D37" s="26" t="s">
        <v>76</v>
      </c>
    </row>
    <row r="38" spans="1:4">
      <c r="A38" s="9" t="s">
        <v>242</v>
      </c>
      <c r="B38" s="15">
        <v>13.2580705212756</v>
      </c>
      <c r="C38" s="15">
        <v>13.092876414103699</v>
      </c>
      <c r="D38" s="26" t="s">
        <v>76</v>
      </c>
    </row>
    <row r="39" spans="1:4">
      <c r="A39" s="9" t="s">
        <v>243</v>
      </c>
      <c r="B39" s="15">
        <v>9.5619838742495507</v>
      </c>
      <c r="C39" s="15">
        <v>7.1136106938819204</v>
      </c>
      <c r="D39" s="26" t="s">
        <v>76</v>
      </c>
    </row>
    <row r="40" spans="1:4">
      <c r="A40" s="9" t="s">
        <v>244</v>
      </c>
      <c r="B40" s="15">
        <v>10.616843916097499</v>
      </c>
      <c r="C40" s="15">
        <v>11.726930451940801</v>
      </c>
      <c r="D40" s="26" t="s">
        <v>76</v>
      </c>
    </row>
    <row r="41" spans="1:4">
      <c r="A41" s="9" t="s">
        <v>245</v>
      </c>
      <c r="B41" s="15">
        <v>7.3219097513533304</v>
      </c>
      <c r="C41" s="15">
        <v>7.0367634082355703</v>
      </c>
      <c r="D41" s="26" t="s">
        <v>76</v>
      </c>
    </row>
    <row r="42" spans="1:4">
      <c r="A42" s="9" t="s">
        <v>246</v>
      </c>
      <c r="B42" s="15">
        <v>8.9752650044603204</v>
      </c>
      <c r="C42" s="15">
        <v>7.7241058986760498</v>
      </c>
      <c r="D42" s="26" t="s">
        <v>76</v>
      </c>
    </row>
    <row r="43" spans="1:4">
      <c r="A43" s="9" t="s">
        <v>247</v>
      </c>
      <c r="B43" s="15">
        <v>5.1988901643499101</v>
      </c>
      <c r="C43" s="15">
        <v>5.2706469609146502</v>
      </c>
      <c r="D43" s="26" t="s">
        <v>76</v>
      </c>
    </row>
    <row r="44" spans="1:4">
      <c r="A44" s="9" t="s">
        <v>248</v>
      </c>
      <c r="B44" s="15">
        <v>4.0188848096017002</v>
      </c>
      <c r="C44" s="15">
        <v>3.84930087213908</v>
      </c>
      <c r="D44" s="26" t="s">
        <v>76</v>
      </c>
    </row>
    <row r="45" spans="1:4">
      <c r="A45" s="9" t="s">
        <v>249</v>
      </c>
      <c r="B45" s="15">
        <v>9.9349764529603402</v>
      </c>
      <c r="C45" s="15">
        <v>10.392241293916101</v>
      </c>
      <c r="D45" s="26" t="s">
        <v>76</v>
      </c>
    </row>
    <row r="46" spans="1:4">
      <c r="A46" s="9" t="s">
        <v>250</v>
      </c>
      <c r="B46" s="15">
        <v>11.4474337724302</v>
      </c>
      <c r="C46" s="15">
        <v>10.874257207308199</v>
      </c>
      <c r="D46" s="26" t="s">
        <v>76</v>
      </c>
    </row>
    <row r="47" spans="1:4">
      <c r="A47" s="9" t="s">
        <v>251</v>
      </c>
      <c r="B47" s="15">
        <v>14.349930964329401</v>
      </c>
      <c r="C47" s="15">
        <v>14.2682233201859</v>
      </c>
      <c r="D47" s="24">
        <v>17.302620117864599</v>
      </c>
    </row>
    <row r="48" spans="1:4">
      <c r="A48" s="9" t="s">
        <v>252</v>
      </c>
      <c r="B48" s="15">
        <v>8.0686836500071095</v>
      </c>
      <c r="C48" s="15">
        <v>9.2894587125365895</v>
      </c>
      <c r="D48" s="26" t="s">
        <v>76</v>
      </c>
    </row>
    <row r="49" spans="1:4">
      <c r="A49" s="9" t="s">
        <v>253</v>
      </c>
      <c r="B49" s="15">
        <v>14.7160678159638</v>
      </c>
      <c r="C49" s="15">
        <v>15.3151970383544</v>
      </c>
      <c r="D49" s="24">
        <v>17.193895182831699</v>
      </c>
    </row>
    <row r="50" spans="1:4">
      <c r="A50" s="9" t="s">
        <v>254</v>
      </c>
      <c r="B50" s="15">
        <v>10.6202102528443</v>
      </c>
      <c r="C50" s="15">
        <v>9.9143669874501796</v>
      </c>
      <c r="D50" s="26" t="s">
        <v>76</v>
      </c>
    </row>
    <row r="51" spans="1:4">
      <c r="A51" s="9" t="s">
        <v>255</v>
      </c>
      <c r="B51" s="15">
        <v>11.582412745666</v>
      </c>
      <c r="C51" s="15">
        <v>11.909141356438001</v>
      </c>
      <c r="D51" s="24">
        <v>15.2313378338376</v>
      </c>
    </row>
    <row r="52" spans="1:4">
      <c r="A52" s="9" t="s">
        <v>256</v>
      </c>
      <c r="B52" s="15">
        <v>18.5031954932183</v>
      </c>
      <c r="C52" s="15">
        <v>18.676366064504101</v>
      </c>
      <c r="D52" s="24">
        <v>20.3365287550136</v>
      </c>
    </row>
    <row r="53" spans="1:4">
      <c r="A53" s="9" t="s">
        <v>257</v>
      </c>
      <c r="B53" s="15">
        <v>14.507494064534599</v>
      </c>
      <c r="C53" s="15">
        <v>13.7973795641888</v>
      </c>
      <c r="D53" s="24">
        <v>14.1440001672562</v>
      </c>
    </row>
    <row r="54" spans="1:4">
      <c r="A54" s="9" t="s">
        <v>258</v>
      </c>
      <c r="B54" s="15">
        <v>14.7865648991214</v>
      </c>
      <c r="C54" s="15">
        <v>12.2864019422396</v>
      </c>
      <c r="D54" s="26" t="s">
        <v>76</v>
      </c>
    </row>
    <row r="55" spans="1:4">
      <c r="A55" s="9" t="s">
        <v>259</v>
      </c>
      <c r="B55" s="15">
        <v>6.3798932352811404</v>
      </c>
      <c r="C55" s="15">
        <v>8.1079942414673898</v>
      </c>
      <c r="D55" s="26" t="s">
        <v>76</v>
      </c>
    </row>
    <row r="56" spans="1:4">
      <c r="A56" s="9" t="s">
        <v>260</v>
      </c>
      <c r="B56" s="15">
        <v>8.5445067396954109</v>
      </c>
      <c r="C56" s="15">
        <v>8.0356097609833501</v>
      </c>
      <c r="D56" s="26" t="s">
        <v>76</v>
      </c>
    </row>
    <row r="57" spans="1:4">
      <c r="A57" s="9" t="s">
        <v>261</v>
      </c>
      <c r="B57" s="15">
        <v>7.9050075093065502</v>
      </c>
      <c r="C57" s="15">
        <v>7.4728763415363497</v>
      </c>
      <c r="D57" s="26" t="s">
        <v>76</v>
      </c>
    </row>
    <row r="58" spans="1:4">
      <c r="A58" s="9" t="s">
        <v>262</v>
      </c>
      <c r="B58" s="15">
        <v>12.893833022931901</v>
      </c>
      <c r="C58" s="15">
        <v>14.0423453474162</v>
      </c>
      <c r="D58" s="24">
        <v>17.966310782520601</v>
      </c>
    </row>
    <row r="59" spans="1:4">
      <c r="A59" s="9" t="s">
        <v>263</v>
      </c>
      <c r="B59" s="15">
        <v>4.4486652432699296</v>
      </c>
      <c r="C59" s="15">
        <v>3.2197357166380902</v>
      </c>
      <c r="D59" s="26" t="s">
        <v>76</v>
      </c>
    </row>
    <row r="60" spans="1:4">
      <c r="A60" s="9" t="s">
        <v>264</v>
      </c>
      <c r="B60" s="15">
        <v>4.39046728976738</v>
      </c>
      <c r="C60" s="15">
        <v>3.6542787648931401</v>
      </c>
      <c r="D60" s="26" t="s">
        <v>76</v>
      </c>
    </row>
    <row r="61" spans="1:4">
      <c r="A61" s="9" t="s">
        <v>265</v>
      </c>
      <c r="B61" s="15">
        <v>6.3405332130841199</v>
      </c>
      <c r="C61" s="15">
        <v>5.7594522750203501</v>
      </c>
      <c r="D61" s="26" t="s">
        <v>76</v>
      </c>
    </row>
    <row r="62" spans="1:4">
      <c r="A62" s="9" t="s">
        <v>266</v>
      </c>
      <c r="B62" s="15">
        <v>9.6398059347400302</v>
      </c>
      <c r="C62" s="15">
        <v>10.3701543023305</v>
      </c>
      <c r="D62" s="26" t="s">
        <v>76</v>
      </c>
    </row>
    <row r="63" spans="1:4">
      <c r="A63" s="9" t="s">
        <v>267</v>
      </c>
      <c r="B63" s="15">
        <v>11.869512802441101</v>
      </c>
      <c r="C63" s="15">
        <v>11.5912906490372</v>
      </c>
      <c r="D63" s="26" t="s">
        <v>76</v>
      </c>
    </row>
    <row r="64" spans="1:4">
      <c r="A64" s="11" t="s">
        <v>268</v>
      </c>
      <c r="B64" s="16">
        <v>1.95454557261704</v>
      </c>
      <c r="C64" s="28" t="s">
        <v>76</v>
      </c>
      <c r="D64" s="29" t="s">
        <v>76</v>
      </c>
    </row>
    <row r="65" spans="1:1" ht="30" customHeight="1">
      <c r="A65" t="s">
        <v>201</v>
      </c>
    </row>
    <row r="66" spans="1:1">
      <c r="A66" t="s">
        <v>143</v>
      </c>
    </row>
    <row r="67" spans="1:1">
      <c r="A67" t="s">
        <v>144</v>
      </c>
    </row>
    <row r="68" spans="1:1">
      <c r="A68" t="s">
        <v>145</v>
      </c>
    </row>
    <row r="69" spans="1:1">
      <c r="A69" t="s">
        <v>146</v>
      </c>
    </row>
    <row r="70" spans="1:1">
      <c r="A70" t="s">
        <v>147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306</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30">
      <c r="A3" s="40" t="s">
        <v>307</v>
      </c>
      <c r="B3" s="15"/>
      <c r="C3" s="15"/>
      <c r="D3" s="24"/>
      <c r="E3" s="15"/>
      <c r="F3" s="15"/>
      <c r="G3" s="24"/>
      <c r="H3" s="15"/>
      <c r="I3" s="15"/>
      <c r="J3" s="24"/>
      <c r="K3" s="15"/>
      <c r="L3" s="15"/>
      <c r="M3" s="24"/>
      <c r="N3" s="15"/>
      <c r="O3" s="15"/>
      <c r="P3" s="24"/>
    </row>
    <row r="4" spans="1:16">
      <c r="A4" s="9" t="s">
        <v>308</v>
      </c>
      <c r="B4" s="15">
        <v>53.955873899081602</v>
      </c>
      <c r="C4" s="15">
        <v>64.808201825155507</v>
      </c>
      <c r="D4" s="24">
        <v>45.530879432740797</v>
      </c>
      <c r="E4" s="15">
        <v>58.068575387404898</v>
      </c>
      <c r="F4" s="15">
        <v>66.399581435060995</v>
      </c>
      <c r="G4" s="24">
        <v>51.337570972717799</v>
      </c>
      <c r="H4" s="15">
        <v>51.379854776917803</v>
      </c>
      <c r="I4" s="15">
        <v>64.2032693372296</v>
      </c>
      <c r="J4" s="24">
        <v>41.436855754310201</v>
      </c>
      <c r="K4" s="20" t="s">
        <v>76</v>
      </c>
      <c r="L4" s="20" t="s">
        <v>76</v>
      </c>
      <c r="M4" s="26" t="s">
        <v>76</v>
      </c>
      <c r="N4" s="20" t="s">
        <v>76</v>
      </c>
      <c r="O4" s="20" t="s">
        <v>76</v>
      </c>
      <c r="P4" s="26" t="s">
        <v>76</v>
      </c>
    </row>
    <row r="5" spans="1:16">
      <c r="A5" s="9" t="s">
        <v>309</v>
      </c>
      <c r="B5" s="15">
        <v>32.165522035377698</v>
      </c>
      <c r="C5" s="15">
        <v>23.457459042187999</v>
      </c>
      <c r="D5" s="24">
        <v>38.925857977116401</v>
      </c>
      <c r="E5" s="15">
        <v>30.427907789186801</v>
      </c>
      <c r="F5" s="15">
        <v>23.039019423360099</v>
      </c>
      <c r="G5" s="24">
        <v>36.397731832707102</v>
      </c>
      <c r="H5" s="15">
        <v>33.592199335090903</v>
      </c>
      <c r="I5" s="15">
        <v>23.403738873932799</v>
      </c>
      <c r="J5" s="24">
        <v>41.492111790600497</v>
      </c>
      <c r="K5" s="20" t="s">
        <v>76</v>
      </c>
      <c r="L5" s="20" t="s">
        <v>76</v>
      </c>
      <c r="M5" s="26" t="s">
        <v>76</v>
      </c>
      <c r="N5" s="15">
        <v>41.827349165026298</v>
      </c>
      <c r="O5" s="20" t="s">
        <v>76</v>
      </c>
      <c r="P5" s="26" t="s">
        <v>76</v>
      </c>
    </row>
    <row r="6" spans="1:16">
      <c r="A6" s="9" t="s">
        <v>310</v>
      </c>
      <c r="B6" s="15">
        <v>5.9755634299103297</v>
      </c>
      <c r="C6" s="15">
        <v>2.49388073285066</v>
      </c>
      <c r="D6" s="24">
        <v>8.6785003164567094</v>
      </c>
      <c r="E6" s="15">
        <v>4.9009896874412204</v>
      </c>
      <c r="F6" s="20" t="s">
        <v>76</v>
      </c>
      <c r="G6" s="24">
        <v>6.5749460018702601</v>
      </c>
      <c r="H6" s="15">
        <v>6.4245896990223397</v>
      </c>
      <c r="I6" s="20" t="s">
        <v>76</v>
      </c>
      <c r="J6" s="24">
        <v>9.7666302488629402</v>
      </c>
      <c r="K6" s="20" t="s">
        <v>76</v>
      </c>
      <c r="L6" s="20" t="s">
        <v>76</v>
      </c>
      <c r="M6" s="26" t="s">
        <v>76</v>
      </c>
      <c r="N6" s="20" t="s">
        <v>76</v>
      </c>
      <c r="O6" s="20" t="s">
        <v>76</v>
      </c>
      <c r="P6" s="26" t="s">
        <v>76</v>
      </c>
    </row>
    <row r="7" spans="1:16">
      <c r="A7" s="9" t="s">
        <v>311</v>
      </c>
      <c r="B7" s="15">
        <v>7.90304063563027</v>
      </c>
      <c r="C7" s="15">
        <v>9.2404583998057692</v>
      </c>
      <c r="D7" s="24">
        <v>6.8647622736861296</v>
      </c>
      <c r="E7" s="15">
        <v>6.6025271359669899</v>
      </c>
      <c r="F7" s="15">
        <v>7.7322756006804401</v>
      </c>
      <c r="G7" s="24">
        <v>5.6897511927048097</v>
      </c>
      <c r="H7" s="15">
        <v>8.6033561889689594</v>
      </c>
      <c r="I7" s="15">
        <v>10.2786078286004</v>
      </c>
      <c r="J7" s="24">
        <v>7.3044022062263103</v>
      </c>
      <c r="K7" s="20" t="s">
        <v>76</v>
      </c>
      <c r="L7" s="20" t="s">
        <v>76</v>
      </c>
      <c r="M7" s="26" t="s">
        <v>76</v>
      </c>
      <c r="N7" s="20" t="s">
        <v>76</v>
      </c>
      <c r="O7" s="20" t="s">
        <v>76</v>
      </c>
      <c r="P7" s="26" t="s">
        <v>76</v>
      </c>
    </row>
    <row r="8" spans="1:16" ht="30">
      <c r="A8" s="40" t="s">
        <v>312</v>
      </c>
      <c r="B8" s="15"/>
      <c r="C8" s="15"/>
      <c r="D8" s="24"/>
      <c r="E8" s="15"/>
      <c r="F8" s="15"/>
      <c r="G8" s="24"/>
      <c r="H8" s="15"/>
      <c r="I8" s="15"/>
      <c r="J8" s="24"/>
      <c r="K8" s="15"/>
      <c r="L8" s="15"/>
      <c r="M8" s="24"/>
      <c r="N8" s="15"/>
      <c r="O8" s="15"/>
      <c r="P8" s="24"/>
    </row>
    <row r="9" spans="1:16">
      <c r="A9" s="9" t="s">
        <v>313</v>
      </c>
      <c r="B9" s="15">
        <v>17.065370694302299</v>
      </c>
      <c r="C9" s="15">
        <v>23.664493551122899</v>
      </c>
      <c r="D9" s="24">
        <v>11.9422695559891</v>
      </c>
      <c r="E9" s="15">
        <v>19.036009606242601</v>
      </c>
      <c r="F9" s="15">
        <v>24.702941902075501</v>
      </c>
      <c r="G9" s="24">
        <v>14.4574333715373</v>
      </c>
      <c r="H9" s="15">
        <v>15.3623300818914</v>
      </c>
      <c r="I9" s="15">
        <v>22.924916234939399</v>
      </c>
      <c r="J9" s="24">
        <v>9.4984639193743092</v>
      </c>
      <c r="K9" s="20" t="s">
        <v>76</v>
      </c>
      <c r="L9" s="20" t="s">
        <v>76</v>
      </c>
      <c r="M9" s="26" t="s">
        <v>76</v>
      </c>
      <c r="N9" s="20" t="s">
        <v>76</v>
      </c>
      <c r="O9" s="20" t="s">
        <v>76</v>
      </c>
      <c r="P9" s="26" t="s">
        <v>76</v>
      </c>
    </row>
    <row r="10" spans="1:16">
      <c r="A10" s="9" t="s">
        <v>314</v>
      </c>
      <c r="B10" s="15">
        <v>46.706372461381903</v>
      </c>
      <c r="C10" s="15">
        <v>52.712154073290797</v>
      </c>
      <c r="D10" s="24">
        <v>42.0439002995506</v>
      </c>
      <c r="E10" s="15">
        <v>49.032692226152399</v>
      </c>
      <c r="F10" s="15">
        <v>52.206968672559299</v>
      </c>
      <c r="G10" s="24">
        <v>46.468047734000997</v>
      </c>
      <c r="H10" s="15">
        <v>45.677447125802601</v>
      </c>
      <c r="I10" s="15">
        <v>53.601848746371203</v>
      </c>
      <c r="J10" s="24">
        <v>39.533037054874697</v>
      </c>
      <c r="K10" s="20" t="s">
        <v>76</v>
      </c>
      <c r="L10" s="20" t="s">
        <v>76</v>
      </c>
      <c r="M10" s="26" t="s">
        <v>76</v>
      </c>
      <c r="N10" s="20" t="s">
        <v>76</v>
      </c>
      <c r="O10" s="20" t="s">
        <v>76</v>
      </c>
      <c r="P10" s="26" t="s">
        <v>76</v>
      </c>
    </row>
    <row r="11" spans="1:16">
      <c r="A11" s="9" t="s">
        <v>315</v>
      </c>
      <c r="B11" s="15">
        <v>12.8257865934008</v>
      </c>
      <c r="C11" s="15">
        <v>8.2247324553481302</v>
      </c>
      <c r="D11" s="24">
        <v>16.3977258046454</v>
      </c>
      <c r="E11" s="15">
        <v>11.872616811304299</v>
      </c>
      <c r="F11" s="15">
        <v>8.8599838862613201</v>
      </c>
      <c r="G11" s="24">
        <v>14.3066620397316</v>
      </c>
      <c r="H11" s="15">
        <v>13.477088244099599</v>
      </c>
      <c r="I11" s="15">
        <v>7.4636244802409504</v>
      </c>
      <c r="J11" s="24">
        <v>18.139798323799202</v>
      </c>
      <c r="K11" s="20" t="s">
        <v>76</v>
      </c>
      <c r="L11" s="20" t="s">
        <v>76</v>
      </c>
      <c r="M11" s="26" t="s">
        <v>76</v>
      </c>
      <c r="N11" s="20" t="s">
        <v>76</v>
      </c>
      <c r="O11" s="20" t="s">
        <v>76</v>
      </c>
      <c r="P11" s="26" t="s">
        <v>76</v>
      </c>
    </row>
    <row r="12" spans="1:16">
      <c r="A12" s="9" t="s">
        <v>316</v>
      </c>
      <c r="B12" s="15">
        <v>17.064891203094401</v>
      </c>
      <c r="C12" s="15">
        <v>9.9566114792519098</v>
      </c>
      <c r="D12" s="24">
        <v>22.583266407615199</v>
      </c>
      <c r="E12" s="15">
        <v>15.121205562836099</v>
      </c>
      <c r="F12" s="15">
        <v>9.3437299253594794</v>
      </c>
      <c r="G12" s="24">
        <v>19.7890948668589</v>
      </c>
      <c r="H12" s="15">
        <v>18.626398045059101</v>
      </c>
      <c r="I12" s="15">
        <v>10.393215211047</v>
      </c>
      <c r="J12" s="24">
        <v>25.010230407844499</v>
      </c>
      <c r="K12" s="20" t="s">
        <v>76</v>
      </c>
      <c r="L12" s="20" t="s">
        <v>76</v>
      </c>
      <c r="M12" s="26" t="s">
        <v>76</v>
      </c>
      <c r="N12" s="20" t="s">
        <v>76</v>
      </c>
      <c r="O12" s="20" t="s">
        <v>76</v>
      </c>
      <c r="P12" s="26" t="s">
        <v>76</v>
      </c>
    </row>
    <row r="13" spans="1:16">
      <c r="A13" s="9" t="s">
        <v>317</v>
      </c>
      <c r="B13" s="15">
        <v>6.3375790478206504</v>
      </c>
      <c r="C13" s="15">
        <v>5.4420084409862604</v>
      </c>
      <c r="D13" s="24">
        <v>7.0328379321996701</v>
      </c>
      <c r="E13" s="15">
        <v>4.9374757934645697</v>
      </c>
      <c r="F13" s="15">
        <v>4.8863756137444598</v>
      </c>
      <c r="G13" s="24">
        <v>4.9787619878713203</v>
      </c>
      <c r="H13" s="15">
        <v>6.8567365031473404</v>
      </c>
      <c r="I13" s="15">
        <v>5.6163953274015403</v>
      </c>
      <c r="J13" s="24">
        <v>7.8184702941073496</v>
      </c>
      <c r="K13" s="20" t="s">
        <v>76</v>
      </c>
      <c r="L13" s="20" t="s">
        <v>76</v>
      </c>
      <c r="M13" s="26" t="s">
        <v>76</v>
      </c>
      <c r="N13" s="20" t="s">
        <v>76</v>
      </c>
      <c r="O13" s="20" t="s">
        <v>76</v>
      </c>
      <c r="P13" s="26" t="s">
        <v>76</v>
      </c>
    </row>
    <row r="14" spans="1:16">
      <c r="A14" s="40" t="s">
        <v>318</v>
      </c>
      <c r="B14" s="15"/>
      <c r="C14" s="15"/>
      <c r="D14" s="24"/>
      <c r="E14" s="15"/>
      <c r="F14" s="15"/>
      <c r="G14" s="24"/>
      <c r="H14" s="15"/>
      <c r="I14" s="15"/>
      <c r="J14" s="24"/>
      <c r="K14" s="15"/>
      <c r="L14" s="15"/>
      <c r="M14" s="24"/>
      <c r="N14" s="15"/>
      <c r="O14" s="15"/>
      <c r="P14" s="24"/>
    </row>
    <row r="15" spans="1:16">
      <c r="A15" s="9" t="s">
        <v>319</v>
      </c>
      <c r="B15" s="15">
        <v>61.067191149386197</v>
      </c>
      <c r="C15" s="15">
        <v>73.643597926042602</v>
      </c>
      <c r="D15" s="24">
        <v>51.303741480194901</v>
      </c>
      <c r="E15" s="15">
        <v>68.869409972358099</v>
      </c>
      <c r="F15" s="15">
        <v>76.398225585080894</v>
      </c>
      <c r="G15" s="24">
        <v>62.786532245860698</v>
      </c>
      <c r="H15" s="15">
        <v>54.370348902003002</v>
      </c>
      <c r="I15" s="15">
        <v>71.354222436972805</v>
      </c>
      <c r="J15" s="24">
        <v>41.201419740112797</v>
      </c>
      <c r="K15" s="20" t="s">
        <v>76</v>
      </c>
      <c r="L15" s="20" t="s">
        <v>76</v>
      </c>
      <c r="M15" s="26" t="s">
        <v>76</v>
      </c>
      <c r="N15" s="20" t="s">
        <v>76</v>
      </c>
      <c r="O15" s="20" t="s">
        <v>76</v>
      </c>
      <c r="P15" s="26" t="s">
        <v>76</v>
      </c>
    </row>
    <row r="16" spans="1:16">
      <c r="A16" s="9" t="s">
        <v>320</v>
      </c>
      <c r="B16" s="15">
        <v>32.8818966744535</v>
      </c>
      <c r="C16" s="15">
        <v>24.3474738345273</v>
      </c>
      <c r="D16" s="24">
        <v>39.507430448367401</v>
      </c>
      <c r="E16" s="15">
        <v>27.549691611652499</v>
      </c>
      <c r="F16" s="15">
        <v>21.442608441652801</v>
      </c>
      <c r="G16" s="24">
        <v>32.483886058635903</v>
      </c>
      <c r="H16" s="15">
        <v>38.006794749580202</v>
      </c>
      <c r="I16" s="15">
        <v>26.948490759029699</v>
      </c>
      <c r="J16" s="24">
        <v>46.5811651134646</v>
      </c>
      <c r="K16" s="20" t="s">
        <v>76</v>
      </c>
      <c r="L16" s="20" t="s">
        <v>76</v>
      </c>
      <c r="M16" s="26" t="s">
        <v>76</v>
      </c>
      <c r="N16" s="15">
        <v>40.7575069496786</v>
      </c>
      <c r="O16" s="20" t="s">
        <v>76</v>
      </c>
      <c r="P16" s="26" t="s">
        <v>76</v>
      </c>
    </row>
    <row r="17" spans="1:16">
      <c r="A17" s="9" t="s">
        <v>321</v>
      </c>
      <c r="B17" s="15">
        <v>6.0509121761602902</v>
      </c>
      <c r="C17" s="15">
        <v>2.00892823943013</v>
      </c>
      <c r="D17" s="24">
        <v>9.18882807143771</v>
      </c>
      <c r="E17" s="15">
        <v>3.58089841598937</v>
      </c>
      <c r="F17" s="20" t="s">
        <v>76</v>
      </c>
      <c r="G17" s="24">
        <v>4.72958169550337</v>
      </c>
      <c r="H17" s="15">
        <v>7.6228563484168896</v>
      </c>
      <c r="I17" s="20" t="s">
        <v>76</v>
      </c>
      <c r="J17" s="24">
        <v>12.217415146422701</v>
      </c>
      <c r="K17" s="20" t="s">
        <v>76</v>
      </c>
      <c r="L17" s="20" t="s">
        <v>76</v>
      </c>
      <c r="M17" s="26" t="s">
        <v>76</v>
      </c>
      <c r="N17" s="20" t="s">
        <v>76</v>
      </c>
      <c r="O17" s="20" t="s">
        <v>76</v>
      </c>
      <c r="P17" s="26" t="s">
        <v>76</v>
      </c>
    </row>
    <row r="18" spans="1:16" ht="30">
      <c r="A18" s="40" t="s">
        <v>322</v>
      </c>
      <c r="B18" s="15"/>
      <c r="C18" s="15"/>
      <c r="D18" s="24"/>
      <c r="E18" s="15"/>
      <c r="F18" s="15"/>
      <c r="G18" s="24"/>
      <c r="H18" s="15"/>
      <c r="I18" s="15"/>
      <c r="J18" s="24"/>
      <c r="K18" s="15"/>
      <c r="L18" s="15"/>
      <c r="M18" s="24"/>
      <c r="N18" s="15"/>
      <c r="O18" s="15"/>
      <c r="P18" s="24"/>
    </row>
    <row r="19" spans="1:16">
      <c r="A19" s="9" t="s">
        <v>319</v>
      </c>
      <c r="B19" s="15">
        <v>46.937639684877396</v>
      </c>
      <c r="C19" s="15">
        <v>58.251366656237103</v>
      </c>
      <c r="D19" s="24">
        <v>38.154447011682798</v>
      </c>
      <c r="E19" s="15">
        <v>52.0539904423133</v>
      </c>
      <c r="F19" s="15">
        <v>61.512007754591998</v>
      </c>
      <c r="G19" s="24">
        <v>44.412421594689398</v>
      </c>
      <c r="H19" s="15">
        <v>42.6140411101144</v>
      </c>
      <c r="I19" s="15">
        <v>55.530374068579199</v>
      </c>
      <c r="J19" s="24">
        <v>32.598995166020003</v>
      </c>
      <c r="K19" s="20" t="s">
        <v>76</v>
      </c>
      <c r="L19" s="20" t="s">
        <v>76</v>
      </c>
      <c r="M19" s="26" t="s">
        <v>76</v>
      </c>
      <c r="N19" s="20" t="s">
        <v>76</v>
      </c>
      <c r="O19" s="20" t="s">
        <v>76</v>
      </c>
      <c r="P19" s="26" t="s">
        <v>76</v>
      </c>
    </row>
    <row r="20" spans="1:16">
      <c r="A20" s="9" t="s">
        <v>323</v>
      </c>
      <c r="B20" s="15">
        <v>22.641283836643201</v>
      </c>
      <c r="C20" s="15">
        <v>20.5755995502549</v>
      </c>
      <c r="D20" s="24">
        <v>24.244937799238201</v>
      </c>
      <c r="E20" s="15">
        <v>19.634441989783902</v>
      </c>
      <c r="F20" s="15">
        <v>18.471170084801901</v>
      </c>
      <c r="G20" s="24">
        <v>20.574303068160901</v>
      </c>
      <c r="H20" s="15">
        <v>26.135138298024199</v>
      </c>
      <c r="I20" s="15">
        <v>22.886289686962002</v>
      </c>
      <c r="J20" s="24">
        <v>28.654225426687201</v>
      </c>
      <c r="K20" s="20" t="s">
        <v>76</v>
      </c>
      <c r="L20" s="20" t="s">
        <v>76</v>
      </c>
      <c r="M20" s="26" t="s">
        <v>76</v>
      </c>
      <c r="N20" s="20" t="s">
        <v>76</v>
      </c>
      <c r="O20" s="20" t="s">
        <v>76</v>
      </c>
      <c r="P20" s="26" t="s">
        <v>76</v>
      </c>
    </row>
    <row r="21" spans="1:16">
      <c r="A21" s="9" t="s">
        <v>321</v>
      </c>
      <c r="B21" s="15">
        <v>4.6650634200463497</v>
      </c>
      <c r="C21" s="15">
        <v>3.1680314019672502</v>
      </c>
      <c r="D21" s="24">
        <v>5.82725521467031</v>
      </c>
      <c r="E21" s="15">
        <v>4.7235533733504003</v>
      </c>
      <c r="F21" s="15">
        <v>3.5624444891999398</v>
      </c>
      <c r="G21" s="24">
        <v>5.66166684733449</v>
      </c>
      <c r="H21" s="15">
        <v>4.5580539061392402</v>
      </c>
      <c r="I21" s="20" t="s">
        <v>76</v>
      </c>
      <c r="J21" s="24">
        <v>5.8877003800740102</v>
      </c>
      <c r="K21" s="20" t="s">
        <v>76</v>
      </c>
      <c r="L21" s="20" t="s">
        <v>76</v>
      </c>
      <c r="M21" s="26" t="s">
        <v>76</v>
      </c>
      <c r="N21" s="20" t="s">
        <v>76</v>
      </c>
      <c r="O21" s="20" t="s">
        <v>76</v>
      </c>
      <c r="P21" s="26" t="s">
        <v>76</v>
      </c>
    </row>
    <row r="22" spans="1:16">
      <c r="A22" s="9" t="s">
        <v>324</v>
      </c>
      <c r="B22" s="15">
        <v>25.756013058433101</v>
      </c>
      <c r="C22" s="15">
        <v>18.005002391540799</v>
      </c>
      <c r="D22" s="24">
        <v>31.773359974408699</v>
      </c>
      <c r="E22" s="15">
        <v>23.5880141945524</v>
      </c>
      <c r="F22" s="15">
        <v>16.454377671406199</v>
      </c>
      <c r="G22" s="24">
        <v>29.351608489815099</v>
      </c>
      <c r="H22" s="15">
        <v>26.692766685722201</v>
      </c>
      <c r="I22" s="15">
        <v>18.740117863813801</v>
      </c>
      <c r="J22" s="24">
        <v>32.859079027218797</v>
      </c>
      <c r="K22" s="20" t="s">
        <v>76</v>
      </c>
      <c r="L22" s="20" t="s">
        <v>76</v>
      </c>
      <c r="M22" s="26" t="s">
        <v>76</v>
      </c>
      <c r="N22" s="15">
        <v>50.850397104184601</v>
      </c>
      <c r="O22" s="20" t="s">
        <v>76</v>
      </c>
      <c r="P22" s="26" t="s">
        <v>76</v>
      </c>
    </row>
    <row r="23" spans="1:16" ht="30">
      <c r="A23" s="40" t="s">
        <v>325</v>
      </c>
      <c r="B23" s="15"/>
      <c r="C23" s="15"/>
      <c r="D23" s="24"/>
      <c r="E23" s="15"/>
      <c r="F23" s="15"/>
      <c r="G23" s="24"/>
      <c r="H23" s="15"/>
      <c r="I23" s="15"/>
      <c r="J23" s="24"/>
      <c r="K23" s="15"/>
      <c r="L23" s="15"/>
      <c r="M23" s="24"/>
      <c r="N23" s="15"/>
      <c r="O23" s="15"/>
      <c r="P23" s="24"/>
    </row>
    <row r="24" spans="1:16">
      <c r="A24" s="9" t="s">
        <v>308</v>
      </c>
      <c r="B24" s="15">
        <v>55.485133044724698</v>
      </c>
      <c r="C24" s="15">
        <v>59.928930355189102</v>
      </c>
      <c r="D24" s="24">
        <v>52.035277123927102</v>
      </c>
      <c r="E24" s="15">
        <v>62.148109230756702</v>
      </c>
      <c r="F24" s="15">
        <v>64.644706103963102</v>
      </c>
      <c r="G24" s="24">
        <v>60.130993353140099</v>
      </c>
      <c r="H24" s="15">
        <v>50.177167126022297</v>
      </c>
      <c r="I24" s="15">
        <v>56.042213830591898</v>
      </c>
      <c r="J24" s="24">
        <v>45.629536432433902</v>
      </c>
      <c r="K24" s="20" t="s">
        <v>76</v>
      </c>
      <c r="L24" s="20" t="s">
        <v>76</v>
      </c>
      <c r="M24" s="26" t="s">
        <v>76</v>
      </c>
      <c r="N24" s="20" t="s">
        <v>76</v>
      </c>
      <c r="O24" s="20" t="s">
        <v>76</v>
      </c>
      <c r="P24" s="26" t="s">
        <v>76</v>
      </c>
    </row>
    <row r="25" spans="1:16">
      <c r="A25" s="9" t="s">
        <v>309</v>
      </c>
      <c r="B25" s="15">
        <v>20.974677961674999</v>
      </c>
      <c r="C25" s="15">
        <v>21.814667249768199</v>
      </c>
      <c r="D25" s="24">
        <v>20.322568556930001</v>
      </c>
      <c r="E25" s="15">
        <v>17.427125724225199</v>
      </c>
      <c r="F25" s="15">
        <v>18.703883423110099</v>
      </c>
      <c r="G25" s="24">
        <v>16.395574233502501</v>
      </c>
      <c r="H25" s="15">
        <v>24.4600686145277</v>
      </c>
      <c r="I25" s="15">
        <v>25.119035430988301</v>
      </c>
      <c r="J25" s="24">
        <v>23.949119960315301</v>
      </c>
      <c r="K25" s="20" t="s">
        <v>76</v>
      </c>
      <c r="L25" s="20" t="s">
        <v>76</v>
      </c>
      <c r="M25" s="26" t="s">
        <v>76</v>
      </c>
      <c r="N25" s="20" t="s">
        <v>76</v>
      </c>
      <c r="O25" s="20" t="s">
        <v>76</v>
      </c>
      <c r="P25" s="26" t="s">
        <v>76</v>
      </c>
    </row>
    <row r="26" spans="1:16">
      <c r="A26" s="9" t="s">
        <v>310</v>
      </c>
      <c r="B26" s="15">
        <v>4.5924283490534403</v>
      </c>
      <c r="C26" s="15">
        <v>4.0731695721724197</v>
      </c>
      <c r="D26" s="24">
        <v>4.9955448372043998</v>
      </c>
      <c r="E26" s="15">
        <v>4.5153137993877399</v>
      </c>
      <c r="F26" s="15">
        <v>4.0060300353001397</v>
      </c>
      <c r="G26" s="24">
        <v>4.9267876651841203</v>
      </c>
      <c r="H26" s="15">
        <v>4.6464264576381904</v>
      </c>
      <c r="I26" s="15">
        <v>4.2674222744665</v>
      </c>
      <c r="J26" s="24">
        <v>4.9402981253688303</v>
      </c>
      <c r="K26" s="20" t="s">
        <v>76</v>
      </c>
      <c r="L26" s="20" t="s">
        <v>76</v>
      </c>
      <c r="M26" s="26" t="s">
        <v>76</v>
      </c>
      <c r="N26" s="20" t="s">
        <v>76</v>
      </c>
      <c r="O26" s="20" t="s">
        <v>76</v>
      </c>
      <c r="P26" s="26" t="s">
        <v>76</v>
      </c>
    </row>
    <row r="27" spans="1:16">
      <c r="A27" s="9" t="s">
        <v>326</v>
      </c>
      <c r="B27" s="15">
        <v>18.9477606445469</v>
      </c>
      <c r="C27" s="15">
        <v>14.1832328228703</v>
      </c>
      <c r="D27" s="24">
        <v>22.646609481938601</v>
      </c>
      <c r="E27" s="15">
        <v>15.9094512456304</v>
      </c>
      <c r="F27" s="15">
        <v>12.6453804376267</v>
      </c>
      <c r="G27" s="24">
        <v>18.5466447481733</v>
      </c>
      <c r="H27" s="15">
        <v>20.7163378018118</v>
      </c>
      <c r="I27" s="15">
        <v>14.5713284639533</v>
      </c>
      <c r="J27" s="24">
        <v>25.481045481881999</v>
      </c>
      <c r="K27" s="20" t="s">
        <v>76</v>
      </c>
      <c r="L27" s="20" t="s">
        <v>76</v>
      </c>
      <c r="M27" s="26" t="s">
        <v>76</v>
      </c>
      <c r="N27" s="15">
        <v>48.411675531864901</v>
      </c>
      <c r="O27" s="20" t="s">
        <v>76</v>
      </c>
      <c r="P27" s="26" t="s">
        <v>76</v>
      </c>
    </row>
    <row r="28" spans="1:16" ht="30">
      <c r="A28" s="40" t="s">
        <v>327</v>
      </c>
      <c r="B28" s="15"/>
      <c r="C28" s="15"/>
      <c r="D28" s="24"/>
      <c r="E28" s="15"/>
      <c r="F28" s="15"/>
      <c r="G28" s="24"/>
      <c r="H28" s="15"/>
      <c r="I28" s="15"/>
      <c r="J28" s="24"/>
      <c r="K28" s="15"/>
      <c r="L28" s="15"/>
      <c r="M28" s="24"/>
      <c r="N28" s="15"/>
      <c r="O28" s="15"/>
      <c r="P28" s="24"/>
    </row>
    <row r="29" spans="1:16">
      <c r="A29" s="9" t="s">
        <v>308</v>
      </c>
      <c r="B29" s="15">
        <v>61.661389754242201</v>
      </c>
      <c r="C29" s="15">
        <v>66.498862930407</v>
      </c>
      <c r="D29" s="24">
        <v>57.905911204580804</v>
      </c>
      <c r="E29" s="15">
        <v>67.271859126403299</v>
      </c>
      <c r="F29" s="15">
        <v>71.398028141933494</v>
      </c>
      <c r="G29" s="24">
        <v>63.9381366803497</v>
      </c>
      <c r="H29" s="15">
        <v>56.867632634765997</v>
      </c>
      <c r="I29" s="15">
        <v>61.931531591573403</v>
      </c>
      <c r="J29" s="24">
        <v>52.941194622385702</v>
      </c>
      <c r="K29" s="20" t="s">
        <v>76</v>
      </c>
      <c r="L29" s="20" t="s">
        <v>76</v>
      </c>
      <c r="M29" s="26" t="s">
        <v>76</v>
      </c>
      <c r="N29" s="15">
        <v>38.749070897428403</v>
      </c>
      <c r="O29" s="20" t="s">
        <v>76</v>
      </c>
      <c r="P29" s="26" t="s">
        <v>76</v>
      </c>
    </row>
    <row r="30" spans="1:16">
      <c r="A30" s="9" t="s">
        <v>309</v>
      </c>
      <c r="B30" s="15">
        <v>24.890808731869701</v>
      </c>
      <c r="C30" s="15">
        <v>23.7655050326054</v>
      </c>
      <c r="D30" s="24">
        <v>25.764416450309099</v>
      </c>
      <c r="E30" s="15">
        <v>20.0394230696599</v>
      </c>
      <c r="F30" s="15">
        <v>19.216087674179601</v>
      </c>
      <c r="G30" s="24">
        <v>20.704633747703401</v>
      </c>
      <c r="H30" s="15">
        <v>29.861809026649802</v>
      </c>
      <c r="I30" s="15">
        <v>28.7258127334884</v>
      </c>
      <c r="J30" s="24">
        <v>30.742636046587801</v>
      </c>
      <c r="K30" s="20" t="s">
        <v>76</v>
      </c>
      <c r="L30" s="20" t="s">
        <v>76</v>
      </c>
      <c r="M30" s="26" t="s">
        <v>76</v>
      </c>
      <c r="N30" s="20" t="s">
        <v>76</v>
      </c>
      <c r="O30" s="20" t="s">
        <v>76</v>
      </c>
      <c r="P30" s="26" t="s">
        <v>76</v>
      </c>
    </row>
    <row r="31" spans="1:16">
      <c r="A31" s="9" t="s">
        <v>310</v>
      </c>
      <c r="B31" s="15">
        <v>3.4382263696350899</v>
      </c>
      <c r="C31" s="15">
        <v>2.9851341796264999</v>
      </c>
      <c r="D31" s="24">
        <v>3.7899757103818899</v>
      </c>
      <c r="E31" s="15">
        <v>3.68975665257229</v>
      </c>
      <c r="F31" s="15">
        <v>3.68896425452684</v>
      </c>
      <c r="G31" s="24">
        <v>3.6903968675369101</v>
      </c>
      <c r="H31" s="15">
        <v>3.15009919331133</v>
      </c>
      <c r="I31" s="20" t="s">
        <v>76</v>
      </c>
      <c r="J31" s="24">
        <v>3.8709037331771898</v>
      </c>
      <c r="K31" s="20" t="s">
        <v>76</v>
      </c>
      <c r="L31" s="20" t="s">
        <v>76</v>
      </c>
      <c r="M31" s="26" t="s">
        <v>76</v>
      </c>
      <c r="N31" s="20" t="s">
        <v>76</v>
      </c>
      <c r="O31" s="20" t="s">
        <v>76</v>
      </c>
      <c r="P31" s="26" t="s">
        <v>76</v>
      </c>
    </row>
    <row r="32" spans="1:16">
      <c r="A32" s="9" t="s">
        <v>328</v>
      </c>
      <c r="B32" s="15">
        <v>10.0095751442531</v>
      </c>
      <c r="C32" s="15">
        <v>6.7504978573610304</v>
      </c>
      <c r="D32" s="24">
        <v>12.5396966347282</v>
      </c>
      <c r="E32" s="15">
        <v>8.9989611513645293</v>
      </c>
      <c r="F32" s="15">
        <v>5.6969199293600497</v>
      </c>
      <c r="G32" s="24">
        <v>11.666832704409901</v>
      </c>
      <c r="H32" s="15">
        <v>10.1204591452729</v>
      </c>
      <c r="I32" s="15">
        <v>7.12217292940473</v>
      </c>
      <c r="J32" s="24">
        <v>12.4452655978492</v>
      </c>
      <c r="K32" s="20" t="s">
        <v>76</v>
      </c>
      <c r="L32" s="20" t="s">
        <v>76</v>
      </c>
      <c r="M32" s="26" t="s">
        <v>76</v>
      </c>
      <c r="N32" s="20" t="s">
        <v>76</v>
      </c>
      <c r="O32" s="20" t="s">
        <v>76</v>
      </c>
      <c r="P32" s="26" t="s">
        <v>76</v>
      </c>
    </row>
    <row r="33" spans="1:16">
      <c r="A33" s="40" t="s">
        <v>329</v>
      </c>
      <c r="B33" s="15"/>
      <c r="C33" s="15"/>
      <c r="D33" s="24"/>
      <c r="E33" s="15"/>
      <c r="F33" s="15"/>
      <c r="G33" s="24"/>
      <c r="H33" s="15"/>
      <c r="I33" s="15"/>
      <c r="J33" s="24"/>
      <c r="K33" s="15"/>
      <c r="L33" s="15"/>
      <c r="M33" s="24"/>
      <c r="N33" s="15"/>
      <c r="O33" s="15"/>
      <c r="P33" s="24"/>
    </row>
    <row r="34" spans="1:16">
      <c r="A34" s="9" t="s">
        <v>330</v>
      </c>
      <c r="B34" s="15">
        <v>29.2461911542599</v>
      </c>
      <c r="C34" s="15">
        <v>36.739920013461798</v>
      </c>
      <c r="D34" s="24">
        <v>23.4285799835408</v>
      </c>
      <c r="E34" s="15">
        <v>34.8633801930754</v>
      </c>
      <c r="F34" s="15">
        <v>41.737310233782303</v>
      </c>
      <c r="G34" s="24">
        <v>29.309614755194598</v>
      </c>
      <c r="H34" s="15">
        <v>23.9678694603849</v>
      </c>
      <c r="I34" s="15">
        <v>31.603053742365901</v>
      </c>
      <c r="J34" s="24">
        <v>18.0477122747842</v>
      </c>
      <c r="K34" s="20" t="s">
        <v>76</v>
      </c>
      <c r="L34" s="20" t="s">
        <v>76</v>
      </c>
      <c r="M34" s="26" t="s">
        <v>76</v>
      </c>
      <c r="N34" s="20" t="s">
        <v>76</v>
      </c>
      <c r="O34" s="20" t="s">
        <v>76</v>
      </c>
      <c r="P34" s="26" t="s">
        <v>76</v>
      </c>
    </row>
    <row r="35" spans="1:16">
      <c r="A35" s="9" t="s">
        <v>331</v>
      </c>
      <c r="B35" s="15">
        <v>41.589465835269202</v>
      </c>
      <c r="C35" s="15">
        <v>41.044428375271202</v>
      </c>
      <c r="D35" s="24">
        <v>42.012595104464999</v>
      </c>
      <c r="E35" s="15">
        <v>44.570696632333899</v>
      </c>
      <c r="F35" s="15">
        <v>40.446476490857897</v>
      </c>
      <c r="G35" s="24">
        <v>47.902844493062901</v>
      </c>
      <c r="H35" s="15">
        <v>39.112094015314298</v>
      </c>
      <c r="I35" s="15">
        <v>41.697875438219199</v>
      </c>
      <c r="J35" s="24">
        <v>37.107134880623697</v>
      </c>
      <c r="K35" s="20" t="s">
        <v>76</v>
      </c>
      <c r="L35" s="20" t="s">
        <v>76</v>
      </c>
      <c r="M35" s="26" t="s">
        <v>76</v>
      </c>
      <c r="N35" s="20" t="s">
        <v>76</v>
      </c>
      <c r="O35" s="20" t="s">
        <v>76</v>
      </c>
      <c r="P35" s="26" t="s">
        <v>76</v>
      </c>
    </row>
    <row r="36" spans="1:16">
      <c r="A36" s="9" t="s">
        <v>332</v>
      </c>
      <c r="B36" s="15">
        <v>22.162291143284701</v>
      </c>
      <c r="C36" s="15">
        <v>16.806672740653202</v>
      </c>
      <c r="D36" s="24">
        <v>26.320021697813502</v>
      </c>
      <c r="E36" s="15">
        <v>14.9685923137285</v>
      </c>
      <c r="F36" s="15">
        <v>11.707500745449099</v>
      </c>
      <c r="G36" s="24">
        <v>17.603378750951599</v>
      </c>
      <c r="H36" s="15">
        <v>29.475694008701499</v>
      </c>
      <c r="I36" s="15">
        <v>22.432378417026602</v>
      </c>
      <c r="J36" s="24">
        <v>34.936928979665304</v>
      </c>
      <c r="K36" s="20" t="s">
        <v>76</v>
      </c>
      <c r="L36" s="20" t="s">
        <v>76</v>
      </c>
      <c r="M36" s="26" t="s">
        <v>76</v>
      </c>
      <c r="N36" s="20" t="s">
        <v>76</v>
      </c>
      <c r="O36" s="20" t="s">
        <v>76</v>
      </c>
      <c r="P36" s="26" t="s">
        <v>76</v>
      </c>
    </row>
    <row r="37" spans="1:16">
      <c r="A37" s="11" t="s">
        <v>333</v>
      </c>
      <c r="B37" s="16">
        <v>7.0020518671861502</v>
      </c>
      <c r="C37" s="16">
        <v>5.4089788706137796</v>
      </c>
      <c r="D37" s="25">
        <v>8.2388032141807805</v>
      </c>
      <c r="E37" s="16">
        <v>5.5973308608621304</v>
      </c>
      <c r="F37" s="16">
        <v>6.1087125299107798</v>
      </c>
      <c r="G37" s="25">
        <v>5.1841620007909102</v>
      </c>
      <c r="H37" s="16">
        <v>7.4443425155992999</v>
      </c>
      <c r="I37" s="16">
        <v>4.2666924023882196</v>
      </c>
      <c r="J37" s="25">
        <v>9.9082238649267893</v>
      </c>
      <c r="K37" s="28" t="s">
        <v>76</v>
      </c>
      <c r="L37" s="28" t="s">
        <v>76</v>
      </c>
      <c r="M37" s="29" t="s">
        <v>76</v>
      </c>
      <c r="N37" s="28" t="s">
        <v>76</v>
      </c>
      <c r="O37" s="28" t="s">
        <v>76</v>
      </c>
      <c r="P37" s="29" t="s">
        <v>76</v>
      </c>
    </row>
    <row r="38" spans="1:16" ht="30" customHeight="1">
      <c r="A38" t="s">
        <v>143</v>
      </c>
    </row>
    <row r="39" spans="1:16">
      <c r="A39" t="s">
        <v>144</v>
      </c>
    </row>
    <row r="40" spans="1:16">
      <c r="A40" t="s">
        <v>145</v>
      </c>
    </row>
    <row r="41" spans="1:16">
      <c r="A41" t="s">
        <v>146</v>
      </c>
    </row>
    <row r="42" spans="1:16">
      <c r="A42" t="s">
        <v>147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44"/>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334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ht="30">
      <c r="A3" s="40" t="s">
        <v>307</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c r="A4" s="9" t="s">
        <v>308</v>
      </c>
      <c r="B4" s="36">
        <v>51.412597068578997</v>
      </c>
      <c r="C4" s="32">
        <v>52.564848192151501</v>
      </c>
      <c r="D4" s="32">
        <v>53.955873899081602</v>
      </c>
      <c r="E4" s="32">
        <v>64.808201825155507</v>
      </c>
      <c r="F4" s="15">
        <v>56.25</v>
      </c>
      <c r="G4" s="15">
        <v>76.119402985074601</v>
      </c>
      <c r="H4" s="15">
        <v>57.317073170731703</v>
      </c>
      <c r="I4" s="15">
        <v>82.5</v>
      </c>
      <c r="J4" s="15">
        <v>64.197530864197503</v>
      </c>
      <c r="K4" s="15">
        <v>70</v>
      </c>
      <c r="L4" s="15">
        <v>51.5625</v>
      </c>
      <c r="M4" s="15">
        <v>58.823529411764703</v>
      </c>
      <c r="N4" s="15">
        <v>59.183673469387799</v>
      </c>
      <c r="O4" s="15">
        <v>71.428571428571402</v>
      </c>
      <c r="P4" s="15">
        <v>51.851851851851798</v>
      </c>
      <c r="Q4" s="15">
        <v>70</v>
      </c>
      <c r="R4" s="15">
        <v>62.6373626373626</v>
      </c>
      <c r="S4" s="15">
        <v>57</v>
      </c>
      <c r="T4" s="15">
        <v>66.6666666666667</v>
      </c>
      <c r="U4" s="15">
        <v>51.063829787233999</v>
      </c>
      <c r="V4" s="15">
        <v>66.6666666666667</v>
      </c>
      <c r="W4" s="15">
        <v>82.142857142857096</v>
      </c>
      <c r="X4" s="15">
        <v>81.730769230769198</v>
      </c>
      <c r="Y4" s="15">
        <v>70.731707317073202</v>
      </c>
      <c r="Z4" s="15">
        <v>71.739130434782595</v>
      </c>
      <c r="AA4" s="15">
        <v>65.753424657534296</v>
      </c>
      <c r="AB4" s="15">
        <v>66.6666666666667</v>
      </c>
      <c r="AC4" s="15">
        <v>64.197530864197503</v>
      </c>
      <c r="AD4" s="15">
        <v>72.631578947368396</v>
      </c>
      <c r="AE4" s="15">
        <v>72.131147540983605</v>
      </c>
      <c r="AF4" s="15">
        <v>78.3783783783784</v>
      </c>
      <c r="AG4" s="32">
        <v>45.530879432740797</v>
      </c>
      <c r="AH4" s="15">
        <v>35.906040268456401</v>
      </c>
      <c r="AI4" s="15">
        <v>49.852507374631301</v>
      </c>
      <c r="AJ4" s="15">
        <v>37.463126843657797</v>
      </c>
      <c r="AK4" s="15">
        <v>42.560553633217999</v>
      </c>
      <c r="AL4" s="15">
        <v>53.631284916201103</v>
      </c>
      <c r="AM4" s="15">
        <v>47.692307692307701</v>
      </c>
      <c r="AN4" s="24">
        <v>59.177215189873401</v>
      </c>
      <c r="AO4" s="38"/>
    </row>
    <row r="5" spans="1:41">
      <c r="A5" s="9" t="s">
        <v>309</v>
      </c>
      <c r="B5" s="36">
        <v>33.290941640186297</v>
      </c>
      <c r="C5" s="32">
        <v>32.727005877833101</v>
      </c>
      <c r="D5" s="32">
        <v>32.165522035377698</v>
      </c>
      <c r="E5" s="32">
        <v>23.457459042187999</v>
      </c>
      <c r="F5" s="15">
        <v>26.0416666666667</v>
      </c>
      <c r="G5" s="15">
        <v>16.417910447761201</v>
      </c>
      <c r="H5" s="15">
        <v>32.9268292682927</v>
      </c>
      <c r="I5" s="15">
        <v>15</v>
      </c>
      <c r="J5" s="15">
        <v>33.3333333333333</v>
      </c>
      <c r="K5" s="15">
        <v>28</v>
      </c>
      <c r="L5" s="15">
        <v>28.125</v>
      </c>
      <c r="M5" s="15">
        <v>22.0588235294118</v>
      </c>
      <c r="N5" s="15">
        <v>36.734693877551003</v>
      </c>
      <c r="O5" s="15">
        <v>16.6666666666667</v>
      </c>
      <c r="P5" s="15">
        <v>33.3333333333333</v>
      </c>
      <c r="Q5" s="15">
        <v>11.6666666666667</v>
      </c>
      <c r="R5" s="15">
        <v>26.373626373626401</v>
      </c>
      <c r="S5" s="15">
        <v>29</v>
      </c>
      <c r="T5" s="15">
        <v>15.1515151515152</v>
      </c>
      <c r="U5" s="15">
        <v>31.914893617021299</v>
      </c>
      <c r="V5" s="15">
        <v>24.074074074074101</v>
      </c>
      <c r="W5" s="15">
        <v>10.714285714285699</v>
      </c>
      <c r="X5" s="15">
        <v>14.4230769230769</v>
      </c>
      <c r="Y5" s="15">
        <v>12.1951219512195</v>
      </c>
      <c r="Z5" s="15">
        <v>17.3913043478261</v>
      </c>
      <c r="AA5" s="15">
        <v>21.917808219178099</v>
      </c>
      <c r="AB5" s="15">
        <v>16.6666666666667</v>
      </c>
      <c r="AC5" s="15">
        <v>30.8641975308642</v>
      </c>
      <c r="AD5" s="15">
        <v>21.052631578947398</v>
      </c>
      <c r="AE5" s="15">
        <v>19.672131147540998</v>
      </c>
      <c r="AF5" s="15">
        <v>13.5135135135135</v>
      </c>
      <c r="AG5" s="32">
        <v>38.925857977116401</v>
      </c>
      <c r="AH5" s="15">
        <v>40.939597315436203</v>
      </c>
      <c r="AI5" s="15">
        <v>37.1681415929203</v>
      </c>
      <c r="AJ5" s="15">
        <v>43.067846607669601</v>
      </c>
      <c r="AK5" s="15">
        <v>37.716262975778498</v>
      </c>
      <c r="AL5" s="15">
        <v>37.430167597765397</v>
      </c>
      <c r="AM5" s="15">
        <v>40.923076923076898</v>
      </c>
      <c r="AN5" s="24">
        <v>29.1139240506329</v>
      </c>
      <c r="AO5" s="38"/>
    </row>
    <row r="6" spans="1:41">
      <c r="A6" s="9" t="s">
        <v>310</v>
      </c>
      <c r="B6" s="36">
        <v>6.7829086738774702</v>
      </c>
      <c r="C6" s="32">
        <v>6.2425010898129001</v>
      </c>
      <c r="D6" s="32">
        <v>5.9755634299103297</v>
      </c>
      <c r="E6" s="32">
        <v>2.49388073285066</v>
      </c>
      <c r="F6" s="20" t="s">
        <v>76</v>
      </c>
      <c r="G6" s="20" t="s">
        <v>76</v>
      </c>
      <c r="H6" s="20" t="s">
        <v>76</v>
      </c>
      <c r="I6" s="20" t="s">
        <v>76</v>
      </c>
      <c r="J6" s="20" t="s">
        <v>76</v>
      </c>
      <c r="K6" s="20" t="s">
        <v>76</v>
      </c>
      <c r="L6" s="15">
        <v>5.46875</v>
      </c>
      <c r="M6" s="20" t="s">
        <v>76</v>
      </c>
      <c r="N6" s="20" t="s">
        <v>76</v>
      </c>
      <c r="O6" s="20" t="s">
        <v>76</v>
      </c>
      <c r="P6" s="20" t="s">
        <v>76</v>
      </c>
      <c r="Q6" s="20" t="s">
        <v>76</v>
      </c>
      <c r="R6" s="15">
        <v>5.4945054945054901</v>
      </c>
      <c r="S6" s="20" t="s">
        <v>76</v>
      </c>
      <c r="T6" s="20" t="s">
        <v>76</v>
      </c>
      <c r="U6" s="20" t="s">
        <v>76</v>
      </c>
      <c r="V6" s="20" t="s">
        <v>76</v>
      </c>
      <c r="W6" s="20" t="s">
        <v>76</v>
      </c>
      <c r="X6" s="20" t="s">
        <v>76</v>
      </c>
      <c r="Y6" s="20" t="s">
        <v>76</v>
      </c>
      <c r="Z6" s="20" t="s">
        <v>76</v>
      </c>
      <c r="AA6" s="20" t="s">
        <v>76</v>
      </c>
      <c r="AB6" s="20" t="s">
        <v>76</v>
      </c>
      <c r="AC6" s="20" t="s">
        <v>76</v>
      </c>
      <c r="AD6" s="20" t="s">
        <v>76</v>
      </c>
      <c r="AE6" s="20" t="s">
        <v>76</v>
      </c>
      <c r="AF6" s="20" t="s">
        <v>76</v>
      </c>
      <c r="AG6" s="32">
        <v>8.6785003164567094</v>
      </c>
      <c r="AH6" s="15">
        <v>11.744966442953</v>
      </c>
      <c r="AI6" s="15">
        <v>7.0796460176991101</v>
      </c>
      <c r="AJ6" s="15">
        <v>10.914454277286101</v>
      </c>
      <c r="AK6" s="15">
        <v>8.9965397923875408</v>
      </c>
      <c r="AL6" s="15">
        <v>3.3519553072625698</v>
      </c>
      <c r="AM6" s="15">
        <v>5.5384615384615401</v>
      </c>
      <c r="AN6" s="24">
        <v>5.37974683544304</v>
      </c>
      <c r="AO6" s="38"/>
    </row>
    <row r="7" spans="1:41">
      <c r="A7" s="9" t="s">
        <v>311</v>
      </c>
      <c r="B7" s="36">
        <v>8.5135526173571403</v>
      </c>
      <c r="C7" s="32">
        <v>8.4656448402025006</v>
      </c>
      <c r="D7" s="32">
        <v>7.90304063563027</v>
      </c>
      <c r="E7" s="32">
        <v>9.2404583998057692</v>
      </c>
      <c r="F7" s="15">
        <v>13.5416666666667</v>
      </c>
      <c r="G7" s="20" t="s">
        <v>76</v>
      </c>
      <c r="H7" s="15">
        <v>9.7560975609756095</v>
      </c>
      <c r="I7" s="20" t="s">
        <v>76</v>
      </c>
      <c r="J7" s="20" t="s">
        <v>76</v>
      </c>
      <c r="K7" s="20" t="s">
        <v>76</v>
      </c>
      <c r="L7" s="15">
        <v>14.84375</v>
      </c>
      <c r="M7" s="15">
        <v>14.705882352941201</v>
      </c>
      <c r="N7" s="20" t="s">
        <v>76</v>
      </c>
      <c r="O7" s="20" t="s">
        <v>76</v>
      </c>
      <c r="P7" s="15">
        <v>12.592592592592601</v>
      </c>
      <c r="Q7" s="15">
        <v>13.3333333333333</v>
      </c>
      <c r="R7" s="15">
        <v>5.4945054945054901</v>
      </c>
      <c r="S7" s="15">
        <v>13</v>
      </c>
      <c r="T7" s="15">
        <v>18.181818181818201</v>
      </c>
      <c r="U7" s="15">
        <v>14.893617021276601</v>
      </c>
      <c r="V7" s="20" t="s">
        <v>76</v>
      </c>
      <c r="W7" s="20" t="s">
        <v>76</v>
      </c>
      <c r="X7" s="20" t="s">
        <v>76</v>
      </c>
      <c r="Y7" s="15">
        <v>17.0731707317073</v>
      </c>
      <c r="Z7" s="20" t="s">
        <v>76</v>
      </c>
      <c r="AA7" s="15">
        <v>10.958904109589</v>
      </c>
      <c r="AB7" s="15">
        <v>14.1025641025641</v>
      </c>
      <c r="AC7" s="20" t="s">
        <v>76</v>
      </c>
      <c r="AD7" s="20" t="s">
        <v>76</v>
      </c>
      <c r="AE7" s="15">
        <v>8.1967213114754092</v>
      </c>
      <c r="AF7" s="20" t="s">
        <v>76</v>
      </c>
      <c r="AG7" s="32">
        <v>6.8647622736861296</v>
      </c>
      <c r="AH7" s="15">
        <v>11.4093959731544</v>
      </c>
      <c r="AI7" s="15">
        <v>5.8997050147492596</v>
      </c>
      <c r="AJ7" s="15">
        <v>8.5545722713864301</v>
      </c>
      <c r="AK7" s="15">
        <v>10.726643598615899</v>
      </c>
      <c r="AL7" s="15">
        <v>5.5865921787709496</v>
      </c>
      <c r="AM7" s="15">
        <v>5.8461538461538503</v>
      </c>
      <c r="AN7" s="24">
        <v>6.3291139240506302</v>
      </c>
      <c r="AO7" s="38"/>
    </row>
    <row r="8" spans="1:41" ht="30">
      <c r="A8" s="40" t="s">
        <v>312</v>
      </c>
      <c r="B8" s="36"/>
      <c r="C8" s="32"/>
      <c r="D8" s="32"/>
      <c r="E8" s="32"/>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32"/>
      <c r="AH8" s="15"/>
      <c r="AI8" s="15"/>
      <c r="AJ8" s="15"/>
      <c r="AK8" s="15"/>
      <c r="AL8" s="15"/>
      <c r="AM8" s="15"/>
      <c r="AN8" s="24"/>
      <c r="AO8" s="38"/>
    </row>
    <row r="9" spans="1:41">
      <c r="A9" s="9" t="s">
        <v>313</v>
      </c>
      <c r="B9" s="36">
        <v>15.3555012742789</v>
      </c>
      <c r="C9" s="32">
        <v>15.2308857961863</v>
      </c>
      <c r="D9" s="32">
        <v>17.065370694302299</v>
      </c>
      <c r="E9" s="32">
        <v>23.664493551122899</v>
      </c>
      <c r="F9" s="15">
        <v>13.5416666666667</v>
      </c>
      <c r="G9" s="15">
        <v>25.373134328358201</v>
      </c>
      <c r="H9" s="15">
        <v>17.0731707317073</v>
      </c>
      <c r="I9" s="15">
        <v>37.5</v>
      </c>
      <c r="J9" s="15">
        <v>8.6419753086419693</v>
      </c>
      <c r="K9" s="15">
        <v>24</v>
      </c>
      <c r="L9" s="15">
        <v>16.40625</v>
      </c>
      <c r="M9" s="15">
        <v>16.176470588235301</v>
      </c>
      <c r="N9" s="15">
        <v>26.530612244897998</v>
      </c>
      <c r="O9" s="15">
        <v>26.1904761904762</v>
      </c>
      <c r="P9" s="15">
        <v>15.5555555555556</v>
      </c>
      <c r="Q9" s="15">
        <v>38.3333333333333</v>
      </c>
      <c r="R9" s="15">
        <v>14.285714285714301</v>
      </c>
      <c r="S9" s="15">
        <v>26</v>
      </c>
      <c r="T9" s="15">
        <v>24.2424242424242</v>
      </c>
      <c r="U9" s="15">
        <v>21.2765957446809</v>
      </c>
      <c r="V9" s="15">
        <v>14.814814814814801</v>
      </c>
      <c r="W9" s="15">
        <v>21.428571428571399</v>
      </c>
      <c r="X9" s="15">
        <v>40.384615384615401</v>
      </c>
      <c r="Y9" s="15">
        <v>29.268292682926798</v>
      </c>
      <c r="Z9" s="15">
        <v>36.956521739130402</v>
      </c>
      <c r="AA9" s="15">
        <v>16.438356164383599</v>
      </c>
      <c r="AB9" s="15">
        <v>25.6410256410256</v>
      </c>
      <c r="AC9" s="15">
        <v>32.098765432098801</v>
      </c>
      <c r="AD9" s="15">
        <v>23.157894736842099</v>
      </c>
      <c r="AE9" s="15">
        <v>21.311475409836099</v>
      </c>
      <c r="AF9" s="15">
        <v>43.243243243243199</v>
      </c>
      <c r="AG9" s="32">
        <v>11.9422695559891</v>
      </c>
      <c r="AH9" s="15">
        <v>10.067114093959701</v>
      </c>
      <c r="AI9" s="15">
        <v>12.6843657817109</v>
      </c>
      <c r="AJ9" s="15">
        <v>8.5545722713864301</v>
      </c>
      <c r="AK9" s="15">
        <v>7.9584775086505202</v>
      </c>
      <c r="AL9" s="15">
        <v>15.083798882681601</v>
      </c>
      <c r="AM9" s="15">
        <v>14.461538461538501</v>
      </c>
      <c r="AN9" s="24">
        <v>15.506329113924</v>
      </c>
      <c r="AO9" s="38"/>
    </row>
    <row r="10" spans="1:41">
      <c r="A10" s="9" t="s">
        <v>314</v>
      </c>
      <c r="B10" s="36">
        <v>44.745349152909299</v>
      </c>
      <c r="C10" s="32">
        <v>45.318583663116698</v>
      </c>
      <c r="D10" s="32">
        <v>46.706372461381903</v>
      </c>
      <c r="E10" s="32">
        <v>52.712154073290797</v>
      </c>
      <c r="F10" s="15">
        <v>50</v>
      </c>
      <c r="G10" s="15">
        <v>44.776119402985103</v>
      </c>
      <c r="H10" s="15">
        <v>71.951219512195095</v>
      </c>
      <c r="I10" s="15">
        <v>42.5</v>
      </c>
      <c r="J10" s="15">
        <v>70.370370370370395</v>
      </c>
      <c r="K10" s="15">
        <v>66</v>
      </c>
      <c r="L10" s="15">
        <v>39.84375</v>
      </c>
      <c r="M10" s="15">
        <v>50</v>
      </c>
      <c r="N10" s="15">
        <v>59.183673469387799</v>
      </c>
      <c r="O10" s="15">
        <v>42.857142857142897</v>
      </c>
      <c r="P10" s="15">
        <v>47.407407407407398</v>
      </c>
      <c r="Q10" s="15">
        <v>53.3333333333333</v>
      </c>
      <c r="R10" s="15">
        <v>60.439560439560402</v>
      </c>
      <c r="S10" s="15">
        <v>51</v>
      </c>
      <c r="T10" s="15">
        <v>57.575757575757599</v>
      </c>
      <c r="U10" s="15">
        <v>48.936170212766001</v>
      </c>
      <c r="V10" s="15">
        <v>61.1111111111111</v>
      </c>
      <c r="W10" s="15">
        <v>66.071428571428598</v>
      </c>
      <c r="X10" s="15">
        <v>53.846153846153797</v>
      </c>
      <c r="Y10" s="15">
        <v>46.341463414634099</v>
      </c>
      <c r="Z10" s="15">
        <v>34.7826086956522</v>
      </c>
      <c r="AA10" s="15">
        <v>53.424657534246599</v>
      </c>
      <c r="AB10" s="15">
        <v>57.692307692307701</v>
      </c>
      <c r="AC10" s="15">
        <v>46.913580246913597</v>
      </c>
      <c r="AD10" s="15">
        <v>58.947368421052602</v>
      </c>
      <c r="AE10" s="15">
        <v>55.737704918032797</v>
      </c>
      <c r="AF10" s="15">
        <v>43.243243243243199</v>
      </c>
      <c r="AG10" s="32">
        <v>42.0439002995506</v>
      </c>
      <c r="AH10" s="15">
        <v>30.8724832214765</v>
      </c>
      <c r="AI10" s="15">
        <v>42.772861356932196</v>
      </c>
      <c r="AJ10" s="15">
        <v>37.1681415929203</v>
      </c>
      <c r="AK10" s="15">
        <v>45.674740484429101</v>
      </c>
      <c r="AL10" s="15">
        <v>46.368715083798897</v>
      </c>
      <c r="AM10" s="15">
        <v>44.615384615384599</v>
      </c>
      <c r="AN10" s="24">
        <v>49.050632911392398</v>
      </c>
      <c r="AO10" s="38"/>
    </row>
    <row r="11" spans="1:41">
      <c r="A11" s="9" t="s">
        <v>315</v>
      </c>
      <c r="B11" s="36">
        <v>14.7884917062672</v>
      </c>
      <c r="C11" s="32">
        <v>14.706087889156001</v>
      </c>
      <c r="D11" s="32">
        <v>12.8257865934008</v>
      </c>
      <c r="E11" s="32">
        <v>8.2247324553481302</v>
      </c>
      <c r="F11" s="15">
        <v>12.5</v>
      </c>
      <c r="G11" s="15">
        <v>17.910447761194</v>
      </c>
      <c r="H11" s="20" t="s">
        <v>76</v>
      </c>
      <c r="I11" s="20" t="s">
        <v>76</v>
      </c>
      <c r="J11" s="15">
        <v>13.580246913580201</v>
      </c>
      <c r="K11" s="20" t="s">
        <v>76</v>
      </c>
      <c r="L11" s="15">
        <v>15.625</v>
      </c>
      <c r="M11" s="15">
        <v>13.235294117647101</v>
      </c>
      <c r="N11" s="20" t="s">
        <v>76</v>
      </c>
      <c r="O11" s="15">
        <v>14.285714285714301</v>
      </c>
      <c r="P11" s="15">
        <v>8.1481481481481506</v>
      </c>
      <c r="Q11" s="20" t="s">
        <v>76</v>
      </c>
      <c r="R11" s="15">
        <v>9.8901098901098905</v>
      </c>
      <c r="S11" s="20" t="s">
        <v>76</v>
      </c>
      <c r="T11" s="20" t="s">
        <v>76</v>
      </c>
      <c r="U11" s="15">
        <v>14.893617021276601</v>
      </c>
      <c r="V11" s="15">
        <v>12.962962962962999</v>
      </c>
      <c r="W11" s="15">
        <v>8.9285714285714306</v>
      </c>
      <c r="X11" s="20" t="s">
        <v>76</v>
      </c>
      <c r="Y11" s="20" t="s">
        <v>76</v>
      </c>
      <c r="Z11" s="15">
        <v>10.869565217391299</v>
      </c>
      <c r="AA11" s="15">
        <v>16.438356164383599</v>
      </c>
      <c r="AB11" s="15">
        <v>6.4102564102564097</v>
      </c>
      <c r="AC11" s="20" t="s">
        <v>76</v>
      </c>
      <c r="AD11" s="20" t="s">
        <v>76</v>
      </c>
      <c r="AE11" s="20" t="s">
        <v>76</v>
      </c>
      <c r="AF11" s="20" t="s">
        <v>76</v>
      </c>
      <c r="AG11" s="32">
        <v>16.3977258046454</v>
      </c>
      <c r="AH11" s="15">
        <v>20.805369127516801</v>
      </c>
      <c r="AI11" s="15">
        <v>14.7492625368732</v>
      </c>
      <c r="AJ11" s="15">
        <v>17.4041297935103</v>
      </c>
      <c r="AK11" s="15">
        <v>15.916955017300999</v>
      </c>
      <c r="AL11" s="15">
        <v>12.849162011173201</v>
      </c>
      <c r="AM11" s="15">
        <v>16.307692307692299</v>
      </c>
      <c r="AN11" s="24">
        <v>12.025316455696199</v>
      </c>
      <c r="AO11" s="38"/>
    </row>
    <row r="12" spans="1:41">
      <c r="A12" s="9" t="s">
        <v>316</v>
      </c>
      <c r="B12" s="36">
        <v>18.120517769943</v>
      </c>
      <c r="C12" s="32">
        <v>18.022045730298601</v>
      </c>
      <c r="D12" s="32">
        <v>17.064891203094401</v>
      </c>
      <c r="E12" s="32">
        <v>9.9566114792519098</v>
      </c>
      <c r="F12" s="15">
        <v>14.5833333333333</v>
      </c>
      <c r="G12" s="20" t="s">
        <v>76</v>
      </c>
      <c r="H12" s="15">
        <v>6.0975609756097597</v>
      </c>
      <c r="I12" s="15">
        <v>12.5</v>
      </c>
      <c r="J12" s="15">
        <v>7.4074074074074101</v>
      </c>
      <c r="K12" s="20" t="s">
        <v>76</v>
      </c>
      <c r="L12" s="15">
        <v>15.625</v>
      </c>
      <c r="M12" s="15">
        <v>10.294117647058799</v>
      </c>
      <c r="N12" s="20" t="s">
        <v>76</v>
      </c>
      <c r="O12" s="20" t="s">
        <v>76</v>
      </c>
      <c r="P12" s="15">
        <v>19.259259259259299</v>
      </c>
      <c r="Q12" s="20" t="s">
        <v>76</v>
      </c>
      <c r="R12" s="15">
        <v>6.5934065934065904</v>
      </c>
      <c r="S12" s="15">
        <v>18</v>
      </c>
      <c r="T12" s="20" t="s">
        <v>76</v>
      </c>
      <c r="U12" s="15">
        <v>10.6382978723404</v>
      </c>
      <c r="V12" s="20" t="s">
        <v>76</v>
      </c>
      <c r="W12" s="20" t="s">
        <v>76</v>
      </c>
      <c r="X12" s="20" t="s">
        <v>76</v>
      </c>
      <c r="Y12" s="20" t="s">
        <v>76</v>
      </c>
      <c r="Z12" s="15">
        <v>13.0434782608696</v>
      </c>
      <c r="AA12" s="15">
        <v>9.5890410958904102</v>
      </c>
      <c r="AB12" s="20" t="s">
        <v>76</v>
      </c>
      <c r="AC12" s="15">
        <v>12.3456790123457</v>
      </c>
      <c r="AD12" s="15">
        <v>9.4736842105263204</v>
      </c>
      <c r="AE12" s="15">
        <v>13.1147540983607</v>
      </c>
      <c r="AF12" s="20" t="s">
        <v>76</v>
      </c>
      <c r="AG12" s="32">
        <v>22.583266407615199</v>
      </c>
      <c r="AH12" s="15">
        <v>26.510067114093999</v>
      </c>
      <c r="AI12" s="15">
        <v>21.828908554572301</v>
      </c>
      <c r="AJ12" s="15">
        <v>26.5486725663717</v>
      </c>
      <c r="AK12" s="15">
        <v>21.107266435986201</v>
      </c>
      <c r="AL12" s="15">
        <v>20.111731843575399</v>
      </c>
      <c r="AM12" s="15">
        <v>21.230769230769202</v>
      </c>
      <c r="AN12" s="24">
        <v>16.772151898734201</v>
      </c>
      <c r="AO12" s="38"/>
    </row>
    <row r="13" spans="1:41">
      <c r="A13" s="9" t="s">
        <v>317</v>
      </c>
      <c r="B13" s="36">
        <v>6.99014009660171</v>
      </c>
      <c r="C13" s="32">
        <v>6.7223969212424697</v>
      </c>
      <c r="D13" s="32">
        <v>6.3375790478206504</v>
      </c>
      <c r="E13" s="32">
        <v>5.4420084409862604</v>
      </c>
      <c r="F13" s="15">
        <v>9.375</v>
      </c>
      <c r="G13" s="15">
        <v>7.4626865671641802</v>
      </c>
      <c r="H13" s="20" t="s">
        <v>76</v>
      </c>
      <c r="I13" s="20" t="s">
        <v>76</v>
      </c>
      <c r="J13" s="20" t="s">
        <v>76</v>
      </c>
      <c r="K13" s="20" t="s">
        <v>76</v>
      </c>
      <c r="L13" s="15">
        <v>12.5</v>
      </c>
      <c r="M13" s="15">
        <v>10.294117647058799</v>
      </c>
      <c r="N13" s="20" t="s">
        <v>76</v>
      </c>
      <c r="O13" s="20" t="s">
        <v>76</v>
      </c>
      <c r="P13" s="15">
        <v>9.6296296296296298</v>
      </c>
      <c r="Q13" s="20" t="s">
        <v>76</v>
      </c>
      <c r="R13" s="15">
        <v>8.7912087912087902</v>
      </c>
      <c r="S13" s="20" t="s">
        <v>76</v>
      </c>
      <c r="T13" s="20" t="s">
        <v>76</v>
      </c>
      <c r="U13" s="20" t="s">
        <v>76</v>
      </c>
      <c r="V13" s="20" t="s">
        <v>76</v>
      </c>
      <c r="W13" s="20" t="s">
        <v>76</v>
      </c>
      <c r="X13" s="20" t="s">
        <v>76</v>
      </c>
      <c r="Y13" s="20" t="s">
        <v>76</v>
      </c>
      <c r="Z13" s="20" t="s">
        <v>76</v>
      </c>
      <c r="AA13" s="20" t="s">
        <v>76</v>
      </c>
      <c r="AB13" s="20" t="s">
        <v>76</v>
      </c>
      <c r="AC13" s="20" t="s">
        <v>76</v>
      </c>
      <c r="AD13" s="20" t="s">
        <v>76</v>
      </c>
      <c r="AE13" s="20" t="s">
        <v>76</v>
      </c>
      <c r="AF13" s="20" t="s">
        <v>76</v>
      </c>
      <c r="AG13" s="32">
        <v>7.0328379321996701</v>
      </c>
      <c r="AH13" s="15">
        <v>11.744966442953</v>
      </c>
      <c r="AI13" s="15">
        <v>7.9646017699114999</v>
      </c>
      <c r="AJ13" s="15">
        <v>10.324483775811199</v>
      </c>
      <c r="AK13" s="15">
        <v>9.3425605536332199</v>
      </c>
      <c r="AL13" s="15">
        <v>5.5865921787709496</v>
      </c>
      <c r="AM13" s="15">
        <v>3.3846153846153801</v>
      </c>
      <c r="AN13" s="24">
        <v>6.64556962025316</v>
      </c>
      <c r="AO13" s="38"/>
    </row>
    <row r="14" spans="1:41">
      <c r="A14" s="40" t="s">
        <v>318</v>
      </c>
      <c r="B14" s="36"/>
      <c r="C14" s="32"/>
      <c r="D14" s="32"/>
      <c r="E14" s="32"/>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32"/>
      <c r="AH14" s="15"/>
      <c r="AI14" s="15"/>
      <c r="AJ14" s="15"/>
      <c r="AK14" s="15"/>
      <c r="AL14" s="15"/>
      <c r="AM14" s="15"/>
      <c r="AN14" s="24"/>
      <c r="AO14" s="38"/>
    </row>
    <row r="15" spans="1:41">
      <c r="A15" s="9" t="s">
        <v>319</v>
      </c>
      <c r="B15" s="36">
        <v>57.3251753061665</v>
      </c>
      <c r="C15" s="32">
        <v>59.5234638904805</v>
      </c>
      <c r="D15" s="32">
        <v>61.067191149386197</v>
      </c>
      <c r="E15" s="32">
        <v>73.643597926042602</v>
      </c>
      <c r="F15" s="15">
        <v>66.6666666666667</v>
      </c>
      <c r="G15" s="15">
        <v>77.611940298507506</v>
      </c>
      <c r="H15" s="15">
        <v>84.146341463414601</v>
      </c>
      <c r="I15" s="15">
        <v>75</v>
      </c>
      <c r="J15" s="15">
        <v>64.197530864197503</v>
      </c>
      <c r="K15" s="15">
        <v>88</v>
      </c>
      <c r="L15" s="15">
        <v>65.625</v>
      </c>
      <c r="M15" s="15">
        <v>70.588235294117595</v>
      </c>
      <c r="N15" s="15">
        <v>75.510204081632693</v>
      </c>
      <c r="O15" s="15">
        <v>76.190476190476204</v>
      </c>
      <c r="P15" s="15">
        <v>63.703703703703702</v>
      </c>
      <c r="Q15" s="15">
        <v>86.6666666666667</v>
      </c>
      <c r="R15" s="15">
        <v>58.241758241758198</v>
      </c>
      <c r="S15" s="15">
        <v>75</v>
      </c>
      <c r="T15" s="15">
        <v>75.757575757575793</v>
      </c>
      <c r="U15" s="15">
        <v>36.170212765957501</v>
      </c>
      <c r="V15" s="15">
        <v>72.2222222222222</v>
      </c>
      <c r="W15" s="15">
        <v>76.785714285714306</v>
      </c>
      <c r="X15" s="15">
        <v>87.5</v>
      </c>
      <c r="Y15" s="15">
        <v>73.170731707317103</v>
      </c>
      <c r="Z15" s="15">
        <v>82.608695652173907</v>
      </c>
      <c r="AA15" s="15">
        <v>69.863013698630098</v>
      </c>
      <c r="AB15" s="15">
        <v>71.794871794871796</v>
      </c>
      <c r="AC15" s="15">
        <v>79.012345679012299</v>
      </c>
      <c r="AD15" s="15">
        <v>80</v>
      </c>
      <c r="AE15" s="15">
        <v>85.245901639344297</v>
      </c>
      <c r="AF15" s="15">
        <v>75.675675675675706</v>
      </c>
      <c r="AG15" s="32">
        <v>51.303741480194901</v>
      </c>
      <c r="AH15" s="15">
        <v>38.255033557047</v>
      </c>
      <c r="AI15" s="15">
        <v>53.392330383480797</v>
      </c>
      <c r="AJ15" s="15">
        <v>41.887905604719798</v>
      </c>
      <c r="AK15" s="15">
        <v>42.214532871972303</v>
      </c>
      <c r="AL15" s="15">
        <v>63.128491620111703</v>
      </c>
      <c r="AM15" s="15">
        <v>54.461538461538503</v>
      </c>
      <c r="AN15" s="24">
        <v>62.341772151898702</v>
      </c>
      <c r="AO15" s="38"/>
    </row>
    <row r="16" spans="1:41">
      <c r="A16" s="9" t="s">
        <v>320</v>
      </c>
      <c r="B16" s="36">
        <v>35.141830361794</v>
      </c>
      <c r="C16" s="32">
        <v>33.900522947359001</v>
      </c>
      <c r="D16" s="32">
        <v>32.8818966744535</v>
      </c>
      <c r="E16" s="32">
        <v>24.3474738345273</v>
      </c>
      <c r="F16" s="15">
        <v>30.2083333333333</v>
      </c>
      <c r="G16" s="15">
        <v>20.8955223880597</v>
      </c>
      <c r="H16" s="15">
        <v>15.853658536585399</v>
      </c>
      <c r="I16" s="15">
        <v>25</v>
      </c>
      <c r="J16" s="15">
        <v>33.3333333333333</v>
      </c>
      <c r="K16" s="15">
        <v>12</v>
      </c>
      <c r="L16" s="15">
        <v>31.25</v>
      </c>
      <c r="M16" s="15">
        <v>27.9411764705882</v>
      </c>
      <c r="N16" s="15">
        <v>24.4897959183673</v>
      </c>
      <c r="O16" s="15">
        <v>19.047619047619001</v>
      </c>
      <c r="P16" s="15">
        <v>30.370370370370399</v>
      </c>
      <c r="Q16" s="15">
        <v>13.3333333333333</v>
      </c>
      <c r="R16" s="15">
        <v>37.3626373626374</v>
      </c>
      <c r="S16" s="15">
        <v>22</v>
      </c>
      <c r="T16" s="15">
        <v>24.2424242424242</v>
      </c>
      <c r="U16" s="15">
        <v>61.702127659574501</v>
      </c>
      <c r="V16" s="15">
        <v>24.074074074074101</v>
      </c>
      <c r="W16" s="15">
        <v>23.214285714285701</v>
      </c>
      <c r="X16" s="15">
        <v>12.5</v>
      </c>
      <c r="Y16" s="15">
        <v>21.951219512195099</v>
      </c>
      <c r="Z16" s="15">
        <v>15.2173913043478</v>
      </c>
      <c r="AA16" s="15">
        <v>27.397260273972599</v>
      </c>
      <c r="AB16" s="15">
        <v>26.923076923076898</v>
      </c>
      <c r="AC16" s="15">
        <v>19.7530864197531</v>
      </c>
      <c r="AD16" s="15">
        <v>18.947368421052602</v>
      </c>
      <c r="AE16" s="15">
        <v>14.7540983606557</v>
      </c>
      <c r="AF16" s="15">
        <v>21.6216216216216</v>
      </c>
      <c r="AG16" s="32">
        <v>39.507430448367401</v>
      </c>
      <c r="AH16" s="15">
        <v>42.6174496644295</v>
      </c>
      <c r="AI16" s="15">
        <v>38.6430678466077</v>
      </c>
      <c r="AJ16" s="15">
        <v>49.852507374631301</v>
      </c>
      <c r="AK16" s="15">
        <v>44.636678200692003</v>
      </c>
      <c r="AL16" s="15">
        <v>30.726256983240201</v>
      </c>
      <c r="AM16" s="15">
        <v>37.846153846153797</v>
      </c>
      <c r="AN16" s="24">
        <v>33.227848101265799</v>
      </c>
      <c r="AO16" s="38"/>
    </row>
    <row r="17" spans="1:41">
      <c r="A17" s="9" t="s">
        <v>321</v>
      </c>
      <c r="B17" s="36">
        <v>7.5329943320395998</v>
      </c>
      <c r="C17" s="32">
        <v>6.57601316216049</v>
      </c>
      <c r="D17" s="32">
        <v>6.0509121761602902</v>
      </c>
      <c r="E17" s="32">
        <v>2.00892823943013</v>
      </c>
      <c r="F17" s="20" t="s">
        <v>76</v>
      </c>
      <c r="G17" s="20" t="s">
        <v>76</v>
      </c>
      <c r="H17" s="20" t="s">
        <v>76</v>
      </c>
      <c r="I17" s="20" t="s">
        <v>76</v>
      </c>
      <c r="J17" s="20" t="s">
        <v>76</v>
      </c>
      <c r="K17" s="20" t="s">
        <v>76</v>
      </c>
      <c r="L17" s="20" t="s">
        <v>76</v>
      </c>
      <c r="M17" s="20" t="s">
        <v>76</v>
      </c>
      <c r="N17" s="20" t="s">
        <v>76</v>
      </c>
      <c r="O17" s="20" t="s">
        <v>76</v>
      </c>
      <c r="P17" s="15">
        <v>5.92592592592593</v>
      </c>
      <c r="Q17" s="20" t="s">
        <v>76</v>
      </c>
      <c r="R17" s="20" t="s">
        <v>76</v>
      </c>
      <c r="S17" s="20" t="s">
        <v>76</v>
      </c>
      <c r="T17" s="20" t="s">
        <v>76</v>
      </c>
      <c r="U17" s="20" t="s">
        <v>76</v>
      </c>
      <c r="V17" s="20" t="s">
        <v>76</v>
      </c>
      <c r="W17" s="20" t="s">
        <v>76</v>
      </c>
      <c r="X17" s="20" t="s">
        <v>76</v>
      </c>
      <c r="Y17" s="20" t="s">
        <v>76</v>
      </c>
      <c r="Z17" s="20" t="s">
        <v>76</v>
      </c>
      <c r="AA17" s="20" t="s">
        <v>76</v>
      </c>
      <c r="AB17" s="20" t="s">
        <v>76</v>
      </c>
      <c r="AC17" s="20" t="s">
        <v>76</v>
      </c>
      <c r="AD17" s="20" t="s">
        <v>76</v>
      </c>
      <c r="AE17" s="20" t="s">
        <v>76</v>
      </c>
      <c r="AF17" s="20" t="s">
        <v>76</v>
      </c>
      <c r="AG17" s="32">
        <v>9.18882807143771</v>
      </c>
      <c r="AH17" s="15">
        <v>19.1275167785235</v>
      </c>
      <c r="AI17" s="15">
        <v>7.9646017699114999</v>
      </c>
      <c r="AJ17" s="15">
        <v>8.2595870206489703</v>
      </c>
      <c r="AK17" s="15">
        <v>13.1487889273356</v>
      </c>
      <c r="AL17" s="15">
        <v>6.1452513966480398</v>
      </c>
      <c r="AM17" s="15">
        <v>7.6923076923076898</v>
      </c>
      <c r="AN17" s="24">
        <v>4.43037974683544</v>
      </c>
      <c r="AO17" s="38"/>
    </row>
    <row r="18" spans="1:41" ht="30">
      <c r="A18" s="40" t="s">
        <v>322</v>
      </c>
      <c r="B18" s="36"/>
      <c r="C18" s="32"/>
      <c r="D18" s="32"/>
      <c r="E18" s="32"/>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32"/>
      <c r="AH18" s="15"/>
      <c r="AI18" s="15"/>
      <c r="AJ18" s="15"/>
      <c r="AK18" s="15"/>
      <c r="AL18" s="15"/>
      <c r="AM18" s="15"/>
      <c r="AN18" s="24"/>
      <c r="AO18" s="38"/>
    </row>
    <row r="19" spans="1:41">
      <c r="A19" s="9" t="s">
        <v>319</v>
      </c>
      <c r="B19" s="36">
        <v>39.564529495395199</v>
      </c>
      <c r="C19" s="32">
        <v>41.776862657464299</v>
      </c>
      <c r="D19" s="32">
        <v>46.937639684877396</v>
      </c>
      <c r="E19" s="32">
        <v>58.251366656237103</v>
      </c>
      <c r="F19" s="15">
        <v>43.75</v>
      </c>
      <c r="G19" s="15">
        <v>58.208955223880601</v>
      </c>
      <c r="H19" s="15">
        <v>59.756097560975597</v>
      </c>
      <c r="I19" s="15">
        <v>85</v>
      </c>
      <c r="J19" s="15">
        <v>38.271604938271601</v>
      </c>
      <c r="K19" s="15">
        <v>68</v>
      </c>
      <c r="L19" s="15">
        <v>44.53125</v>
      </c>
      <c r="M19" s="15">
        <v>61.764705882352899</v>
      </c>
      <c r="N19" s="15">
        <v>53.061224489795897</v>
      </c>
      <c r="O19" s="15">
        <v>42.857142857142897</v>
      </c>
      <c r="P19" s="15">
        <v>59.259259259259302</v>
      </c>
      <c r="Q19" s="15">
        <v>65</v>
      </c>
      <c r="R19" s="15">
        <v>56.043956043956001</v>
      </c>
      <c r="S19" s="15">
        <v>44</v>
      </c>
      <c r="T19" s="15">
        <v>42.424242424242401</v>
      </c>
      <c r="U19" s="15">
        <v>57.446808510638299</v>
      </c>
      <c r="V19" s="15">
        <v>70.370370370370395</v>
      </c>
      <c r="W19" s="15">
        <v>71.428571428571402</v>
      </c>
      <c r="X19" s="15">
        <v>77.884615384615401</v>
      </c>
      <c r="Y19" s="15">
        <v>65.853658536585399</v>
      </c>
      <c r="Z19" s="15">
        <v>60.869565217391298</v>
      </c>
      <c r="AA19" s="15">
        <v>57.5342465753425</v>
      </c>
      <c r="AB19" s="15">
        <v>62.820512820512803</v>
      </c>
      <c r="AC19" s="15">
        <v>58.024691358024697</v>
      </c>
      <c r="AD19" s="15">
        <v>58.947368421052602</v>
      </c>
      <c r="AE19" s="15">
        <v>59.016393442622899</v>
      </c>
      <c r="AF19" s="15">
        <v>83.783783783783804</v>
      </c>
      <c r="AG19" s="32">
        <v>38.154447011682798</v>
      </c>
      <c r="AH19" s="15">
        <v>33.892617449664399</v>
      </c>
      <c r="AI19" s="15">
        <v>41.297935103244797</v>
      </c>
      <c r="AJ19" s="15">
        <v>30.6784660766962</v>
      </c>
      <c r="AK19" s="15">
        <v>25.951557093425599</v>
      </c>
      <c r="AL19" s="15">
        <v>47.486033519553096</v>
      </c>
      <c r="AM19" s="15">
        <v>43.384615384615401</v>
      </c>
      <c r="AN19" s="24">
        <v>51.898734177215204</v>
      </c>
      <c r="AO19" s="38"/>
    </row>
    <row r="20" spans="1:41">
      <c r="A20" s="9" t="s">
        <v>323</v>
      </c>
      <c r="B20" s="36">
        <v>24.486337718556399</v>
      </c>
      <c r="C20" s="32">
        <v>24.276461252360399</v>
      </c>
      <c r="D20" s="32">
        <v>22.641283836643201</v>
      </c>
      <c r="E20" s="32">
        <v>20.5755995502549</v>
      </c>
      <c r="F20" s="15">
        <v>18.75</v>
      </c>
      <c r="G20" s="15">
        <v>13.4328358208955</v>
      </c>
      <c r="H20" s="15">
        <v>23.170731707317099</v>
      </c>
      <c r="I20" s="15">
        <v>15</v>
      </c>
      <c r="J20" s="15">
        <v>28.395061728395099</v>
      </c>
      <c r="K20" s="15">
        <v>22</v>
      </c>
      <c r="L20" s="15">
        <v>21.875</v>
      </c>
      <c r="M20" s="15">
        <v>20.588235294117599</v>
      </c>
      <c r="N20" s="15">
        <v>26.530612244897998</v>
      </c>
      <c r="O20" s="15">
        <v>23.8095238095238</v>
      </c>
      <c r="P20" s="15">
        <v>11.851851851851899</v>
      </c>
      <c r="Q20" s="15">
        <v>21.6666666666667</v>
      </c>
      <c r="R20" s="15">
        <v>23.076923076923102</v>
      </c>
      <c r="S20" s="15">
        <v>22</v>
      </c>
      <c r="T20" s="15">
        <v>33.3333333333333</v>
      </c>
      <c r="U20" s="15">
        <v>27.659574468085101</v>
      </c>
      <c r="V20" s="15">
        <v>22.2222222222222</v>
      </c>
      <c r="W20" s="15">
        <v>19.6428571428571</v>
      </c>
      <c r="X20" s="15">
        <v>13.461538461538501</v>
      </c>
      <c r="Y20" s="15">
        <v>12.1951219512195</v>
      </c>
      <c r="Z20" s="15">
        <v>17.3913043478261</v>
      </c>
      <c r="AA20" s="15">
        <v>27.397260273972599</v>
      </c>
      <c r="AB20" s="15">
        <v>28.205128205128201</v>
      </c>
      <c r="AC20" s="15">
        <v>19.7530864197531</v>
      </c>
      <c r="AD20" s="15">
        <v>22.105263157894701</v>
      </c>
      <c r="AE20" s="15">
        <v>21.311475409836099</v>
      </c>
      <c r="AF20" s="15">
        <v>13.5135135135135</v>
      </c>
      <c r="AG20" s="32">
        <v>24.244937799238201</v>
      </c>
      <c r="AH20" s="15">
        <v>21.812080536912799</v>
      </c>
      <c r="AI20" s="15">
        <v>21.828908554572301</v>
      </c>
      <c r="AJ20" s="15">
        <v>19.76401179941</v>
      </c>
      <c r="AK20" s="15">
        <v>28.027681660899699</v>
      </c>
      <c r="AL20" s="15">
        <v>22.905027932960898</v>
      </c>
      <c r="AM20" s="15">
        <v>25.538461538461501</v>
      </c>
      <c r="AN20" s="24">
        <v>26.8987341772152</v>
      </c>
      <c r="AO20" s="38"/>
    </row>
    <row r="21" spans="1:41">
      <c r="A21" s="9" t="s">
        <v>321</v>
      </c>
      <c r="B21" s="36">
        <v>5.2809516995041204</v>
      </c>
      <c r="C21" s="32">
        <v>5.0111181195288799</v>
      </c>
      <c r="D21" s="32">
        <v>4.6650634200463497</v>
      </c>
      <c r="E21" s="32">
        <v>3.1680314019672502</v>
      </c>
      <c r="F21" s="20" t="s">
        <v>76</v>
      </c>
      <c r="G21" s="20" t="s">
        <v>76</v>
      </c>
      <c r="H21" s="20" t="s">
        <v>76</v>
      </c>
      <c r="I21" s="20" t="s">
        <v>76</v>
      </c>
      <c r="J21" s="20" t="s">
        <v>76</v>
      </c>
      <c r="K21" s="20" t="s">
        <v>76</v>
      </c>
      <c r="L21" s="15">
        <v>4.6875</v>
      </c>
      <c r="M21" s="20" t="s">
        <v>76</v>
      </c>
      <c r="N21" s="20" t="s">
        <v>76</v>
      </c>
      <c r="O21" s="20" t="s">
        <v>76</v>
      </c>
      <c r="P21" s="20" t="s">
        <v>76</v>
      </c>
      <c r="Q21" s="20" t="s">
        <v>76</v>
      </c>
      <c r="R21" s="20" t="s">
        <v>76</v>
      </c>
      <c r="S21" s="15">
        <v>6</v>
      </c>
      <c r="T21" s="20" t="s">
        <v>76</v>
      </c>
      <c r="U21" s="20" t="s">
        <v>76</v>
      </c>
      <c r="V21" s="20" t="s">
        <v>76</v>
      </c>
      <c r="W21" s="20" t="s">
        <v>76</v>
      </c>
      <c r="X21" s="20" t="s">
        <v>76</v>
      </c>
      <c r="Y21" s="20" t="s">
        <v>76</v>
      </c>
      <c r="Z21" s="20" t="s">
        <v>76</v>
      </c>
      <c r="AA21" s="20" t="s">
        <v>76</v>
      </c>
      <c r="AB21" s="20" t="s">
        <v>76</v>
      </c>
      <c r="AC21" s="20" t="s">
        <v>76</v>
      </c>
      <c r="AD21" s="20" t="s">
        <v>76</v>
      </c>
      <c r="AE21" s="20" t="s">
        <v>76</v>
      </c>
      <c r="AF21" s="20" t="s">
        <v>76</v>
      </c>
      <c r="AG21" s="32">
        <v>5.82725521467031</v>
      </c>
      <c r="AH21" s="15">
        <v>5.7046979865771803</v>
      </c>
      <c r="AI21" s="15">
        <v>3.8348082595870201</v>
      </c>
      <c r="AJ21" s="15">
        <v>9.1445427728613602</v>
      </c>
      <c r="AK21" s="15">
        <v>7.6124567474048401</v>
      </c>
      <c r="AL21" s="15">
        <v>7.2625698324022299</v>
      </c>
      <c r="AM21" s="15">
        <v>7.0769230769230802</v>
      </c>
      <c r="AN21" s="24">
        <v>2.84810126582278</v>
      </c>
      <c r="AO21" s="38"/>
    </row>
    <row r="22" spans="1:41">
      <c r="A22" s="9" t="s">
        <v>324</v>
      </c>
      <c r="B22" s="36">
        <v>30.668181086544202</v>
      </c>
      <c r="C22" s="32">
        <v>28.935557970646499</v>
      </c>
      <c r="D22" s="32">
        <v>25.756013058433101</v>
      </c>
      <c r="E22" s="32">
        <v>18.005002391540799</v>
      </c>
      <c r="F22" s="15">
        <v>33.3333333333333</v>
      </c>
      <c r="G22" s="15">
        <v>22.388059701492502</v>
      </c>
      <c r="H22" s="15">
        <v>15.853658536585399</v>
      </c>
      <c r="I22" s="20" t="s">
        <v>76</v>
      </c>
      <c r="J22" s="15">
        <v>32.098765432098801</v>
      </c>
      <c r="K22" s="15">
        <v>10</v>
      </c>
      <c r="L22" s="15">
        <v>28.90625</v>
      </c>
      <c r="M22" s="15">
        <v>13.235294117647101</v>
      </c>
      <c r="N22" s="15">
        <v>12.244897959183699</v>
      </c>
      <c r="O22" s="15">
        <v>26.1904761904762</v>
      </c>
      <c r="P22" s="15">
        <v>25.925925925925899</v>
      </c>
      <c r="Q22" s="15">
        <v>10</v>
      </c>
      <c r="R22" s="15">
        <v>17.582417582417602</v>
      </c>
      <c r="S22" s="15">
        <v>28</v>
      </c>
      <c r="T22" s="15">
        <v>21.2121212121212</v>
      </c>
      <c r="U22" s="15">
        <v>12.7659574468085</v>
      </c>
      <c r="V22" s="20" t="s">
        <v>76</v>
      </c>
      <c r="W22" s="15">
        <v>8.9285714285714306</v>
      </c>
      <c r="X22" s="15">
        <v>8.6538461538461497</v>
      </c>
      <c r="Y22" s="15">
        <v>17.0731707317073</v>
      </c>
      <c r="Z22" s="15">
        <v>17.3913043478261</v>
      </c>
      <c r="AA22" s="15">
        <v>12.328767123287699</v>
      </c>
      <c r="AB22" s="15">
        <v>7.6923076923076898</v>
      </c>
      <c r="AC22" s="15">
        <v>19.7530864197531</v>
      </c>
      <c r="AD22" s="15">
        <v>15.789473684210501</v>
      </c>
      <c r="AE22" s="15">
        <v>13.1147540983607</v>
      </c>
      <c r="AF22" s="20" t="s">
        <v>76</v>
      </c>
      <c r="AG22" s="32">
        <v>31.773359974408699</v>
      </c>
      <c r="AH22" s="15">
        <v>38.590604026845597</v>
      </c>
      <c r="AI22" s="15">
        <v>33.038348082595903</v>
      </c>
      <c r="AJ22" s="15">
        <v>40.412979351032398</v>
      </c>
      <c r="AK22" s="15">
        <v>38.408304498269899</v>
      </c>
      <c r="AL22" s="15">
        <v>22.346368715083798</v>
      </c>
      <c r="AM22" s="15">
        <v>24</v>
      </c>
      <c r="AN22" s="24">
        <v>18.354430379746798</v>
      </c>
      <c r="AO22" s="38"/>
    </row>
    <row r="23" spans="1:41" ht="30">
      <c r="A23" s="40" t="s">
        <v>325</v>
      </c>
      <c r="B23" s="36"/>
      <c r="C23" s="32"/>
      <c r="D23" s="32"/>
      <c r="E23" s="3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32"/>
      <c r="AH23" s="15"/>
      <c r="AI23" s="15"/>
      <c r="AJ23" s="15"/>
      <c r="AK23" s="15"/>
      <c r="AL23" s="15"/>
      <c r="AM23" s="15"/>
      <c r="AN23" s="24"/>
      <c r="AO23" s="38"/>
    </row>
    <row r="24" spans="1:41">
      <c r="A24" s="9" t="s">
        <v>308</v>
      </c>
      <c r="B24" s="36">
        <v>46.864163425930101</v>
      </c>
      <c r="C24" s="32">
        <v>49.188140709941102</v>
      </c>
      <c r="D24" s="32">
        <v>55.485133044724698</v>
      </c>
      <c r="E24" s="32">
        <v>59.928930355189102</v>
      </c>
      <c r="F24" s="15">
        <v>58.3333333333333</v>
      </c>
      <c r="G24" s="15">
        <v>71.641791044776099</v>
      </c>
      <c r="H24" s="15">
        <v>67.073170731707293</v>
      </c>
      <c r="I24" s="15">
        <v>60</v>
      </c>
      <c r="J24" s="15">
        <v>51.851851851851798</v>
      </c>
      <c r="K24" s="15">
        <v>76</v>
      </c>
      <c r="L24" s="15">
        <v>42.96875</v>
      </c>
      <c r="M24" s="15">
        <v>61.764705882352899</v>
      </c>
      <c r="N24" s="15">
        <v>69.387755102040799</v>
      </c>
      <c r="O24" s="15">
        <v>35.714285714285701</v>
      </c>
      <c r="P24" s="15">
        <v>62.2222222222222</v>
      </c>
      <c r="Q24" s="15">
        <v>75</v>
      </c>
      <c r="R24" s="15">
        <v>48.3516483516484</v>
      </c>
      <c r="S24" s="15">
        <v>29</v>
      </c>
      <c r="T24" s="15">
        <v>48.484848484848499</v>
      </c>
      <c r="U24" s="15">
        <v>74.468085106383</v>
      </c>
      <c r="V24" s="15">
        <v>77.7777777777778</v>
      </c>
      <c r="W24" s="15">
        <v>62.5</v>
      </c>
      <c r="X24" s="15">
        <v>69.230769230769198</v>
      </c>
      <c r="Y24" s="15">
        <v>60.975609756097597</v>
      </c>
      <c r="Z24" s="15">
        <v>63.043478260869598</v>
      </c>
      <c r="AA24" s="15">
        <v>65.753424657534296</v>
      </c>
      <c r="AB24" s="15">
        <v>65.384615384615401</v>
      </c>
      <c r="AC24" s="15">
        <v>70.370370370370395</v>
      </c>
      <c r="AD24" s="15">
        <v>64.210526315789494</v>
      </c>
      <c r="AE24" s="15">
        <v>55.737704918032797</v>
      </c>
      <c r="AF24" s="15">
        <v>75.675675675675706</v>
      </c>
      <c r="AG24" s="32">
        <v>52.035277123927102</v>
      </c>
      <c r="AH24" s="15">
        <v>40.604026845637598</v>
      </c>
      <c r="AI24" s="15">
        <v>55.162241887905601</v>
      </c>
      <c r="AJ24" s="15">
        <v>44.247787610619497</v>
      </c>
      <c r="AK24" s="15">
        <v>43.252595155709301</v>
      </c>
      <c r="AL24" s="15">
        <v>53.072625698324003</v>
      </c>
      <c r="AM24" s="15">
        <v>59.692307692307701</v>
      </c>
      <c r="AN24" s="24">
        <v>56.962025316455701</v>
      </c>
      <c r="AO24" s="38"/>
    </row>
    <row r="25" spans="1:41">
      <c r="A25" s="9" t="s">
        <v>309</v>
      </c>
      <c r="B25" s="36">
        <v>23.013222353707199</v>
      </c>
      <c r="C25" s="32">
        <v>22.715003386786201</v>
      </c>
      <c r="D25" s="32">
        <v>20.974677961674999</v>
      </c>
      <c r="E25" s="32">
        <v>21.814667249768199</v>
      </c>
      <c r="F25" s="15">
        <v>17.7083333333333</v>
      </c>
      <c r="G25" s="15">
        <v>11.9402985074627</v>
      </c>
      <c r="H25" s="15">
        <v>17.0731707317073</v>
      </c>
      <c r="I25" s="15">
        <v>30</v>
      </c>
      <c r="J25" s="15">
        <v>32.098765432098801</v>
      </c>
      <c r="K25" s="15">
        <v>18</v>
      </c>
      <c r="L25" s="15">
        <v>28.125</v>
      </c>
      <c r="M25" s="15">
        <v>19.117647058823501</v>
      </c>
      <c r="N25" s="15">
        <v>22.4489795918367</v>
      </c>
      <c r="O25" s="15">
        <v>35.714285714285701</v>
      </c>
      <c r="P25" s="15">
        <v>17.037037037036999</v>
      </c>
      <c r="Q25" s="15">
        <v>18.3333333333333</v>
      </c>
      <c r="R25" s="15">
        <v>26.373626373626401</v>
      </c>
      <c r="S25" s="15">
        <v>35</v>
      </c>
      <c r="T25" s="15">
        <v>36.363636363636402</v>
      </c>
      <c r="U25" s="15">
        <v>19.148936170212799</v>
      </c>
      <c r="V25" s="15">
        <v>18.518518518518501</v>
      </c>
      <c r="W25" s="15">
        <v>23.214285714285701</v>
      </c>
      <c r="X25" s="15">
        <v>20.192307692307701</v>
      </c>
      <c r="Y25" s="15">
        <v>12.1951219512195</v>
      </c>
      <c r="Z25" s="15">
        <v>15.2173913043478</v>
      </c>
      <c r="AA25" s="15">
        <v>21.917808219178099</v>
      </c>
      <c r="AB25" s="15">
        <v>23.076923076923102</v>
      </c>
      <c r="AC25" s="15">
        <v>16.049382716049401</v>
      </c>
      <c r="AD25" s="15">
        <v>15.789473684210501</v>
      </c>
      <c r="AE25" s="15">
        <v>21.311475409836099</v>
      </c>
      <c r="AF25" s="15">
        <v>18.918918918918902</v>
      </c>
      <c r="AG25" s="32">
        <v>20.322568556930001</v>
      </c>
      <c r="AH25" s="15">
        <v>16.442953020134201</v>
      </c>
      <c r="AI25" s="15">
        <v>17.4041297935103</v>
      </c>
      <c r="AJ25" s="15">
        <v>22.7138643067847</v>
      </c>
      <c r="AK25" s="15">
        <v>23.875432525951599</v>
      </c>
      <c r="AL25" s="15">
        <v>20.111731843575399</v>
      </c>
      <c r="AM25" s="15">
        <v>23.384615384615401</v>
      </c>
      <c r="AN25" s="24">
        <v>23.734177215189899</v>
      </c>
      <c r="AO25" s="38"/>
    </row>
    <row r="26" spans="1:41">
      <c r="A26" s="9" t="s">
        <v>310</v>
      </c>
      <c r="B26" s="36">
        <v>6.1962712228488801</v>
      </c>
      <c r="C26" s="32">
        <v>5.7216081292782297</v>
      </c>
      <c r="D26" s="32">
        <v>4.5924283490534403</v>
      </c>
      <c r="E26" s="32">
        <v>4.0731695721724197</v>
      </c>
      <c r="F26" s="15">
        <v>7.2916666666666696</v>
      </c>
      <c r="G26" s="20" t="s">
        <v>76</v>
      </c>
      <c r="H26" s="20" t="s">
        <v>76</v>
      </c>
      <c r="I26" s="20" t="s">
        <v>76</v>
      </c>
      <c r="J26" s="20" t="s">
        <v>76</v>
      </c>
      <c r="K26" s="20" t="s">
        <v>76</v>
      </c>
      <c r="L26" s="15">
        <v>5.46875</v>
      </c>
      <c r="M26" s="20" t="s">
        <v>76</v>
      </c>
      <c r="N26" s="20" t="s">
        <v>76</v>
      </c>
      <c r="O26" s="20" t="s">
        <v>76</v>
      </c>
      <c r="P26" s="20" t="s">
        <v>76</v>
      </c>
      <c r="Q26" s="20" t="s">
        <v>76</v>
      </c>
      <c r="R26" s="15">
        <v>8.7912087912087902</v>
      </c>
      <c r="S26" s="15">
        <v>10</v>
      </c>
      <c r="T26" s="20" t="s">
        <v>76</v>
      </c>
      <c r="U26" s="20" t="s">
        <v>76</v>
      </c>
      <c r="V26" s="20" t="s">
        <v>76</v>
      </c>
      <c r="W26" s="20" t="s">
        <v>76</v>
      </c>
      <c r="X26" s="20" t="s">
        <v>76</v>
      </c>
      <c r="Y26" s="20" t="s">
        <v>76</v>
      </c>
      <c r="Z26" s="20" t="s">
        <v>76</v>
      </c>
      <c r="AA26" s="20" t="s">
        <v>76</v>
      </c>
      <c r="AB26" s="20" t="s">
        <v>76</v>
      </c>
      <c r="AC26" s="20" t="s">
        <v>76</v>
      </c>
      <c r="AD26" s="20" t="s">
        <v>76</v>
      </c>
      <c r="AE26" s="15">
        <v>9.8360655737704903</v>
      </c>
      <c r="AF26" s="20" t="s">
        <v>76</v>
      </c>
      <c r="AG26" s="32">
        <v>4.9955448372043998</v>
      </c>
      <c r="AH26" s="15">
        <v>8.0536912751677896</v>
      </c>
      <c r="AI26" s="15">
        <v>5.6047197640117998</v>
      </c>
      <c r="AJ26" s="15">
        <v>6.7846607669616503</v>
      </c>
      <c r="AK26" s="15">
        <v>4.4982698961937704</v>
      </c>
      <c r="AL26" s="15">
        <v>5.5865921787709496</v>
      </c>
      <c r="AM26" s="15">
        <v>3.6923076923076898</v>
      </c>
      <c r="AN26" s="24">
        <v>3.79746835443038</v>
      </c>
      <c r="AO26" s="38"/>
    </row>
    <row r="27" spans="1:41">
      <c r="A27" s="9" t="s">
        <v>326</v>
      </c>
      <c r="B27" s="36">
        <v>23.926342997513899</v>
      </c>
      <c r="C27" s="32">
        <v>22.375247773994399</v>
      </c>
      <c r="D27" s="32">
        <v>18.9477606445469</v>
      </c>
      <c r="E27" s="32">
        <v>14.1832328228703</v>
      </c>
      <c r="F27" s="15">
        <v>16.6666666666667</v>
      </c>
      <c r="G27" s="15">
        <v>14.9253731343284</v>
      </c>
      <c r="H27" s="15">
        <v>13.4146341463415</v>
      </c>
      <c r="I27" s="20" t="s">
        <v>76</v>
      </c>
      <c r="J27" s="15">
        <v>12.3456790123457</v>
      </c>
      <c r="K27" s="20" t="s">
        <v>76</v>
      </c>
      <c r="L27" s="15">
        <v>23.4375</v>
      </c>
      <c r="M27" s="15">
        <v>13.235294117647101</v>
      </c>
      <c r="N27" s="20" t="s">
        <v>76</v>
      </c>
      <c r="O27" s="15">
        <v>19.047619047619001</v>
      </c>
      <c r="P27" s="15">
        <v>17.7777777777778</v>
      </c>
      <c r="Q27" s="20" t="s">
        <v>76</v>
      </c>
      <c r="R27" s="15">
        <v>16.4835164835165</v>
      </c>
      <c r="S27" s="15">
        <v>26</v>
      </c>
      <c r="T27" s="15">
        <v>15.1515151515152</v>
      </c>
      <c r="U27" s="20" t="s">
        <v>76</v>
      </c>
      <c r="V27" s="20" t="s">
        <v>76</v>
      </c>
      <c r="W27" s="15">
        <v>10.714285714285699</v>
      </c>
      <c r="X27" s="15">
        <v>10.5769230769231</v>
      </c>
      <c r="Y27" s="15">
        <v>24.390243902439</v>
      </c>
      <c r="Z27" s="15">
        <v>17.3913043478261</v>
      </c>
      <c r="AA27" s="15">
        <v>6.8493150684931496</v>
      </c>
      <c r="AB27" s="15">
        <v>8.9743589743589691</v>
      </c>
      <c r="AC27" s="15">
        <v>9.8765432098765409</v>
      </c>
      <c r="AD27" s="15">
        <v>15.789473684210501</v>
      </c>
      <c r="AE27" s="15">
        <v>13.1147540983607</v>
      </c>
      <c r="AF27" s="20" t="s">
        <v>76</v>
      </c>
      <c r="AG27" s="32">
        <v>22.646609481938601</v>
      </c>
      <c r="AH27" s="15">
        <v>34.899328859060397</v>
      </c>
      <c r="AI27" s="15">
        <v>21.828908554572301</v>
      </c>
      <c r="AJ27" s="15">
        <v>26.253687315634199</v>
      </c>
      <c r="AK27" s="15">
        <v>28.3737024221453</v>
      </c>
      <c r="AL27" s="15">
        <v>21.229050279329599</v>
      </c>
      <c r="AM27" s="15">
        <v>13.2307692307692</v>
      </c>
      <c r="AN27" s="24">
        <v>15.506329113924</v>
      </c>
      <c r="AO27" s="38"/>
    </row>
    <row r="28" spans="1:41" ht="30">
      <c r="A28" s="40" t="s">
        <v>327</v>
      </c>
      <c r="B28" s="36"/>
      <c r="C28" s="32"/>
      <c r="D28" s="32"/>
      <c r="E28" s="3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32"/>
      <c r="AH28" s="15"/>
      <c r="AI28" s="15"/>
      <c r="AJ28" s="15"/>
      <c r="AK28" s="15"/>
      <c r="AL28" s="15"/>
      <c r="AM28" s="15"/>
      <c r="AN28" s="24"/>
      <c r="AO28" s="38"/>
    </row>
    <row r="29" spans="1:41">
      <c r="A29" s="9" t="s">
        <v>308</v>
      </c>
      <c r="B29" s="36">
        <v>56.676468406290503</v>
      </c>
      <c r="C29" s="32">
        <v>58.534105912960896</v>
      </c>
      <c r="D29" s="32">
        <v>61.661389754242201</v>
      </c>
      <c r="E29" s="32">
        <v>66.498862930407</v>
      </c>
      <c r="F29" s="15">
        <v>57.2916666666667</v>
      </c>
      <c r="G29" s="15">
        <v>82.089552238805993</v>
      </c>
      <c r="H29" s="15">
        <v>68.292682926829301</v>
      </c>
      <c r="I29" s="15">
        <v>70</v>
      </c>
      <c r="J29" s="15">
        <v>59.259259259259302</v>
      </c>
      <c r="K29" s="15">
        <v>76</v>
      </c>
      <c r="L29" s="15">
        <v>48.4375</v>
      </c>
      <c r="M29" s="15">
        <v>73.529411764705898</v>
      </c>
      <c r="N29" s="15">
        <v>71.428571428571402</v>
      </c>
      <c r="O29" s="15">
        <v>42.857142857142897</v>
      </c>
      <c r="P29" s="15">
        <v>66.6666666666667</v>
      </c>
      <c r="Q29" s="15">
        <v>81.6666666666667</v>
      </c>
      <c r="R29" s="15">
        <v>62.6373626373626</v>
      </c>
      <c r="S29" s="15">
        <v>48</v>
      </c>
      <c r="T29" s="15">
        <v>63.636363636363598</v>
      </c>
      <c r="U29" s="15">
        <v>65.957446808510596</v>
      </c>
      <c r="V29" s="15">
        <v>75.925925925925895</v>
      </c>
      <c r="W29" s="15">
        <v>66.071428571428598</v>
      </c>
      <c r="X29" s="15">
        <v>73.076923076923094</v>
      </c>
      <c r="Y29" s="15">
        <v>78.048780487804905</v>
      </c>
      <c r="Z29" s="15">
        <v>63.043478260869598</v>
      </c>
      <c r="AA29" s="15">
        <v>71.232876712328803</v>
      </c>
      <c r="AB29" s="15">
        <v>65.384615384615401</v>
      </c>
      <c r="AC29" s="15">
        <v>72.839506172839506</v>
      </c>
      <c r="AD29" s="15">
        <v>77.894736842105303</v>
      </c>
      <c r="AE29" s="15">
        <v>62.2950819672131</v>
      </c>
      <c r="AF29" s="15">
        <v>78.3783783783784</v>
      </c>
      <c r="AG29" s="32">
        <v>57.905911204580804</v>
      </c>
      <c r="AH29" s="15">
        <v>48.657718120805399</v>
      </c>
      <c r="AI29" s="15">
        <v>61.061946902654903</v>
      </c>
      <c r="AJ29" s="15">
        <v>49.852507374631301</v>
      </c>
      <c r="AK29" s="15">
        <v>52.249134948096902</v>
      </c>
      <c r="AL29" s="15">
        <v>62.011173184357503</v>
      </c>
      <c r="AM29" s="15">
        <v>60.923076923076898</v>
      </c>
      <c r="AN29" s="24">
        <v>63.6075949367089</v>
      </c>
      <c r="AO29" s="38"/>
    </row>
    <row r="30" spans="1:41">
      <c r="A30" s="9" t="s">
        <v>309</v>
      </c>
      <c r="B30" s="36">
        <v>27.056844546746401</v>
      </c>
      <c r="C30" s="32">
        <v>26.590874364747499</v>
      </c>
      <c r="D30" s="32">
        <v>24.890808731869701</v>
      </c>
      <c r="E30" s="32">
        <v>23.7655050326054</v>
      </c>
      <c r="F30" s="15">
        <v>28.125</v>
      </c>
      <c r="G30" s="15">
        <v>14.9253731343284</v>
      </c>
      <c r="H30" s="15">
        <v>21.951219512195099</v>
      </c>
      <c r="I30" s="15">
        <v>25</v>
      </c>
      <c r="J30" s="15">
        <v>30.8641975308642</v>
      </c>
      <c r="K30" s="15">
        <v>22</v>
      </c>
      <c r="L30" s="15">
        <v>32.8125</v>
      </c>
      <c r="M30" s="15">
        <v>14.705882352941201</v>
      </c>
      <c r="N30" s="15">
        <v>20.408163265306101</v>
      </c>
      <c r="O30" s="15">
        <v>42.857142857142897</v>
      </c>
      <c r="P30" s="15">
        <v>22.2222222222222</v>
      </c>
      <c r="Q30" s="15">
        <v>16.6666666666667</v>
      </c>
      <c r="R30" s="15">
        <v>29.6703296703297</v>
      </c>
      <c r="S30" s="15">
        <v>28</v>
      </c>
      <c r="T30" s="15">
        <v>24.2424242424242</v>
      </c>
      <c r="U30" s="15">
        <v>29.787234042553202</v>
      </c>
      <c r="V30" s="15">
        <v>22.2222222222222</v>
      </c>
      <c r="W30" s="15">
        <v>30.3571428571429</v>
      </c>
      <c r="X30" s="15">
        <v>17.307692307692299</v>
      </c>
      <c r="Y30" s="15">
        <v>12.1951219512195</v>
      </c>
      <c r="Z30" s="15">
        <v>17.3913043478261</v>
      </c>
      <c r="AA30" s="15">
        <v>20.5479452054795</v>
      </c>
      <c r="AB30" s="15">
        <v>29.4871794871795</v>
      </c>
      <c r="AC30" s="15">
        <v>23.456790123456798</v>
      </c>
      <c r="AD30" s="15">
        <v>15.789473684210501</v>
      </c>
      <c r="AE30" s="15">
        <v>29.508196721311499</v>
      </c>
      <c r="AF30" s="20" t="s">
        <v>76</v>
      </c>
      <c r="AG30" s="32">
        <v>25.764416450309099</v>
      </c>
      <c r="AH30" s="15">
        <v>24.832214765100701</v>
      </c>
      <c r="AI30" s="15">
        <v>24.188790560472</v>
      </c>
      <c r="AJ30" s="15">
        <v>25.3687315634218</v>
      </c>
      <c r="AK30" s="15">
        <v>29.065743944636701</v>
      </c>
      <c r="AL30" s="15">
        <v>26.815642458100601</v>
      </c>
      <c r="AM30" s="15">
        <v>27.384615384615401</v>
      </c>
      <c r="AN30" s="24">
        <v>24.6835443037975</v>
      </c>
      <c r="AO30" s="38"/>
    </row>
    <row r="31" spans="1:41">
      <c r="A31" s="9" t="s">
        <v>310</v>
      </c>
      <c r="B31" s="36">
        <v>3.95508630568728</v>
      </c>
      <c r="C31" s="32">
        <v>3.60540147496449</v>
      </c>
      <c r="D31" s="32">
        <v>3.4382263696350899</v>
      </c>
      <c r="E31" s="32">
        <v>2.9851341796264999</v>
      </c>
      <c r="F31" s="20" t="s">
        <v>76</v>
      </c>
      <c r="G31" s="20" t="s">
        <v>76</v>
      </c>
      <c r="H31" s="20" t="s">
        <v>76</v>
      </c>
      <c r="I31" s="20" t="s">
        <v>76</v>
      </c>
      <c r="J31" s="20" t="s">
        <v>76</v>
      </c>
      <c r="K31" s="20" t="s">
        <v>76</v>
      </c>
      <c r="L31" s="15">
        <v>5.46875</v>
      </c>
      <c r="M31" s="20" t="s">
        <v>76</v>
      </c>
      <c r="N31" s="20" t="s">
        <v>76</v>
      </c>
      <c r="O31" s="20" t="s">
        <v>76</v>
      </c>
      <c r="P31" s="20" t="s">
        <v>76</v>
      </c>
      <c r="Q31" s="20" t="s">
        <v>76</v>
      </c>
      <c r="R31" s="15">
        <v>6.5934065934065904</v>
      </c>
      <c r="S31" s="15">
        <v>9</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32">
        <v>3.7899757103818899</v>
      </c>
      <c r="AH31" s="15">
        <v>5.0335570469798698</v>
      </c>
      <c r="AI31" s="15">
        <v>3.5398230088495599</v>
      </c>
      <c r="AJ31" s="15">
        <v>6.4896755162241897</v>
      </c>
      <c r="AK31" s="15">
        <v>4.8442906574394504</v>
      </c>
      <c r="AL31" s="20" t="s">
        <v>76</v>
      </c>
      <c r="AM31" s="15">
        <v>3.6923076923076898</v>
      </c>
      <c r="AN31" s="24">
        <v>1.89873417721519</v>
      </c>
      <c r="AO31" s="38"/>
    </row>
    <row r="32" spans="1:41">
      <c r="A32" s="9" t="s">
        <v>328</v>
      </c>
      <c r="B32" s="36">
        <v>12.3116007412759</v>
      </c>
      <c r="C32" s="32">
        <v>11.2696182473271</v>
      </c>
      <c r="D32" s="32">
        <v>10.0095751442531</v>
      </c>
      <c r="E32" s="32">
        <v>6.7504978573610304</v>
      </c>
      <c r="F32" s="15">
        <v>11.4583333333333</v>
      </c>
      <c r="G32" s="20" t="s">
        <v>76</v>
      </c>
      <c r="H32" s="15">
        <v>6.0975609756097597</v>
      </c>
      <c r="I32" s="20" t="s">
        <v>76</v>
      </c>
      <c r="J32" s="20" t="s">
        <v>76</v>
      </c>
      <c r="K32" s="20" t="s">
        <v>76</v>
      </c>
      <c r="L32" s="15">
        <v>13.28125</v>
      </c>
      <c r="M32" s="20" t="s">
        <v>76</v>
      </c>
      <c r="N32" s="20" t="s">
        <v>76</v>
      </c>
      <c r="O32" s="20" t="s">
        <v>76</v>
      </c>
      <c r="P32" s="15">
        <v>8.8888888888888893</v>
      </c>
      <c r="Q32" s="20" t="s">
        <v>76</v>
      </c>
      <c r="R32" s="20" t="s">
        <v>76</v>
      </c>
      <c r="S32" s="15">
        <v>15</v>
      </c>
      <c r="T32" s="20" t="s">
        <v>76</v>
      </c>
      <c r="U32" s="20" t="s">
        <v>76</v>
      </c>
      <c r="V32" s="20" t="s">
        <v>76</v>
      </c>
      <c r="W32" s="20" t="s">
        <v>76</v>
      </c>
      <c r="X32" s="15">
        <v>6.7307692307692299</v>
      </c>
      <c r="Y32" s="20" t="s">
        <v>76</v>
      </c>
      <c r="Z32" s="15">
        <v>17.3913043478261</v>
      </c>
      <c r="AA32" s="20" t="s">
        <v>76</v>
      </c>
      <c r="AB32" s="20" t="s">
        <v>76</v>
      </c>
      <c r="AC32" s="20" t="s">
        <v>76</v>
      </c>
      <c r="AD32" s="15">
        <v>6.3157894736842097</v>
      </c>
      <c r="AE32" s="20" t="s">
        <v>76</v>
      </c>
      <c r="AF32" s="20" t="s">
        <v>76</v>
      </c>
      <c r="AG32" s="32">
        <v>12.5396966347282</v>
      </c>
      <c r="AH32" s="15">
        <v>21.476510067114098</v>
      </c>
      <c r="AI32" s="15">
        <v>11.2094395280236</v>
      </c>
      <c r="AJ32" s="15">
        <v>18.289085545722699</v>
      </c>
      <c r="AK32" s="15">
        <v>13.840830449826999</v>
      </c>
      <c r="AL32" s="15">
        <v>9.4972067039106101</v>
      </c>
      <c r="AM32" s="15">
        <v>8</v>
      </c>
      <c r="AN32" s="24">
        <v>9.81012658227848</v>
      </c>
      <c r="AO32" s="38"/>
    </row>
    <row r="33" spans="1:41">
      <c r="A33" s="40" t="s">
        <v>329</v>
      </c>
      <c r="B33" s="36"/>
      <c r="C33" s="32"/>
      <c r="D33" s="32"/>
      <c r="E33" s="3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32"/>
      <c r="AH33" s="15"/>
      <c r="AI33" s="15"/>
      <c r="AJ33" s="15"/>
      <c r="AK33" s="15"/>
      <c r="AL33" s="15"/>
      <c r="AM33" s="15"/>
      <c r="AN33" s="24"/>
      <c r="AO33" s="38"/>
    </row>
    <row r="34" spans="1:41">
      <c r="A34" s="9" t="s">
        <v>330</v>
      </c>
      <c r="B34" s="36">
        <v>27.539574223517899</v>
      </c>
      <c r="C34" s="32">
        <v>27.552996314699602</v>
      </c>
      <c r="D34" s="32">
        <v>29.2461911542599</v>
      </c>
      <c r="E34" s="32">
        <v>36.739920013461798</v>
      </c>
      <c r="F34" s="15">
        <v>23.9583333333333</v>
      </c>
      <c r="G34" s="15">
        <v>35.820895522388099</v>
      </c>
      <c r="H34" s="15">
        <v>24.390243902439</v>
      </c>
      <c r="I34" s="15">
        <v>32.5</v>
      </c>
      <c r="J34" s="15">
        <v>29.629629629629601</v>
      </c>
      <c r="K34" s="15">
        <v>38</v>
      </c>
      <c r="L34" s="15">
        <v>32.8125</v>
      </c>
      <c r="M34" s="15">
        <v>38.235294117647101</v>
      </c>
      <c r="N34" s="15">
        <v>40.816326530612201</v>
      </c>
      <c r="O34" s="15">
        <v>33.3333333333333</v>
      </c>
      <c r="P34" s="15">
        <v>33.3333333333333</v>
      </c>
      <c r="Q34" s="15">
        <v>40</v>
      </c>
      <c r="R34" s="15">
        <v>31.868131868131901</v>
      </c>
      <c r="S34" s="15">
        <v>31</v>
      </c>
      <c r="T34" s="15">
        <v>33.3333333333333</v>
      </c>
      <c r="U34" s="15">
        <v>42.553191489361701</v>
      </c>
      <c r="V34" s="15">
        <v>25.925925925925899</v>
      </c>
      <c r="W34" s="15">
        <v>53.571428571428598</v>
      </c>
      <c r="X34" s="15">
        <v>45.192307692307701</v>
      </c>
      <c r="Y34" s="15">
        <v>36.585365853658502</v>
      </c>
      <c r="Z34" s="15">
        <v>50</v>
      </c>
      <c r="AA34" s="15">
        <v>39.726027397260303</v>
      </c>
      <c r="AB34" s="15">
        <v>30.769230769230798</v>
      </c>
      <c r="AC34" s="15">
        <v>41.975308641975303</v>
      </c>
      <c r="AD34" s="15">
        <v>44.210526315789501</v>
      </c>
      <c r="AE34" s="15">
        <v>36.065573770491802</v>
      </c>
      <c r="AF34" s="15">
        <v>62.162162162162197</v>
      </c>
      <c r="AG34" s="32">
        <v>23.4285799835408</v>
      </c>
      <c r="AH34" s="15">
        <v>20.134228187919501</v>
      </c>
      <c r="AI34" s="15">
        <v>22.123893805309699</v>
      </c>
      <c r="AJ34" s="15">
        <v>17.699115044247801</v>
      </c>
      <c r="AK34" s="15">
        <v>16.955017301038101</v>
      </c>
      <c r="AL34" s="15">
        <v>17.877094972066999</v>
      </c>
      <c r="AM34" s="15">
        <v>30.461538461538499</v>
      </c>
      <c r="AN34" s="24">
        <v>31.962025316455701</v>
      </c>
      <c r="AO34" s="38"/>
    </row>
    <row r="35" spans="1:41">
      <c r="A35" s="9" t="s">
        <v>331</v>
      </c>
      <c r="B35" s="36">
        <v>41.764469866735702</v>
      </c>
      <c r="C35" s="32">
        <v>41.925304211962697</v>
      </c>
      <c r="D35" s="32">
        <v>41.589465835269202</v>
      </c>
      <c r="E35" s="32">
        <v>41.044428375271202</v>
      </c>
      <c r="F35" s="15">
        <v>44.7916666666667</v>
      </c>
      <c r="G35" s="15">
        <v>47.761194029850699</v>
      </c>
      <c r="H35" s="15">
        <v>53.658536585365901</v>
      </c>
      <c r="I35" s="15">
        <v>50</v>
      </c>
      <c r="J35" s="15">
        <v>49.382716049382701</v>
      </c>
      <c r="K35" s="15">
        <v>58</v>
      </c>
      <c r="L35" s="15">
        <v>40.625</v>
      </c>
      <c r="M35" s="15">
        <v>41.176470588235297</v>
      </c>
      <c r="N35" s="15">
        <v>40.816326530612201</v>
      </c>
      <c r="O35" s="15">
        <v>35.714285714285701</v>
      </c>
      <c r="P35" s="15">
        <v>40.740740740740698</v>
      </c>
      <c r="Q35" s="15">
        <v>45</v>
      </c>
      <c r="R35" s="15">
        <v>43.956043956043999</v>
      </c>
      <c r="S35" s="15">
        <v>47</v>
      </c>
      <c r="T35" s="15">
        <v>39.393939393939398</v>
      </c>
      <c r="U35" s="15">
        <v>38.297872340425499</v>
      </c>
      <c r="V35" s="15">
        <v>51.851851851851798</v>
      </c>
      <c r="W35" s="15">
        <v>23.214285714285701</v>
      </c>
      <c r="X35" s="15">
        <v>34.615384615384599</v>
      </c>
      <c r="Y35" s="15">
        <v>34.146341463414601</v>
      </c>
      <c r="Z35" s="15">
        <v>30.434782608695699</v>
      </c>
      <c r="AA35" s="15">
        <v>36.986301369863</v>
      </c>
      <c r="AB35" s="15">
        <v>48.717948717948701</v>
      </c>
      <c r="AC35" s="15">
        <v>35.802469135802497</v>
      </c>
      <c r="AD35" s="15">
        <v>46.315789473684198</v>
      </c>
      <c r="AE35" s="15">
        <v>36.065573770491802</v>
      </c>
      <c r="AF35" s="15">
        <v>29.729729729729701</v>
      </c>
      <c r="AG35" s="32">
        <v>42.012595104464999</v>
      </c>
      <c r="AH35" s="15">
        <v>33.892617449664399</v>
      </c>
      <c r="AI35" s="15">
        <v>47.197640117994098</v>
      </c>
      <c r="AJ35" s="15">
        <v>41.002949852507399</v>
      </c>
      <c r="AK35" s="15">
        <v>43.252595155709301</v>
      </c>
      <c r="AL35" s="15">
        <v>46.927374301675997</v>
      </c>
      <c r="AM35" s="15">
        <v>37.538461538461497</v>
      </c>
      <c r="AN35" s="24">
        <v>40.1898734177215</v>
      </c>
      <c r="AO35" s="38"/>
    </row>
    <row r="36" spans="1:41">
      <c r="A36" s="9" t="s">
        <v>332</v>
      </c>
      <c r="B36" s="36">
        <v>22.5084723469366</v>
      </c>
      <c r="C36" s="32">
        <v>22.640826603314899</v>
      </c>
      <c r="D36" s="32">
        <v>22.162291143284701</v>
      </c>
      <c r="E36" s="32">
        <v>16.806672740653202</v>
      </c>
      <c r="F36" s="15">
        <v>18.75</v>
      </c>
      <c r="G36" s="15">
        <v>13.4328358208955</v>
      </c>
      <c r="H36" s="15">
        <v>18.292682926829301</v>
      </c>
      <c r="I36" s="15">
        <v>17.5</v>
      </c>
      <c r="J36" s="15">
        <v>18.518518518518501</v>
      </c>
      <c r="K36" s="20" t="s">
        <v>76</v>
      </c>
      <c r="L36" s="15">
        <v>18.75</v>
      </c>
      <c r="M36" s="15">
        <v>14.705882352941201</v>
      </c>
      <c r="N36" s="15">
        <v>16.326530612244898</v>
      </c>
      <c r="O36" s="15">
        <v>19.047619047619001</v>
      </c>
      <c r="P36" s="15">
        <v>16.296296296296301</v>
      </c>
      <c r="Q36" s="15">
        <v>15</v>
      </c>
      <c r="R36" s="15">
        <v>18.6813186813187</v>
      </c>
      <c r="S36" s="15">
        <v>16</v>
      </c>
      <c r="T36" s="15">
        <v>21.2121212121212</v>
      </c>
      <c r="U36" s="15">
        <v>14.893617021276601</v>
      </c>
      <c r="V36" s="15">
        <v>20.370370370370399</v>
      </c>
      <c r="W36" s="15">
        <v>17.8571428571429</v>
      </c>
      <c r="X36" s="15">
        <v>16.346153846153801</v>
      </c>
      <c r="Y36" s="15">
        <v>26.829268292682901</v>
      </c>
      <c r="Z36" s="15">
        <v>17.3913043478261</v>
      </c>
      <c r="AA36" s="15">
        <v>13.698630136986299</v>
      </c>
      <c r="AB36" s="15">
        <v>14.1025641025641</v>
      </c>
      <c r="AC36" s="15">
        <v>18.518518518518501</v>
      </c>
      <c r="AD36" s="15">
        <v>9.4736842105263204</v>
      </c>
      <c r="AE36" s="15">
        <v>21.311475409836099</v>
      </c>
      <c r="AF36" s="20" t="s">
        <v>76</v>
      </c>
      <c r="AG36" s="32">
        <v>26.320021697813502</v>
      </c>
      <c r="AH36" s="15">
        <v>32.550335570469798</v>
      </c>
      <c r="AI36" s="15">
        <v>23.008849557522101</v>
      </c>
      <c r="AJ36" s="15">
        <v>28.908554572271399</v>
      </c>
      <c r="AK36" s="15">
        <v>29.757785467127999</v>
      </c>
      <c r="AL36" s="15">
        <v>28.491620111731802</v>
      </c>
      <c r="AM36" s="15">
        <v>27.384615384615401</v>
      </c>
      <c r="AN36" s="24">
        <v>21.835443037974699</v>
      </c>
      <c r="AO36" s="38"/>
    </row>
    <row r="37" spans="1:41">
      <c r="A37" s="11" t="s">
        <v>333</v>
      </c>
      <c r="B37" s="37">
        <v>8.1874835628098204</v>
      </c>
      <c r="C37" s="33">
        <v>7.8808728700227402</v>
      </c>
      <c r="D37" s="33">
        <v>7.0020518671861502</v>
      </c>
      <c r="E37" s="33">
        <v>5.4089788706137796</v>
      </c>
      <c r="F37" s="16">
        <v>12.5</v>
      </c>
      <c r="G37" s="28" t="s">
        <v>76</v>
      </c>
      <c r="H37" s="28" t="s">
        <v>76</v>
      </c>
      <c r="I37" s="28" t="s">
        <v>76</v>
      </c>
      <c r="J37" s="28" t="s">
        <v>76</v>
      </c>
      <c r="K37" s="28" t="s">
        <v>76</v>
      </c>
      <c r="L37" s="16">
        <v>7.8125</v>
      </c>
      <c r="M37" s="28" t="s">
        <v>76</v>
      </c>
      <c r="N37" s="28" t="s">
        <v>76</v>
      </c>
      <c r="O37" s="16">
        <v>11.9047619047619</v>
      </c>
      <c r="P37" s="16">
        <v>9.6296296296296298</v>
      </c>
      <c r="Q37" s="28" t="s">
        <v>76</v>
      </c>
      <c r="R37" s="16">
        <v>5.4945054945054901</v>
      </c>
      <c r="S37" s="16">
        <v>6</v>
      </c>
      <c r="T37" s="28" t="s">
        <v>76</v>
      </c>
      <c r="U37" s="28" t="s">
        <v>76</v>
      </c>
      <c r="V37" s="28" t="s">
        <v>76</v>
      </c>
      <c r="W37" s="28" t="s">
        <v>76</v>
      </c>
      <c r="X37" s="28" t="s">
        <v>76</v>
      </c>
      <c r="Y37" s="28" t="s">
        <v>76</v>
      </c>
      <c r="Z37" s="28" t="s">
        <v>76</v>
      </c>
      <c r="AA37" s="16">
        <v>9.5890410958904102</v>
      </c>
      <c r="AB37" s="16">
        <v>6.4102564102564097</v>
      </c>
      <c r="AC37" s="28" t="s">
        <v>76</v>
      </c>
      <c r="AD37" s="28" t="s">
        <v>76</v>
      </c>
      <c r="AE37" s="28" t="s">
        <v>76</v>
      </c>
      <c r="AF37" s="28" t="s">
        <v>76</v>
      </c>
      <c r="AG37" s="33">
        <v>8.2388032141807805</v>
      </c>
      <c r="AH37" s="16">
        <v>13.4228187919463</v>
      </c>
      <c r="AI37" s="16">
        <v>7.6696165191740402</v>
      </c>
      <c r="AJ37" s="16">
        <v>12.389380530973501</v>
      </c>
      <c r="AK37" s="16">
        <v>10.0346020761246</v>
      </c>
      <c r="AL37" s="16">
        <v>6.7039106145251397</v>
      </c>
      <c r="AM37" s="16">
        <v>4.6153846153846096</v>
      </c>
      <c r="AN37" s="25">
        <v>6.0126582278480996</v>
      </c>
      <c r="AO37" s="38"/>
    </row>
    <row r="38" spans="1:41" ht="30" customHeight="1">
      <c r="A38" t="s">
        <v>201</v>
      </c>
    </row>
    <row r="39" spans="1:41">
      <c r="A39" t="s">
        <v>143</v>
      </c>
    </row>
    <row r="40" spans="1:41">
      <c r="A40" t="s">
        <v>144</v>
      </c>
    </row>
    <row r="41" spans="1:41">
      <c r="A41" t="s">
        <v>145</v>
      </c>
    </row>
    <row r="42" spans="1:41">
      <c r="A42" t="s">
        <v>146</v>
      </c>
    </row>
    <row r="43" spans="1:41">
      <c r="A43" t="s">
        <v>147</v>
      </c>
    </row>
    <row r="44" spans="1:41">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335</v>
      </c>
      <c r="B1" s="12"/>
      <c r="C1" s="12"/>
      <c r="D1" s="12"/>
      <c r="E1" s="12"/>
      <c r="F1" s="12"/>
      <c r="G1" s="12"/>
      <c r="H1" s="12"/>
      <c r="I1" s="12"/>
      <c r="J1" s="12"/>
      <c r="K1" s="12"/>
      <c r="L1" s="12"/>
      <c r="M1" s="12"/>
      <c r="N1" s="12"/>
      <c r="O1" s="12"/>
      <c r="P1" s="12"/>
    </row>
    <row r="2" spans="1:16" ht="4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40" t="s">
        <v>336</v>
      </c>
      <c r="B3" s="15"/>
      <c r="C3" s="15"/>
      <c r="D3" s="24"/>
      <c r="E3" s="15"/>
      <c r="F3" s="15"/>
      <c r="G3" s="24"/>
      <c r="H3" s="15"/>
      <c r="I3" s="15"/>
      <c r="J3" s="24"/>
      <c r="K3" s="15"/>
      <c r="L3" s="15"/>
      <c r="M3" s="24"/>
      <c r="N3" s="15"/>
      <c r="O3" s="15"/>
      <c r="P3" s="24"/>
    </row>
    <row r="4" spans="1:16">
      <c r="A4" s="9" t="s">
        <v>337</v>
      </c>
      <c r="B4" s="15">
        <v>33.971159978307803</v>
      </c>
      <c r="C4" s="15">
        <v>28.037616808267501</v>
      </c>
      <c r="D4" s="24">
        <v>38.577551225781797</v>
      </c>
      <c r="E4" s="15">
        <v>32.862862708707901</v>
      </c>
      <c r="F4" s="15">
        <v>27.967744577476701</v>
      </c>
      <c r="G4" s="24">
        <v>36.817854646446598</v>
      </c>
      <c r="H4" s="15">
        <v>35.370122917242597</v>
      </c>
      <c r="I4" s="15">
        <v>27.975938743442601</v>
      </c>
      <c r="J4" s="24">
        <v>41.103413817828397</v>
      </c>
      <c r="K4" s="20" t="s">
        <v>76</v>
      </c>
      <c r="L4" s="20" t="s">
        <v>76</v>
      </c>
      <c r="M4" s="26" t="s">
        <v>76</v>
      </c>
      <c r="N4" s="20" t="s">
        <v>76</v>
      </c>
      <c r="O4" s="20" t="s">
        <v>76</v>
      </c>
      <c r="P4" s="26" t="s">
        <v>76</v>
      </c>
    </row>
    <row r="5" spans="1:16">
      <c r="A5" s="9" t="s">
        <v>338</v>
      </c>
      <c r="B5" s="15">
        <v>5.3135686188091604</v>
      </c>
      <c r="C5" s="15">
        <v>2.1951797679671099</v>
      </c>
      <c r="D5" s="24">
        <v>7.7344693685110801</v>
      </c>
      <c r="E5" s="15">
        <v>4.0179245280971996</v>
      </c>
      <c r="F5" s="20" t="s">
        <v>76</v>
      </c>
      <c r="G5" s="24">
        <v>5.4248726668215603</v>
      </c>
      <c r="H5" s="15">
        <v>6.3836864081470397</v>
      </c>
      <c r="I5" s="20" t="s">
        <v>76</v>
      </c>
      <c r="J5" s="24">
        <v>9.8216305649153401</v>
      </c>
      <c r="K5" s="20" t="s">
        <v>76</v>
      </c>
      <c r="L5" s="20" t="s">
        <v>76</v>
      </c>
      <c r="M5" s="26" t="s">
        <v>76</v>
      </c>
      <c r="N5" s="20" t="s">
        <v>76</v>
      </c>
      <c r="O5" s="20" t="s">
        <v>76</v>
      </c>
      <c r="P5" s="26" t="s">
        <v>76</v>
      </c>
    </row>
    <row r="6" spans="1:16">
      <c r="A6" s="9" t="s">
        <v>339</v>
      </c>
      <c r="B6" s="15">
        <v>36.472144377287798</v>
      </c>
      <c r="C6" s="15">
        <v>37.987969280505602</v>
      </c>
      <c r="D6" s="24">
        <v>35.295363090494199</v>
      </c>
      <c r="E6" s="15">
        <v>32.3707943687455</v>
      </c>
      <c r="F6" s="15">
        <v>35.190492492701303</v>
      </c>
      <c r="G6" s="24">
        <v>30.092630073597601</v>
      </c>
      <c r="H6" s="15">
        <v>41.090687406434803</v>
      </c>
      <c r="I6" s="15">
        <v>40.924295252789697</v>
      </c>
      <c r="J6" s="24">
        <v>41.2197042929498</v>
      </c>
      <c r="K6" s="20" t="s">
        <v>76</v>
      </c>
      <c r="L6" s="20" t="s">
        <v>76</v>
      </c>
      <c r="M6" s="26" t="s">
        <v>76</v>
      </c>
      <c r="N6" s="20" t="s">
        <v>76</v>
      </c>
      <c r="O6" s="20" t="s">
        <v>76</v>
      </c>
      <c r="P6" s="26" t="s">
        <v>76</v>
      </c>
    </row>
    <row r="7" spans="1:16">
      <c r="A7" s="9" t="s">
        <v>340</v>
      </c>
      <c r="B7" s="15">
        <v>15.287855580696499</v>
      </c>
      <c r="C7" s="15">
        <v>16.522209073776899</v>
      </c>
      <c r="D7" s="24">
        <v>14.3295891682224</v>
      </c>
      <c r="E7" s="15">
        <v>11.738960592702</v>
      </c>
      <c r="F7" s="15">
        <v>12.582246477609001</v>
      </c>
      <c r="G7" s="24">
        <v>11.0576309931695</v>
      </c>
      <c r="H7" s="15">
        <v>18.810874881998298</v>
      </c>
      <c r="I7" s="15">
        <v>20.431620864221401</v>
      </c>
      <c r="J7" s="24">
        <v>17.554183410210801</v>
      </c>
      <c r="K7" s="20" t="s">
        <v>76</v>
      </c>
      <c r="L7" s="20" t="s">
        <v>76</v>
      </c>
      <c r="M7" s="26" t="s">
        <v>76</v>
      </c>
      <c r="N7" s="20" t="s">
        <v>76</v>
      </c>
      <c r="O7" s="20" t="s">
        <v>76</v>
      </c>
      <c r="P7" s="26" t="s">
        <v>76</v>
      </c>
    </row>
    <row r="8" spans="1:16">
      <c r="A8" s="9" t="s">
        <v>341</v>
      </c>
      <c r="B8" s="15">
        <v>17.367890252019301</v>
      </c>
      <c r="C8" s="15">
        <v>15.050155596546301</v>
      </c>
      <c r="D8" s="24">
        <v>19.167218633894901</v>
      </c>
      <c r="E8" s="15">
        <v>14.9977919667846</v>
      </c>
      <c r="F8" s="15">
        <v>14.8513119866401</v>
      </c>
      <c r="G8" s="24">
        <v>15.1161399054821</v>
      </c>
      <c r="H8" s="15">
        <v>19.802058152019601</v>
      </c>
      <c r="I8" s="15">
        <v>15.068041759872401</v>
      </c>
      <c r="J8" s="24">
        <v>23.472712340008702</v>
      </c>
      <c r="K8" s="20" t="s">
        <v>76</v>
      </c>
      <c r="L8" s="20" t="s">
        <v>76</v>
      </c>
      <c r="M8" s="26" t="s">
        <v>76</v>
      </c>
      <c r="N8" s="20" t="s">
        <v>76</v>
      </c>
      <c r="O8" s="20" t="s">
        <v>76</v>
      </c>
      <c r="P8" s="26" t="s">
        <v>76</v>
      </c>
    </row>
    <row r="9" spans="1:16">
      <c r="A9" s="9" t="s">
        <v>342</v>
      </c>
      <c r="B9" s="15">
        <v>13.536184722324199</v>
      </c>
      <c r="C9" s="15">
        <v>15.082776470254499</v>
      </c>
      <c r="D9" s="24">
        <v>12.3355181919021</v>
      </c>
      <c r="E9" s="15">
        <v>13.1660049807052</v>
      </c>
      <c r="F9" s="15">
        <v>15.5658010603474</v>
      </c>
      <c r="G9" s="24">
        <v>11.2270989333418</v>
      </c>
      <c r="H9" s="15">
        <v>13.644069769502901</v>
      </c>
      <c r="I9" s="15">
        <v>14.4788171516386</v>
      </c>
      <c r="J9" s="24">
        <v>12.9968246566148</v>
      </c>
      <c r="K9" s="20" t="s">
        <v>76</v>
      </c>
      <c r="L9" s="20" t="s">
        <v>76</v>
      </c>
      <c r="M9" s="26" t="s">
        <v>76</v>
      </c>
      <c r="N9" s="20" t="s">
        <v>76</v>
      </c>
      <c r="O9" s="20" t="s">
        <v>76</v>
      </c>
      <c r="P9" s="26" t="s">
        <v>76</v>
      </c>
    </row>
    <row r="10" spans="1:16">
      <c r="A10" s="9" t="s">
        <v>343</v>
      </c>
      <c r="B10" s="15">
        <v>8.6375215375212395</v>
      </c>
      <c r="C10" s="15">
        <v>10.0027821003636</v>
      </c>
      <c r="D10" s="24">
        <v>7.5776279584279704</v>
      </c>
      <c r="E10" s="15">
        <v>9.3427665333419796</v>
      </c>
      <c r="F10" s="15">
        <v>12.656144219721901</v>
      </c>
      <c r="G10" s="24">
        <v>6.6657357273417803</v>
      </c>
      <c r="H10" s="15">
        <v>8.0214387439646497</v>
      </c>
      <c r="I10" s="15">
        <v>7.1427799762792601</v>
      </c>
      <c r="J10" s="24">
        <v>8.70273179794893</v>
      </c>
      <c r="K10" s="20" t="s">
        <v>76</v>
      </c>
      <c r="L10" s="20" t="s">
        <v>76</v>
      </c>
      <c r="M10" s="26" t="s">
        <v>76</v>
      </c>
      <c r="N10" s="20" t="s">
        <v>76</v>
      </c>
      <c r="O10" s="20" t="s">
        <v>76</v>
      </c>
      <c r="P10" s="26" t="s">
        <v>76</v>
      </c>
    </row>
    <row r="11" spans="1:16">
      <c r="A11" s="9" t="s">
        <v>344</v>
      </c>
      <c r="B11" s="15">
        <v>8.1745516502687092</v>
      </c>
      <c r="C11" s="15">
        <v>6.4728858993785003</v>
      </c>
      <c r="D11" s="24">
        <v>9.4956068775409008</v>
      </c>
      <c r="E11" s="15">
        <v>5.09893716084843</v>
      </c>
      <c r="F11" s="15">
        <v>6.5719135398542203</v>
      </c>
      <c r="G11" s="24">
        <v>3.90885153936369</v>
      </c>
      <c r="H11" s="15">
        <v>11.5408919041066</v>
      </c>
      <c r="I11" s="15">
        <v>6.32680920973832</v>
      </c>
      <c r="J11" s="24">
        <v>15.5837791468192</v>
      </c>
      <c r="K11" s="20" t="s">
        <v>76</v>
      </c>
      <c r="L11" s="20" t="s">
        <v>76</v>
      </c>
      <c r="M11" s="26" t="s">
        <v>76</v>
      </c>
      <c r="N11" s="20" t="s">
        <v>76</v>
      </c>
      <c r="O11" s="20" t="s">
        <v>76</v>
      </c>
      <c r="P11" s="26" t="s">
        <v>76</v>
      </c>
    </row>
    <row r="12" spans="1:16">
      <c r="A12" s="9" t="s">
        <v>345</v>
      </c>
      <c r="B12" s="15">
        <v>8.6681502345546804</v>
      </c>
      <c r="C12" s="15">
        <v>11.3518042667171</v>
      </c>
      <c r="D12" s="24">
        <v>6.5847474361357898</v>
      </c>
      <c r="E12" s="15">
        <v>6.2134805838712497</v>
      </c>
      <c r="F12" s="15">
        <v>9.4727875760355005</v>
      </c>
      <c r="G12" s="24">
        <v>3.5801359880825401</v>
      </c>
      <c r="H12" s="15">
        <v>11.0833810875867</v>
      </c>
      <c r="I12" s="15">
        <v>13.381135707209801</v>
      </c>
      <c r="J12" s="24">
        <v>9.3017517228296196</v>
      </c>
      <c r="K12" s="20" t="s">
        <v>76</v>
      </c>
      <c r="L12" s="20" t="s">
        <v>76</v>
      </c>
      <c r="M12" s="26" t="s">
        <v>76</v>
      </c>
      <c r="N12" s="20" t="s">
        <v>76</v>
      </c>
      <c r="O12" s="20" t="s">
        <v>76</v>
      </c>
      <c r="P12" s="26" t="s">
        <v>76</v>
      </c>
    </row>
    <row r="13" spans="1:16">
      <c r="A13" s="9" t="s">
        <v>346</v>
      </c>
      <c r="B13" s="15">
        <v>13.5088708530372</v>
      </c>
      <c r="C13" s="15">
        <v>15.141371389402</v>
      </c>
      <c r="D13" s="24">
        <v>12.2415106996338</v>
      </c>
      <c r="E13" s="15">
        <v>10.985165544695899</v>
      </c>
      <c r="F13" s="15">
        <v>14.5495699849036</v>
      </c>
      <c r="G13" s="24">
        <v>8.1053186347878299</v>
      </c>
      <c r="H13" s="15">
        <v>15.85782719875</v>
      </c>
      <c r="I13" s="15">
        <v>15.5369887458112</v>
      </c>
      <c r="J13" s="24">
        <v>16.106598414012598</v>
      </c>
      <c r="K13" s="20" t="s">
        <v>76</v>
      </c>
      <c r="L13" s="20" t="s">
        <v>76</v>
      </c>
      <c r="M13" s="26" t="s">
        <v>76</v>
      </c>
      <c r="N13" s="20" t="s">
        <v>76</v>
      </c>
      <c r="O13" s="20" t="s">
        <v>76</v>
      </c>
      <c r="P13" s="26" t="s">
        <v>76</v>
      </c>
    </row>
    <row r="14" spans="1:16">
      <c r="A14" s="9" t="s">
        <v>347</v>
      </c>
      <c r="B14" s="15">
        <v>13.326234728734899</v>
      </c>
      <c r="C14" s="15">
        <v>13.6075176105777</v>
      </c>
      <c r="D14" s="24">
        <v>13.107866214703201</v>
      </c>
      <c r="E14" s="15">
        <v>11.1449230501772</v>
      </c>
      <c r="F14" s="15">
        <v>12.7159867689102</v>
      </c>
      <c r="G14" s="24">
        <v>9.8755881383965196</v>
      </c>
      <c r="H14" s="15">
        <v>15.5361660260854</v>
      </c>
      <c r="I14" s="15">
        <v>14.3147014655036</v>
      </c>
      <c r="J14" s="24">
        <v>16.483263296854801</v>
      </c>
      <c r="K14" s="20" t="s">
        <v>76</v>
      </c>
      <c r="L14" s="20" t="s">
        <v>76</v>
      </c>
      <c r="M14" s="26" t="s">
        <v>76</v>
      </c>
      <c r="N14" s="20" t="s">
        <v>76</v>
      </c>
      <c r="O14" s="20" t="s">
        <v>76</v>
      </c>
      <c r="P14" s="26" t="s">
        <v>76</v>
      </c>
    </row>
    <row r="15" spans="1:16">
      <c r="A15" s="9" t="s">
        <v>348</v>
      </c>
      <c r="B15" s="15">
        <v>4.0407915013100499</v>
      </c>
      <c r="C15" s="15">
        <v>3.2148830186124702</v>
      </c>
      <c r="D15" s="24">
        <v>4.6819695456735104</v>
      </c>
      <c r="E15" s="15">
        <v>3.3594739444993298</v>
      </c>
      <c r="F15" s="15">
        <v>3.3923522782817401</v>
      </c>
      <c r="G15" s="24">
        <v>3.3329100206981699</v>
      </c>
      <c r="H15" s="15">
        <v>4.5351728957158102</v>
      </c>
      <c r="I15" s="20" t="s">
        <v>76</v>
      </c>
      <c r="J15" s="24">
        <v>5.7916438180392902</v>
      </c>
      <c r="K15" s="20" t="s">
        <v>76</v>
      </c>
      <c r="L15" s="20" t="s">
        <v>76</v>
      </c>
      <c r="M15" s="26" t="s">
        <v>76</v>
      </c>
      <c r="N15" s="20" t="s">
        <v>76</v>
      </c>
      <c r="O15" s="20" t="s">
        <v>76</v>
      </c>
      <c r="P15" s="26" t="s">
        <v>76</v>
      </c>
    </row>
    <row r="16" spans="1:16">
      <c r="A16" s="9" t="s">
        <v>349</v>
      </c>
      <c r="B16" s="15">
        <v>22.174133671671701</v>
      </c>
      <c r="C16" s="15">
        <v>17.7733286818907</v>
      </c>
      <c r="D16" s="24">
        <v>25.590613337501701</v>
      </c>
      <c r="E16" s="15">
        <v>15.1860951314692</v>
      </c>
      <c r="F16" s="15">
        <v>13.5158209502625</v>
      </c>
      <c r="G16" s="24">
        <v>16.535586756265499</v>
      </c>
      <c r="H16" s="15">
        <v>29.257730893622199</v>
      </c>
      <c r="I16" s="15">
        <v>22.3212640755408</v>
      </c>
      <c r="J16" s="24">
        <v>34.636117630489501</v>
      </c>
      <c r="K16" s="20" t="s">
        <v>76</v>
      </c>
      <c r="L16" s="20" t="s">
        <v>76</v>
      </c>
      <c r="M16" s="26" t="s">
        <v>76</v>
      </c>
      <c r="N16" s="20" t="s">
        <v>76</v>
      </c>
      <c r="O16" s="20" t="s">
        <v>76</v>
      </c>
      <c r="P16" s="26" t="s">
        <v>76</v>
      </c>
    </row>
    <row r="17" spans="1:16">
      <c r="A17" s="9" t="s">
        <v>350</v>
      </c>
      <c r="B17" s="15">
        <v>16.6034729438962</v>
      </c>
      <c r="C17" s="15">
        <v>15.791853763088801</v>
      </c>
      <c r="D17" s="24">
        <v>17.233557765665001</v>
      </c>
      <c r="E17" s="15">
        <v>14.7873159256138</v>
      </c>
      <c r="F17" s="15">
        <v>14.788224440925299</v>
      </c>
      <c r="G17" s="24">
        <v>14.786581894148901</v>
      </c>
      <c r="H17" s="15">
        <v>18.562883447487199</v>
      </c>
      <c r="I17" s="15">
        <v>16.379428436482801</v>
      </c>
      <c r="J17" s="24">
        <v>20.2558873613991</v>
      </c>
      <c r="K17" s="20" t="s">
        <v>76</v>
      </c>
      <c r="L17" s="20" t="s">
        <v>76</v>
      </c>
      <c r="M17" s="26" t="s">
        <v>76</v>
      </c>
      <c r="N17" s="20" t="s">
        <v>76</v>
      </c>
      <c r="O17" s="20" t="s">
        <v>76</v>
      </c>
      <c r="P17" s="26" t="s">
        <v>76</v>
      </c>
    </row>
    <row r="18" spans="1:16" ht="18">
      <c r="A18" s="9" t="s">
        <v>351</v>
      </c>
      <c r="B18" s="15">
        <v>5.0251716637328796</v>
      </c>
      <c r="C18" s="15">
        <v>1.69486331868129</v>
      </c>
      <c r="D18" s="24">
        <v>7.6105920057460104</v>
      </c>
      <c r="E18" s="15">
        <v>1.4642091387709799</v>
      </c>
      <c r="F18" s="20" t="s">
        <v>76</v>
      </c>
      <c r="G18" s="26" t="s">
        <v>76</v>
      </c>
      <c r="H18" s="15">
        <v>8.6510371872543299</v>
      </c>
      <c r="I18" s="20" t="s">
        <v>76</v>
      </c>
      <c r="J18" s="24">
        <v>13.7314944145407</v>
      </c>
      <c r="K18" s="20" t="s">
        <v>76</v>
      </c>
      <c r="L18" s="20" t="s">
        <v>76</v>
      </c>
      <c r="M18" s="26" t="s">
        <v>76</v>
      </c>
      <c r="N18" s="20" t="s">
        <v>76</v>
      </c>
      <c r="O18" s="20" t="s">
        <v>76</v>
      </c>
      <c r="P18" s="26" t="s">
        <v>76</v>
      </c>
    </row>
    <row r="19" spans="1:16">
      <c r="A19" s="9" t="s">
        <v>352</v>
      </c>
      <c r="B19" s="15">
        <v>20.635672125019401</v>
      </c>
      <c r="C19" s="15">
        <v>15.733157457328099</v>
      </c>
      <c r="D19" s="24">
        <v>24.441644376117399</v>
      </c>
      <c r="E19" s="15">
        <v>13.136054619308499</v>
      </c>
      <c r="F19" s="15">
        <v>11.538357786097301</v>
      </c>
      <c r="G19" s="24">
        <v>14.426907653882999</v>
      </c>
      <c r="H19" s="15">
        <v>28.277653642601699</v>
      </c>
      <c r="I19" s="15">
        <v>20.047098123284101</v>
      </c>
      <c r="J19" s="24">
        <v>34.659448842249603</v>
      </c>
      <c r="K19" s="20" t="s">
        <v>76</v>
      </c>
      <c r="L19" s="20" t="s">
        <v>76</v>
      </c>
      <c r="M19" s="26" t="s">
        <v>76</v>
      </c>
      <c r="N19" s="20" t="s">
        <v>76</v>
      </c>
      <c r="O19" s="20" t="s">
        <v>76</v>
      </c>
      <c r="P19" s="26" t="s">
        <v>76</v>
      </c>
    </row>
    <row r="20" spans="1:16">
      <c r="A20" s="9" t="s">
        <v>353</v>
      </c>
      <c r="B20" s="15">
        <v>10.185238665238</v>
      </c>
      <c r="C20" s="15">
        <v>11.3977351918707</v>
      </c>
      <c r="D20" s="24">
        <v>9.2439404850755906</v>
      </c>
      <c r="E20" s="15">
        <v>12.1266470470014</v>
      </c>
      <c r="F20" s="15">
        <v>13.6326112082496</v>
      </c>
      <c r="G20" s="24">
        <v>10.9099090732515</v>
      </c>
      <c r="H20" s="15">
        <v>7.61132627560941</v>
      </c>
      <c r="I20" s="15">
        <v>9.0397344395741204</v>
      </c>
      <c r="J20" s="24">
        <v>6.5037693989766501</v>
      </c>
      <c r="K20" s="20" t="s">
        <v>76</v>
      </c>
      <c r="L20" s="20" t="s">
        <v>76</v>
      </c>
      <c r="M20" s="26" t="s">
        <v>76</v>
      </c>
      <c r="N20" s="20" t="s">
        <v>76</v>
      </c>
      <c r="O20" s="20" t="s">
        <v>76</v>
      </c>
      <c r="P20" s="26" t="s">
        <v>76</v>
      </c>
    </row>
    <row r="21" spans="1:16">
      <c r="A21" s="11" t="s">
        <v>354</v>
      </c>
      <c r="B21" s="16">
        <v>5.2428271859298103</v>
      </c>
      <c r="C21" s="16">
        <v>5.8975973763756304</v>
      </c>
      <c r="D21" s="25">
        <v>4.7345090380808896</v>
      </c>
      <c r="E21" s="16">
        <v>6.0479436455256801</v>
      </c>
      <c r="F21" s="16">
        <v>5.3748505290532398</v>
      </c>
      <c r="G21" s="25">
        <v>6.5917666499209497</v>
      </c>
      <c r="H21" s="16">
        <v>3.9881630404641202</v>
      </c>
      <c r="I21" s="16">
        <v>6.3201488549010802</v>
      </c>
      <c r="J21" s="25">
        <v>2.1799915456857701</v>
      </c>
      <c r="K21" s="28" t="s">
        <v>76</v>
      </c>
      <c r="L21" s="28" t="s">
        <v>76</v>
      </c>
      <c r="M21" s="29" t="s">
        <v>76</v>
      </c>
      <c r="N21" s="28" t="s">
        <v>76</v>
      </c>
      <c r="O21" s="28" t="s">
        <v>76</v>
      </c>
      <c r="P21" s="29" t="s">
        <v>76</v>
      </c>
    </row>
    <row r="22" spans="1:16" ht="30" customHeight="1">
      <c r="A22" t="s">
        <v>355</v>
      </c>
    </row>
    <row r="23" spans="1:16">
      <c r="A23" t="s">
        <v>143</v>
      </c>
    </row>
    <row r="24" spans="1:16">
      <c r="A24" t="s">
        <v>144</v>
      </c>
    </row>
    <row r="25" spans="1:16">
      <c r="A25" t="s">
        <v>145</v>
      </c>
    </row>
    <row r="26" spans="1:16">
      <c r="A26" t="s">
        <v>146</v>
      </c>
    </row>
    <row r="27" spans="1:16">
      <c r="A27" t="s">
        <v>147</v>
      </c>
    </row>
    <row r="28" spans="1:16">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29"/>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356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40" t="s">
        <v>336</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c r="A4" s="9" t="s">
        <v>337</v>
      </c>
      <c r="B4" s="36">
        <v>36.644800417231899</v>
      </c>
      <c r="C4" s="32">
        <v>36.5153509876695</v>
      </c>
      <c r="D4" s="32">
        <v>33.971159978307803</v>
      </c>
      <c r="E4" s="32">
        <v>28.037616808267501</v>
      </c>
      <c r="F4" s="15">
        <v>25</v>
      </c>
      <c r="G4" s="15">
        <v>29.8507462686567</v>
      </c>
      <c r="H4" s="15">
        <v>29.268292682926798</v>
      </c>
      <c r="I4" s="15">
        <v>32.5</v>
      </c>
      <c r="J4" s="15">
        <v>35.802469135802497</v>
      </c>
      <c r="K4" s="15">
        <v>28</v>
      </c>
      <c r="L4" s="15">
        <v>20.3125</v>
      </c>
      <c r="M4" s="15">
        <v>16.176470588235301</v>
      </c>
      <c r="N4" s="15">
        <v>28.571428571428601</v>
      </c>
      <c r="O4" s="15">
        <v>33.3333333333333</v>
      </c>
      <c r="P4" s="15">
        <v>22.2222222222222</v>
      </c>
      <c r="Q4" s="15">
        <v>45</v>
      </c>
      <c r="R4" s="15">
        <v>43.956043956043999</v>
      </c>
      <c r="S4" s="15">
        <v>29</v>
      </c>
      <c r="T4" s="15">
        <v>30.303030303030301</v>
      </c>
      <c r="U4" s="15">
        <v>27.659574468085101</v>
      </c>
      <c r="V4" s="15">
        <v>37.037037037037003</v>
      </c>
      <c r="W4" s="15">
        <v>25</v>
      </c>
      <c r="X4" s="15">
        <v>16.346153846153801</v>
      </c>
      <c r="Y4" s="15">
        <v>24.390243902439</v>
      </c>
      <c r="Z4" s="15">
        <v>28.260869565217401</v>
      </c>
      <c r="AA4" s="15">
        <v>36.986301369863</v>
      </c>
      <c r="AB4" s="15">
        <v>30.769230769230798</v>
      </c>
      <c r="AC4" s="15">
        <v>16.049382716049401</v>
      </c>
      <c r="AD4" s="15">
        <v>37.894736842105303</v>
      </c>
      <c r="AE4" s="15">
        <v>29.508196721311499</v>
      </c>
      <c r="AF4" s="15">
        <v>32.4324324324324</v>
      </c>
      <c r="AG4" s="32">
        <v>38.577551225781797</v>
      </c>
      <c r="AH4" s="15">
        <v>33.892617449664399</v>
      </c>
      <c r="AI4" s="15">
        <v>38.348082595870203</v>
      </c>
      <c r="AJ4" s="15">
        <v>41.592920353982301</v>
      </c>
      <c r="AK4" s="15">
        <v>42.560553633217999</v>
      </c>
      <c r="AL4" s="15">
        <v>36.312849162011197</v>
      </c>
      <c r="AM4" s="15">
        <v>35.384615384615401</v>
      </c>
      <c r="AN4" s="24">
        <v>47.151898734177202</v>
      </c>
      <c r="AO4" s="38"/>
    </row>
    <row r="5" spans="1:41">
      <c r="A5" s="9" t="s">
        <v>338</v>
      </c>
      <c r="B5" s="36">
        <v>6.2575238989833899</v>
      </c>
      <c r="C5" s="32">
        <v>5.6397486512890902</v>
      </c>
      <c r="D5" s="32">
        <v>5.3135686188091604</v>
      </c>
      <c r="E5" s="32">
        <v>2.1951797679671099</v>
      </c>
      <c r="F5" s="20" t="s">
        <v>76</v>
      </c>
      <c r="G5" s="20" t="s">
        <v>76</v>
      </c>
      <c r="H5" s="20" t="s">
        <v>76</v>
      </c>
      <c r="I5" s="20" t="s">
        <v>76</v>
      </c>
      <c r="J5" s="20" t="s">
        <v>76</v>
      </c>
      <c r="K5" s="20" t="s">
        <v>76</v>
      </c>
      <c r="L5" s="20" t="s">
        <v>76</v>
      </c>
      <c r="M5" s="15">
        <v>7.3529411764705896</v>
      </c>
      <c r="N5" s="20" t="s">
        <v>76</v>
      </c>
      <c r="O5" s="20" t="s">
        <v>76</v>
      </c>
      <c r="P5" s="15">
        <v>3.7037037037037002</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32">
        <v>7.7344693685110801</v>
      </c>
      <c r="AH5" s="15">
        <v>7.3825503355704702</v>
      </c>
      <c r="AI5" s="15">
        <v>10.0294985250737</v>
      </c>
      <c r="AJ5" s="15">
        <v>5.0147492625368697</v>
      </c>
      <c r="AK5" s="15">
        <v>6.9204152249134898</v>
      </c>
      <c r="AL5" s="15">
        <v>7.2625698324022299</v>
      </c>
      <c r="AM5" s="15">
        <v>2.1538461538461502</v>
      </c>
      <c r="AN5" s="24">
        <v>10.7594936708861</v>
      </c>
      <c r="AO5" s="38"/>
    </row>
    <row r="6" spans="1:41">
      <c r="A6" s="9" t="s">
        <v>339</v>
      </c>
      <c r="B6" s="36">
        <v>36.300152035967798</v>
      </c>
      <c r="C6" s="32">
        <v>37.020120557064402</v>
      </c>
      <c r="D6" s="32">
        <v>36.472144377287798</v>
      </c>
      <c r="E6" s="32">
        <v>37.987969280505602</v>
      </c>
      <c r="F6" s="15">
        <v>36.4583333333333</v>
      </c>
      <c r="G6" s="15">
        <v>49.253731343283597</v>
      </c>
      <c r="H6" s="15">
        <v>51.219512195122</v>
      </c>
      <c r="I6" s="15">
        <v>55</v>
      </c>
      <c r="J6" s="15">
        <v>44.4444444444444</v>
      </c>
      <c r="K6" s="15">
        <v>32</v>
      </c>
      <c r="L6" s="15">
        <v>31.25</v>
      </c>
      <c r="M6" s="15">
        <v>42.647058823529399</v>
      </c>
      <c r="N6" s="15">
        <v>48.979591836734699</v>
      </c>
      <c r="O6" s="15">
        <v>21.428571428571399</v>
      </c>
      <c r="P6" s="15">
        <v>31.1111111111111</v>
      </c>
      <c r="Q6" s="15">
        <v>45</v>
      </c>
      <c r="R6" s="15">
        <v>35.164835164835203</v>
      </c>
      <c r="S6" s="15">
        <v>27</v>
      </c>
      <c r="T6" s="15">
        <v>39.393939393939398</v>
      </c>
      <c r="U6" s="15">
        <v>38.297872340425499</v>
      </c>
      <c r="V6" s="15">
        <v>50</v>
      </c>
      <c r="W6" s="15">
        <v>41.071428571428598</v>
      </c>
      <c r="X6" s="15">
        <v>25</v>
      </c>
      <c r="Y6" s="15">
        <v>31.707317073170699</v>
      </c>
      <c r="Z6" s="15">
        <v>26.086956521739101</v>
      </c>
      <c r="AA6" s="15">
        <v>32.876712328767098</v>
      </c>
      <c r="AB6" s="15">
        <v>30.769230769230798</v>
      </c>
      <c r="AC6" s="15">
        <v>48.148148148148103</v>
      </c>
      <c r="AD6" s="15">
        <v>43.157894736842103</v>
      </c>
      <c r="AE6" s="15">
        <v>45.9016393442623</v>
      </c>
      <c r="AF6" s="15">
        <v>51.351351351351397</v>
      </c>
      <c r="AG6" s="32">
        <v>35.295363090494199</v>
      </c>
      <c r="AH6" s="15">
        <v>34.899328859060397</v>
      </c>
      <c r="AI6" s="15">
        <v>30.973451327433601</v>
      </c>
      <c r="AJ6" s="15">
        <v>32.743362831858398</v>
      </c>
      <c r="AK6" s="15">
        <v>34.256055363321799</v>
      </c>
      <c r="AL6" s="15">
        <v>35.754189944134097</v>
      </c>
      <c r="AM6" s="15">
        <v>37.538461538461497</v>
      </c>
      <c r="AN6" s="24">
        <v>31.329113924050599</v>
      </c>
      <c r="AO6" s="38"/>
    </row>
    <row r="7" spans="1:41">
      <c r="A7" s="9" t="s">
        <v>340</v>
      </c>
      <c r="B7" s="36">
        <v>17.445370072745799</v>
      </c>
      <c r="C7" s="32">
        <v>17.288676833815298</v>
      </c>
      <c r="D7" s="32">
        <v>15.287855580696499</v>
      </c>
      <c r="E7" s="32">
        <v>16.522209073776899</v>
      </c>
      <c r="F7" s="15">
        <v>17.7083333333333</v>
      </c>
      <c r="G7" s="15">
        <v>25.373134328358201</v>
      </c>
      <c r="H7" s="15">
        <v>18.292682926829301</v>
      </c>
      <c r="I7" s="15">
        <v>12.5</v>
      </c>
      <c r="J7" s="15">
        <v>19.7530864197531</v>
      </c>
      <c r="K7" s="15">
        <v>30</v>
      </c>
      <c r="L7" s="15">
        <v>13.28125</v>
      </c>
      <c r="M7" s="15">
        <v>8.8235294117646994</v>
      </c>
      <c r="N7" s="20" t="s">
        <v>76</v>
      </c>
      <c r="O7" s="20" t="s">
        <v>76</v>
      </c>
      <c r="P7" s="15">
        <v>14.074074074074099</v>
      </c>
      <c r="Q7" s="15">
        <v>10</v>
      </c>
      <c r="R7" s="15">
        <v>23.076923076923102</v>
      </c>
      <c r="S7" s="15">
        <v>22</v>
      </c>
      <c r="T7" s="20" t="s">
        <v>76</v>
      </c>
      <c r="U7" s="15">
        <v>17.021276595744698</v>
      </c>
      <c r="V7" s="15">
        <v>20.370370370370399</v>
      </c>
      <c r="W7" s="15">
        <v>10.714285714285699</v>
      </c>
      <c r="X7" s="15">
        <v>22.115384615384599</v>
      </c>
      <c r="Y7" s="15">
        <v>19.512195121951201</v>
      </c>
      <c r="Z7" s="15">
        <v>23.913043478260899</v>
      </c>
      <c r="AA7" s="15">
        <v>21.917808219178099</v>
      </c>
      <c r="AB7" s="15">
        <v>24.3589743589744</v>
      </c>
      <c r="AC7" s="20" t="s">
        <v>76</v>
      </c>
      <c r="AD7" s="15">
        <v>11.578947368421099</v>
      </c>
      <c r="AE7" s="15">
        <v>14.7540983606557</v>
      </c>
      <c r="AF7" s="15">
        <v>21.6216216216216</v>
      </c>
      <c r="AG7" s="32">
        <v>14.3295891682224</v>
      </c>
      <c r="AH7" s="15">
        <v>13.4228187919463</v>
      </c>
      <c r="AI7" s="15">
        <v>15.929203539823</v>
      </c>
      <c r="AJ7" s="15">
        <v>14.7492625368732</v>
      </c>
      <c r="AK7" s="15">
        <v>15.2249134948097</v>
      </c>
      <c r="AL7" s="15">
        <v>20.670391061452499</v>
      </c>
      <c r="AM7" s="15">
        <v>9.8461538461538503</v>
      </c>
      <c r="AN7" s="24">
        <v>13.6075949367089</v>
      </c>
      <c r="AO7" s="38"/>
    </row>
    <row r="8" spans="1:41">
      <c r="A8" s="9" t="s">
        <v>341</v>
      </c>
      <c r="B8" s="36">
        <v>18.5697047619086</v>
      </c>
      <c r="C8" s="32">
        <v>18.346044997920799</v>
      </c>
      <c r="D8" s="32">
        <v>17.367890252019301</v>
      </c>
      <c r="E8" s="32">
        <v>15.050155596546301</v>
      </c>
      <c r="F8" s="15">
        <v>11.4583333333333</v>
      </c>
      <c r="G8" s="15">
        <v>19.402985074626901</v>
      </c>
      <c r="H8" s="15">
        <v>14.634146341463399</v>
      </c>
      <c r="I8" s="15">
        <v>15</v>
      </c>
      <c r="J8" s="15">
        <v>16.049382716049401</v>
      </c>
      <c r="K8" s="15">
        <v>18</v>
      </c>
      <c r="L8" s="15">
        <v>17.96875</v>
      </c>
      <c r="M8" s="15">
        <v>13.235294117647101</v>
      </c>
      <c r="N8" s="15">
        <v>12.244897959183699</v>
      </c>
      <c r="O8" s="15">
        <v>11.9047619047619</v>
      </c>
      <c r="P8" s="15">
        <v>11.1111111111111</v>
      </c>
      <c r="Q8" s="15">
        <v>20</v>
      </c>
      <c r="R8" s="15">
        <v>23.076923076923102</v>
      </c>
      <c r="S8" s="15">
        <v>15</v>
      </c>
      <c r="T8" s="20" t="s">
        <v>76</v>
      </c>
      <c r="U8" s="15">
        <v>10.6382978723404</v>
      </c>
      <c r="V8" s="15">
        <v>12.962962962962999</v>
      </c>
      <c r="W8" s="20" t="s">
        <v>76</v>
      </c>
      <c r="X8" s="15">
        <v>12.5</v>
      </c>
      <c r="Y8" s="15">
        <v>19.512195121951201</v>
      </c>
      <c r="Z8" s="15">
        <v>21.739130434782599</v>
      </c>
      <c r="AA8" s="15">
        <v>13.698630136986299</v>
      </c>
      <c r="AB8" s="15">
        <v>23.076923076923102</v>
      </c>
      <c r="AC8" s="15">
        <v>9.8765432098765409</v>
      </c>
      <c r="AD8" s="15">
        <v>15.789473684210501</v>
      </c>
      <c r="AE8" s="15">
        <v>14.7540983606557</v>
      </c>
      <c r="AF8" s="20" t="s">
        <v>76</v>
      </c>
      <c r="AG8" s="32">
        <v>19.167218633894901</v>
      </c>
      <c r="AH8" s="15">
        <v>14.429530201342301</v>
      </c>
      <c r="AI8" s="15">
        <v>19.174041297935101</v>
      </c>
      <c r="AJ8" s="15">
        <v>13.569321533923301</v>
      </c>
      <c r="AK8" s="15">
        <v>20.4152249134948</v>
      </c>
      <c r="AL8" s="15">
        <v>19.553072625698299</v>
      </c>
      <c r="AM8" s="15">
        <v>17.538461538461501</v>
      </c>
      <c r="AN8" s="24">
        <v>19.3037974683544</v>
      </c>
      <c r="AO8" s="38"/>
    </row>
    <row r="9" spans="1:41">
      <c r="A9" s="9" t="s">
        <v>342</v>
      </c>
      <c r="B9" s="36">
        <v>16.1110316763009</v>
      </c>
      <c r="C9" s="32">
        <v>15.7283956794003</v>
      </c>
      <c r="D9" s="32">
        <v>13.536184722324199</v>
      </c>
      <c r="E9" s="32">
        <v>15.082776470254499</v>
      </c>
      <c r="F9" s="15">
        <v>14.5833333333333</v>
      </c>
      <c r="G9" s="15">
        <v>26.865671641791</v>
      </c>
      <c r="H9" s="15">
        <v>13.4146341463415</v>
      </c>
      <c r="I9" s="15">
        <v>15</v>
      </c>
      <c r="J9" s="15">
        <v>11.1111111111111</v>
      </c>
      <c r="K9" s="15">
        <v>24</v>
      </c>
      <c r="L9" s="15">
        <v>9.375</v>
      </c>
      <c r="M9" s="15">
        <v>17.647058823529399</v>
      </c>
      <c r="N9" s="20" t="s">
        <v>76</v>
      </c>
      <c r="O9" s="15">
        <v>14.285714285714301</v>
      </c>
      <c r="P9" s="15">
        <v>15.5555555555556</v>
      </c>
      <c r="Q9" s="15">
        <v>23.3333333333333</v>
      </c>
      <c r="R9" s="15">
        <v>20.879120879120901</v>
      </c>
      <c r="S9" s="15">
        <v>22</v>
      </c>
      <c r="T9" s="15">
        <v>15.1515151515152</v>
      </c>
      <c r="U9" s="20" t="s">
        <v>76</v>
      </c>
      <c r="V9" s="15">
        <v>9.2592592592592595</v>
      </c>
      <c r="W9" s="20" t="s">
        <v>76</v>
      </c>
      <c r="X9" s="15">
        <v>8.6538461538461497</v>
      </c>
      <c r="Y9" s="15">
        <v>12.1951219512195</v>
      </c>
      <c r="Z9" s="15">
        <v>13.0434782608696</v>
      </c>
      <c r="AA9" s="15">
        <v>17.808219178082201</v>
      </c>
      <c r="AB9" s="15">
        <v>8.9743589743589691</v>
      </c>
      <c r="AC9" s="15">
        <v>13.580246913580201</v>
      </c>
      <c r="AD9" s="15">
        <v>20</v>
      </c>
      <c r="AE9" s="15">
        <v>9.8360655737704903</v>
      </c>
      <c r="AF9" s="20" t="s">
        <v>76</v>
      </c>
      <c r="AG9" s="32">
        <v>12.3355181919021</v>
      </c>
      <c r="AH9" s="15">
        <v>11.744966442953</v>
      </c>
      <c r="AI9" s="15">
        <v>13.569321533923301</v>
      </c>
      <c r="AJ9" s="15">
        <v>10.914454277286101</v>
      </c>
      <c r="AK9" s="15">
        <v>16.955017301038101</v>
      </c>
      <c r="AL9" s="15">
        <v>15.083798882681601</v>
      </c>
      <c r="AM9" s="15">
        <v>8.3076923076923102</v>
      </c>
      <c r="AN9" s="24">
        <v>11.7088607594937</v>
      </c>
      <c r="AO9" s="38"/>
    </row>
    <row r="10" spans="1:41">
      <c r="A10" s="9" t="s">
        <v>343</v>
      </c>
      <c r="B10" s="36">
        <v>10.1159711954861</v>
      </c>
      <c r="C10" s="32">
        <v>9.6148143351476296</v>
      </c>
      <c r="D10" s="32">
        <v>8.6375215375212395</v>
      </c>
      <c r="E10" s="32">
        <v>10.0027821003636</v>
      </c>
      <c r="F10" s="15">
        <v>11.4583333333333</v>
      </c>
      <c r="G10" s="15">
        <v>16.417910447761201</v>
      </c>
      <c r="H10" s="20" t="s">
        <v>76</v>
      </c>
      <c r="I10" s="20" t="s">
        <v>76</v>
      </c>
      <c r="J10" s="15">
        <v>17.283950617283899</v>
      </c>
      <c r="K10" s="15">
        <v>18</v>
      </c>
      <c r="L10" s="15">
        <v>7.03125</v>
      </c>
      <c r="M10" s="15">
        <v>7.3529411764705896</v>
      </c>
      <c r="N10" s="20" t="s">
        <v>76</v>
      </c>
      <c r="O10" s="15">
        <v>14.285714285714301</v>
      </c>
      <c r="P10" s="15">
        <v>9.6296296296296298</v>
      </c>
      <c r="Q10" s="15">
        <v>8.3333333333333304</v>
      </c>
      <c r="R10" s="15">
        <v>14.285714285714301</v>
      </c>
      <c r="S10" s="15">
        <v>17</v>
      </c>
      <c r="T10" s="20" t="s">
        <v>76</v>
      </c>
      <c r="U10" s="20" t="s">
        <v>76</v>
      </c>
      <c r="V10" s="20" t="s">
        <v>76</v>
      </c>
      <c r="W10" s="20" t="s">
        <v>76</v>
      </c>
      <c r="X10" s="15">
        <v>8.6538461538461497</v>
      </c>
      <c r="Y10" s="15">
        <v>17.0731707317073</v>
      </c>
      <c r="Z10" s="15">
        <v>19.565217391304301</v>
      </c>
      <c r="AA10" s="15">
        <v>8.2191780821917799</v>
      </c>
      <c r="AB10" s="20" t="s">
        <v>76</v>
      </c>
      <c r="AC10" s="15">
        <v>6.1728395061728403</v>
      </c>
      <c r="AD10" s="15">
        <v>8.4210526315789505</v>
      </c>
      <c r="AE10" s="20" t="s">
        <v>76</v>
      </c>
      <c r="AF10" s="20" t="s">
        <v>76</v>
      </c>
      <c r="AG10" s="32">
        <v>7.5776279584279704</v>
      </c>
      <c r="AH10" s="15">
        <v>7.3825503355704702</v>
      </c>
      <c r="AI10" s="15">
        <v>8.2595870206489703</v>
      </c>
      <c r="AJ10" s="15">
        <v>6.19469026548673</v>
      </c>
      <c r="AK10" s="15">
        <v>7.2664359861591699</v>
      </c>
      <c r="AL10" s="15">
        <v>8.3798882681564208</v>
      </c>
      <c r="AM10" s="15">
        <v>7.6923076923076898</v>
      </c>
      <c r="AN10" s="24">
        <v>9.1772151898734204</v>
      </c>
      <c r="AO10" s="38"/>
    </row>
    <row r="11" spans="1:41">
      <c r="A11" s="9" t="s">
        <v>344</v>
      </c>
      <c r="B11" s="36">
        <v>9.3917516017224703</v>
      </c>
      <c r="C11" s="32">
        <v>9.7286433525695006</v>
      </c>
      <c r="D11" s="32">
        <v>8.1745516502687092</v>
      </c>
      <c r="E11" s="32">
        <v>6.4728858993785003</v>
      </c>
      <c r="F11" s="20" t="s">
        <v>76</v>
      </c>
      <c r="G11" s="20" t="s">
        <v>76</v>
      </c>
      <c r="H11" s="20" t="s">
        <v>76</v>
      </c>
      <c r="I11" s="20" t="s">
        <v>76</v>
      </c>
      <c r="J11" s="15">
        <v>8.6419753086419693</v>
      </c>
      <c r="K11" s="15">
        <v>10</v>
      </c>
      <c r="L11" s="15">
        <v>4.6875</v>
      </c>
      <c r="M11" s="20" t="s">
        <v>76</v>
      </c>
      <c r="N11" s="20" t="s">
        <v>76</v>
      </c>
      <c r="O11" s="20" t="s">
        <v>76</v>
      </c>
      <c r="P11" s="15">
        <v>5.1851851851851896</v>
      </c>
      <c r="Q11" s="20" t="s">
        <v>76</v>
      </c>
      <c r="R11" s="15">
        <v>10.989010989011</v>
      </c>
      <c r="S11" s="15">
        <v>13</v>
      </c>
      <c r="T11" s="20" t="s">
        <v>76</v>
      </c>
      <c r="U11" s="20" t="s">
        <v>76</v>
      </c>
      <c r="V11" s="20" t="s">
        <v>76</v>
      </c>
      <c r="W11" s="20" t="s">
        <v>76</v>
      </c>
      <c r="X11" s="15">
        <v>7.6923076923076898</v>
      </c>
      <c r="Y11" s="15">
        <v>12.1951219512195</v>
      </c>
      <c r="Z11" s="20" t="s">
        <v>76</v>
      </c>
      <c r="AA11" s="15">
        <v>9.5890410958904102</v>
      </c>
      <c r="AB11" s="20" t="s">
        <v>76</v>
      </c>
      <c r="AC11" s="20" t="s">
        <v>76</v>
      </c>
      <c r="AD11" s="15">
        <v>7.3684210526315796</v>
      </c>
      <c r="AE11" s="15">
        <v>9.8360655737704903</v>
      </c>
      <c r="AF11" s="20" t="s">
        <v>76</v>
      </c>
      <c r="AG11" s="32">
        <v>9.4956068775409008</v>
      </c>
      <c r="AH11" s="15">
        <v>6.71140939597315</v>
      </c>
      <c r="AI11" s="15">
        <v>8.8495575221238898</v>
      </c>
      <c r="AJ11" s="15">
        <v>14.159292035398201</v>
      </c>
      <c r="AK11" s="15">
        <v>5.8823529411764701</v>
      </c>
      <c r="AL11" s="15">
        <v>5.5865921787709496</v>
      </c>
      <c r="AM11" s="15">
        <v>7.6923076923076898</v>
      </c>
      <c r="AN11" s="24">
        <v>12.974683544303801</v>
      </c>
      <c r="AO11" s="38"/>
    </row>
    <row r="12" spans="1:41">
      <c r="A12" s="9" t="s">
        <v>345</v>
      </c>
      <c r="B12" s="36">
        <v>9.5388921369160098</v>
      </c>
      <c r="C12" s="32">
        <v>9.4457951952227308</v>
      </c>
      <c r="D12" s="32">
        <v>8.6681502345546804</v>
      </c>
      <c r="E12" s="32">
        <v>11.3518042667171</v>
      </c>
      <c r="F12" s="15">
        <v>9.375</v>
      </c>
      <c r="G12" s="15">
        <v>17.910447761194</v>
      </c>
      <c r="H12" s="15">
        <v>7.3170731707317103</v>
      </c>
      <c r="I12" s="20" t="s">
        <v>76</v>
      </c>
      <c r="J12" s="15">
        <v>17.283950617283899</v>
      </c>
      <c r="K12" s="20" t="s">
        <v>76</v>
      </c>
      <c r="L12" s="15">
        <v>6.25</v>
      </c>
      <c r="M12" s="20" t="s">
        <v>76</v>
      </c>
      <c r="N12" s="15">
        <v>22.4489795918367</v>
      </c>
      <c r="O12" s="15">
        <v>19.047619047619001</v>
      </c>
      <c r="P12" s="15">
        <v>8.8888888888888893</v>
      </c>
      <c r="Q12" s="15">
        <v>13.3333333333333</v>
      </c>
      <c r="R12" s="15">
        <v>12.0879120879121</v>
      </c>
      <c r="S12" s="15">
        <v>17</v>
      </c>
      <c r="T12" s="20" t="s">
        <v>76</v>
      </c>
      <c r="U12" s="15">
        <v>12.7659574468085</v>
      </c>
      <c r="V12" s="15">
        <v>9.2592592592592595</v>
      </c>
      <c r="W12" s="15">
        <v>16.071428571428601</v>
      </c>
      <c r="X12" s="15">
        <v>11.538461538461499</v>
      </c>
      <c r="Y12" s="15">
        <v>14.634146341463399</v>
      </c>
      <c r="Z12" s="15">
        <v>13.0434782608696</v>
      </c>
      <c r="AA12" s="15">
        <v>9.5890410958904102</v>
      </c>
      <c r="AB12" s="15">
        <v>12.8205128205128</v>
      </c>
      <c r="AC12" s="15">
        <v>8.6419753086419693</v>
      </c>
      <c r="AD12" s="15">
        <v>6.3157894736842097</v>
      </c>
      <c r="AE12" s="15">
        <v>11.4754098360656</v>
      </c>
      <c r="AF12" s="20" t="s">
        <v>76</v>
      </c>
      <c r="AG12" s="32">
        <v>6.5847474361357898</v>
      </c>
      <c r="AH12" s="15">
        <v>5.7046979865771803</v>
      </c>
      <c r="AI12" s="15">
        <v>7.0796460176991101</v>
      </c>
      <c r="AJ12" s="15">
        <v>5.0147492625368697</v>
      </c>
      <c r="AK12" s="15">
        <v>7.9584775086505202</v>
      </c>
      <c r="AL12" s="15">
        <v>8.9385474860335208</v>
      </c>
      <c r="AM12" s="15">
        <v>8.3076923076923102</v>
      </c>
      <c r="AN12" s="24">
        <v>6.0126582278480996</v>
      </c>
      <c r="AO12" s="38"/>
    </row>
    <row r="13" spans="1:41">
      <c r="A13" s="9" t="s">
        <v>346</v>
      </c>
      <c r="B13" s="36">
        <v>15.5673455375206</v>
      </c>
      <c r="C13" s="32">
        <v>14.7910001675044</v>
      </c>
      <c r="D13" s="32">
        <v>13.5088708530372</v>
      </c>
      <c r="E13" s="32">
        <v>15.141371389402</v>
      </c>
      <c r="F13" s="15">
        <v>16.6666666666667</v>
      </c>
      <c r="G13" s="15">
        <v>7.4626865671641802</v>
      </c>
      <c r="H13" s="15">
        <v>10.975609756097599</v>
      </c>
      <c r="I13" s="20" t="s">
        <v>76</v>
      </c>
      <c r="J13" s="15">
        <v>25.925925925925899</v>
      </c>
      <c r="K13" s="15">
        <v>14</v>
      </c>
      <c r="L13" s="15">
        <v>18.75</v>
      </c>
      <c r="M13" s="15">
        <v>14.705882352941201</v>
      </c>
      <c r="N13" s="20" t="s">
        <v>76</v>
      </c>
      <c r="O13" s="15">
        <v>23.8095238095238</v>
      </c>
      <c r="P13" s="15">
        <v>14.074074074074099</v>
      </c>
      <c r="Q13" s="15">
        <v>11.6666666666667</v>
      </c>
      <c r="R13" s="15">
        <v>25.274725274725299</v>
      </c>
      <c r="S13" s="15">
        <v>15</v>
      </c>
      <c r="T13" s="20" t="s">
        <v>76</v>
      </c>
      <c r="U13" s="15">
        <v>29.787234042553202</v>
      </c>
      <c r="V13" s="20" t="s">
        <v>76</v>
      </c>
      <c r="W13" s="15">
        <v>12.5</v>
      </c>
      <c r="X13" s="15">
        <v>9.6153846153846096</v>
      </c>
      <c r="Y13" s="15">
        <v>17.0731707317073</v>
      </c>
      <c r="Z13" s="15">
        <v>15.2173913043478</v>
      </c>
      <c r="AA13" s="15">
        <v>21.917808219178099</v>
      </c>
      <c r="AB13" s="15">
        <v>15.384615384615399</v>
      </c>
      <c r="AC13" s="15">
        <v>14.814814814814801</v>
      </c>
      <c r="AD13" s="15">
        <v>12.6315789473684</v>
      </c>
      <c r="AE13" s="15">
        <v>13.1147540983607</v>
      </c>
      <c r="AF13" s="20" t="s">
        <v>76</v>
      </c>
      <c r="AG13" s="32">
        <v>12.2415106996338</v>
      </c>
      <c r="AH13" s="15">
        <v>13.087248322147699</v>
      </c>
      <c r="AI13" s="15">
        <v>15.929203539823</v>
      </c>
      <c r="AJ13" s="15">
        <v>15.3392330383481</v>
      </c>
      <c r="AK13" s="15">
        <v>11.0726643598616</v>
      </c>
      <c r="AL13" s="15">
        <v>13.966480446927401</v>
      </c>
      <c r="AM13" s="15">
        <v>12.615384615384601</v>
      </c>
      <c r="AN13" s="24">
        <v>10.7594936708861</v>
      </c>
      <c r="AO13" s="38"/>
    </row>
    <row r="14" spans="1:41">
      <c r="A14" s="9" t="s">
        <v>347</v>
      </c>
      <c r="B14" s="36">
        <v>15.106881231318701</v>
      </c>
      <c r="C14" s="32">
        <v>14.4784612938615</v>
      </c>
      <c r="D14" s="32">
        <v>13.326234728734899</v>
      </c>
      <c r="E14" s="32">
        <v>13.6075176105777</v>
      </c>
      <c r="F14" s="15">
        <v>19.7916666666667</v>
      </c>
      <c r="G14" s="15">
        <v>11.9402985074627</v>
      </c>
      <c r="H14" s="15">
        <v>8.5365853658536608</v>
      </c>
      <c r="I14" s="15">
        <v>12.5</v>
      </c>
      <c r="J14" s="15">
        <v>20.987654320987701</v>
      </c>
      <c r="K14" s="15">
        <v>22</v>
      </c>
      <c r="L14" s="15">
        <v>11.71875</v>
      </c>
      <c r="M14" s="15">
        <v>10.294117647058799</v>
      </c>
      <c r="N14" s="15">
        <v>10.2040816326531</v>
      </c>
      <c r="O14" s="15">
        <v>14.285714285714301</v>
      </c>
      <c r="P14" s="15">
        <v>12.592592592592601</v>
      </c>
      <c r="Q14" s="20" t="s">
        <v>76</v>
      </c>
      <c r="R14" s="15">
        <v>21.978021978021999</v>
      </c>
      <c r="S14" s="15">
        <v>20</v>
      </c>
      <c r="T14" s="20" t="s">
        <v>76</v>
      </c>
      <c r="U14" s="15">
        <v>19.148936170212799</v>
      </c>
      <c r="V14" s="15">
        <v>9.2592592592592595</v>
      </c>
      <c r="W14" s="15">
        <v>10.714285714285699</v>
      </c>
      <c r="X14" s="15">
        <v>13.461538461538501</v>
      </c>
      <c r="Y14" s="15">
        <v>19.512195121951201</v>
      </c>
      <c r="Z14" s="15">
        <v>10.869565217391299</v>
      </c>
      <c r="AA14" s="15">
        <v>13.698630136986299</v>
      </c>
      <c r="AB14" s="15">
        <v>11.538461538461499</v>
      </c>
      <c r="AC14" s="15">
        <v>8.6419753086419693</v>
      </c>
      <c r="AD14" s="15">
        <v>17.894736842105299</v>
      </c>
      <c r="AE14" s="20" t="s">
        <v>76</v>
      </c>
      <c r="AF14" s="20" t="s">
        <v>76</v>
      </c>
      <c r="AG14" s="32">
        <v>13.107866214703201</v>
      </c>
      <c r="AH14" s="15">
        <v>15.7718120805369</v>
      </c>
      <c r="AI14" s="15">
        <v>16.2241887905605</v>
      </c>
      <c r="AJ14" s="15">
        <v>14.159292035398201</v>
      </c>
      <c r="AK14" s="15">
        <v>13.4948096885813</v>
      </c>
      <c r="AL14" s="15">
        <v>12.290502793296101</v>
      </c>
      <c r="AM14" s="15">
        <v>15.384615384615399</v>
      </c>
      <c r="AN14" s="24">
        <v>9.4936708860759502</v>
      </c>
      <c r="AO14" s="38"/>
    </row>
    <row r="15" spans="1:41">
      <c r="A15" s="9" t="s">
        <v>348</v>
      </c>
      <c r="B15" s="36">
        <v>4.6981412668902003</v>
      </c>
      <c r="C15" s="32">
        <v>4.4459378675803602</v>
      </c>
      <c r="D15" s="32">
        <v>4.0407915013100499</v>
      </c>
      <c r="E15" s="32">
        <v>3.2148830186124702</v>
      </c>
      <c r="F15" s="15">
        <v>5.2083333333333304</v>
      </c>
      <c r="G15" s="20" t="s">
        <v>76</v>
      </c>
      <c r="H15" s="20" t="s">
        <v>76</v>
      </c>
      <c r="I15" s="20" t="s">
        <v>76</v>
      </c>
      <c r="J15" s="20" t="s">
        <v>76</v>
      </c>
      <c r="K15" s="15">
        <v>10</v>
      </c>
      <c r="L15" s="15">
        <v>7.8125</v>
      </c>
      <c r="M15" s="20" t="s">
        <v>76</v>
      </c>
      <c r="N15" s="20" t="s">
        <v>76</v>
      </c>
      <c r="O15" s="20" t="s">
        <v>76</v>
      </c>
      <c r="P15" s="20" t="s">
        <v>76</v>
      </c>
      <c r="Q15" s="20" t="s">
        <v>76</v>
      </c>
      <c r="R15" s="20" t="s">
        <v>76</v>
      </c>
      <c r="S15" s="20" t="s">
        <v>76</v>
      </c>
      <c r="T15" s="20" t="s">
        <v>76</v>
      </c>
      <c r="U15" s="20" t="s">
        <v>76</v>
      </c>
      <c r="V15" s="20" t="s">
        <v>76</v>
      </c>
      <c r="W15" s="20" t="s">
        <v>76</v>
      </c>
      <c r="X15" s="20" t="s">
        <v>76</v>
      </c>
      <c r="Y15" s="20" t="s">
        <v>76</v>
      </c>
      <c r="Z15" s="20" t="s">
        <v>76</v>
      </c>
      <c r="AA15" s="20" t="s">
        <v>76</v>
      </c>
      <c r="AB15" s="20" t="s">
        <v>76</v>
      </c>
      <c r="AC15" s="20" t="s">
        <v>76</v>
      </c>
      <c r="AD15" s="20" t="s">
        <v>76</v>
      </c>
      <c r="AE15" s="20" t="s">
        <v>76</v>
      </c>
      <c r="AF15" s="20" t="s">
        <v>76</v>
      </c>
      <c r="AG15" s="32">
        <v>4.6819695456735104</v>
      </c>
      <c r="AH15" s="15">
        <v>4.3624161073825496</v>
      </c>
      <c r="AI15" s="15">
        <v>5.8997050147492596</v>
      </c>
      <c r="AJ15" s="15">
        <v>7.3746312684365796</v>
      </c>
      <c r="AK15" s="15">
        <v>5.5363321799307998</v>
      </c>
      <c r="AL15" s="15">
        <v>4.4692737430167604</v>
      </c>
      <c r="AM15" s="15">
        <v>4</v>
      </c>
      <c r="AN15" s="24">
        <v>3.4810126582278502</v>
      </c>
      <c r="AO15" s="38"/>
    </row>
    <row r="16" spans="1:41">
      <c r="A16" s="9" t="s">
        <v>349</v>
      </c>
      <c r="B16" s="36">
        <v>24.711762473202398</v>
      </c>
      <c r="C16" s="32">
        <v>24.657571218057601</v>
      </c>
      <c r="D16" s="32">
        <v>22.174133671671701</v>
      </c>
      <c r="E16" s="32">
        <v>17.7733286818907</v>
      </c>
      <c r="F16" s="15">
        <v>20.8333333333333</v>
      </c>
      <c r="G16" s="15">
        <v>16.417910447761201</v>
      </c>
      <c r="H16" s="15">
        <v>21.951219512195099</v>
      </c>
      <c r="I16" s="15">
        <v>17.5</v>
      </c>
      <c r="J16" s="15">
        <v>25.925925925925899</v>
      </c>
      <c r="K16" s="15">
        <v>22</v>
      </c>
      <c r="L16" s="15">
        <v>13.28125</v>
      </c>
      <c r="M16" s="15">
        <v>13.235294117647101</v>
      </c>
      <c r="N16" s="15">
        <v>12.244897959183699</v>
      </c>
      <c r="O16" s="20" t="s">
        <v>76</v>
      </c>
      <c r="P16" s="15">
        <v>17.037037037036999</v>
      </c>
      <c r="Q16" s="15">
        <v>21.6666666666667</v>
      </c>
      <c r="R16" s="15">
        <v>21.978021978021999</v>
      </c>
      <c r="S16" s="15">
        <v>23</v>
      </c>
      <c r="T16" s="20" t="s">
        <v>76</v>
      </c>
      <c r="U16" s="15">
        <v>23.404255319148898</v>
      </c>
      <c r="V16" s="15">
        <v>31.481481481481499</v>
      </c>
      <c r="W16" s="20" t="s">
        <v>76</v>
      </c>
      <c r="X16" s="15">
        <v>16.346153846153801</v>
      </c>
      <c r="Y16" s="15">
        <v>29.268292682926798</v>
      </c>
      <c r="Z16" s="15">
        <v>10.869565217391299</v>
      </c>
      <c r="AA16" s="15">
        <v>17.808219178082201</v>
      </c>
      <c r="AB16" s="15">
        <v>19.230769230769202</v>
      </c>
      <c r="AC16" s="15">
        <v>20.987654320987701</v>
      </c>
      <c r="AD16" s="15">
        <v>12.6315789473684</v>
      </c>
      <c r="AE16" s="15">
        <v>11.4754098360656</v>
      </c>
      <c r="AF16" s="15">
        <v>13.5135135135135</v>
      </c>
      <c r="AG16" s="32">
        <v>25.590613337501701</v>
      </c>
      <c r="AH16" s="15">
        <v>23.489932885906001</v>
      </c>
      <c r="AI16" s="15">
        <v>27.138643067846601</v>
      </c>
      <c r="AJ16" s="15">
        <v>27.433628318584098</v>
      </c>
      <c r="AK16" s="15">
        <v>26.643598615917</v>
      </c>
      <c r="AL16" s="15">
        <v>31.284916201117301</v>
      </c>
      <c r="AM16" s="15">
        <v>24.615384615384599</v>
      </c>
      <c r="AN16" s="24">
        <v>22.468354430379701</v>
      </c>
      <c r="AO16" s="38"/>
    </row>
    <row r="17" spans="1:41">
      <c r="A17" s="9" t="s">
        <v>350</v>
      </c>
      <c r="B17" s="36">
        <v>19.946471642172899</v>
      </c>
      <c r="C17" s="32">
        <v>19.164227471981199</v>
      </c>
      <c r="D17" s="32">
        <v>16.6034729438962</v>
      </c>
      <c r="E17" s="32">
        <v>15.791853763088801</v>
      </c>
      <c r="F17" s="15">
        <v>18.75</v>
      </c>
      <c r="G17" s="15">
        <v>22.388059701492502</v>
      </c>
      <c r="H17" s="15">
        <v>13.4146341463415</v>
      </c>
      <c r="I17" s="15">
        <v>20</v>
      </c>
      <c r="J17" s="15">
        <v>22.2222222222222</v>
      </c>
      <c r="K17" s="15">
        <v>16</v>
      </c>
      <c r="L17" s="15">
        <v>19.53125</v>
      </c>
      <c r="M17" s="15">
        <v>7.3529411764705896</v>
      </c>
      <c r="N17" s="15">
        <v>14.285714285714301</v>
      </c>
      <c r="O17" s="15">
        <v>23.8095238095238</v>
      </c>
      <c r="P17" s="15">
        <v>14.074074074074099</v>
      </c>
      <c r="Q17" s="15">
        <v>18.3333333333333</v>
      </c>
      <c r="R17" s="15">
        <v>19.780219780219799</v>
      </c>
      <c r="S17" s="15">
        <v>20</v>
      </c>
      <c r="T17" s="15">
        <v>15.1515151515152</v>
      </c>
      <c r="U17" s="15">
        <v>25.531914893617</v>
      </c>
      <c r="V17" s="15">
        <v>16.6666666666667</v>
      </c>
      <c r="W17" s="20" t="s">
        <v>76</v>
      </c>
      <c r="X17" s="15">
        <v>8.6538461538461497</v>
      </c>
      <c r="Y17" s="15">
        <v>21.951219512195099</v>
      </c>
      <c r="Z17" s="20" t="s">
        <v>76</v>
      </c>
      <c r="AA17" s="15">
        <v>17.808219178082201</v>
      </c>
      <c r="AB17" s="15">
        <v>11.538461538461499</v>
      </c>
      <c r="AC17" s="15">
        <v>18.518518518518501</v>
      </c>
      <c r="AD17" s="15">
        <v>9.4736842105263204</v>
      </c>
      <c r="AE17" s="15">
        <v>8.1967213114754092</v>
      </c>
      <c r="AF17" s="20" t="s">
        <v>76</v>
      </c>
      <c r="AG17" s="32">
        <v>17.233557765665001</v>
      </c>
      <c r="AH17" s="15">
        <v>18.7919463087248</v>
      </c>
      <c r="AI17" s="15">
        <v>19.76401179941</v>
      </c>
      <c r="AJ17" s="15">
        <v>23.008849557522101</v>
      </c>
      <c r="AK17" s="15">
        <v>20.761245674740501</v>
      </c>
      <c r="AL17" s="15">
        <v>16.201117318435799</v>
      </c>
      <c r="AM17" s="15">
        <v>15.692307692307701</v>
      </c>
      <c r="AN17" s="24">
        <v>14.5569620253165</v>
      </c>
      <c r="AO17" s="38"/>
    </row>
    <row r="18" spans="1:41" ht="18">
      <c r="A18" s="9" t="s">
        <v>351</v>
      </c>
      <c r="B18" s="36">
        <v>4.9522296255065399</v>
      </c>
      <c r="C18" s="32">
        <v>5.0285018622375501</v>
      </c>
      <c r="D18" s="32">
        <v>5.0251716637328796</v>
      </c>
      <c r="E18" s="32">
        <v>1.69486331868129</v>
      </c>
      <c r="F18" s="15">
        <v>5.2083333333333304</v>
      </c>
      <c r="G18" s="20" t="s">
        <v>76</v>
      </c>
      <c r="H18" s="20" t="s">
        <v>76</v>
      </c>
      <c r="I18" s="20" t="s">
        <v>76</v>
      </c>
      <c r="J18" s="20" t="s">
        <v>76</v>
      </c>
      <c r="K18" s="20" t="s">
        <v>76</v>
      </c>
      <c r="L18" s="20" t="s">
        <v>76</v>
      </c>
      <c r="M18" s="20" t="s">
        <v>76</v>
      </c>
      <c r="N18" s="20" t="s">
        <v>76</v>
      </c>
      <c r="O18" s="20" t="s">
        <v>76</v>
      </c>
      <c r="P18" s="20" t="s">
        <v>76</v>
      </c>
      <c r="Q18" s="20" t="s">
        <v>76</v>
      </c>
      <c r="R18" s="20" t="s">
        <v>76</v>
      </c>
      <c r="S18" s="20" t="s">
        <v>76</v>
      </c>
      <c r="T18" s="20" t="s">
        <v>76</v>
      </c>
      <c r="U18" s="20" t="s">
        <v>76</v>
      </c>
      <c r="V18" s="20" t="s">
        <v>76</v>
      </c>
      <c r="W18" s="20" t="s">
        <v>76</v>
      </c>
      <c r="X18" s="20" t="s">
        <v>76</v>
      </c>
      <c r="Y18" s="20" t="s">
        <v>76</v>
      </c>
      <c r="Z18" s="20" t="s">
        <v>76</v>
      </c>
      <c r="AA18" s="20" t="s">
        <v>76</v>
      </c>
      <c r="AB18" s="20" t="s">
        <v>76</v>
      </c>
      <c r="AC18" s="20" t="s">
        <v>76</v>
      </c>
      <c r="AD18" s="20" t="s">
        <v>76</v>
      </c>
      <c r="AE18" s="20" t="s">
        <v>76</v>
      </c>
      <c r="AF18" s="20" t="s">
        <v>76</v>
      </c>
      <c r="AG18" s="32">
        <v>7.6105920057460104</v>
      </c>
      <c r="AH18" s="15">
        <v>4.6979865771812097</v>
      </c>
      <c r="AI18" s="15">
        <v>5.6047197640117998</v>
      </c>
      <c r="AJ18" s="15">
        <v>7.9646017699114999</v>
      </c>
      <c r="AK18" s="15">
        <v>7.2664359861591699</v>
      </c>
      <c r="AL18" s="15">
        <v>10.055865921787699</v>
      </c>
      <c r="AM18" s="15">
        <v>9.5384615384615401</v>
      </c>
      <c r="AN18" s="24">
        <v>5.6962025316455698</v>
      </c>
      <c r="AO18" s="38"/>
    </row>
    <row r="19" spans="1:41">
      <c r="A19" s="9" t="s">
        <v>352</v>
      </c>
      <c r="B19" s="36">
        <v>22.975134184654799</v>
      </c>
      <c r="C19" s="32">
        <v>22.942712280339698</v>
      </c>
      <c r="D19" s="32">
        <v>20.635672125019401</v>
      </c>
      <c r="E19" s="32">
        <v>15.733157457328099</v>
      </c>
      <c r="F19" s="15">
        <v>25</v>
      </c>
      <c r="G19" s="15">
        <v>17.910447761194</v>
      </c>
      <c r="H19" s="15">
        <v>18.292682926829301</v>
      </c>
      <c r="I19" s="20" t="s">
        <v>76</v>
      </c>
      <c r="J19" s="15">
        <v>22.2222222222222</v>
      </c>
      <c r="K19" s="15">
        <v>10</v>
      </c>
      <c r="L19" s="15">
        <v>18.75</v>
      </c>
      <c r="M19" s="15">
        <v>11.764705882352899</v>
      </c>
      <c r="N19" s="20" t="s">
        <v>76</v>
      </c>
      <c r="O19" s="20" t="s">
        <v>76</v>
      </c>
      <c r="P19" s="15">
        <v>13.3333333333333</v>
      </c>
      <c r="Q19" s="15">
        <v>16.6666666666667</v>
      </c>
      <c r="R19" s="15">
        <v>23.076923076923102</v>
      </c>
      <c r="S19" s="15">
        <v>27</v>
      </c>
      <c r="T19" s="20" t="s">
        <v>76</v>
      </c>
      <c r="U19" s="15">
        <v>23.404255319148898</v>
      </c>
      <c r="V19" s="15">
        <v>20.370370370370399</v>
      </c>
      <c r="W19" s="20" t="s">
        <v>76</v>
      </c>
      <c r="X19" s="15">
        <v>9.6153846153846096</v>
      </c>
      <c r="Y19" s="15">
        <v>14.634146341463399</v>
      </c>
      <c r="Z19" s="20" t="s">
        <v>76</v>
      </c>
      <c r="AA19" s="15">
        <v>17.808219178082201</v>
      </c>
      <c r="AB19" s="15">
        <v>15.384615384615399</v>
      </c>
      <c r="AC19" s="15">
        <v>11.1111111111111</v>
      </c>
      <c r="AD19" s="15">
        <v>8.4210526315789505</v>
      </c>
      <c r="AE19" s="15">
        <v>21.311475409836099</v>
      </c>
      <c r="AF19" s="20" t="s">
        <v>76</v>
      </c>
      <c r="AG19" s="32">
        <v>24.441644376117399</v>
      </c>
      <c r="AH19" s="15">
        <v>22.8187919463087</v>
      </c>
      <c r="AI19" s="15">
        <v>22.418879056047199</v>
      </c>
      <c r="AJ19" s="15">
        <v>25.073746312684399</v>
      </c>
      <c r="AK19" s="15">
        <v>24.2214532871972</v>
      </c>
      <c r="AL19" s="15">
        <v>29.608938547486002</v>
      </c>
      <c r="AM19" s="15">
        <v>25.846153846153801</v>
      </c>
      <c r="AN19" s="24">
        <v>18.9873417721519</v>
      </c>
      <c r="AO19" s="38"/>
    </row>
    <row r="20" spans="1:41">
      <c r="A20" s="9" t="s">
        <v>353</v>
      </c>
      <c r="B20" s="36">
        <v>9.3381259836545301</v>
      </c>
      <c r="C20" s="32">
        <v>9.2696611030447897</v>
      </c>
      <c r="D20" s="32">
        <v>10.185238665238</v>
      </c>
      <c r="E20" s="32">
        <v>11.3977351918707</v>
      </c>
      <c r="F20" s="15">
        <v>15.625</v>
      </c>
      <c r="G20" s="20" t="s">
        <v>76</v>
      </c>
      <c r="H20" s="15">
        <v>13.4146341463415</v>
      </c>
      <c r="I20" s="20" t="s">
        <v>76</v>
      </c>
      <c r="J20" s="15">
        <v>7.4074074074074101</v>
      </c>
      <c r="K20" s="15">
        <v>10</v>
      </c>
      <c r="L20" s="15">
        <v>11.71875</v>
      </c>
      <c r="M20" s="15">
        <v>10.294117647058799</v>
      </c>
      <c r="N20" s="20" t="s">
        <v>76</v>
      </c>
      <c r="O20" s="20" t="s">
        <v>76</v>
      </c>
      <c r="P20" s="15">
        <v>17.7777777777778</v>
      </c>
      <c r="Q20" s="20" t="s">
        <v>76</v>
      </c>
      <c r="R20" s="15">
        <v>14.285714285714301</v>
      </c>
      <c r="S20" s="15">
        <v>12</v>
      </c>
      <c r="T20" s="15">
        <v>15.1515151515152</v>
      </c>
      <c r="U20" s="15">
        <v>17.021276595744698</v>
      </c>
      <c r="V20" s="15">
        <v>14.814814814814801</v>
      </c>
      <c r="W20" s="15">
        <v>30.3571428571429</v>
      </c>
      <c r="X20" s="15">
        <v>27.884615384615401</v>
      </c>
      <c r="Y20" s="20" t="s">
        <v>76</v>
      </c>
      <c r="Z20" s="20" t="s">
        <v>76</v>
      </c>
      <c r="AA20" s="15">
        <v>6.8493150684931496</v>
      </c>
      <c r="AB20" s="20" t="s">
        <v>76</v>
      </c>
      <c r="AC20" s="15">
        <v>7.4074074074074101</v>
      </c>
      <c r="AD20" s="20" t="s">
        <v>76</v>
      </c>
      <c r="AE20" s="20" t="s">
        <v>76</v>
      </c>
      <c r="AF20" s="20" t="s">
        <v>76</v>
      </c>
      <c r="AG20" s="32">
        <v>9.2439404850755906</v>
      </c>
      <c r="AH20" s="15">
        <v>9.7315436241610698</v>
      </c>
      <c r="AI20" s="15">
        <v>10.6194690265487</v>
      </c>
      <c r="AJ20" s="15">
        <v>9.1445427728613602</v>
      </c>
      <c r="AK20" s="15">
        <v>11.0726643598616</v>
      </c>
      <c r="AL20" s="15">
        <v>8.3798882681564208</v>
      </c>
      <c r="AM20" s="15">
        <v>9.5384615384615401</v>
      </c>
      <c r="AN20" s="24">
        <v>8.8607594936708907</v>
      </c>
      <c r="AO20" s="38"/>
    </row>
    <row r="21" spans="1:41">
      <c r="A21" s="11" t="s">
        <v>354</v>
      </c>
      <c r="B21" s="37">
        <v>6.0758846238811897</v>
      </c>
      <c r="C21" s="33">
        <v>5.82097749260409</v>
      </c>
      <c r="D21" s="33">
        <v>5.2428271859298103</v>
      </c>
      <c r="E21" s="33">
        <v>5.8975973763756304</v>
      </c>
      <c r="F21" s="16">
        <v>7.2916666666666696</v>
      </c>
      <c r="G21" s="28" t="s">
        <v>76</v>
      </c>
      <c r="H21" s="28" t="s">
        <v>76</v>
      </c>
      <c r="I21" s="28" t="s">
        <v>76</v>
      </c>
      <c r="J21" s="16">
        <v>7.4074074074074101</v>
      </c>
      <c r="K21" s="28" t="s">
        <v>76</v>
      </c>
      <c r="L21" s="16">
        <v>10.15625</v>
      </c>
      <c r="M21" s="28" t="s">
        <v>76</v>
      </c>
      <c r="N21" s="28" t="s">
        <v>76</v>
      </c>
      <c r="O21" s="16">
        <v>16.6666666666667</v>
      </c>
      <c r="P21" s="16">
        <v>10.3703703703704</v>
      </c>
      <c r="Q21" s="28" t="s">
        <v>76</v>
      </c>
      <c r="R21" s="16">
        <v>6.5934065934065904</v>
      </c>
      <c r="S21" s="28" t="s">
        <v>76</v>
      </c>
      <c r="T21" s="28" t="s">
        <v>76</v>
      </c>
      <c r="U21" s="28" t="s">
        <v>76</v>
      </c>
      <c r="V21" s="28" t="s">
        <v>76</v>
      </c>
      <c r="W21" s="28" t="s">
        <v>76</v>
      </c>
      <c r="X21" s="28" t="s">
        <v>76</v>
      </c>
      <c r="Y21" s="28" t="s">
        <v>76</v>
      </c>
      <c r="Z21" s="16">
        <v>10.869565217391299</v>
      </c>
      <c r="AA21" s="28" t="s">
        <v>76</v>
      </c>
      <c r="AB21" s="16">
        <v>6.4102564102564097</v>
      </c>
      <c r="AC21" s="28" t="s">
        <v>76</v>
      </c>
      <c r="AD21" s="28" t="s">
        <v>76</v>
      </c>
      <c r="AE21" s="16">
        <v>8.1967213114754092</v>
      </c>
      <c r="AF21" s="28" t="s">
        <v>76</v>
      </c>
      <c r="AG21" s="33">
        <v>4.7345090380808896</v>
      </c>
      <c r="AH21" s="16">
        <v>11.0738255033557</v>
      </c>
      <c r="AI21" s="16">
        <v>4.1297935103244798</v>
      </c>
      <c r="AJ21" s="16">
        <v>6.19469026548673</v>
      </c>
      <c r="AK21" s="16">
        <v>5.1903114186851198</v>
      </c>
      <c r="AL21" s="16">
        <v>2.7932960893854699</v>
      </c>
      <c r="AM21" s="16">
        <v>3.0769230769230802</v>
      </c>
      <c r="AN21" s="25">
        <v>4.7468354430379698</v>
      </c>
      <c r="AO21" s="38"/>
    </row>
    <row r="22" spans="1:41" ht="30" customHeight="1">
      <c r="A22" t="s">
        <v>201</v>
      </c>
    </row>
    <row r="23" spans="1:41" ht="18">
      <c r="A23" t="s">
        <v>355</v>
      </c>
    </row>
    <row r="24" spans="1:41">
      <c r="A24" t="s">
        <v>143</v>
      </c>
    </row>
    <row r="25" spans="1:41">
      <c r="A25" t="s">
        <v>144</v>
      </c>
    </row>
    <row r="26" spans="1:41">
      <c r="A26" t="s">
        <v>145</v>
      </c>
    </row>
    <row r="27" spans="1:41">
      <c r="A27" t="s">
        <v>146</v>
      </c>
    </row>
    <row r="28" spans="1:41">
      <c r="A28" t="s">
        <v>147</v>
      </c>
    </row>
    <row r="29" spans="1:41">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88671875" defaultRowHeight="15"/>
  <cols>
    <col min="1" max="1" width="51.6640625" customWidth="1"/>
    <col min="2" max="16" width="15.88671875" customWidth="1"/>
  </cols>
  <sheetData>
    <row r="1" spans="1:16" ht="39.950000000000003" customHeight="1">
      <c r="A1" s="10" t="s">
        <v>357</v>
      </c>
      <c r="B1" s="12"/>
      <c r="C1" s="12"/>
      <c r="D1" s="12"/>
      <c r="E1" s="12"/>
      <c r="F1" s="12"/>
      <c r="G1" s="12"/>
      <c r="H1" s="12"/>
      <c r="I1" s="12"/>
      <c r="J1" s="12"/>
      <c r="K1" s="12"/>
      <c r="L1" s="12"/>
      <c r="M1" s="12"/>
      <c r="N1" s="12"/>
      <c r="O1" s="12"/>
      <c r="P1" s="12"/>
    </row>
    <row r="2" spans="1:16" ht="60">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c r="A3" s="40" t="s">
        <v>358</v>
      </c>
      <c r="B3" s="15"/>
      <c r="C3" s="15"/>
      <c r="D3" s="24"/>
      <c r="E3" s="15"/>
      <c r="F3" s="15"/>
      <c r="G3" s="24"/>
      <c r="H3" s="15"/>
      <c r="I3" s="15"/>
      <c r="J3" s="24"/>
      <c r="K3" s="15"/>
      <c r="L3" s="15"/>
      <c r="M3" s="24"/>
      <c r="N3" s="15"/>
      <c r="O3" s="15"/>
      <c r="P3" s="24"/>
    </row>
    <row r="4" spans="1:16">
      <c r="A4" s="9" t="s">
        <v>359</v>
      </c>
      <c r="B4" s="15">
        <v>63.9331387330976</v>
      </c>
      <c r="C4" s="15">
        <v>69.444417095150399</v>
      </c>
      <c r="D4" s="24">
        <v>59.654564585775802</v>
      </c>
      <c r="E4" s="15">
        <v>69.734191608253894</v>
      </c>
      <c r="F4" s="15">
        <v>74.749352769770198</v>
      </c>
      <c r="G4" s="24">
        <v>65.6822113641595</v>
      </c>
      <c r="H4" s="15">
        <v>59.174183288265198</v>
      </c>
      <c r="I4" s="15">
        <v>64.861620557863304</v>
      </c>
      <c r="J4" s="24">
        <v>54.7642671191524</v>
      </c>
      <c r="K4" s="20" t="s">
        <v>76</v>
      </c>
      <c r="L4" s="20" t="s">
        <v>76</v>
      </c>
      <c r="M4" s="26" t="s">
        <v>76</v>
      </c>
      <c r="N4" s="15">
        <v>39.958070622497303</v>
      </c>
      <c r="O4" s="20" t="s">
        <v>76</v>
      </c>
      <c r="P4" s="26" t="s">
        <v>76</v>
      </c>
    </row>
    <row r="5" spans="1:16">
      <c r="A5" s="40" t="s">
        <v>360</v>
      </c>
      <c r="B5" s="15"/>
      <c r="C5" s="15"/>
      <c r="D5" s="24"/>
      <c r="E5" s="15"/>
      <c r="F5" s="15"/>
      <c r="G5" s="24"/>
      <c r="H5" s="15"/>
      <c r="I5" s="15"/>
      <c r="J5" s="24"/>
      <c r="K5" s="15"/>
      <c r="L5" s="15"/>
      <c r="M5" s="24"/>
      <c r="N5" s="15"/>
      <c r="O5" s="15"/>
      <c r="P5" s="24"/>
    </row>
    <row r="6" spans="1:16">
      <c r="A6" s="9" t="s">
        <v>361</v>
      </c>
      <c r="B6" s="15">
        <v>8.2611446978188905</v>
      </c>
      <c r="C6" s="15">
        <v>9.684700874792</v>
      </c>
      <c r="D6" s="24">
        <v>7.1559944484693201</v>
      </c>
      <c r="E6" s="15">
        <v>9.2817405363545493</v>
      </c>
      <c r="F6" s="15">
        <v>10.6950287036054</v>
      </c>
      <c r="G6" s="24">
        <v>8.1398797768527995</v>
      </c>
      <c r="H6" s="15">
        <v>7.0524284047165997</v>
      </c>
      <c r="I6" s="15">
        <v>8.5876870671606493</v>
      </c>
      <c r="J6" s="24">
        <v>5.8620219565482596</v>
      </c>
      <c r="K6" s="20" t="s">
        <v>76</v>
      </c>
      <c r="L6" s="20" t="s">
        <v>76</v>
      </c>
      <c r="M6" s="26" t="s">
        <v>76</v>
      </c>
      <c r="N6" s="20" t="s">
        <v>76</v>
      </c>
      <c r="O6" s="20" t="s">
        <v>76</v>
      </c>
      <c r="P6" s="26" t="s">
        <v>76</v>
      </c>
    </row>
    <row r="7" spans="1:16">
      <c r="A7" s="11" t="s">
        <v>362</v>
      </c>
      <c r="B7" s="16">
        <v>30.257142466955099</v>
      </c>
      <c r="C7" s="16">
        <v>31.136229629041299</v>
      </c>
      <c r="D7" s="25">
        <v>29.574680185455701</v>
      </c>
      <c r="E7" s="16">
        <v>31.948628280991802</v>
      </c>
      <c r="F7" s="16">
        <v>34.071305351966799</v>
      </c>
      <c r="G7" s="25">
        <v>30.233619474857498</v>
      </c>
      <c r="H7" s="16">
        <v>29.0681170003995</v>
      </c>
      <c r="I7" s="16">
        <v>28.477749669224298</v>
      </c>
      <c r="J7" s="25">
        <v>29.5258750935538</v>
      </c>
      <c r="K7" s="28" t="s">
        <v>76</v>
      </c>
      <c r="L7" s="28" t="s">
        <v>76</v>
      </c>
      <c r="M7" s="29" t="s">
        <v>76</v>
      </c>
      <c r="N7" s="28" t="s">
        <v>76</v>
      </c>
      <c r="O7" s="28" t="s">
        <v>76</v>
      </c>
      <c r="P7" s="29" t="s">
        <v>76</v>
      </c>
    </row>
    <row r="8" spans="1:16" ht="30" customHeight="1">
      <c r="A8" t="s">
        <v>143</v>
      </c>
    </row>
    <row r="9" spans="1:16">
      <c r="A9" t="s">
        <v>144</v>
      </c>
    </row>
    <row r="10" spans="1:16">
      <c r="A10" t="s">
        <v>145</v>
      </c>
    </row>
    <row r="11" spans="1:16">
      <c r="A11" t="s">
        <v>146</v>
      </c>
    </row>
    <row r="12" spans="1:16">
      <c r="A12" t="s">
        <v>147</v>
      </c>
    </row>
    <row r="13" spans="1:16">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14"/>
  <sheetViews>
    <sheetView zoomScale="55" workbookViewId="0"/>
  </sheetViews>
  <sheetFormatPr defaultColWidth="10.88671875" defaultRowHeight="15"/>
  <cols>
    <col min="1" max="1" width="51.6640625" customWidth="1"/>
    <col min="2" max="40" width="13.6640625" customWidth="1"/>
  </cols>
  <sheetData>
    <row r="1" spans="1:41" ht="39.950000000000003" customHeight="1">
      <c r="A1" s="10" t="s">
        <v>363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0">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c r="A3" s="40" t="s">
        <v>358</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c r="A4" s="9" t="s">
        <v>359</v>
      </c>
      <c r="B4" s="36">
        <v>54.410660196278002</v>
      </c>
      <c r="C4" s="32">
        <v>57.44489968053</v>
      </c>
      <c r="D4" s="32">
        <v>63.9331387330976</v>
      </c>
      <c r="E4" s="32">
        <v>69.444417095150399</v>
      </c>
      <c r="F4" s="15">
        <v>55.2083333333333</v>
      </c>
      <c r="G4" s="15">
        <v>83.582089552238799</v>
      </c>
      <c r="H4" s="15">
        <v>79.268292682926798</v>
      </c>
      <c r="I4" s="15">
        <v>80</v>
      </c>
      <c r="J4" s="15">
        <v>80.246913580246897</v>
      </c>
      <c r="K4" s="15">
        <v>86</v>
      </c>
      <c r="L4" s="15">
        <v>60.15625</v>
      </c>
      <c r="M4" s="15">
        <v>69.117647058823493</v>
      </c>
      <c r="N4" s="15">
        <v>85.714285714285694</v>
      </c>
      <c r="O4" s="15">
        <v>50</v>
      </c>
      <c r="P4" s="15">
        <v>64.4444444444444</v>
      </c>
      <c r="Q4" s="15">
        <v>90</v>
      </c>
      <c r="R4" s="15">
        <v>58.241758241758198</v>
      </c>
      <c r="S4" s="15">
        <v>44</v>
      </c>
      <c r="T4" s="15">
        <v>48.484848484848499</v>
      </c>
      <c r="U4" s="15">
        <v>76.595744680851098</v>
      </c>
      <c r="V4" s="15">
        <v>87.037037037036995</v>
      </c>
      <c r="W4" s="15">
        <v>73.214285714285694</v>
      </c>
      <c r="X4" s="15">
        <v>76.923076923076906</v>
      </c>
      <c r="Y4" s="15">
        <v>60.975609756097597</v>
      </c>
      <c r="Z4" s="15">
        <v>63.043478260869598</v>
      </c>
      <c r="AA4" s="15">
        <v>80.821917808219197</v>
      </c>
      <c r="AB4" s="15">
        <v>75.641025641025607</v>
      </c>
      <c r="AC4" s="15">
        <v>75.308641975308603</v>
      </c>
      <c r="AD4" s="15">
        <v>73.684210526315795</v>
      </c>
      <c r="AE4" s="15">
        <v>73.770491803278702</v>
      </c>
      <c r="AF4" s="15">
        <v>86.486486486486498</v>
      </c>
      <c r="AG4" s="32">
        <v>59.654564585775802</v>
      </c>
      <c r="AH4" s="15">
        <v>44.630872483221502</v>
      </c>
      <c r="AI4" s="15">
        <v>59.882005899705</v>
      </c>
      <c r="AJ4" s="15">
        <v>52.802359882005902</v>
      </c>
      <c r="AK4" s="15">
        <v>46.020761245674699</v>
      </c>
      <c r="AL4" s="15">
        <v>65.921787709497195</v>
      </c>
      <c r="AM4" s="15">
        <v>69.846153846153797</v>
      </c>
      <c r="AN4" s="24">
        <v>72.151898734177195</v>
      </c>
      <c r="AO4" s="38"/>
    </row>
    <row r="5" spans="1:41">
      <c r="A5" s="40" t="s">
        <v>360</v>
      </c>
      <c r="B5" s="36"/>
      <c r="C5" s="32"/>
      <c r="D5" s="32"/>
      <c r="E5" s="32"/>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32"/>
      <c r="AH5" s="15"/>
      <c r="AI5" s="15"/>
      <c r="AJ5" s="15"/>
      <c r="AK5" s="15"/>
      <c r="AL5" s="15"/>
      <c r="AM5" s="15"/>
      <c r="AN5" s="24"/>
      <c r="AO5" s="38"/>
    </row>
    <row r="6" spans="1:41">
      <c r="A6" s="9" t="s">
        <v>361</v>
      </c>
      <c r="B6" s="36">
        <v>10.093660482023401</v>
      </c>
      <c r="C6" s="32">
        <v>10.642624597317999</v>
      </c>
      <c r="D6" s="32">
        <v>8.2611446978188905</v>
      </c>
      <c r="E6" s="32">
        <v>9.684700874792</v>
      </c>
      <c r="F6" s="20" t="s">
        <v>76</v>
      </c>
      <c r="G6" s="15">
        <v>10.4477611940298</v>
      </c>
      <c r="H6" s="20" t="s">
        <v>76</v>
      </c>
      <c r="I6" s="20" t="s">
        <v>76</v>
      </c>
      <c r="J6" s="15">
        <v>8.6419753086419693</v>
      </c>
      <c r="K6" s="20" t="s">
        <v>76</v>
      </c>
      <c r="L6" s="15">
        <v>3.90625</v>
      </c>
      <c r="M6" s="15">
        <v>11.764705882352899</v>
      </c>
      <c r="N6" s="20" t="s">
        <v>76</v>
      </c>
      <c r="O6" s="20" t="s">
        <v>76</v>
      </c>
      <c r="P6" s="15">
        <v>12.592592592592601</v>
      </c>
      <c r="Q6" s="20" t="s">
        <v>76</v>
      </c>
      <c r="R6" s="15">
        <v>10.989010989011</v>
      </c>
      <c r="S6" s="15">
        <v>8</v>
      </c>
      <c r="T6" s="20" t="s">
        <v>76</v>
      </c>
      <c r="U6" s="20" t="s">
        <v>76</v>
      </c>
      <c r="V6" s="20" t="s">
        <v>76</v>
      </c>
      <c r="W6" s="15">
        <v>8.9285714285714306</v>
      </c>
      <c r="X6" s="20" t="s">
        <v>76</v>
      </c>
      <c r="Y6" s="15">
        <v>26.829268292682901</v>
      </c>
      <c r="Z6" s="15">
        <v>32.6086956521739</v>
      </c>
      <c r="AA6" s="15">
        <v>26.027397260274</v>
      </c>
      <c r="AB6" s="15">
        <v>20.5128205128205</v>
      </c>
      <c r="AC6" s="20" t="s">
        <v>76</v>
      </c>
      <c r="AD6" s="15">
        <v>8.4210526315789505</v>
      </c>
      <c r="AE6" s="20" t="s">
        <v>76</v>
      </c>
      <c r="AF6" s="15">
        <v>48.648648648648702</v>
      </c>
      <c r="AG6" s="32">
        <v>7.1559944484693201</v>
      </c>
      <c r="AH6" s="15">
        <v>2.3489932885906</v>
      </c>
      <c r="AI6" s="15">
        <v>7.0796460176991101</v>
      </c>
      <c r="AJ6" s="15">
        <v>5.0147492625368697</v>
      </c>
      <c r="AK6" s="15">
        <v>5.8823529411764701</v>
      </c>
      <c r="AL6" s="15">
        <v>6.1452513966480398</v>
      </c>
      <c r="AM6" s="15">
        <v>5.2307692307692299</v>
      </c>
      <c r="AN6" s="24">
        <v>16.455696202531598</v>
      </c>
      <c r="AO6" s="38"/>
    </row>
    <row r="7" spans="1:41">
      <c r="A7" s="11" t="s">
        <v>362</v>
      </c>
      <c r="B7" s="37">
        <v>23.804651039170899</v>
      </c>
      <c r="C7" s="33">
        <v>25.7159269568029</v>
      </c>
      <c r="D7" s="33">
        <v>30.257142466955099</v>
      </c>
      <c r="E7" s="33">
        <v>31.136229629041299</v>
      </c>
      <c r="F7" s="16">
        <v>20.8333333333333</v>
      </c>
      <c r="G7" s="16">
        <v>32.835820895522403</v>
      </c>
      <c r="H7" s="16">
        <v>35.365853658536601</v>
      </c>
      <c r="I7" s="16">
        <v>37.5</v>
      </c>
      <c r="J7" s="16">
        <v>29.629629629629601</v>
      </c>
      <c r="K7" s="16">
        <v>24</v>
      </c>
      <c r="L7" s="16">
        <v>23.4375</v>
      </c>
      <c r="M7" s="16">
        <v>33.823529411764703</v>
      </c>
      <c r="N7" s="16">
        <v>18.367346938775501</v>
      </c>
      <c r="O7" s="16">
        <v>38.095238095238102</v>
      </c>
      <c r="P7" s="16">
        <v>26.6666666666667</v>
      </c>
      <c r="Q7" s="16">
        <v>50</v>
      </c>
      <c r="R7" s="16">
        <v>18.6813186813187</v>
      </c>
      <c r="S7" s="16">
        <v>28</v>
      </c>
      <c r="T7" s="16">
        <v>30.303030303030301</v>
      </c>
      <c r="U7" s="16">
        <v>10.6382978723404</v>
      </c>
      <c r="V7" s="16">
        <v>33.3333333333333</v>
      </c>
      <c r="W7" s="16">
        <v>14.285714285714301</v>
      </c>
      <c r="X7" s="16">
        <v>61.538461538461497</v>
      </c>
      <c r="Y7" s="16">
        <v>39.024390243902403</v>
      </c>
      <c r="Z7" s="16">
        <v>32.6086956521739</v>
      </c>
      <c r="AA7" s="16">
        <v>35.616438356164402</v>
      </c>
      <c r="AB7" s="16">
        <v>46.153846153846203</v>
      </c>
      <c r="AC7" s="16">
        <v>29.629629629629601</v>
      </c>
      <c r="AD7" s="16">
        <v>26.315789473684202</v>
      </c>
      <c r="AE7" s="16">
        <v>24.590163934426201</v>
      </c>
      <c r="AF7" s="16">
        <v>43.243243243243199</v>
      </c>
      <c r="AG7" s="33">
        <v>29.574680185455701</v>
      </c>
      <c r="AH7" s="16">
        <v>16.778523489932901</v>
      </c>
      <c r="AI7" s="16">
        <v>29.793510324483801</v>
      </c>
      <c r="AJ7" s="16">
        <v>17.109144542772899</v>
      </c>
      <c r="AK7" s="16">
        <v>23.529411764705898</v>
      </c>
      <c r="AL7" s="16">
        <v>35.195530726256997</v>
      </c>
      <c r="AM7" s="16">
        <v>32.307692307692299</v>
      </c>
      <c r="AN7" s="25">
        <v>39.240506329113899</v>
      </c>
      <c r="AO7" s="38"/>
    </row>
    <row r="8" spans="1:41" ht="30" customHeight="1">
      <c r="A8" t="s">
        <v>201</v>
      </c>
    </row>
    <row r="9" spans="1:41">
      <c r="A9" t="s">
        <v>143</v>
      </c>
    </row>
    <row r="10" spans="1:41">
      <c r="A10" t="s">
        <v>144</v>
      </c>
    </row>
    <row r="11" spans="1:41">
      <c r="A11" t="s">
        <v>145</v>
      </c>
    </row>
    <row r="12" spans="1:41">
      <c r="A12" t="s">
        <v>146</v>
      </c>
    </row>
    <row r="13" spans="1:41">
      <c r="A13" t="s">
        <v>147</v>
      </c>
    </row>
    <row r="14" spans="1:41">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37"/>
  <sheetViews>
    <sheetView zoomScale="70" workbookViewId="0"/>
  </sheetViews>
  <sheetFormatPr defaultColWidth="10.88671875" defaultRowHeight="15"/>
  <cols>
    <col min="1" max="1" width="51.6640625" customWidth="1"/>
    <col min="2" max="2" width="24.6640625" customWidth="1"/>
    <col min="3" max="3" width="54.6640625" customWidth="1"/>
  </cols>
  <sheetData>
    <row r="1" spans="1:3" ht="39.950000000000003" customHeight="1">
      <c r="A1" s="10" t="s">
        <v>364</v>
      </c>
      <c r="B1" s="12"/>
      <c r="C1" s="12"/>
    </row>
    <row r="2" spans="1:3" ht="45">
      <c r="A2" s="7" t="s">
        <v>52</v>
      </c>
      <c r="B2" s="6" t="s">
        <v>365</v>
      </c>
      <c r="C2" s="8" t="s">
        <v>366</v>
      </c>
    </row>
    <row r="3" spans="1:3" ht="21.95" customHeight="1">
      <c r="A3" s="22" t="s">
        <v>68</v>
      </c>
      <c r="B3" s="15">
        <v>93.373709151005698</v>
      </c>
      <c r="C3" s="24">
        <v>39.475416999304997</v>
      </c>
    </row>
    <row r="4" spans="1:3" ht="21.95" customHeight="1">
      <c r="A4" s="22" t="s">
        <v>69</v>
      </c>
      <c r="B4" s="15">
        <v>91.072859517974607</v>
      </c>
      <c r="C4" s="24">
        <v>36.124154243099603</v>
      </c>
    </row>
    <row r="5" spans="1:3" ht="21.95" customHeight="1">
      <c r="A5" s="22" t="s">
        <v>70</v>
      </c>
      <c r="B5" s="15">
        <v>75.846560846560806</v>
      </c>
      <c r="C5" s="24">
        <v>38.231521564854901</v>
      </c>
    </row>
    <row r="6" spans="1:3">
      <c r="A6" s="9" t="s">
        <v>166</v>
      </c>
      <c r="B6" s="15">
        <v>90</v>
      </c>
      <c r="C6" s="24">
        <v>100</v>
      </c>
    </row>
    <row r="7" spans="1:3">
      <c r="A7" s="9" t="s">
        <v>167</v>
      </c>
      <c r="B7" s="15">
        <v>60</v>
      </c>
      <c r="C7" s="24">
        <v>0</v>
      </c>
    </row>
    <row r="8" spans="1:3">
      <c r="A8" s="9" t="s">
        <v>168</v>
      </c>
      <c r="B8" s="15">
        <v>60</v>
      </c>
      <c r="C8" s="24">
        <v>0</v>
      </c>
    </row>
    <row r="9" spans="1:3">
      <c r="A9" s="9" t="s">
        <v>169</v>
      </c>
      <c r="B9" s="15">
        <v>120</v>
      </c>
      <c r="C9" s="24">
        <v>0</v>
      </c>
    </row>
    <row r="10" spans="1:3">
      <c r="A10" s="9" t="s">
        <v>170</v>
      </c>
      <c r="B10" s="15">
        <v>90</v>
      </c>
      <c r="C10" s="24">
        <v>0</v>
      </c>
    </row>
    <row r="11" spans="1:3">
      <c r="A11" s="9" t="s">
        <v>171</v>
      </c>
      <c r="B11" s="15">
        <v>60</v>
      </c>
      <c r="C11" s="24">
        <v>0</v>
      </c>
    </row>
    <row r="12" spans="1:3">
      <c r="A12" s="9" t="s">
        <v>172</v>
      </c>
      <c r="B12" s="15">
        <v>60</v>
      </c>
      <c r="C12" s="24">
        <v>100</v>
      </c>
    </row>
    <row r="13" spans="1:3">
      <c r="A13" s="9" t="s">
        <v>173</v>
      </c>
      <c r="B13" s="15">
        <v>45</v>
      </c>
      <c r="C13" s="24">
        <v>100</v>
      </c>
    </row>
    <row r="14" spans="1:3">
      <c r="A14" s="9" t="s">
        <v>174</v>
      </c>
      <c r="B14" s="15">
        <v>105</v>
      </c>
      <c r="C14" s="24">
        <v>0</v>
      </c>
    </row>
    <row r="15" spans="1:3">
      <c r="A15" s="9" t="s">
        <v>175</v>
      </c>
      <c r="B15" s="15">
        <v>60</v>
      </c>
      <c r="C15" s="24">
        <v>0</v>
      </c>
    </row>
    <row r="16" spans="1:3">
      <c r="A16" s="9" t="s">
        <v>176</v>
      </c>
      <c r="B16" s="15">
        <v>60</v>
      </c>
      <c r="C16" s="24">
        <v>100</v>
      </c>
    </row>
    <row r="17" spans="1:3">
      <c r="A17" s="9" t="s">
        <v>177</v>
      </c>
      <c r="B17" s="15">
        <v>60</v>
      </c>
      <c r="C17" s="24">
        <v>0</v>
      </c>
    </row>
    <row r="18" spans="1:3">
      <c r="A18" s="9" t="s">
        <v>178</v>
      </c>
      <c r="B18" s="15">
        <v>60</v>
      </c>
      <c r="C18" s="24">
        <v>0</v>
      </c>
    </row>
    <row r="19" spans="1:3">
      <c r="A19" s="9" t="s">
        <v>179</v>
      </c>
      <c r="B19" s="15">
        <v>105</v>
      </c>
      <c r="C19" s="24">
        <v>0</v>
      </c>
    </row>
    <row r="20" spans="1:3">
      <c r="A20" s="9" t="s">
        <v>180</v>
      </c>
      <c r="B20" s="15">
        <v>60</v>
      </c>
      <c r="C20" s="24">
        <v>0</v>
      </c>
    </row>
    <row r="21" spans="1:3">
      <c r="A21" s="9" t="s">
        <v>181</v>
      </c>
      <c r="B21" s="15">
        <v>60</v>
      </c>
      <c r="C21" s="24">
        <v>100</v>
      </c>
    </row>
    <row r="22" spans="1:3">
      <c r="A22" s="9" t="s">
        <v>182</v>
      </c>
      <c r="B22" s="15">
        <v>60</v>
      </c>
      <c r="C22" s="24">
        <v>0</v>
      </c>
    </row>
    <row r="23" spans="1:3">
      <c r="A23" s="9" t="s">
        <v>183</v>
      </c>
      <c r="B23" s="15">
        <v>90</v>
      </c>
      <c r="C23" s="24">
        <v>0</v>
      </c>
    </row>
    <row r="24" spans="1:3">
      <c r="A24" s="9" t="s">
        <v>184</v>
      </c>
      <c r="B24" s="15">
        <v>115</v>
      </c>
      <c r="C24" s="24">
        <v>100</v>
      </c>
    </row>
    <row r="25" spans="1:3">
      <c r="A25" s="9" t="s">
        <v>185</v>
      </c>
      <c r="B25" s="15">
        <v>50</v>
      </c>
      <c r="C25" s="24">
        <v>0</v>
      </c>
    </row>
    <row r="26" spans="1:3">
      <c r="A26" s="9" t="s">
        <v>186</v>
      </c>
      <c r="B26" s="15">
        <v>60</v>
      </c>
      <c r="C26" s="24">
        <v>0</v>
      </c>
    </row>
    <row r="27" spans="1:3">
      <c r="A27" s="9" t="s">
        <v>187</v>
      </c>
      <c r="B27" s="15">
        <v>120</v>
      </c>
      <c r="C27" s="24">
        <v>100</v>
      </c>
    </row>
    <row r="28" spans="1:3">
      <c r="A28" s="9" t="s">
        <v>188</v>
      </c>
      <c r="B28" s="15">
        <v>60</v>
      </c>
      <c r="C28" s="24">
        <v>0</v>
      </c>
    </row>
    <row r="29" spans="1:3">
      <c r="A29" s="9" t="s">
        <v>189</v>
      </c>
      <c r="B29" s="15">
        <v>120</v>
      </c>
      <c r="C29" s="24">
        <v>100</v>
      </c>
    </row>
    <row r="30" spans="1:3">
      <c r="A30" s="9" t="s">
        <v>190</v>
      </c>
      <c r="B30" s="15">
        <v>60</v>
      </c>
      <c r="C30" s="24">
        <v>0</v>
      </c>
    </row>
    <row r="31" spans="1:3">
      <c r="A31" s="9" t="s">
        <v>191</v>
      </c>
      <c r="B31" s="15">
        <v>60</v>
      </c>
      <c r="C31" s="24">
        <v>100</v>
      </c>
    </row>
    <row r="32" spans="1:3">
      <c r="A32" s="11" t="s">
        <v>192</v>
      </c>
      <c r="B32" s="16">
        <v>90</v>
      </c>
      <c r="C32" s="25">
        <v>100</v>
      </c>
    </row>
    <row r="33" spans="1:1" ht="30" customHeight="1">
      <c r="A33" t="s">
        <v>144</v>
      </c>
    </row>
    <row r="34" spans="1:1">
      <c r="A34" t="s">
        <v>367</v>
      </c>
    </row>
    <row r="35" spans="1:1">
      <c r="A35" t="s">
        <v>368</v>
      </c>
    </row>
    <row r="36" spans="1:1">
      <c r="A36" t="s">
        <v>369</v>
      </c>
    </row>
    <row r="37" spans="1:1">
      <c r="A3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370</v>
      </c>
      <c r="B1" s="12"/>
      <c r="C1" s="12"/>
      <c r="D1" s="12"/>
      <c r="E1" s="12"/>
      <c r="F1" s="12"/>
      <c r="G1" s="12"/>
    </row>
    <row r="2" spans="1:7" ht="60">
      <c r="A2" s="7" t="s">
        <v>52</v>
      </c>
      <c r="B2" s="6" t="s">
        <v>371</v>
      </c>
      <c r="C2" s="6" t="s">
        <v>372</v>
      </c>
      <c r="D2" s="6" t="s">
        <v>373</v>
      </c>
      <c r="E2" s="6" t="s">
        <v>374</v>
      </c>
      <c r="F2" s="6" t="s">
        <v>375</v>
      </c>
      <c r="G2" s="8" t="s">
        <v>376</v>
      </c>
    </row>
    <row r="3" spans="1:7">
      <c r="A3" s="40" t="s">
        <v>377</v>
      </c>
      <c r="B3" s="15"/>
      <c r="C3" s="15"/>
      <c r="D3" s="15"/>
      <c r="E3" s="15"/>
      <c r="F3" s="15"/>
      <c r="G3" s="24"/>
    </row>
    <row r="4" spans="1:7">
      <c r="A4" s="9" t="s">
        <v>378</v>
      </c>
      <c r="B4" s="15">
        <v>25.592507039249</v>
      </c>
      <c r="C4" s="15">
        <v>13.956889833458501</v>
      </c>
      <c r="D4" s="15">
        <v>22.232686984923099</v>
      </c>
      <c r="E4" s="15">
        <v>20.545721148355099</v>
      </c>
      <c r="F4" s="15">
        <v>21.1932422934138</v>
      </c>
      <c r="G4" s="24">
        <v>20.2262244207366</v>
      </c>
    </row>
    <row r="5" spans="1:7">
      <c r="A5" s="9" t="s">
        <v>379</v>
      </c>
      <c r="B5" s="15">
        <v>70.918648802923698</v>
      </c>
      <c r="C5" s="15">
        <v>47.165660750803902</v>
      </c>
      <c r="D5" s="15">
        <v>59.734659436897601</v>
      </c>
      <c r="E5" s="15">
        <v>59.178855303594901</v>
      </c>
      <c r="F5" s="15">
        <v>64.309156916743305</v>
      </c>
      <c r="G5" s="24">
        <v>64.5959647327619</v>
      </c>
    </row>
    <row r="6" spans="1:7">
      <c r="A6" s="9" t="s">
        <v>380</v>
      </c>
      <c r="B6" s="15">
        <v>50.912837424742399</v>
      </c>
      <c r="C6" s="15">
        <v>33.538081056680397</v>
      </c>
      <c r="D6" s="15">
        <v>40.077426375048901</v>
      </c>
      <c r="E6" s="15">
        <v>41.329629508028397</v>
      </c>
      <c r="F6" s="15">
        <v>47.656700842251396</v>
      </c>
      <c r="G6" s="24">
        <v>49.0090816749466</v>
      </c>
    </row>
    <row r="7" spans="1:7">
      <c r="A7" s="9" t="s">
        <v>221</v>
      </c>
      <c r="B7" s="15">
        <v>29.810224431807001</v>
      </c>
      <c r="C7" s="15">
        <v>2.93007812728119</v>
      </c>
      <c r="D7" s="15">
        <v>7.9108149730759996</v>
      </c>
      <c r="E7" s="15">
        <v>6.1176225631275498</v>
      </c>
      <c r="F7" s="15">
        <v>12.9657513343193</v>
      </c>
      <c r="G7" s="24">
        <v>26.5014977639281</v>
      </c>
    </row>
    <row r="8" spans="1:7">
      <c r="A8" s="9" t="s">
        <v>381</v>
      </c>
      <c r="B8" s="15">
        <v>62.227436770894897</v>
      </c>
      <c r="C8" s="15">
        <v>43.690773182929597</v>
      </c>
      <c r="D8" s="15">
        <v>55.736012768048603</v>
      </c>
      <c r="E8" s="15">
        <v>54.206269411015299</v>
      </c>
      <c r="F8" s="15">
        <v>53.851080351979597</v>
      </c>
      <c r="G8" s="24">
        <v>53.443874729260898</v>
      </c>
    </row>
    <row r="9" spans="1:7">
      <c r="A9" s="9" t="s">
        <v>382</v>
      </c>
      <c r="B9" s="15">
        <v>4.3993495805512604</v>
      </c>
      <c r="C9" s="15">
        <v>1.80393439372594</v>
      </c>
      <c r="D9" s="15">
        <v>3.6186211334300502</v>
      </c>
      <c r="E9" s="15">
        <v>3.5364518647365402</v>
      </c>
      <c r="F9" s="15">
        <v>3.7173446503951402</v>
      </c>
      <c r="G9" s="24">
        <v>3.1903411894654399</v>
      </c>
    </row>
    <row r="10" spans="1:7">
      <c r="A10" s="9" t="s">
        <v>383</v>
      </c>
      <c r="B10" s="15">
        <v>56.208284666711002</v>
      </c>
      <c r="C10" s="15">
        <v>38.479872902140897</v>
      </c>
      <c r="D10" s="15">
        <v>52.830117748225099</v>
      </c>
      <c r="E10" s="15">
        <v>50.942531932137399</v>
      </c>
      <c r="F10" s="15">
        <v>49.447658238078297</v>
      </c>
      <c r="G10" s="24">
        <v>49.478461680960599</v>
      </c>
    </row>
    <row r="11" spans="1:7">
      <c r="A11" s="9" t="s">
        <v>384</v>
      </c>
      <c r="B11" s="15">
        <v>2.20386170545612</v>
      </c>
      <c r="C11" s="15">
        <v>0.45692497472110799</v>
      </c>
      <c r="D11" s="15">
        <v>1.39430834878263</v>
      </c>
      <c r="E11" s="15">
        <v>1.0676653661992901</v>
      </c>
      <c r="F11" s="15">
        <v>1.7734259624178199</v>
      </c>
      <c r="G11" s="24">
        <v>1.3726564487711399</v>
      </c>
    </row>
    <row r="12" spans="1:7">
      <c r="A12" s="9" t="s">
        <v>385</v>
      </c>
      <c r="B12" s="15">
        <v>80.358759272204296</v>
      </c>
      <c r="C12" s="15">
        <v>38.933009720038001</v>
      </c>
      <c r="D12" s="15">
        <v>51.178554690565903</v>
      </c>
      <c r="E12" s="15">
        <v>59.736686119145901</v>
      </c>
      <c r="F12" s="15">
        <v>68.240781930932599</v>
      </c>
      <c r="G12" s="24">
        <v>66.954390281393401</v>
      </c>
    </row>
    <row r="13" spans="1:7">
      <c r="A13" s="9" t="s">
        <v>386</v>
      </c>
      <c r="B13" s="15">
        <v>1.6297483125774801</v>
      </c>
      <c r="C13" s="15">
        <v>0.66368206315445</v>
      </c>
      <c r="D13" s="15">
        <v>0.85149753445389798</v>
      </c>
      <c r="E13" s="15">
        <v>0.85149753445389798</v>
      </c>
      <c r="F13" s="15">
        <v>1.3181156371918801</v>
      </c>
      <c r="G13" s="24">
        <v>1.6297483125774801</v>
      </c>
    </row>
    <row r="14" spans="1:7">
      <c r="A14" s="9" t="s">
        <v>387</v>
      </c>
      <c r="B14" s="15">
        <v>49.726269542072401</v>
      </c>
      <c r="C14" s="15">
        <v>29.8347299153506</v>
      </c>
      <c r="D14" s="15">
        <v>45.764624256929501</v>
      </c>
      <c r="E14" s="15">
        <v>41.692302730650098</v>
      </c>
      <c r="F14" s="15">
        <v>39.478394356482397</v>
      </c>
      <c r="G14" s="24">
        <v>38.691924389291501</v>
      </c>
    </row>
    <row r="15" spans="1:7">
      <c r="A15" s="40" t="s">
        <v>388</v>
      </c>
      <c r="B15" s="15"/>
      <c r="C15" s="15"/>
      <c r="D15" s="15"/>
      <c r="E15" s="15"/>
      <c r="F15" s="15"/>
      <c r="G15" s="24"/>
    </row>
    <row r="16" spans="1:7">
      <c r="A16" s="9" t="s">
        <v>208</v>
      </c>
      <c r="B16" s="15">
        <v>90.136152902939102</v>
      </c>
      <c r="C16" s="15">
        <v>72.438042439320796</v>
      </c>
      <c r="D16" s="15">
        <v>82.646043057134307</v>
      </c>
      <c r="E16" s="15">
        <v>80.6419059370984</v>
      </c>
      <c r="F16" s="15">
        <v>83.915462728326702</v>
      </c>
      <c r="G16" s="24">
        <v>83.237148893326506</v>
      </c>
    </row>
    <row r="17" spans="1:7">
      <c r="A17" s="9" t="s">
        <v>209</v>
      </c>
      <c r="B17" s="15">
        <v>12.060609208693201</v>
      </c>
      <c r="C17" s="15">
        <v>4.7172137315768197</v>
      </c>
      <c r="D17" s="15">
        <v>9.4610597406451298</v>
      </c>
      <c r="E17" s="15">
        <v>7.13459842692005</v>
      </c>
      <c r="F17" s="15">
        <v>8.2852169696882498</v>
      </c>
      <c r="G17" s="24">
        <v>8.9789731874516292</v>
      </c>
    </row>
    <row r="18" spans="1:7">
      <c r="A18" s="9" t="s">
        <v>389</v>
      </c>
      <c r="B18" s="15">
        <v>80.508850981658199</v>
      </c>
      <c r="C18" s="15">
        <v>53.230740156884501</v>
      </c>
      <c r="D18" s="15">
        <v>68.734246682034197</v>
      </c>
      <c r="E18" s="15">
        <v>68.3312657613901</v>
      </c>
      <c r="F18" s="15">
        <v>71.785674659306295</v>
      </c>
      <c r="G18" s="24">
        <v>72.453094855731905</v>
      </c>
    </row>
    <row r="19" spans="1:7">
      <c r="A19" s="9" t="s">
        <v>210</v>
      </c>
      <c r="B19" s="15">
        <v>38.487253676681803</v>
      </c>
      <c r="C19" s="15">
        <v>18.767500495055302</v>
      </c>
      <c r="D19" s="15">
        <v>27.947777604333002</v>
      </c>
      <c r="E19" s="15">
        <v>26.863358347101901</v>
      </c>
      <c r="F19" s="15">
        <v>32.628938266697702</v>
      </c>
      <c r="G19" s="24">
        <v>32.716374704432198</v>
      </c>
    </row>
    <row r="20" spans="1:7">
      <c r="A20" s="9" t="s">
        <v>390</v>
      </c>
      <c r="B20" s="15">
        <v>5.3796785137651497</v>
      </c>
      <c r="C20" s="15">
        <v>1.92896083313315</v>
      </c>
      <c r="D20" s="15">
        <v>2.4335604587378299</v>
      </c>
      <c r="E20" s="15">
        <v>2.87204110983147</v>
      </c>
      <c r="F20" s="15">
        <v>4.2233494206955804</v>
      </c>
      <c r="G20" s="24">
        <v>3.8775739382787102</v>
      </c>
    </row>
    <row r="21" spans="1:7">
      <c r="A21" s="9" t="s">
        <v>219</v>
      </c>
      <c r="B21" s="15">
        <v>72.140847795772501</v>
      </c>
      <c r="C21" s="15">
        <v>41.691808361164199</v>
      </c>
      <c r="D21" s="15">
        <v>55.145328027520101</v>
      </c>
      <c r="E21" s="15">
        <v>55.181821003688597</v>
      </c>
      <c r="F21" s="15">
        <v>64.238874468808504</v>
      </c>
      <c r="G21" s="24">
        <v>65.314073342322502</v>
      </c>
    </row>
    <row r="22" spans="1:7">
      <c r="A22" s="9" t="s">
        <v>221</v>
      </c>
      <c r="B22" s="15">
        <v>29.810224431807001</v>
      </c>
      <c r="C22" s="15">
        <v>2.93007812728119</v>
      </c>
      <c r="D22" s="15">
        <v>7.9108149730759996</v>
      </c>
      <c r="E22" s="15">
        <v>6.1176225631275498</v>
      </c>
      <c r="F22" s="15">
        <v>12.9657513343193</v>
      </c>
      <c r="G22" s="24">
        <v>26.5014977639281</v>
      </c>
    </row>
    <row r="23" spans="1:7">
      <c r="A23" s="9" t="s">
        <v>223</v>
      </c>
      <c r="B23" s="15">
        <v>56.858003279900501</v>
      </c>
      <c r="C23" s="15">
        <v>37.327711891604203</v>
      </c>
      <c r="D23" s="15">
        <v>47.160944306061502</v>
      </c>
      <c r="E23" s="15">
        <v>48.1813025517664</v>
      </c>
      <c r="F23" s="15">
        <v>52.743092377865203</v>
      </c>
      <c r="G23" s="24">
        <v>52.697543429187</v>
      </c>
    </row>
    <row r="24" spans="1:7">
      <c r="A24" s="9" t="s">
        <v>228</v>
      </c>
      <c r="B24" s="15">
        <v>91.445049197328601</v>
      </c>
      <c r="C24" s="15">
        <v>63.0468209725748</v>
      </c>
      <c r="D24" s="15">
        <v>80.609331759065498</v>
      </c>
      <c r="E24" s="15">
        <v>80.200048952621501</v>
      </c>
      <c r="F24" s="15">
        <v>83.878537325385494</v>
      </c>
      <c r="G24" s="24">
        <v>83.274779389012494</v>
      </c>
    </row>
    <row r="25" spans="1:7">
      <c r="A25" s="9" t="s">
        <v>230</v>
      </c>
      <c r="B25" s="15">
        <v>10.760786508590501</v>
      </c>
      <c r="C25" s="15">
        <v>3.58850082737173</v>
      </c>
      <c r="D25" s="15">
        <v>7.1503425358448798</v>
      </c>
      <c r="E25" s="15">
        <v>5.98726468235055</v>
      </c>
      <c r="F25" s="15">
        <v>7.46980560051834</v>
      </c>
      <c r="G25" s="24">
        <v>7.8310796750865297</v>
      </c>
    </row>
    <row r="26" spans="1:7">
      <c r="A26" s="9" t="s">
        <v>391</v>
      </c>
      <c r="B26" s="15">
        <v>63.329027506632102</v>
      </c>
      <c r="C26" s="15">
        <v>33.6967813800945</v>
      </c>
      <c r="D26" s="15">
        <v>48.9847752623484</v>
      </c>
      <c r="E26" s="15">
        <v>49.093839796717802</v>
      </c>
      <c r="F26" s="15">
        <v>53.372221268675297</v>
      </c>
      <c r="G26" s="24">
        <v>53.8711114950205</v>
      </c>
    </row>
    <row r="27" spans="1:7">
      <c r="A27" s="9" t="s">
        <v>236</v>
      </c>
      <c r="B27" s="15">
        <v>2.9601793311977498</v>
      </c>
      <c r="C27" s="15">
        <v>0.90725690440514795</v>
      </c>
      <c r="D27" s="15">
        <v>1.32735857758817</v>
      </c>
      <c r="E27" s="15">
        <v>1.5269125158438299</v>
      </c>
      <c r="F27" s="15">
        <v>2.1820167925586298</v>
      </c>
      <c r="G27" s="24">
        <v>2.69019459120479</v>
      </c>
    </row>
    <row r="28" spans="1:7">
      <c r="A28" s="9" t="s">
        <v>392</v>
      </c>
      <c r="B28" s="15">
        <v>56.124744334891602</v>
      </c>
      <c r="C28" s="15">
        <v>40.355480735023903</v>
      </c>
      <c r="D28" s="15">
        <v>52.686254938774098</v>
      </c>
      <c r="E28" s="15">
        <v>52.615633291046201</v>
      </c>
      <c r="F28" s="15">
        <v>51.032109365297501</v>
      </c>
      <c r="G28" s="24">
        <v>50.683170614372898</v>
      </c>
    </row>
    <row r="29" spans="1:7">
      <c r="A29" s="9" t="s">
        <v>240</v>
      </c>
      <c r="B29" s="15">
        <v>76.307717557619</v>
      </c>
      <c r="C29" s="15">
        <v>41.988805324476999</v>
      </c>
      <c r="D29" s="15">
        <v>56.930338086330003</v>
      </c>
      <c r="E29" s="15">
        <v>59.701519873518897</v>
      </c>
      <c r="F29" s="15">
        <v>68.982273396763304</v>
      </c>
      <c r="G29" s="24">
        <v>70.989476875063801</v>
      </c>
    </row>
    <row r="30" spans="1:7">
      <c r="A30" s="9" t="s">
        <v>393</v>
      </c>
      <c r="B30" s="15">
        <v>12.439012110036099</v>
      </c>
      <c r="C30" s="15">
        <v>5.1169552063429098</v>
      </c>
      <c r="D30" s="15">
        <v>8.0470586918426008</v>
      </c>
      <c r="E30" s="15">
        <v>8.4493869240912591</v>
      </c>
      <c r="F30" s="15">
        <v>11.197628041812999</v>
      </c>
      <c r="G30" s="24">
        <v>11.6500481224171</v>
      </c>
    </row>
    <row r="31" spans="1:7">
      <c r="A31" s="9" t="s">
        <v>394</v>
      </c>
      <c r="B31" s="15">
        <v>55.720587217110896</v>
      </c>
      <c r="C31" s="15">
        <v>27.931235186272801</v>
      </c>
      <c r="D31" s="15">
        <v>38.669330192959599</v>
      </c>
      <c r="E31" s="15">
        <v>43.584929060773099</v>
      </c>
      <c r="F31" s="15">
        <v>51.602124478338297</v>
      </c>
      <c r="G31" s="24">
        <v>52.180995125882603</v>
      </c>
    </row>
    <row r="32" spans="1:7">
      <c r="A32" s="9" t="s">
        <v>252</v>
      </c>
      <c r="B32" s="15">
        <v>4.1253475875738896</v>
      </c>
      <c r="C32" s="15">
        <v>2.9839221363703001</v>
      </c>
      <c r="D32" s="15">
        <v>3.23042994245082</v>
      </c>
      <c r="E32" s="15">
        <v>3.23042994245082</v>
      </c>
      <c r="F32" s="15">
        <v>3.7310655252556701</v>
      </c>
      <c r="G32" s="24">
        <v>4.1253475875738896</v>
      </c>
    </row>
    <row r="33" spans="1:7">
      <c r="A33" s="9" t="s">
        <v>395</v>
      </c>
      <c r="B33" s="15">
        <v>5.3935465557361004</v>
      </c>
      <c r="C33" s="15">
        <v>2.7474603234128399</v>
      </c>
      <c r="D33" s="15">
        <v>4.0484726960663799</v>
      </c>
      <c r="E33" s="15">
        <v>4.0101682249461001</v>
      </c>
      <c r="F33" s="15">
        <v>4.4736986615552903</v>
      </c>
      <c r="G33" s="24">
        <v>4.8654699962189802</v>
      </c>
    </row>
    <row r="34" spans="1:7">
      <c r="A34" s="9" t="s">
        <v>396</v>
      </c>
      <c r="B34" s="15">
        <v>59.057733921474103</v>
      </c>
      <c r="C34" s="15">
        <v>36.7662155900789</v>
      </c>
      <c r="D34" s="15">
        <v>49.986437032836598</v>
      </c>
      <c r="E34" s="15">
        <v>48.682607056151603</v>
      </c>
      <c r="F34" s="15">
        <v>52.199830218873501</v>
      </c>
      <c r="G34" s="24">
        <v>51.029743718688501</v>
      </c>
    </row>
    <row r="35" spans="1:7">
      <c r="A35" s="9" t="s">
        <v>259</v>
      </c>
      <c r="B35" s="15">
        <v>2.68543749502357</v>
      </c>
      <c r="C35" s="15">
        <v>1.2737453871631499</v>
      </c>
      <c r="D35" s="15">
        <v>1.6463083213530301</v>
      </c>
      <c r="E35" s="15">
        <v>1.8538938422629501</v>
      </c>
      <c r="F35" s="15">
        <v>2.38394423846393</v>
      </c>
      <c r="G35" s="24">
        <v>2.29390813752959</v>
      </c>
    </row>
    <row r="36" spans="1:7">
      <c r="A36" s="9" t="s">
        <v>260</v>
      </c>
      <c r="B36" s="15">
        <v>4.2973120516551901</v>
      </c>
      <c r="C36" s="15">
        <v>0.75437669770152604</v>
      </c>
      <c r="D36" s="15">
        <v>2.2175730627781198</v>
      </c>
      <c r="E36" s="15">
        <v>2.3335767362277799</v>
      </c>
      <c r="F36" s="15">
        <v>3.46690182675998</v>
      </c>
      <c r="G36" s="24">
        <v>3.7468316568130602</v>
      </c>
    </row>
    <row r="37" spans="1:7">
      <c r="A37" s="9" t="s">
        <v>397</v>
      </c>
      <c r="B37" s="15">
        <v>1.3261106646480501</v>
      </c>
      <c r="C37" s="15">
        <v>0.223030872168095</v>
      </c>
      <c r="D37" s="15">
        <v>0.79775925708546902</v>
      </c>
      <c r="E37" s="15">
        <v>0.79775925708546902</v>
      </c>
      <c r="F37" s="15">
        <v>1.2322029289983301</v>
      </c>
      <c r="G37" s="24">
        <v>1.24394139595454</v>
      </c>
    </row>
    <row r="38" spans="1:7">
      <c r="A38" s="40" t="s">
        <v>398</v>
      </c>
      <c r="B38" s="15"/>
      <c r="C38" s="15"/>
      <c r="D38" s="15"/>
      <c r="E38" s="15"/>
      <c r="F38" s="15"/>
      <c r="G38" s="24"/>
    </row>
    <row r="39" spans="1:7">
      <c r="A39" s="9" t="s">
        <v>222</v>
      </c>
      <c r="B39" s="15">
        <v>83.309226168519601</v>
      </c>
      <c r="C39" s="15">
        <v>64.830571333413502</v>
      </c>
      <c r="D39" s="15">
        <v>78.188809388159498</v>
      </c>
      <c r="E39" s="15">
        <v>75.408597961941197</v>
      </c>
      <c r="F39" s="15">
        <v>74.733136916286</v>
      </c>
      <c r="G39" s="24">
        <v>74.744750346773799</v>
      </c>
    </row>
    <row r="40" spans="1:7">
      <c r="A40" s="9" t="s">
        <v>231</v>
      </c>
      <c r="B40" s="15">
        <v>80.856545933178893</v>
      </c>
      <c r="C40" s="15">
        <v>64.114773741682697</v>
      </c>
      <c r="D40" s="15">
        <v>76.104858901892499</v>
      </c>
      <c r="E40" s="15">
        <v>73.831893985080498</v>
      </c>
      <c r="F40" s="15">
        <v>73.754027654365004</v>
      </c>
      <c r="G40" s="24">
        <v>73.185630265558999</v>
      </c>
    </row>
    <row r="41" spans="1:7">
      <c r="A41" s="9" t="s">
        <v>399</v>
      </c>
      <c r="B41" s="15">
        <v>3.2043180813122101</v>
      </c>
      <c r="C41" s="15">
        <v>1.4175128366244401</v>
      </c>
      <c r="D41" s="15">
        <v>2.6399449463383799</v>
      </c>
      <c r="E41" s="15">
        <v>2.4563769466349301</v>
      </c>
      <c r="F41" s="15">
        <v>2.7968954573735698</v>
      </c>
      <c r="G41" s="24">
        <v>2.8848309905367899</v>
      </c>
    </row>
    <row r="42" spans="1:7">
      <c r="A42" s="40" t="s">
        <v>400</v>
      </c>
      <c r="B42" s="15"/>
      <c r="C42" s="15"/>
      <c r="D42" s="15"/>
      <c r="E42" s="15"/>
      <c r="F42" s="15"/>
      <c r="G42" s="24"/>
    </row>
    <row r="43" spans="1:7">
      <c r="A43" s="9" t="s">
        <v>401</v>
      </c>
      <c r="B43" s="15">
        <v>23.312177424714299</v>
      </c>
      <c r="C43" s="15">
        <v>2.8240148179487901</v>
      </c>
      <c r="D43" s="15">
        <v>3.8134409910474498</v>
      </c>
      <c r="E43" s="15">
        <v>5.0519482424117701</v>
      </c>
      <c r="F43" s="15">
        <v>13.6310472241911</v>
      </c>
      <c r="G43" s="24">
        <v>21.6873137759491</v>
      </c>
    </row>
    <row r="44" spans="1:7">
      <c r="A44" s="9" t="s">
        <v>402</v>
      </c>
      <c r="B44" s="15">
        <v>17.481965176904101</v>
      </c>
      <c r="C44" s="15">
        <v>1.6480522179202599</v>
      </c>
      <c r="D44" s="15">
        <v>2.6308856100049498</v>
      </c>
      <c r="E44" s="15">
        <v>4.2282688981417804</v>
      </c>
      <c r="F44" s="15">
        <v>10.345905722752301</v>
      </c>
      <c r="G44" s="24">
        <v>16.458652811695099</v>
      </c>
    </row>
    <row r="45" spans="1:7">
      <c r="A45" s="9" t="s">
        <v>218</v>
      </c>
      <c r="B45" s="15">
        <v>29.460946340959499</v>
      </c>
      <c r="C45" s="15">
        <v>4.9357008135191798</v>
      </c>
      <c r="D45" s="15">
        <v>6.2892979148566299</v>
      </c>
      <c r="E45" s="15">
        <v>8.2513509548725299</v>
      </c>
      <c r="F45" s="15">
        <v>18.976661151297598</v>
      </c>
      <c r="G45" s="24">
        <v>27.8967501915401</v>
      </c>
    </row>
    <row r="46" spans="1:7">
      <c r="A46" s="9" t="s">
        <v>239</v>
      </c>
      <c r="B46" s="15">
        <v>3.85867962998958</v>
      </c>
      <c r="C46" s="15">
        <v>0.529535287135945</v>
      </c>
      <c r="D46" s="15">
        <v>0.529535287135945</v>
      </c>
      <c r="E46" s="15">
        <v>0.70884393420396496</v>
      </c>
      <c r="F46" s="15">
        <v>2.0776769024725601</v>
      </c>
      <c r="G46" s="24">
        <v>3.4739478111877902</v>
      </c>
    </row>
    <row r="47" spans="1:7">
      <c r="A47" s="9" t="s">
        <v>403</v>
      </c>
      <c r="B47" s="15">
        <v>39.414318173864302</v>
      </c>
      <c r="C47" s="15">
        <v>17.730520739782602</v>
      </c>
      <c r="D47" s="15">
        <v>21.718477330806898</v>
      </c>
      <c r="E47" s="15">
        <v>23.881955896817001</v>
      </c>
      <c r="F47" s="15">
        <v>32.0718264859348</v>
      </c>
      <c r="G47" s="24">
        <v>37.206839434202202</v>
      </c>
    </row>
    <row r="48" spans="1:7">
      <c r="A48" s="9" t="s">
        <v>404</v>
      </c>
      <c r="B48" s="15">
        <v>1.9387367931025801</v>
      </c>
      <c r="C48" s="15">
        <v>0.150643659271433</v>
      </c>
      <c r="D48" s="15">
        <v>0.150643659271433</v>
      </c>
      <c r="E48" s="15">
        <v>0.150643659271433</v>
      </c>
      <c r="F48" s="15">
        <v>0.56060189504163005</v>
      </c>
      <c r="G48" s="24">
        <v>1.9387367931025801</v>
      </c>
    </row>
    <row r="49" spans="1:7">
      <c r="A49" s="9" t="s">
        <v>237</v>
      </c>
      <c r="B49" s="15">
        <v>13.088477522956399</v>
      </c>
      <c r="C49" s="15">
        <v>3.1606436503934798</v>
      </c>
      <c r="D49" s="15">
        <v>4.2035747044415501</v>
      </c>
      <c r="E49" s="15">
        <v>6.1184005174232601</v>
      </c>
      <c r="F49" s="15">
        <v>10.152197334608701</v>
      </c>
      <c r="G49" s="24">
        <v>12.385791267465599</v>
      </c>
    </row>
    <row r="50" spans="1:7">
      <c r="A50" s="9" t="s">
        <v>241</v>
      </c>
      <c r="B50" s="15">
        <v>9.8544781957624004</v>
      </c>
      <c r="C50" s="15">
        <v>0.63348228508458604</v>
      </c>
      <c r="D50" s="15">
        <v>0.94403378588211095</v>
      </c>
      <c r="E50" s="15">
        <v>1.4905557544157799</v>
      </c>
      <c r="F50" s="15">
        <v>5.4350869458376403</v>
      </c>
      <c r="G50" s="24">
        <v>8.8655698962059297</v>
      </c>
    </row>
    <row r="51" spans="1:7">
      <c r="A51" s="9" t="s">
        <v>242</v>
      </c>
      <c r="B51" s="15">
        <v>1.70384138294877</v>
      </c>
      <c r="C51" s="15">
        <v>0.57528784986294801</v>
      </c>
      <c r="D51" s="15">
        <v>1.3496279940945399</v>
      </c>
      <c r="E51" s="15">
        <v>1.22180913168242</v>
      </c>
      <c r="F51" s="15">
        <v>1.21920058346993</v>
      </c>
      <c r="G51" s="24">
        <v>1.1977830297252501</v>
      </c>
    </row>
    <row r="52" spans="1:7">
      <c r="A52" s="9" t="s">
        <v>244</v>
      </c>
      <c r="B52" s="15">
        <v>0.38150017607700398</v>
      </c>
      <c r="C52" s="15">
        <v>0</v>
      </c>
      <c r="D52" s="15">
        <v>0.24455139492115699</v>
      </c>
      <c r="E52" s="15">
        <v>0.24455139492115699</v>
      </c>
      <c r="F52" s="15">
        <v>0.38150017607700398</v>
      </c>
      <c r="G52" s="24">
        <v>0.38150017607700398</v>
      </c>
    </row>
    <row r="53" spans="1:7">
      <c r="A53" s="9" t="s">
        <v>249</v>
      </c>
      <c r="B53" s="15">
        <v>2.2076033267970998</v>
      </c>
      <c r="C53" s="15">
        <v>0.32174070793627102</v>
      </c>
      <c r="D53" s="15">
        <v>0.708478046193741</v>
      </c>
      <c r="E53" s="15">
        <v>0.83414869243087097</v>
      </c>
      <c r="F53" s="15">
        <v>1.60517033033829</v>
      </c>
      <c r="G53" s="24">
        <v>2.2076033267970998</v>
      </c>
    </row>
    <row r="54" spans="1:7">
      <c r="A54" s="9" t="s">
        <v>250</v>
      </c>
      <c r="B54" s="15">
        <v>1.5323676213266699</v>
      </c>
      <c r="C54" s="15">
        <v>0.44084464791120498</v>
      </c>
      <c r="D54" s="15">
        <v>0.93712952608857103</v>
      </c>
      <c r="E54" s="15">
        <v>1.01929879478208</v>
      </c>
      <c r="F54" s="15">
        <v>1.2589591618048099</v>
      </c>
      <c r="G54" s="24">
        <v>1.5323676213266699</v>
      </c>
    </row>
    <row r="55" spans="1:7">
      <c r="A55" s="9" t="s">
        <v>405</v>
      </c>
      <c r="B55" s="15">
        <v>0.65288212630685505</v>
      </c>
      <c r="C55" s="15">
        <v>0.18596202914846699</v>
      </c>
      <c r="D55" s="15">
        <v>0.18596202914846699</v>
      </c>
      <c r="E55" s="15">
        <v>0.36294199248833198</v>
      </c>
      <c r="F55" s="15">
        <v>0.53549745674469995</v>
      </c>
      <c r="G55" s="24">
        <v>0.56249593074399495</v>
      </c>
    </row>
    <row r="56" spans="1:7">
      <c r="A56" s="11" t="s">
        <v>253</v>
      </c>
      <c r="B56" s="16">
        <v>3.2543429825166101</v>
      </c>
      <c r="C56" s="16">
        <v>0.47247329498767499</v>
      </c>
      <c r="D56" s="16">
        <v>0.76006573541495503</v>
      </c>
      <c r="E56" s="16">
        <v>1.27599393211554</v>
      </c>
      <c r="F56" s="16">
        <v>2.24225504682193</v>
      </c>
      <c r="G56" s="25">
        <v>2.79774407632206</v>
      </c>
    </row>
    <row r="57" spans="1:7" ht="30" customHeight="1">
      <c r="A57" t="s">
        <v>144</v>
      </c>
    </row>
    <row r="58" spans="1:7">
      <c r="A58" t="s">
        <v>367</v>
      </c>
    </row>
    <row r="59" spans="1:7">
      <c r="A59" t="s">
        <v>368</v>
      </c>
    </row>
    <row r="60" spans="1:7">
      <c r="A60" t="s">
        <v>369</v>
      </c>
    </row>
    <row r="61" spans="1:7">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406</v>
      </c>
      <c r="B1" s="12"/>
      <c r="C1" s="12"/>
      <c r="D1" s="12"/>
      <c r="E1" s="12"/>
    </row>
    <row r="2" spans="1:5" ht="60">
      <c r="A2" s="7" t="s">
        <v>52</v>
      </c>
      <c r="B2" s="6" t="s">
        <v>371</v>
      </c>
      <c r="C2" s="6" t="s">
        <v>407</v>
      </c>
      <c r="D2" s="6" t="s">
        <v>408</v>
      </c>
      <c r="E2" s="8" t="s">
        <v>409</v>
      </c>
    </row>
    <row r="3" spans="1:5">
      <c r="A3" s="40" t="s">
        <v>377</v>
      </c>
      <c r="B3" s="15"/>
      <c r="C3" s="15"/>
      <c r="D3" s="15"/>
      <c r="E3" s="24"/>
    </row>
    <row r="4" spans="1:5">
      <c r="A4" s="9" t="s">
        <v>378</v>
      </c>
      <c r="B4" s="15">
        <v>4.8645805744066699</v>
      </c>
      <c r="C4" s="15">
        <v>4.8645805744066699</v>
      </c>
      <c r="D4" s="15">
        <v>0</v>
      </c>
      <c r="E4" s="24">
        <v>0</v>
      </c>
    </row>
    <row r="5" spans="1:5">
      <c r="A5" s="9" t="s">
        <v>379</v>
      </c>
      <c r="B5" s="15">
        <v>18.156443870616901</v>
      </c>
      <c r="C5" s="15">
        <v>17.8191173991383</v>
      </c>
      <c r="D5" s="15">
        <v>0.55302080179907498</v>
      </c>
      <c r="E5" s="24">
        <v>0.55302080179907498</v>
      </c>
    </row>
    <row r="6" spans="1:5">
      <c r="A6" s="9" t="s">
        <v>380</v>
      </c>
      <c r="B6" s="15">
        <v>17.196924165339201</v>
      </c>
      <c r="C6" s="15">
        <v>16.716388396994802</v>
      </c>
      <c r="D6" s="15">
        <v>0.480535768344444</v>
      </c>
      <c r="E6" s="24">
        <v>0.480535768344444</v>
      </c>
    </row>
    <row r="7" spans="1:5">
      <c r="A7" s="9" t="s">
        <v>221</v>
      </c>
      <c r="B7" s="15">
        <v>4.2724191096260196</v>
      </c>
      <c r="C7" s="15">
        <v>4.2724191096260196</v>
      </c>
      <c r="D7" s="15">
        <v>0</v>
      </c>
      <c r="E7" s="24">
        <v>0</v>
      </c>
    </row>
    <row r="8" spans="1:5">
      <c r="A8" s="9" t="s">
        <v>381</v>
      </c>
      <c r="B8" s="15">
        <v>16.893552416554702</v>
      </c>
      <c r="C8" s="15">
        <v>16.337107895226801</v>
      </c>
      <c r="D8" s="15">
        <v>0.98481225297280595</v>
      </c>
      <c r="E8" s="24">
        <v>0.98481225297280595</v>
      </c>
    </row>
    <row r="9" spans="1:5">
      <c r="A9" s="9" t="s">
        <v>382</v>
      </c>
      <c r="B9" s="15">
        <v>2.2731378226448098</v>
      </c>
      <c r="C9" s="15">
        <v>2.0677146509110398</v>
      </c>
      <c r="D9" s="15">
        <v>0.29101615995617602</v>
      </c>
      <c r="E9" s="24">
        <v>0.29101615995617602</v>
      </c>
    </row>
    <row r="10" spans="1:5">
      <c r="A10" s="9" t="s">
        <v>383</v>
      </c>
      <c r="B10" s="15">
        <v>5.9567802340818004</v>
      </c>
      <c r="C10" s="15">
        <v>5.9567802340818004</v>
      </c>
      <c r="D10" s="15">
        <v>0</v>
      </c>
      <c r="E10" s="24">
        <v>0</v>
      </c>
    </row>
    <row r="11" spans="1:5">
      <c r="A11" s="9" t="s">
        <v>384</v>
      </c>
      <c r="B11" s="15">
        <v>9.39077356497241E-2</v>
      </c>
      <c r="C11" s="15">
        <v>9.39077356497241E-2</v>
      </c>
      <c r="D11" s="15">
        <v>0</v>
      </c>
      <c r="E11" s="24">
        <v>0</v>
      </c>
    </row>
    <row r="12" spans="1:5">
      <c r="A12" s="9" t="s">
        <v>385</v>
      </c>
      <c r="B12" s="15">
        <v>9.3338720349800504</v>
      </c>
      <c r="C12" s="15">
        <v>8.9973693155685392</v>
      </c>
      <c r="D12" s="15">
        <v>0.57616308643424496</v>
      </c>
      <c r="E12" s="24">
        <v>0.57616308643424496</v>
      </c>
    </row>
    <row r="13" spans="1:5">
      <c r="A13" s="9" t="s">
        <v>386</v>
      </c>
      <c r="B13" s="15">
        <v>0.68583912159572802</v>
      </c>
      <c r="C13" s="15">
        <v>0.68583912159572802</v>
      </c>
      <c r="D13" s="15">
        <v>0</v>
      </c>
      <c r="E13" s="24">
        <v>0</v>
      </c>
    </row>
    <row r="14" spans="1:5">
      <c r="A14" s="9" t="s">
        <v>387</v>
      </c>
      <c r="B14" s="15">
        <v>9.3539651630907894</v>
      </c>
      <c r="C14" s="15">
        <v>9.2631464976927003</v>
      </c>
      <c r="D14" s="15">
        <v>0.17641165362049299</v>
      </c>
      <c r="E14" s="24">
        <v>0.17641165362049299</v>
      </c>
    </row>
    <row r="15" spans="1:5">
      <c r="A15" s="40" t="s">
        <v>388</v>
      </c>
      <c r="B15" s="15"/>
      <c r="C15" s="15"/>
      <c r="D15" s="15"/>
      <c r="E15" s="24"/>
    </row>
    <row r="16" spans="1:5">
      <c r="A16" s="9" t="s">
        <v>208</v>
      </c>
      <c r="B16" s="15">
        <v>21.8658415552901</v>
      </c>
      <c r="C16" s="15">
        <v>20.858289808214899</v>
      </c>
      <c r="D16" s="15">
        <v>1.31715381304535</v>
      </c>
      <c r="E16" s="24">
        <v>1.31715381304535</v>
      </c>
    </row>
    <row r="17" spans="1:5">
      <c r="A17" s="9" t="s">
        <v>209</v>
      </c>
      <c r="B17" s="15">
        <v>2.72342454966835</v>
      </c>
      <c r="C17" s="15">
        <v>2.72342454966835</v>
      </c>
      <c r="D17" s="15">
        <v>0</v>
      </c>
      <c r="E17" s="24">
        <v>0</v>
      </c>
    </row>
    <row r="18" spans="1:5">
      <c r="A18" s="9" t="s">
        <v>389</v>
      </c>
      <c r="B18" s="15">
        <v>16.2966708710665</v>
      </c>
      <c r="C18" s="15">
        <v>15.625621843402801</v>
      </c>
      <c r="D18" s="15">
        <v>0.79886789007577796</v>
      </c>
      <c r="E18" s="24">
        <v>0.79886789007577796</v>
      </c>
    </row>
    <row r="19" spans="1:5">
      <c r="A19" s="9" t="s">
        <v>210</v>
      </c>
      <c r="B19" s="15">
        <v>10.992047124749201</v>
      </c>
      <c r="C19" s="15">
        <v>10.772929074899899</v>
      </c>
      <c r="D19" s="15">
        <v>0.56263124258194097</v>
      </c>
      <c r="E19" s="24">
        <v>0.56263124258194097</v>
      </c>
    </row>
    <row r="20" spans="1:5">
      <c r="A20" s="9" t="s">
        <v>390</v>
      </c>
      <c r="B20" s="15">
        <v>1.0975436319059</v>
      </c>
      <c r="C20" s="15">
        <v>1.0975436319059</v>
      </c>
      <c r="D20" s="15">
        <v>0</v>
      </c>
      <c r="E20" s="24">
        <v>0</v>
      </c>
    </row>
    <row r="21" spans="1:5">
      <c r="A21" s="9" t="s">
        <v>219</v>
      </c>
      <c r="B21" s="15">
        <v>23.994677827394</v>
      </c>
      <c r="C21" s="15">
        <v>23.004733780753199</v>
      </c>
      <c r="D21" s="15">
        <v>0.98994404664084201</v>
      </c>
      <c r="E21" s="24">
        <v>0.86473373244120999</v>
      </c>
    </row>
    <row r="22" spans="1:5">
      <c r="A22" s="9" t="s">
        <v>221</v>
      </c>
      <c r="B22" s="15">
        <v>4.2724191096260196</v>
      </c>
      <c r="C22" s="15">
        <v>4.2724191096260196</v>
      </c>
      <c r="D22" s="15">
        <v>0</v>
      </c>
      <c r="E22" s="24">
        <v>0</v>
      </c>
    </row>
    <row r="23" spans="1:5">
      <c r="A23" s="9" t="s">
        <v>223</v>
      </c>
      <c r="B23" s="15">
        <v>13.2455903834891</v>
      </c>
      <c r="C23" s="15">
        <v>13.0264723336398</v>
      </c>
      <c r="D23" s="15">
        <v>0.21911804984935601</v>
      </c>
      <c r="E23" s="24">
        <v>0.21911804984935601</v>
      </c>
    </row>
    <row r="24" spans="1:5">
      <c r="A24" s="9" t="s">
        <v>228</v>
      </c>
      <c r="B24" s="15">
        <v>52.694585030955601</v>
      </c>
      <c r="C24" s="15">
        <v>47.861148717954102</v>
      </c>
      <c r="D24" s="15">
        <v>6.7309544800348498</v>
      </c>
      <c r="E24" s="24">
        <v>7.94395219413218</v>
      </c>
    </row>
    <row r="25" spans="1:5">
      <c r="A25" s="9" t="s">
        <v>230</v>
      </c>
      <c r="B25" s="15">
        <v>1.7609043069432599</v>
      </c>
      <c r="C25" s="15">
        <v>1.7609043069432599</v>
      </c>
      <c r="D25" s="15">
        <v>8.5592988222404798E-2</v>
      </c>
      <c r="E25" s="24">
        <v>8.5592988222404798E-2</v>
      </c>
    </row>
    <row r="26" spans="1:5">
      <c r="A26" s="9" t="s">
        <v>391</v>
      </c>
      <c r="B26" s="15">
        <v>12.6397679273222</v>
      </c>
      <c r="C26" s="15">
        <v>12.0833234059942</v>
      </c>
      <c r="D26" s="15">
        <v>0.52563104556790496</v>
      </c>
      <c r="E26" s="24">
        <v>0.77213885164843099</v>
      </c>
    </row>
    <row r="27" spans="1:5">
      <c r="A27" s="9" t="s">
        <v>236</v>
      </c>
      <c r="B27" s="15">
        <v>0.65344132722933101</v>
      </c>
      <c r="C27" s="15">
        <v>0.65344132722933101</v>
      </c>
      <c r="D27" s="15">
        <v>0</v>
      </c>
      <c r="E27" s="24">
        <v>0</v>
      </c>
    </row>
    <row r="28" spans="1:5">
      <c r="A28" s="9" t="s">
        <v>392</v>
      </c>
      <c r="B28" s="15">
        <v>23.296778989796</v>
      </c>
      <c r="C28" s="15">
        <v>22.599836285022999</v>
      </c>
      <c r="D28" s="15">
        <v>1.21559204777213</v>
      </c>
      <c r="E28" s="24">
        <v>1.34126269400926</v>
      </c>
    </row>
    <row r="29" spans="1:5">
      <c r="A29" s="9" t="s">
        <v>240</v>
      </c>
      <c r="B29" s="15">
        <v>36.785445086633601</v>
      </c>
      <c r="C29" s="15">
        <v>32.817385259364301</v>
      </c>
      <c r="D29" s="15">
        <v>1.4529573940117599</v>
      </c>
      <c r="E29" s="24">
        <v>4.5091791278488502</v>
      </c>
    </row>
    <row r="30" spans="1:5">
      <c r="A30" s="9" t="s">
        <v>393</v>
      </c>
      <c r="B30" s="15">
        <v>4.8690237541833001</v>
      </c>
      <c r="C30" s="15">
        <v>4.1797801027375101</v>
      </c>
      <c r="D30" s="15">
        <v>0.68924365144578803</v>
      </c>
      <c r="E30" s="24">
        <v>0.58066283210079395</v>
      </c>
    </row>
    <row r="31" spans="1:5">
      <c r="A31" s="9" t="s">
        <v>394</v>
      </c>
      <c r="B31" s="15">
        <v>29.044524074968699</v>
      </c>
      <c r="C31" s="15">
        <v>25.474391976963901</v>
      </c>
      <c r="D31" s="15">
        <v>4.35326238654857</v>
      </c>
      <c r="E31" s="24">
        <v>3.8261378223181</v>
      </c>
    </row>
    <row r="32" spans="1:5">
      <c r="A32" s="9" t="s">
        <v>252</v>
      </c>
      <c r="B32" s="15">
        <v>0.36976170912078898</v>
      </c>
      <c r="C32" s="15">
        <v>0.36976170912078898</v>
      </c>
      <c r="D32" s="15">
        <v>0</v>
      </c>
      <c r="E32" s="24">
        <v>0</v>
      </c>
    </row>
    <row r="33" spans="1:5">
      <c r="A33" s="9" t="s">
        <v>395</v>
      </c>
      <c r="B33" s="15">
        <v>1.85798009598987</v>
      </c>
      <c r="C33" s="15">
        <v>1.85798009598987</v>
      </c>
      <c r="D33" s="15">
        <v>0</v>
      </c>
      <c r="E33" s="24">
        <v>0</v>
      </c>
    </row>
    <row r="34" spans="1:5">
      <c r="A34" s="9" t="s">
        <v>396</v>
      </c>
      <c r="B34" s="15">
        <v>11.5358429580773</v>
      </c>
      <c r="C34" s="15">
        <v>10.9136630217945</v>
      </c>
      <c r="D34" s="15">
        <v>0.52905476509680105</v>
      </c>
      <c r="E34" s="24">
        <v>0.62217993628277801</v>
      </c>
    </row>
    <row r="35" spans="1:5">
      <c r="A35" s="9" t="s">
        <v>259</v>
      </c>
      <c r="B35" s="15">
        <v>1.03759295527232</v>
      </c>
      <c r="C35" s="15">
        <v>1.03759295527232</v>
      </c>
      <c r="D35" s="15">
        <v>0</v>
      </c>
      <c r="E35" s="24">
        <v>0</v>
      </c>
    </row>
    <row r="36" spans="1:5">
      <c r="A36" s="9" t="s">
        <v>260</v>
      </c>
      <c r="B36" s="15">
        <v>0.63485542121532301</v>
      </c>
      <c r="C36" s="15">
        <v>0.63485542121532301</v>
      </c>
      <c r="D36" s="15">
        <v>0</v>
      </c>
      <c r="E36" s="24">
        <v>0</v>
      </c>
    </row>
    <row r="37" spans="1:5">
      <c r="A37" s="9" t="s">
        <v>397</v>
      </c>
      <c r="B37" s="15">
        <v>0.20175490080995401</v>
      </c>
      <c r="C37" s="15">
        <v>0.20175490080995401</v>
      </c>
      <c r="D37" s="15">
        <v>0</v>
      </c>
      <c r="E37" s="24">
        <v>0</v>
      </c>
    </row>
    <row r="38" spans="1:5">
      <c r="A38" s="40" t="s">
        <v>398</v>
      </c>
      <c r="B38" s="15"/>
      <c r="C38" s="15"/>
      <c r="D38" s="15"/>
      <c r="E38" s="24"/>
    </row>
    <row r="39" spans="1:5">
      <c r="A39" s="9" t="s">
        <v>222</v>
      </c>
      <c r="B39" s="15">
        <v>18.555006619201698</v>
      </c>
      <c r="C39" s="15">
        <v>17.926509534254301</v>
      </c>
      <c r="D39" s="15">
        <v>0.32036232734671499</v>
      </c>
      <c r="E39" s="24">
        <v>0.71409007316977702</v>
      </c>
    </row>
    <row r="40" spans="1:5">
      <c r="A40" s="9" t="s">
        <v>231</v>
      </c>
      <c r="B40" s="15">
        <v>10.9911062124322</v>
      </c>
      <c r="C40" s="15">
        <v>10.771988162582799</v>
      </c>
      <c r="D40" s="15">
        <v>0.65653897823166496</v>
      </c>
      <c r="E40" s="24">
        <v>0.65653897823166496</v>
      </c>
    </row>
    <row r="41" spans="1:5">
      <c r="A41" s="9" t="s">
        <v>399</v>
      </c>
      <c r="B41" s="15">
        <v>0.31840591618734598</v>
      </c>
      <c r="C41" s="15">
        <v>0.31840591618734598</v>
      </c>
      <c r="D41" s="15">
        <v>0</v>
      </c>
      <c r="E41" s="24">
        <v>0</v>
      </c>
    </row>
    <row r="42" spans="1:5">
      <c r="A42" s="40" t="s">
        <v>400</v>
      </c>
      <c r="B42" s="15"/>
      <c r="C42" s="15"/>
      <c r="D42" s="15"/>
      <c r="E42" s="24"/>
    </row>
    <row r="43" spans="1:5">
      <c r="A43" s="9" t="s">
        <v>401</v>
      </c>
      <c r="B43" s="15">
        <v>1.9097943127938699</v>
      </c>
      <c r="C43" s="15">
        <v>1.9097943127938699</v>
      </c>
      <c r="D43" s="15">
        <v>0</v>
      </c>
      <c r="E43" s="24">
        <v>0</v>
      </c>
    </row>
    <row r="44" spans="1:5">
      <c r="A44" s="9" t="s">
        <v>402</v>
      </c>
      <c r="B44" s="15">
        <v>1.87794019775673</v>
      </c>
      <c r="C44" s="15">
        <v>1.87794019775673</v>
      </c>
      <c r="D44" s="15">
        <v>0</v>
      </c>
      <c r="E44" s="24">
        <v>0</v>
      </c>
    </row>
    <row r="45" spans="1:5">
      <c r="A45" s="9" t="s">
        <v>218</v>
      </c>
      <c r="B45" s="15">
        <v>3.2060706864060302</v>
      </c>
      <c r="C45" s="15">
        <v>3.2060706864060302</v>
      </c>
      <c r="D45" s="15">
        <v>0</v>
      </c>
      <c r="E45" s="24">
        <v>0</v>
      </c>
    </row>
    <row r="46" spans="1:5">
      <c r="A46" s="9" t="s">
        <v>239</v>
      </c>
      <c r="B46" s="15">
        <v>0.102711585866886</v>
      </c>
      <c r="C46" s="15">
        <v>0.102711585866886</v>
      </c>
      <c r="D46" s="15">
        <v>0</v>
      </c>
      <c r="E46" s="24">
        <v>0</v>
      </c>
    </row>
    <row r="47" spans="1:5">
      <c r="A47" s="9" t="s">
        <v>403</v>
      </c>
      <c r="B47" s="15">
        <v>2.7767164966948199</v>
      </c>
      <c r="C47" s="15">
        <v>2.7767164966948199</v>
      </c>
      <c r="D47" s="15">
        <v>0</v>
      </c>
      <c r="E47" s="24">
        <v>0</v>
      </c>
    </row>
    <row r="48" spans="1:5">
      <c r="A48" s="9" t="s">
        <v>404</v>
      </c>
      <c r="B48" s="15">
        <v>0</v>
      </c>
      <c r="C48" s="15">
        <v>0</v>
      </c>
      <c r="D48" s="15">
        <v>0</v>
      </c>
      <c r="E48" s="24">
        <v>0</v>
      </c>
    </row>
    <row r="49" spans="1:5">
      <c r="A49" s="9" t="s">
        <v>237</v>
      </c>
      <c r="B49" s="15">
        <v>0.33294560821265801</v>
      </c>
      <c r="C49" s="15">
        <v>0.33294560821265801</v>
      </c>
      <c r="D49" s="15">
        <v>0</v>
      </c>
      <c r="E49" s="24">
        <v>0</v>
      </c>
    </row>
    <row r="50" spans="1:5">
      <c r="A50" s="9" t="s">
        <v>241</v>
      </c>
      <c r="B50" s="15">
        <v>0.3329613013503</v>
      </c>
      <c r="C50" s="15">
        <v>0.3329613013503</v>
      </c>
      <c r="D50" s="15">
        <v>0</v>
      </c>
      <c r="E50" s="24">
        <v>0</v>
      </c>
    </row>
    <row r="51" spans="1:5">
      <c r="A51" s="9" t="s">
        <v>242</v>
      </c>
      <c r="B51" s="15">
        <v>1.0376843150297601</v>
      </c>
      <c r="C51" s="15">
        <v>1.0376843150297601</v>
      </c>
      <c r="D51" s="15">
        <v>0</v>
      </c>
      <c r="E51" s="24">
        <v>0</v>
      </c>
    </row>
    <row r="52" spans="1:5">
      <c r="A52" s="9" t="s">
        <v>244</v>
      </c>
      <c r="B52" s="15">
        <v>0.13694878115584799</v>
      </c>
      <c r="C52" s="15">
        <v>0.13694878115584799</v>
      </c>
      <c r="D52" s="15">
        <v>0</v>
      </c>
      <c r="E52" s="24">
        <v>0</v>
      </c>
    </row>
    <row r="53" spans="1:5">
      <c r="A53" s="9" t="s">
        <v>249</v>
      </c>
      <c r="B53" s="15">
        <v>0.32174070793627102</v>
      </c>
      <c r="C53" s="15">
        <v>0.32174070793627102</v>
      </c>
      <c r="D53" s="15">
        <v>0</v>
      </c>
      <c r="E53" s="24">
        <v>0</v>
      </c>
    </row>
    <row r="54" spans="1:5">
      <c r="A54" s="9" t="s">
        <v>250</v>
      </c>
      <c r="B54" s="15">
        <v>0.28367961810854198</v>
      </c>
      <c r="C54" s="15">
        <v>0.28367961810854198</v>
      </c>
      <c r="D54" s="15">
        <v>0</v>
      </c>
      <c r="E54" s="24">
        <v>0</v>
      </c>
    </row>
    <row r="55" spans="1:5">
      <c r="A55" s="9" t="s">
        <v>405</v>
      </c>
      <c r="B55" s="15">
        <v>0.103792760454958</v>
      </c>
      <c r="C55" s="15">
        <v>0.103792760454958</v>
      </c>
      <c r="D55" s="15">
        <v>0</v>
      </c>
      <c r="E55" s="24">
        <v>0</v>
      </c>
    </row>
    <row r="56" spans="1:5">
      <c r="A56" s="11" t="s">
        <v>253</v>
      </c>
      <c r="B56" s="16">
        <v>0.16433853738701701</v>
      </c>
      <c r="C56" s="16">
        <v>0.16433853738701701</v>
      </c>
      <c r="D56" s="16">
        <v>0</v>
      </c>
      <c r="E56" s="25">
        <v>0</v>
      </c>
    </row>
    <row r="57" spans="1:5" ht="30" customHeight="1">
      <c r="A57" t="s">
        <v>144</v>
      </c>
    </row>
    <row r="58" spans="1:5">
      <c r="A58" t="s">
        <v>367</v>
      </c>
    </row>
    <row r="59" spans="1:5">
      <c r="A59" t="s">
        <v>368</v>
      </c>
    </row>
    <row r="60" spans="1:5">
      <c r="A60" t="s">
        <v>369</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410</v>
      </c>
      <c r="B1" s="12"/>
      <c r="C1" s="12"/>
      <c r="D1" s="12"/>
    </row>
    <row r="2" spans="1:4" ht="45">
      <c r="A2" s="7" t="s">
        <v>52</v>
      </c>
      <c r="B2" s="6" t="s">
        <v>68</v>
      </c>
      <c r="C2" s="6" t="s">
        <v>69</v>
      </c>
      <c r="D2" s="8" t="s">
        <v>70</v>
      </c>
    </row>
    <row r="3" spans="1:4" ht="30">
      <c r="A3" s="40" t="s">
        <v>411</v>
      </c>
      <c r="B3" s="15"/>
      <c r="C3" s="15"/>
      <c r="D3" s="24"/>
    </row>
    <row r="4" spans="1:4">
      <c r="A4" s="9" t="s">
        <v>412</v>
      </c>
      <c r="B4" s="15">
        <v>88.335344666604698</v>
      </c>
      <c r="C4" s="15">
        <v>91.367254153756704</v>
      </c>
      <c r="D4" s="24">
        <v>91.526374859708199</v>
      </c>
    </row>
    <row r="5" spans="1:4">
      <c r="A5" s="9" t="s">
        <v>413</v>
      </c>
      <c r="B5" s="15">
        <v>80.719861870541905</v>
      </c>
      <c r="C5" s="15">
        <v>80.044753725843293</v>
      </c>
      <c r="D5" s="24">
        <v>85.529902196568898</v>
      </c>
    </row>
    <row r="6" spans="1:4">
      <c r="A6" s="9" t="s">
        <v>414</v>
      </c>
      <c r="B6" s="15">
        <v>81.295196094189706</v>
      </c>
      <c r="C6" s="15">
        <v>82.367846850893898</v>
      </c>
      <c r="D6" s="24">
        <v>79.445246111912795</v>
      </c>
    </row>
    <row r="7" spans="1:4">
      <c r="A7" s="9" t="s">
        <v>415</v>
      </c>
      <c r="B7" s="15">
        <v>39.696574060618403</v>
      </c>
      <c r="C7" s="15">
        <v>41.649285785658499</v>
      </c>
      <c r="D7" s="24">
        <v>50.232483565816899</v>
      </c>
    </row>
    <row r="8" spans="1:4">
      <c r="A8" s="9" t="s">
        <v>416</v>
      </c>
      <c r="B8" s="15">
        <v>44.2844552035682</v>
      </c>
      <c r="C8" s="15">
        <v>45.394316259067097</v>
      </c>
      <c r="D8" s="24">
        <v>34.8885682219016</v>
      </c>
    </row>
    <row r="9" spans="1:4">
      <c r="A9" s="9" t="s">
        <v>417</v>
      </c>
      <c r="B9" s="15">
        <v>48.423746917308101</v>
      </c>
      <c r="C9" s="15">
        <v>55.100711293285897</v>
      </c>
      <c r="D9" s="24">
        <v>66.562449895783203</v>
      </c>
    </row>
    <row r="10" spans="1:4">
      <c r="A10" s="9" t="s">
        <v>418</v>
      </c>
      <c r="B10" s="15">
        <v>21.173253857017102</v>
      </c>
      <c r="C10" s="15">
        <v>24.385954237771902</v>
      </c>
      <c r="D10" s="24">
        <v>39.722623055956397</v>
      </c>
    </row>
    <row r="11" spans="1:4">
      <c r="A11" s="9" t="s">
        <v>419</v>
      </c>
      <c r="B11" s="15">
        <v>48.605864411448998</v>
      </c>
      <c r="C11" s="15">
        <v>50.596771972733201</v>
      </c>
      <c r="D11" s="24">
        <v>42.4643257976591</v>
      </c>
    </row>
    <row r="12" spans="1:4">
      <c r="A12" s="9" t="s">
        <v>420</v>
      </c>
      <c r="B12" s="15">
        <v>44.593076910937803</v>
      </c>
      <c r="C12" s="15">
        <v>37.437561051862502</v>
      </c>
      <c r="D12" s="24">
        <v>35.209235209235203</v>
      </c>
    </row>
    <row r="13" spans="1:4">
      <c r="A13" s="9" t="s">
        <v>421</v>
      </c>
      <c r="B13" s="15">
        <v>28.649250258479899</v>
      </c>
      <c r="C13" s="15">
        <v>33.316138667307101</v>
      </c>
      <c r="D13" s="24">
        <v>43.530543530543497</v>
      </c>
    </row>
    <row r="14" spans="1:4">
      <c r="A14" s="11" t="s">
        <v>293</v>
      </c>
      <c r="B14" s="16">
        <v>2.7598461419949101</v>
      </c>
      <c r="C14" s="16">
        <v>2.8843212005101599</v>
      </c>
      <c r="D14" s="25">
        <v>0</v>
      </c>
    </row>
    <row r="15" spans="1:4" ht="30" customHeight="1">
      <c r="A15" t="s">
        <v>144</v>
      </c>
    </row>
    <row r="16" spans="1:4">
      <c r="A16" t="s">
        <v>367</v>
      </c>
    </row>
    <row r="17" spans="1:1">
      <c r="A17" t="s">
        <v>368</v>
      </c>
    </row>
    <row r="18" spans="1:1">
      <c r="A18" t="s">
        <v>369</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422</v>
      </c>
      <c r="B1" s="12"/>
      <c r="C1" s="12"/>
      <c r="D1" s="12"/>
    </row>
    <row r="2" spans="1:4" ht="45">
      <c r="A2" s="7" t="s">
        <v>52</v>
      </c>
      <c r="B2" s="6" t="s">
        <v>68</v>
      </c>
      <c r="C2" s="6" t="s">
        <v>69</v>
      </c>
      <c r="D2" s="8" t="s">
        <v>70</v>
      </c>
    </row>
    <row r="3" spans="1:4" ht="30">
      <c r="A3" s="40" t="s">
        <v>423</v>
      </c>
      <c r="B3" s="15"/>
      <c r="C3" s="15"/>
      <c r="D3" s="24"/>
    </row>
    <row r="4" spans="1:4">
      <c r="A4" s="9" t="s">
        <v>424</v>
      </c>
      <c r="B4" s="15">
        <v>92.796035634838901</v>
      </c>
      <c r="C4" s="15">
        <v>93.421787075661996</v>
      </c>
      <c r="D4" s="24">
        <v>97.530864197530903</v>
      </c>
    </row>
    <row r="5" spans="1:4">
      <c r="A5" s="9" t="s">
        <v>425</v>
      </c>
      <c r="B5" s="15">
        <v>5.1898693165648604</v>
      </c>
      <c r="C5" s="15">
        <v>3.2931316781062101</v>
      </c>
      <c r="D5" s="24">
        <v>0</v>
      </c>
    </row>
    <row r="6" spans="1:4">
      <c r="A6" s="9" t="s">
        <v>426</v>
      </c>
      <c r="B6" s="15">
        <v>0</v>
      </c>
      <c r="C6" s="15">
        <v>0</v>
      </c>
      <c r="D6" s="24">
        <v>0</v>
      </c>
    </row>
    <row r="7" spans="1:4">
      <c r="A7" s="9" t="s">
        <v>427</v>
      </c>
      <c r="B7" s="15">
        <v>0.100971854095671</v>
      </c>
      <c r="C7" s="15">
        <v>0.45274476513865303</v>
      </c>
      <c r="D7" s="24">
        <v>0</v>
      </c>
    </row>
    <row r="8" spans="1:4">
      <c r="A8" s="9" t="s">
        <v>293</v>
      </c>
      <c r="B8" s="15">
        <v>1.91312319450057</v>
      </c>
      <c r="C8" s="15">
        <v>2.8323364810931002</v>
      </c>
      <c r="D8" s="24">
        <v>2.4691358024691401</v>
      </c>
    </row>
    <row r="9" spans="1:4" ht="30">
      <c r="A9" s="40" t="s">
        <v>428</v>
      </c>
      <c r="B9" s="15"/>
      <c r="C9" s="15"/>
      <c r="D9" s="24"/>
    </row>
    <row r="10" spans="1:4">
      <c r="A10" s="9" t="s">
        <v>429</v>
      </c>
      <c r="B10" s="15">
        <v>88.569732526594905</v>
      </c>
      <c r="C10" s="15">
        <v>85.593701571056002</v>
      </c>
      <c r="D10" s="24">
        <v>90.556357223023895</v>
      </c>
    </row>
    <row r="11" spans="1:4">
      <c r="A11" s="9" t="s">
        <v>430</v>
      </c>
      <c r="B11" s="15">
        <v>11.430267473405101</v>
      </c>
      <c r="C11" s="15">
        <v>14.406298428944</v>
      </c>
      <c r="D11" s="24">
        <v>9.4436427769761107</v>
      </c>
    </row>
    <row r="12" spans="1:4" ht="30">
      <c r="A12" s="40" t="s">
        <v>431</v>
      </c>
      <c r="B12" s="15"/>
      <c r="C12" s="15"/>
      <c r="D12" s="24"/>
    </row>
    <row r="13" spans="1:4">
      <c r="A13" s="9" t="s">
        <v>429</v>
      </c>
      <c r="B13" s="15">
        <v>82.100654897111198</v>
      </c>
      <c r="C13" s="15">
        <v>80.597961762447895</v>
      </c>
      <c r="D13" s="24">
        <v>92.328042328042301</v>
      </c>
    </row>
    <row r="14" spans="1:4">
      <c r="A14" s="9" t="s">
        <v>430</v>
      </c>
      <c r="B14" s="15">
        <v>17.899345102888802</v>
      </c>
      <c r="C14" s="15">
        <v>19.402038237552102</v>
      </c>
      <c r="D14" s="24">
        <v>7.6719576719576699</v>
      </c>
    </row>
    <row r="15" spans="1:4" ht="30">
      <c r="A15" s="40" t="s">
        <v>432</v>
      </c>
      <c r="B15" s="15"/>
      <c r="C15" s="15"/>
      <c r="D15" s="24"/>
    </row>
    <row r="16" spans="1:4">
      <c r="A16" s="9" t="s">
        <v>429</v>
      </c>
      <c r="B16" s="15">
        <v>57.8040347875842</v>
      </c>
      <c r="C16" s="15">
        <v>64.204682176943194</v>
      </c>
      <c r="D16" s="24">
        <v>62.8427128427128</v>
      </c>
    </row>
    <row r="17" spans="1:4">
      <c r="A17" s="9" t="s">
        <v>430</v>
      </c>
      <c r="B17" s="15">
        <v>42.1959652124158</v>
      </c>
      <c r="C17" s="15">
        <v>35.795317823056799</v>
      </c>
      <c r="D17" s="24">
        <v>37.1572871572872</v>
      </c>
    </row>
    <row r="18" spans="1:4" ht="30">
      <c r="A18" s="40" t="s">
        <v>433</v>
      </c>
      <c r="B18" s="15"/>
      <c r="C18" s="15"/>
      <c r="D18" s="24"/>
    </row>
    <row r="19" spans="1:4">
      <c r="A19" s="9" t="s">
        <v>429</v>
      </c>
      <c r="B19" s="15">
        <v>72.848701991406401</v>
      </c>
      <c r="C19" s="15">
        <v>70.681045644842698</v>
      </c>
      <c r="D19" s="24">
        <v>78.475228475228505</v>
      </c>
    </row>
    <row r="20" spans="1:4">
      <c r="A20" s="11" t="s">
        <v>430</v>
      </c>
      <c r="B20" s="16">
        <v>27.151298008593599</v>
      </c>
      <c r="C20" s="16">
        <v>29.318954355157299</v>
      </c>
      <c r="D20" s="25">
        <v>21.524771524771499</v>
      </c>
    </row>
    <row r="21" spans="1:4" ht="30" customHeight="1">
      <c r="A21" t="s">
        <v>144</v>
      </c>
    </row>
    <row r="22" spans="1:4">
      <c r="A22" t="s">
        <v>367</v>
      </c>
    </row>
    <row r="23" spans="1:4">
      <c r="A23" t="s">
        <v>368</v>
      </c>
    </row>
    <row r="24" spans="1:4">
      <c r="A24" t="s">
        <v>369</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434</v>
      </c>
      <c r="B1" s="12"/>
      <c r="C1" s="12"/>
      <c r="D1" s="12"/>
      <c r="E1" s="12"/>
      <c r="F1" s="12"/>
      <c r="G1" s="12"/>
    </row>
    <row r="2" spans="1:7" ht="30">
      <c r="A2" s="7" t="s">
        <v>52</v>
      </c>
      <c r="B2" s="6" t="s">
        <v>435</v>
      </c>
      <c r="C2" s="6" t="s">
        <v>436</v>
      </c>
      <c r="D2" s="6" t="s">
        <v>437</v>
      </c>
      <c r="E2" s="6" t="s">
        <v>438</v>
      </c>
      <c r="F2" s="6" t="s">
        <v>439</v>
      </c>
      <c r="G2" s="8" t="s">
        <v>440</v>
      </c>
    </row>
    <row r="3" spans="1:7">
      <c r="A3" s="40" t="s">
        <v>441</v>
      </c>
      <c r="B3" s="15"/>
      <c r="C3" s="15"/>
      <c r="D3" s="15"/>
      <c r="E3" s="15"/>
      <c r="F3" s="15"/>
      <c r="G3" s="24"/>
    </row>
    <row r="4" spans="1:7">
      <c r="A4" s="9" t="s">
        <v>442</v>
      </c>
      <c r="B4" s="15">
        <v>23.567096274293799</v>
      </c>
      <c r="C4" s="15">
        <v>47.062151963428001</v>
      </c>
      <c r="D4" s="15">
        <v>14.5067501344038</v>
      </c>
      <c r="E4" s="15">
        <v>9.5251112522813006</v>
      </c>
      <c r="F4" s="15">
        <v>2.3868493368558199</v>
      </c>
      <c r="G4" s="24">
        <v>2.9520410387372502</v>
      </c>
    </row>
    <row r="5" spans="1:7">
      <c r="A5" s="9" t="s">
        <v>443</v>
      </c>
      <c r="B5" s="15">
        <v>20.617107015883001</v>
      </c>
      <c r="C5" s="15">
        <v>39.782838064813497</v>
      </c>
      <c r="D5" s="15">
        <v>17.5151511554024</v>
      </c>
      <c r="E5" s="15">
        <v>14.639883947331199</v>
      </c>
      <c r="F5" s="15">
        <v>5.13389392519161</v>
      </c>
      <c r="G5" s="24">
        <v>2.3111258913783002</v>
      </c>
    </row>
    <row r="6" spans="1:7">
      <c r="A6" s="9" t="s">
        <v>444</v>
      </c>
      <c r="B6" s="15">
        <v>39.008905881449401</v>
      </c>
      <c r="C6" s="15">
        <v>48.277900846921099</v>
      </c>
      <c r="D6" s="15">
        <v>6.8283623056595504</v>
      </c>
      <c r="E6" s="15">
        <v>4.6124512460488098</v>
      </c>
      <c r="F6" s="15">
        <v>0.79727015429562698</v>
      </c>
      <c r="G6" s="24">
        <v>0.475109565625502</v>
      </c>
    </row>
    <row r="7" spans="1:7">
      <c r="A7" s="9" t="s">
        <v>445</v>
      </c>
      <c r="B7" s="15">
        <v>33.387182787722402</v>
      </c>
      <c r="C7" s="15">
        <v>50.743503526211597</v>
      </c>
      <c r="D7" s="15">
        <v>8.6141892847623804</v>
      </c>
      <c r="E7" s="15">
        <v>5.8505268581211496</v>
      </c>
      <c r="F7" s="15">
        <v>0.92948797755699997</v>
      </c>
      <c r="G7" s="24">
        <v>0.475109565625502</v>
      </c>
    </row>
    <row r="8" spans="1:7">
      <c r="A8" s="9" t="s">
        <v>444</v>
      </c>
      <c r="B8" s="15">
        <v>39.008905881449401</v>
      </c>
      <c r="C8" s="15">
        <v>48.277900846921099</v>
      </c>
      <c r="D8" s="15">
        <v>6.8283623056595504</v>
      </c>
      <c r="E8" s="15">
        <v>4.6124512460488098</v>
      </c>
      <c r="F8" s="15">
        <v>0.79727015429562698</v>
      </c>
      <c r="G8" s="24">
        <v>0.475109565625502</v>
      </c>
    </row>
    <row r="9" spans="1:7">
      <c r="A9" s="40" t="s">
        <v>446</v>
      </c>
      <c r="B9" s="15"/>
      <c r="C9" s="15"/>
      <c r="D9" s="15"/>
      <c r="E9" s="15"/>
      <c r="F9" s="15"/>
      <c r="G9" s="24"/>
    </row>
    <row r="10" spans="1:7">
      <c r="A10" s="9" t="s">
        <v>447</v>
      </c>
      <c r="B10" s="15">
        <v>18.531145731463202</v>
      </c>
      <c r="C10" s="15">
        <v>34.180114091251099</v>
      </c>
      <c r="D10" s="15">
        <v>28.434486951369799</v>
      </c>
      <c r="E10" s="15">
        <v>12.6531986838602</v>
      </c>
      <c r="F10" s="15">
        <v>5.5117179544793</v>
      </c>
      <c r="G10" s="24">
        <v>0.68933658757643501</v>
      </c>
    </row>
    <row r="11" spans="1:7">
      <c r="A11" s="9" t="s">
        <v>448</v>
      </c>
      <c r="B11" s="15">
        <v>25.481789404373501</v>
      </c>
      <c r="C11" s="15">
        <v>42.973104244187098</v>
      </c>
      <c r="D11" s="15">
        <v>18.109995671619401</v>
      </c>
      <c r="E11" s="15">
        <v>7.1834376081547902</v>
      </c>
      <c r="F11" s="15">
        <v>3.9928056314847198</v>
      </c>
      <c r="G11" s="24">
        <v>2.2588674401804201</v>
      </c>
    </row>
    <row r="12" spans="1:7">
      <c r="A12" s="9" t="s">
        <v>449</v>
      </c>
      <c r="B12" s="15">
        <v>30.750436420510301</v>
      </c>
      <c r="C12" s="15">
        <v>40.556988240543099</v>
      </c>
      <c r="D12" s="15">
        <v>15.3618041450598</v>
      </c>
      <c r="E12" s="15">
        <v>8.8305103469721793</v>
      </c>
      <c r="F12" s="15">
        <v>3.6988218999063802</v>
      </c>
      <c r="G12" s="24">
        <v>0.80143894700829399</v>
      </c>
    </row>
    <row r="13" spans="1:7">
      <c r="A13" s="9" t="s">
        <v>450</v>
      </c>
      <c r="B13" s="15">
        <v>15.622440249997901</v>
      </c>
      <c r="C13" s="15">
        <v>30.498325426227002</v>
      </c>
      <c r="D13" s="15">
        <v>15.834472671715799</v>
      </c>
      <c r="E13" s="15">
        <v>22.7186051323878</v>
      </c>
      <c r="F13" s="15">
        <v>14.1934920149316</v>
      </c>
      <c r="G13" s="24">
        <v>1.13266450473993</v>
      </c>
    </row>
    <row r="14" spans="1:7">
      <c r="A14" s="9" t="s">
        <v>451</v>
      </c>
      <c r="B14" s="15">
        <v>6.5760586705227997</v>
      </c>
      <c r="C14" s="15">
        <v>13.276516232492099</v>
      </c>
      <c r="D14" s="15">
        <v>25.115395302813699</v>
      </c>
      <c r="E14" s="15">
        <v>25.1037786239241</v>
      </c>
      <c r="F14" s="15">
        <v>23.667382282779201</v>
      </c>
      <c r="G14" s="24">
        <v>6.26086888746807</v>
      </c>
    </row>
    <row r="15" spans="1:7">
      <c r="A15" s="40" t="s">
        <v>452</v>
      </c>
      <c r="B15" s="15"/>
      <c r="C15" s="15"/>
      <c r="D15" s="15"/>
      <c r="E15" s="15"/>
      <c r="F15" s="15"/>
      <c r="G15" s="24"/>
    </row>
    <row r="16" spans="1:7">
      <c r="A16" s="9" t="s">
        <v>453</v>
      </c>
      <c r="B16" s="15">
        <v>9.0201863530431208</v>
      </c>
      <c r="C16" s="15">
        <v>28.825118973064999</v>
      </c>
      <c r="D16" s="15">
        <v>26.0438654508539</v>
      </c>
      <c r="E16" s="15">
        <v>24.806173023128501</v>
      </c>
      <c r="F16" s="15">
        <v>9.1234582827559993</v>
      </c>
      <c r="G16" s="24">
        <v>2.1811979171534599</v>
      </c>
    </row>
    <row r="17" spans="1:7">
      <c r="A17" s="9" t="s">
        <v>454</v>
      </c>
      <c r="B17" s="15">
        <v>12.824468206673</v>
      </c>
      <c r="C17" s="15">
        <v>27.2561482362871</v>
      </c>
      <c r="D17" s="15">
        <v>26.043902366083501</v>
      </c>
      <c r="E17" s="15">
        <v>21.9649831443602</v>
      </c>
      <c r="F17" s="15">
        <v>9.0732184741618909</v>
      </c>
      <c r="G17" s="24">
        <v>2.8372795724344102</v>
      </c>
    </row>
    <row r="18" spans="1:7">
      <c r="A18" s="9" t="s">
        <v>455</v>
      </c>
      <c r="B18" s="15">
        <v>13.436807417908501</v>
      </c>
      <c r="C18" s="15">
        <v>46.197098769744201</v>
      </c>
      <c r="D18" s="15">
        <v>22.205363678858401</v>
      </c>
      <c r="E18" s="15">
        <v>13.481096473421999</v>
      </c>
      <c r="F18" s="15">
        <v>2.9403525808620299</v>
      </c>
      <c r="G18" s="24">
        <v>1.73928107920491</v>
      </c>
    </row>
    <row r="19" spans="1:7">
      <c r="A19" s="9" t="s">
        <v>456</v>
      </c>
      <c r="B19" s="15">
        <v>12.183421828892</v>
      </c>
      <c r="C19" s="15">
        <v>38.868085514994199</v>
      </c>
      <c r="D19" s="15">
        <v>26.101569152554799</v>
      </c>
      <c r="E19" s="15">
        <v>16.997589753112599</v>
      </c>
      <c r="F19" s="15">
        <v>2.6972128687380401</v>
      </c>
      <c r="G19" s="24">
        <v>3.15212088170831</v>
      </c>
    </row>
    <row r="20" spans="1:7">
      <c r="A20" s="9" t="s">
        <v>457</v>
      </c>
      <c r="B20" s="15">
        <v>8.5783795971958501</v>
      </c>
      <c r="C20" s="15">
        <v>30.132539392806098</v>
      </c>
      <c r="D20" s="15">
        <v>25.023231958951001</v>
      </c>
      <c r="E20" s="15">
        <v>22.9433568072204</v>
      </c>
      <c r="F20" s="15">
        <v>9.5522829762611394</v>
      </c>
      <c r="G20" s="24">
        <v>3.7702092675654799</v>
      </c>
    </row>
    <row r="21" spans="1:7">
      <c r="A21" s="9" t="s">
        <v>458</v>
      </c>
      <c r="B21" s="15">
        <v>31.7069640144895</v>
      </c>
      <c r="C21" s="15">
        <v>49.490026972060399</v>
      </c>
      <c r="D21" s="15">
        <v>12.3062927053638</v>
      </c>
      <c r="E21" s="15">
        <v>4.34122505815193</v>
      </c>
      <c r="F21" s="15">
        <v>1.1544983646704401</v>
      </c>
      <c r="G21" s="24">
        <v>1.00099288526396</v>
      </c>
    </row>
    <row r="22" spans="1:7">
      <c r="A22" s="40" t="s">
        <v>459</v>
      </c>
      <c r="B22" s="15"/>
      <c r="C22" s="15"/>
      <c r="D22" s="15"/>
      <c r="E22" s="15"/>
      <c r="F22" s="15"/>
      <c r="G22" s="24"/>
    </row>
    <row r="23" spans="1:7">
      <c r="A23" s="9" t="s">
        <v>460</v>
      </c>
      <c r="B23" s="15">
        <v>5.8924591979247296</v>
      </c>
      <c r="C23" s="15">
        <v>11.207360142180599</v>
      </c>
      <c r="D23" s="15">
        <v>34.742115518732803</v>
      </c>
      <c r="E23" s="15">
        <v>12.550857480396701</v>
      </c>
      <c r="F23" s="15">
        <v>22.828264789998801</v>
      </c>
      <c r="G23" s="24">
        <v>12.7789428707664</v>
      </c>
    </row>
    <row r="24" spans="1:7">
      <c r="A24" s="9" t="s">
        <v>461</v>
      </c>
      <c r="B24" s="15">
        <v>8.4065066093527694</v>
      </c>
      <c r="C24" s="15">
        <v>30.751336620324299</v>
      </c>
      <c r="D24" s="15">
        <v>21.066226936591601</v>
      </c>
      <c r="E24" s="15">
        <v>27.032853443735402</v>
      </c>
      <c r="F24" s="15">
        <v>11.015908624541201</v>
      </c>
      <c r="G24" s="24">
        <v>1.7271677654547</v>
      </c>
    </row>
    <row r="25" spans="1:7">
      <c r="A25" s="9" t="s">
        <v>462</v>
      </c>
      <c r="B25" s="15">
        <v>16.4437156868998</v>
      </c>
      <c r="C25" s="15">
        <v>38.654833891789202</v>
      </c>
      <c r="D25" s="15">
        <v>18.644843922391001</v>
      </c>
      <c r="E25" s="15">
        <v>19.030806776420999</v>
      </c>
      <c r="F25" s="15">
        <v>6.4528265578594901</v>
      </c>
      <c r="G25" s="24">
        <v>0.77297316463947097</v>
      </c>
    </row>
    <row r="26" spans="1:7">
      <c r="A26" s="9" t="s">
        <v>463</v>
      </c>
      <c r="B26" s="15">
        <v>13.046724450600999</v>
      </c>
      <c r="C26" s="15">
        <v>45.288390201044002</v>
      </c>
      <c r="D26" s="15">
        <v>15.5083263712913</v>
      </c>
      <c r="E26" s="15">
        <v>21.506716179056699</v>
      </c>
      <c r="F26" s="15">
        <v>4.0885095589826799</v>
      </c>
      <c r="G26" s="24">
        <v>0.561333239024283</v>
      </c>
    </row>
    <row r="27" spans="1:7">
      <c r="A27" s="11" t="s">
        <v>464</v>
      </c>
      <c r="B27" s="16">
        <v>15.8344530034069</v>
      </c>
      <c r="C27" s="16">
        <v>46.060197481684497</v>
      </c>
      <c r="D27" s="16">
        <v>24.404976209275301</v>
      </c>
      <c r="E27" s="16">
        <v>10.0622699173003</v>
      </c>
      <c r="F27" s="16">
        <v>2.5389325820714501</v>
      </c>
      <c r="G27" s="25">
        <v>1.09917080626153</v>
      </c>
    </row>
    <row r="28" spans="1:7" ht="30" customHeight="1">
      <c r="A28" t="s">
        <v>144</v>
      </c>
    </row>
    <row r="29" spans="1:7">
      <c r="A29" t="s">
        <v>367</v>
      </c>
    </row>
    <row r="30" spans="1:7">
      <c r="A30" t="s">
        <v>368</v>
      </c>
    </row>
    <row r="31" spans="1:7">
      <c r="A31" t="s">
        <v>369</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465</v>
      </c>
      <c r="B1" s="12"/>
      <c r="C1" s="12"/>
      <c r="D1" s="12"/>
      <c r="E1" s="12"/>
    </row>
    <row r="2" spans="1:5" ht="60">
      <c r="A2" s="7" t="s">
        <v>52</v>
      </c>
      <c r="B2" s="6" t="s">
        <v>466</v>
      </c>
      <c r="C2" s="6" t="s">
        <v>467</v>
      </c>
      <c r="D2" s="6" t="s">
        <v>468</v>
      </c>
      <c r="E2" s="8" t="s">
        <v>469</v>
      </c>
    </row>
    <row r="3" spans="1:5">
      <c r="A3" s="40" t="s">
        <v>470</v>
      </c>
      <c r="B3" s="15"/>
      <c r="C3" s="15"/>
      <c r="D3" s="15"/>
      <c r="E3" s="24"/>
    </row>
    <row r="4" spans="1:5">
      <c r="A4" s="9" t="s">
        <v>471</v>
      </c>
      <c r="B4" s="15">
        <v>19.285835192056702</v>
      </c>
      <c r="C4" s="15">
        <v>7.1912139884823096</v>
      </c>
      <c r="D4" s="15">
        <v>6.6399209460739703</v>
      </c>
      <c r="E4" s="24">
        <v>4.0147468108042101</v>
      </c>
    </row>
    <row r="5" spans="1:5">
      <c r="A5" s="9" t="s">
        <v>472</v>
      </c>
      <c r="B5" s="15">
        <v>73.550799398421205</v>
      </c>
      <c r="C5" s="15">
        <v>76.135122919817803</v>
      </c>
      <c r="D5" s="15">
        <v>69.847878343306206</v>
      </c>
      <c r="E5" s="24">
        <v>28.372013919123201</v>
      </c>
    </row>
    <row r="6" spans="1:5">
      <c r="A6" s="9" t="s">
        <v>473</v>
      </c>
      <c r="B6" s="15">
        <v>2.2632932826755598</v>
      </c>
      <c r="C6" s="15">
        <v>0.96885508517293495</v>
      </c>
      <c r="D6" s="15">
        <v>0.76147550227979399</v>
      </c>
      <c r="E6" s="24">
        <v>0.29343290315304399</v>
      </c>
    </row>
    <row r="7" spans="1:5">
      <c r="A7" s="9" t="s">
        <v>474</v>
      </c>
      <c r="B7" s="15">
        <v>5.0630131440872503</v>
      </c>
      <c r="C7" s="15">
        <v>2.8544345794995101</v>
      </c>
      <c r="D7" s="15">
        <v>2.6249711728074199</v>
      </c>
      <c r="E7" s="24">
        <v>1.2071337677876599</v>
      </c>
    </row>
    <row r="8" spans="1:5">
      <c r="A8" s="9" t="s">
        <v>475</v>
      </c>
      <c r="B8" s="15">
        <v>1.6619336565926499</v>
      </c>
      <c r="C8" s="15">
        <v>0</v>
      </c>
      <c r="D8" s="15">
        <v>0</v>
      </c>
      <c r="E8" s="24">
        <v>0</v>
      </c>
    </row>
    <row r="9" spans="1:5">
      <c r="A9" s="9" t="s">
        <v>476</v>
      </c>
      <c r="B9" s="15">
        <v>0.29586956456307301</v>
      </c>
      <c r="C9" s="15">
        <v>0</v>
      </c>
      <c r="D9" s="15">
        <v>0</v>
      </c>
      <c r="E9" s="24">
        <v>0</v>
      </c>
    </row>
    <row r="10" spans="1:5">
      <c r="A10" s="9" t="s">
        <v>477</v>
      </c>
      <c r="B10" s="15">
        <v>52.244742953068098</v>
      </c>
      <c r="C10" s="15">
        <v>0.29209733454424902</v>
      </c>
      <c r="D10" s="15">
        <v>0</v>
      </c>
      <c r="E10" s="24">
        <v>0.29209733454424902</v>
      </c>
    </row>
    <row r="11" spans="1:5">
      <c r="A11" s="9" t="s">
        <v>478</v>
      </c>
      <c r="B11" s="15">
        <v>25.413806939655899</v>
      </c>
      <c r="C11" s="15">
        <v>0.64488829895567801</v>
      </c>
      <c r="D11" s="15">
        <v>0.64488829895567801</v>
      </c>
      <c r="E11" s="24">
        <v>0.64488829895567801</v>
      </c>
    </row>
    <row r="12" spans="1:5">
      <c r="A12" s="9" t="s">
        <v>479</v>
      </c>
      <c r="B12" s="15">
        <v>29.1896318966355</v>
      </c>
      <c r="C12" s="15">
        <v>11.3975315907725</v>
      </c>
      <c r="D12" s="15">
        <v>6.1952722794805197</v>
      </c>
      <c r="E12" s="24">
        <v>4.0460410292109596</v>
      </c>
    </row>
    <row r="13" spans="1:5">
      <c r="A13" s="9" t="s">
        <v>293</v>
      </c>
      <c r="B13" s="15">
        <v>0.82131038925394395</v>
      </c>
      <c r="C13" s="15">
        <v>0.537719607152639</v>
      </c>
      <c r="D13" s="15">
        <v>0.537719607152639</v>
      </c>
      <c r="E13" s="24">
        <v>0.19241303752396599</v>
      </c>
    </row>
    <row r="14" spans="1:5">
      <c r="A14" s="40" t="s">
        <v>480</v>
      </c>
      <c r="B14" s="15"/>
      <c r="C14" s="15"/>
      <c r="D14" s="15"/>
      <c r="E14" s="24"/>
    </row>
    <row r="15" spans="1:5">
      <c r="A15" s="9" t="s">
        <v>481</v>
      </c>
      <c r="B15" s="15">
        <v>11.559754052914</v>
      </c>
      <c r="C15" s="15">
        <v>1.57671038047974</v>
      </c>
      <c r="D15" s="15">
        <v>0.69968377281442196</v>
      </c>
      <c r="E15" s="24">
        <v>1.44758724396137</v>
      </c>
    </row>
    <row r="16" spans="1:5">
      <c r="A16" s="9" t="s">
        <v>482</v>
      </c>
      <c r="B16" s="15">
        <v>5.1694381385915902</v>
      </c>
      <c r="C16" s="15">
        <v>0.96055575556505401</v>
      </c>
      <c r="D16" s="15">
        <v>1.0857880034482901</v>
      </c>
      <c r="E16" s="24">
        <v>0.728875486692379</v>
      </c>
    </row>
    <row r="17" spans="1:5">
      <c r="A17" s="9" t="s">
        <v>483</v>
      </c>
      <c r="B17" s="15">
        <v>2.4214889806476698</v>
      </c>
      <c r="C17" s="15">
        <v>0.69968377281442196</v>
      </c>
      <c r="D17" s="15">
        <v>1.8801548079755901</v>
      </c>
      <c r="E17" s="24">
        <v>0.45317596673389599</v>
      </c>
    </row>
    <row r="18" spans="1:5">
      <c r="A18" s="9" t="s">
        <v>484</v>
      </c>
      <c r="B18" s="15">
        <v>2.40494896668022</v>
      </c>
      <c r="C18" s="15">
        <v>1.0857880034482901</v>
      </c>
      <c r="D18" s="15">
        <v>11.457765042498</v>
      </c>
      <c r="E18" s="24">
        <v>0.42973812800646799</v>
      </c>
    </row>
    <row r="19" spans="1:5">
      <c r="A19" s="9" t="s">
        <v>485</v>
      </c>
      <c r="B19" s="15">
        <v>3.6513750356569199</v>
      </c>
      <c r="C19" s="15">
        <v>1.9740625436253201</v>
      </c>
      <c r="D19" s="15">
        <v>15.027416903312099</v>
      </c>
      <c r="E19" s="24">
        <v>1.41217236587647</v>
      </c>
    </row>
    <row r="20" spans="1:5">
      <c r="A20" s="9" t="s">
        <v>486</v>
      </c>
      <c r="B20" s="15">
        <v>15.7790247734847</v>
      </c>
      <c r="C20" s="15">
        <v>11.6677531736036</v>
      </c>
      <c r="D20" s="15">
        <v>60.661369478481802</v>
      </c>
      <c r="E20" s="24">
        <v>4.41531805439908</v>
      </c>
    </row>
    <row r="21" spans="1:5">
      <c r="A21" s="9" t="s">
        <v>487</v>
      </c>
      <c r="B21" s="15">
        <v>31.711802221531499</v>
      </c>
      <c r="C21" s="15">
        <v>16.0984558581839</v>
      </c>
      <c r="D21" s="15">
        <v>2.0005397188415901</v>
      </c>
      <c r="E21" s="24">
        <v>6.9522397973729904</v>
      </c>
    </row>
    <row r="22" spans="1:5">
      <c r="A22" s="9" t="s">
        <v>488</v>
      </c>
      <c r="B22" s="15">
        <v>74.099685448485701</v>
      </c>
      <c r="C22" s="15">
        <v>65.226992311445997</v>
      </c>
      <c r="D22" s="15">
        <v>2.9737992133404401</v>
      </c>
      <c r="E22" s="24">
        <v>28.566234683622302</v>
      </c>
    </row>
    <row r="23" spans="1:5">
      <c r="A23" s="9" t="s">
        <v>489</v>
      </c>
      <c r="B23" s="15">
        <v>8.0181269884767303</v>
      </c>
      <c r="C23" s="15">
        <v>2.70264023485288</v>
      </c>
      <c r="D23" s="15">
        <v>0.87329930181203796</v>
      </c>
      <c r="E23" s="24">
        <v>1.31493530601498</v>
      </c>
    </row>
    <row r="24" spans="1:5">
      <c r="A24" s="9" t="s">
        <v>490</v>
      </c>
      <c r="B24" s="15">
        <v>8.6422185179979198</v>
      </c>
      <c r="C24" s="15">
        <v>3.24637996044871</v>
      </c>
      <c r="D24" s="15">
        <v>0.72667335403572098</v>
      </c>
      <c r="E24" s="24">
        <v>1.5009739858693401</v>
      </c>
    </row>
    <row r="25" spans="1:5">
      <c r="A25" s="9" t="s">
        <v>491</v>
      </c>
      <c r="B25" s="15">
        <v>7.6097634253951796</v>
      </c>
      <c r="C25" s="15">
        <v>0.87329930181203796</v>
      </c>
      <c r="D25" s="15">
        <v>6.5355387265199498</v>
      </c>
      <c r="E25" s="24">
        <v>0.32068839587327702</v>
      </c>
    </row>
    <row r="26" spans="1:5">
      <c r="A26" s="9" t="s">
        <v>492</v>
      </c>
      <c r="B26" s="15">
        <v>1.90352006788277</v>
      </c>
      <c r="C26" s="15">
        <v>0.84992725707598304</v>
      </c>
      <c r="D26" s="15">
        <v>1.75783298977419</v>
      </c>
      <c r="E26" s="24">
        <v>0.33699182220135399</v>
      </c>
    </row>
    <row r="27" spans="1:5">
      <c r="A27" s="11" t="s">
        <v>293</v>
      </c>
      <c r="B27" s="16">
        <v>8.8791161434359793</v>
      </c>
      <c r="C27" s="16">
        <v>6.72257163335565</v>
      </c>
      <c r="D27" s="16">
        <v>1.4851540825488301</v>
      </c>
      <c r="E27" s="25">
        <v>2.0248279346713298</v>
      </c>
    </row>
    <row r="28" spans="1:5" ht="30" customHeight="1">
      <c r="A28" t="s">
        <v>144</v>
      </c>
    </row>
    <row r="29" spans="1:5">
      <c r="A29" t="s">
        <v>367</v>
      </c>
    </row>
    <row r="30" spans="1:5">
      <c r="A30" t="s">
        <v>368</v>
      </c>
    </row>
    <row r="31" spans="1:5">
      <c r="A31" t="s">
        <v>369</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88671875" defaultRowHeight="15"/>
  <cols>
    <col min="1" max="1" width="77.6640625" customWidth="1"/>
    <col min="2" max="2" width="15.88671875" customWidth="1"/>
  </cols>
  <sheetData>
    <row r="1" spans="1:2" ht="39.950000000000003" customHeight="1">
      <c r="A1" s="10" t="s">
        <v>493</v>
      </c>
      <c r="B1" s="12"/>
    </row>
    <row r="2" spans="1:2">
      <c r="A2" s="7" t="s">
        <v>52</v>
      </c>
      <c r="B2" s="8" t="s">
        <v>494</v>
      </c>
    </row>
    <row r="3" spans="1:2">
      <c r="A3" s="40" t="s">
        <v>495</v>
      </c>
      <c r="B3" s="24"/>
    </row>
    <row r="4" spans="1:2">
      <c r="A4" s="9" t="s">
        <v>496</v>
      </c>
      <c r="B4" s="24">
        <v>27.545294211960901</v>
      </c>
    </row>
    <row r="5" spans="1:2">
      <c r="A5" s="9" t="s">
        <v>497</v>
      </c>
      <c r="B5" s="24">
        <v>38.560205226871901</v>
      </c>
    </row>
    <row r="6" spans="1:2">
      <c r="A6" s="9" t="s">
        <v>498</v>
      </c>
      <c r="B6" s="24">
        <v>27.545294211960901</v>
      </c>
    </row>
    <row r="7" spans="1:2">
      <c r="A7" s="9" t="s">
        <v>499</v>
      </c>
      <c r="B7" s="24">
        <v>40.516273849607202</v>
      </c>
    </row>
    <row r="8" spans="1:2">
      <c r="A8" s="9" t="s">
        <v>500</v>
      </c>
      <c r="B8" s="24">
        <v>54.641654641654597</v>
      </c>
    </row>
    <row r="9" spans="1:2">
      <c r="A9" s="9" t="s">
        <v>293</v>
      </c>
      <c r="B9" s="24">
        <v>2.4691358024691401</v>
      </c>
    </row>
    <row r="10" spans="1:2">
      <c r="A10" s="9" t="s">
        <v>501</v>
      </c>
      <c r="B10" s="24">
        <v>6.8783068783068799</v>
      </c>
    </row>
    <row r="11" spans="1:2" ht="30">
      <c r="A11" s="40" t="s">
        <v>502</v>
      </c>
      <c r="B11" s="24"/>
    </row>
    <row r="12" spans="1:2">
      <c r="A12" s="9" t="s">
        <v>503</v>
      </c>
      <c r="B12" s="24">
        <v>0</v>
      </c>
    </row>
    <row r="13" spans="1:2">
      <c r="A13" s="9" t="s">
        <v>504</v>
      </c>
      <c r="B13" s="24">
        <v>84.461088154270001</v>
      </c>
    </row>
    <row r="14" spans="1:2">
      <c r="A14" s="9" t="s">
        <v>505</v>
      </c>
      <c r="B14" s="24">
        <v>10.9934573002755</v>
      </c>
    </row>
    <row r="15" spans="1:2">
      <c r="A15" s="9" t="s">
        <v>506</v>
      </c>
      <c r="B15" s="24">
        <v>4.5454545454545396</v>
      </c>
    </row>
    <row r="16" spans="1:2">
      <c r="A16" s="9" t="s">
        <v>507</v>
      </c>
      <c r="B16" s="24">
        <v>0</v>
      </c>
    </row>
    <row r="17" spans="1:2">
      <c r="A17" s="9" t="s">
        <v>508</v>
      </c>
      <c r="B17" s="24">
        <v>0</v>
      </c>
    </row>
    <row r="18" spans="1:2">
      <c r="A18" s="40" t="s">
        <v>509</v>
      </c>
      <c r="B18" s="24"/>
    </row>
    <row r="19" spans="1:2">
      <c r="A19" s="9" t="s">
        <v>510</v>
      </c>
      <c r="B19" s="24">
        <v>77.074724517906304</v>
      </c>
    </row>
    <row r="20" spans="1:2">
      <c r="A20" s="9" t="s">
        <v>511</v>
      </c>
      <c r="B20" s="24">
        <v>19.232093663911801</v>
      </c>
    </row>
    <row r="21" spans="1:2">
      <c r="A21" s="9" t="s">
        <v>512</v>
      </c>
      <c r="B21" s="24">
        <v>0</v>
      </c>
    </row>
    <row r="22" spans="1:2">
      <c r="A22" s="9" t="s">
        <v>513</v>
      </c>
      <c r="B22" s="24">
        <v>0</v>
      </c>
    </row>
    <row r="23" spans="1:2">
      <c r="A23" s="11" t="s">
        <v>293</v>
      </c>
      <c r="B23" s="25">
        <v>3.6931818181818201</v>
      </c>
    </row>
    <row r="24" spans="1:2" ht="30" customHeight="1">
      <c r="A24" t="s">
        <v>144</v>
      </c>
    </row>
    <row r="25" spans="1:2">
      <c r="A25" t="s">
        <v>367</v>
      </c>
    </row>
    <row r="26" spans="1:2">
      <c r="A26" t="s">
        <v>368</v>
      </c>
    </row>
    <row r="27" spans="1:2">
      <c r="A27" t="s">
        <v>369</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88671875" defaultRowHeight="15"/>
  <cols>
    <col min="1" max="1" width="77.6640625" customWidth="1"/>
    <col min="2" max="6" width="15.88671875" customWidth="1"/>
  </cols>
  <sheetData>
    <row r="1" spans="1:6" ht="39.950000000000003" customHeight="1">
      <c r="A1" s="10" t="s">
        <v>514</v>
      </c>
      <c r="B1" s="12"/>
      <c r="C1" s="12"/>
      <c r="D1" s="12"/>
      <c r="E1" s="12"/>
      <c r="F1" s="12"/>
    </row>
    <row r="2" spans="1:6">
      <c r="A2" s="7" t="s">
        <v>52</v>
      </c>
      <c r="B2" s="6" t="s">
        <v>494</v>
      </c>
      <c r="C2" s="6" t="s">
        <v>515</v>
      </c>
      <c r="D2" s="6" t="s">
        <v>516</v>
      </c>
      <c r="E2" s="6" t="s">
        <v>517</v>
      </c>
      <c r="F2" s="8" t="s">
        <v>518</v>
      </c>
    </row>
    <row r="3" spans="1:6">
      <c r="A3" s="40" t="s">
        <v>519</v>
      </c>
      <c r="B3" s="15"/>
      <c r="C3" s="15"/>
      <c r="D3" s="15"/>
      <c r="E3" s="15"/>
      <c r="F3" s="24"/>
    </row>
    <row r="4" spans="1:6">
      <c r="A4" s="9" t="s">
        <v>520</v>
      </c>
      <c r="B4" s="15">
        <v>80.046496713163407</v>
      </c>
      <c r="C4" s="15">
        <v>28.637912407545901</v>
      </c>
      <c r="D4" s="15">
        <v>32.203108119338502</v>
      </c>
      <c r="E4" s="15">
        <v>45.903479236812601</v>
      </c>
      <c r="F4" s="24">
        <v>79.315216487991407</v>
      </c>
    </row>
    <row r="5" spans="1:6">
      <c r="A5" s="9" t="s">
        <v>521</v>
      </c>
      <c r="B5" s="15">
        <v>76.511143177809799</v>
      </c>
      <c r="C5" s="15">
        <v>28.637912407545901</v>
      </c>
      <c r="D5" s="15">
        <v>32.203108119338502</v>
      </c>
      <c r="E5" s="15">
        <v>42.4643257976591</v>
      </c>
      <c r="F5" s="24">
        <v>72.085099310230206</v>
      </c>
    </row>
    <row r="6" spans="1:6">
      <c r="A6" s="9" t="s">
        <v>522</v>
      </c>
      <c r="B6" s="15">
        <v>49.158249158249099</v>
      </c>
      <c r="C6" s="15">
        <v>0</v>
      </c>
      <c r="D6" s="15">
        <v>0</v>
      </c>
      <c r="E6" s="15">
        <v>14.742664742664701</v>
      </c>
      <c r="F6" s="24">
        <v>50.959860383944203</v>
      </c>
    </row>
    <row r="7" spans="1:6" ht="30">
      <c r="A7" s="40" t="s">
        <v>523</v>
      </c>
      <c r="B7" s="15"/>
      <c r="C7" s="20" t="s">
        <v>524</v>
      </c>
      <c r="D7" s="20" t="s">
        <v>524</v>
      </c>
      <c r="E7" s="20" t="s">
        <v>524</v>
      </c>
      <c r="F7" s="26" t="s">
        <v>524</v>
      </c>
    </row>
    <row r="8" spans="1:6">
      <c r="A8" s="9" t="s">
        <v>429</v>
      </c>
      <c r="B8" s="15">
        <v>67.921882824236405</v>
      </c>
      <c r="C8" s="20" t="s">
        <v>524</v>
      </c>
      <c r="D8" s="20" t="s">
        <v>524</v>
      </c>
      <c r="E8" s="20" t="s">
        <v>524</v>
      </c>
      <c r="F8" s="26" t="s">
        <v>524</v>
      </c>
    </row>
    <row r="9" spans="1:6">
      <c r="A9" s="9" t="s">
        <v>430</v>
      </c>
      <c r="B9" s="15">
        <v>8.7130696044066092</v>
      </c>
      <c r="C9" s="20" t="s">
        <v>524</v>
      </c>
      <c r="D9" s="20" t="s">
        <v>524</v>
      </c>
      <c r="E9" s="20" t="s">
        <v>524</v>
      </c>
      <c r="F9" s="26" t="s">
        <v>524</v>
      </c>
    </row>
    <row r="10" spans="1:6">
      <c r="A10" s="9" t="s">
        <v>440</v>
      </c>
      <c r="B10" s="15">
        <v>23.365047571357</v>
      </c>
      <c r="C10" s="20" t="s">
        <v>524</v>
      </c>
      <c r="D10" s="20" t="s">
        <v>524</v>
      </c>
      <c r="E10" s="20" t="s">
        <v>524</v>
      </c>
      <c r="F10" s="26" t="s">
        <v>524</v>
      </c>
    </row>
    <row r="11" spans="1:6">
      <c r="A11" s="40" t="s">
        <v>525</v>
      </c>
      <c r="B11" s="15"/>
      <c r="C11" s="20" t="s">
        <v>524</v>
      </c>
      <c r="D11" s="20" t="s">
        <v>524</v>
      </c>
      <c r="E11" s="20" t="s">
        <v>524</v>
      </c>
      <c r="F11" s="26" t="s">
        <v>524</v>
      </c>
    </row>
    <row r="12" spans="1:6">
      <c r="A12" s="9" t="s">
        <v>429</v>
      </c>
      <c r="B12" s="15">
        <v>48.6329494241362</v>
      </c>
      <c r="C12" s="20" t="s">
        <v>524</v>
      </c>
      <c r="D12" s="20" t="s">
        <v>524</v>
      </c>
      <c r="E12" s="20" t="s">
        <v>524</v>
      </c>
      <c r="F12" s="26" t="s">
        <v>524</v>
      </c>
    </row>
    <row r="13" spans="1:6">
      <c r="A13" s="9" t="s">
        <v>430</v>
      </c>
      <c r="B13" s="15">
        <v>23.7055583375063</v>
      </c>
      <c r="C13" s="20" t="s">
        <v>524</v>
      </c>
      <c r="D13" s="20" t="s">
        <v>524</v>
      </c>
      <c r="E13" s="20" t="s">
        <v>524</v>
      </c>
      <c r="F13" s="26" t="s">
        <v>524</v>
      </c>
    </row>
    <row r="14" spans="1:6">
      <c r="A14" s="9" t="s">
        <v>440</v>
      </c>
      <c r="B14" s="15">
        <v>27.6614922383575</v>
      </c>
      <c r="C14" s="20" t="s">
        <v>524</v>
      </c>
      <c r="D14" s="20" t="s">
        <v>524</v>
      </c>
      <c r="E14" s="20" t="s">
        <v>524</v>
      </c>
      <c r="F14" s="26" t="s">
        <v>524</v>
      </c>
    </row>
    <row r="15" spans="1:6" ht="30">
      <c r="A15" s="40" t="s">
        <v>526</v>
      </c>
      <c r="B15" s="15"/>
      <c r="C15" s="20" t="s">
        <v>524</v>
      </c>
      <c r="D15" s="20" t="s">
        <v>524</v>
      </c>
      <c r="E15" s="20" t="s">
        <v>524</v>
      </c>
      <c r="F15" s="26" t="s">
        <v>524</v>
      </c>
    </row>
    <row r="16" spans="1:6">
      <c r="A16" s="9" t="s">
        <v>527</v>
      </c>
      <c r="B16" s="15">
        <v>63.505257886830201</v>
      </c>
      <c r="C16" s="20" t="s">
        <v>524</v>
      </c>
      <c r="D16" s="20" t="s">
        <v>524</v>
      </c>
      <c r="E16" s="20" t="s">
        <v>524</v>
      </c>
      <c r="F16" s="26" t="s">
        <v>524</v>
      </c>
    </row>
    <row r="17" spans="1:6">
      <c r="A17" s="9" t="s">
        <v>528</v>
      </c>
      <c r="B17" s="15">
        <v>14.121181772659</v>
      </c>
      <c r="C17" s="20" t="s">
        <v>524</v>
      </c>
      <c r="D17" s="20" t="s">
        <v>524</v>
      </c>
      <c r="E17" s="20" t="s">
        <v>524</v>
      </c>
      <c r="F17" s="26" t="s">
        <v>524</v>
      </c>
    </row>
    <row r="18" spans="1:6">
      <c r="A18" s="9" t="s">
        <v>529</v>
      </c>
      <c r="B18" s="15">
        <v>5.2879318978467698</v>
      </c>
      <c r="C18" s="20" t="s">
        <v>524</v>
      </c>
      <c r="D18" s="20" t="s">
        <v>524</v>
      </c>
      <c r="E18" s="20" t="s">
        <v>524</v>
      </c>
      <c r="F18" s="26" t="s">
        <v>524</v>
      </c>
    </row>
    <row r="19" spans="1:6">
      <c r="A19" s="9" t="s">
        <v>530</v>
      </c>
      <c r="B19" s="15">
        <v>21.502253380070101</v>
      </c>
      <c r="C19" s="20" t="s">
        <v>524</v>
      </c>
      <c r="D19" s="20" t="s">
        <v>524</v>
      </c>
      <c r="E19" s="20" t="s">
        <v>524</v>
      </c>
      <c r="F19" s="26" t="s">
        <v>524</v>
      </c>
    </row>
    <row r="20" spans="1:6">
      <c r="A20" s="9" t="s">
        <v>531</v>
      </c>
      <c r="B20" s="15">
        <v>0</v>
      </c>
      <c r="C20" s="20" t="s">
        <v>524</v>
      </c>
      <c r="D20" s="20" t="s">
        <v>524</v>
      </c>
      <c r="E20" s="20" t="s">
        <v>524</v>
      </c>
      <c r="F20" s="26" t="s">
        <v>524</v>
      </c>
    </row>
    <row r="21" spans="1:6">
      <c r="A21" s="11" t="s">
        <v>293</v>
      </c>
      <c r="B21" s="16">
        <v>5.2879318978467698</v>
      </c>
      <c r="C21" s="28" t="s">
        <v>524</v>
      </c>
      <c r="D21" s="28" t="s">
        <v>524</v>
      </c>
      <c r="E21" s="28" t="s">
        <v>524</v>
      </c>
      <c r="F21" s="29" t="s">
        <v>524</v>
      </c>
    </row>
    <row r="22" spans="1:6" ht="30" customHeight="1">
      <c r="A22" t="s">
        <v>532</v>
      </c>
    </row>
    <row r="23" spans="1:6">
      <c r="A23" t="s">
        <v>144</v>
      </c>
    </row>
    <row r="24" spans="1:6">
      <c r="A24" t="s">
        <v>367</v>
      </c>
    </row>
    <row r="25" spans="1:6">
      <c r="A25" t="s">
        <v>368</v>
      </c>
    </row>
    <row r="26" spans="1:6">
      <c r="A26" t="s">
        <v>369</v>
      </c>
    </row>
    <row r="27" spans="1:6">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7"/>
  <sheetViews>
    <sheetView zoomScale="70" workbookViewId="0"/>
  </sheetViews>
  <sheetFormatPr defaultColWidth="10.88671875" defaultRowHeight="15"/>
  <cols>
    <col min="1" max="1" width="51.6640625" customWidth="1"/>
    <col min="2" max="3" width="15.88671875" customWidth="1"/>
  </cols>
  <sheetData>
    <row r="1" spans="1:3" ht="39.950000000000003" customHeight="1">
      <c r="A1" s="10" t="s">
        <v>533</v>
      </c>
      <c r="B1" s="12"/>
      <c r="C1" s="12"/>
    </row>
    <row r="2" spans="1:3" ht="150">
      <c r="A2" s="7" t="s">
        <v>52</v>
      </c>
      <c r="B2" s="6" t="s">
        <v>365</v>
      </c>
      <c r="C2" s="8" t="s">
        <v>366</v>
      </c>
    </row>
    <row r="3" spans="1:3" ht="21.95" customHeight="1">
      <c r="A3" s="22" t="s">
        <v>68</v>
      </c>
      <c r="B3" s="15">
        <v>92.880453063051505</v>
      </c>
      <c r="C3" s="24">
        <v>80.312646544741398</v>
      </c>
    </row>
    <row r="4" spans="1:3" ht="21.95" customHeight="1">
      <c r="A4" s="22" t="s">
        <v>69</v>
      </c>
      <c r="B4" s="15">
        <v>86.259349593495898</v>
      </c>
      <c r="C4" s="24">
        <v>82.113821138211406</v>
      </c>
    </row>
    <row r="5" spans="1:3" ht="21.95" customHeight="1">
      <c r="A5" s="22" t="s">
        <v>70</v>
      </c>
      <c r="B5" s="15">
        <v>68.974999999999994</v>
      </c>
      <c r="C5" s="24">
        <v>87.5</v>
      </c>
    </row>
    <row r="6" spans="1:3">
      <c r="A6" s="9" t="s">
        <v>194</v>
      </c>
      <c r="B6" s="15">
        <v>0</v>
      </c>
      <c r="C6" s="24">
        <v>0</v>
      </c>
    </row>
    <row r="7" spans="1:3">
      <c r="A7" s="9" t="s">
        <v>195</v>
      </c>
      <c r="B7" s="15">
        <v>84</v>
      </c>
      <c r="C7" s="24">
        <v>100</v>
      </c>
    </row>
    <row r="8" spans="1:3">
      <c r="A8" s="9" t="s">
        <v>196</v>
      </c>
      <c r="B8" s="15">
        <v>97.8</v>
      </c>
      <c r="C8" s="24">
        <v>100</v>
      </c>
    </row>
    <row r="9" spans="1:3">
      <c r="A9" s="9" t="s">
        <v>197</v>
      </c>
      <c r="B9" s="15">
        <v>84</v>
      </c>
      <c r="C9" s="24">
        <v>100</v>
      </c>
    </row>
    <row r="10" spans="1:3">
      <c r="A10" s="9" t="s">
        <v>198</v>
      </c>
      <c r="B10" s="15">
        <v>100</v>
      </c>
      <c r="C10" s="24">
        <v>100</v>
      </c>
    </row>
    <row r="11" spans="1:3">
      <c r="A11" s="9" t="s">
        <v>199</v>
      </c>
      <c r="B11" s="15">
        <v>96</v>
      </c>
      <c r="C11" s="24">
        <v>100</v>
      </c>
    </row>
    <row r="12" spans="1:3">
      <c r="A12" s="11" t="s">
        <v>200</v>
      </c>
      <c r="B12" s="16">
        <v>90</v>
      </c>
      <c r="C12" s="25">
        <v>100</v>
      </c>
    </row>
    <row r="13" spans="1:3" ht="30" customHeight="1">
      <c r="A13" t="s">
        <v>144</v>
      </c>
    </row>
    <row r="14" spans="1:3">
      <c r="A14" t="s">
        <v>534</v>
      </c>
    </row>
    <row r="15" spans="1:3">
      <c r="A15" t="s">
        <v>535</v>
      </c>
    </row>
    <row r="16" spans="1:3">
      <c r="A16" t="s">
        <v>536</v>
      </c>
    </row>
    <row r="17" spans="1:1">
      <c r="A1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88671875" defaultRowHeight="15"/>
  <cols>
    <col min="1" max="1" width="77.6640625" customWidth="1"/>
    <col min="2" max="8" width="15.88671875" customWidth="1"/>
  </cols>
  <sheetData>
    <row r="1" spans="1:8" ht="39.950000000000003" customHeight="1">
      <c r="A1" s="10" t="s">
        <v>537</v>
      </c>
      <c r="B1" s="12"/>
      <c r="C1" s="12"/>
      <c r="D1" s="12"/>
      <c r="E1" s="12"/>
      <c r="F1" s="12"/>
      <c r="G1" s="12"/>
      <c r="H1" s="12"/>
    </row>
    <row r="2" spans="1:8" ht="60">
      <c r="A2" s="7" t="s">
        <v>52</v>
      </c>
      <c r="B2" s="6" t="s">
        <v>538</v>
      </c>
      <c r="C2" s="6" t="s">
        <v>539</v>
      </c>
      <c r="D2" s="6" t="s">
        <v>540</v>
      </c>
      <c r="E2" s="6" t="s">
        <v>541</v>
      </c>
      <c r="F2" s="6" t="s">
        <v>542</v>
      </c>
      <c r="G2" s="6" t="s">
        <v>543</v>
      </c>
      <c r="H2" s="8" t="s">
        <v>544</v>
      </c>
    </row>
    <row r="3" spans="1:8">
      <c r="A3" s="40" t="s">
        <v>377</v>
      </c>
      <c r="B3" s="15"/>
      <c r="C3" s="15"/>
      <c r="D3" s="15"/>
      <c r="E3" s="15"/>
      <c r="F3" s="15"/>
      <c r="G3" s="15"/>
      <c r="H3" s="24"/>
    </row>
    <row r="4" spans="1:8">
      <c r="A4" s="9" t="s">
        <v>378</v>
      </c>
      <c r="B4" s="15">
        <v>54.061763319189097</v>
      </c>
      <c r="C4" s="15">
        <v>1.98019801980198</v>
      </c>
      <c r="D4" s="15">
        <v>36.301272984441297</v>
      </c>
      <c r="E4" s="15">
        <v>36.004243281470998</v>
      </c>
      <c r="F4" s="15">
        <v>42.398632720414902</v>
      </c>
      <c r="G4" s="15">
        <v>49.081801037246599</v>
      </c>
      <c r="H4" s="24">
        <v>44.585101367279599</v>
      </c>
    </row>
    <row r="5" spans="1:8">
      <c r="A5" s="9" t="s">
        <v>379</v>
      </c>
      <c r="B5" s="15">
        <v>96.212871287128706</v>
      </c>
      <c r="C5" s="15">
        <v>63.268505421970801</v>
      </c>
      <c r="D5" s="15">
        <v>92.128712871287107</v>
      </c>
      <c r="E5" s="15">
        <v>93.242574257425701</v>
      </c>
      <c r="F5" s="15">
        <v>92.004950495049499</v>
      </c>
      <c r="G5" s="15">
        <v>88.828382838283801</v>
      </c>
      <c r="H5" s="24">
        <v>83.229608675153202</v>
      </c>
    </row>
    <row r="6" spans="1:8">
      <c r="A6" s="9" t="s">
        <v>380</v>
      </c>
      <c r="B6" s="15">
        <v>82.9903347477605</v>
      </c>
      <c r="C6" s="15">
        <v>33.684582743988699</v>
      </c>
      <c r="D6" s="15">
        <v>82.000235737859498</v>
      </c>
      <c r="E6" s="15">
        <v>80.515087223007995</v>
      </c>
      <c r="F6" s="15">
        <v>75.988920320603498</v>
      </c>
      <c r="G6" s="15">
        <v>55.838048090523301</v>
      </c>
      <c r="H6" s="24">
        <v>50.392503536067899</v>
      </c>
    </row>
    <row r="7" spans="1:8">
      <c r="A7" s="9" t="s">
        <v>221</v>
      </c>
      <c r="B7" s="15">
        <v>13.358085808580899</v>
      </c>
      <c r="C7" s="15">
        <v>2.6402640264026398</v>
      </c>
      <c r="D7" s="15">
        <v>7.8712871287128703</v>
      </c>
      <c r="E7" s="15">
        <v>6.7161716171617201</v>
      </c>
      <c r="F7" s="15">
        <v>7.7062706270627102</v>
      </c>
      <c r="G7" s="15">
        <v>10.5528052805281</v>
      </c>
      <c r="H7" s="24">
        <v>8.8201320132013201</v>
      </c>
    </row>
    <row r="8" spans="1:8">
      <c r="A8" s="9" t="s">
        <v>381</v>
      </c>
      <c r="B8" s="15">
        <v>8.5985384252710997</v>
      </c>
      <c r="C8" s="15">
        <v>2.4752475247524801</v>
      </c>
      <c r="D8" s="15">
        <v>7.4846770391324799</v>
      </c>
      <c r="E8" s="15">
        <v>5.25695426685526</v>
      </c>
      <c r="F8" s="15">
        <v>5.25695426685526</v>
      </c>
      <c r="G8" s="15">
        <v>4.6499292786421504</v>
      </c>
      <c r="H8" s="24">
        <v>5.1449787835926504</v>
      </c>
    </row>
    <row r="9" spans="1:8">
      <c r="A9" s="9" t="s">
        <v>382</v>
      </c>
      <c r="B9" s="15">
        <v>8.2920792079207892</v>
      </c>
      <c r="C9" s="15">
        <v>0</v>
      </c>
      <c r="D9" s="15">
        <v>4.6204620462046204</v>
      </c>
      <c r="E9" s="15">
        <v>3.1353135313531402</v>
      </c>
      <c r="F9" s="15">
        <v>1.6501650165016499</v>
      </c>
      <c r="G9" s="15">
        <v>3.6716171617161701</v>
      </c>
      <c r="H9" s="24">
        <v>2.4339933993399301</v>
      </c>
    </row>
    <row r="10" spans="1:8">
      <c r="A10" s="9" t="s">
        <v>383</v>
      </c>
      <c r="B10" s="15">
        <v>26.3790664780764</v>
      </c>
      <c r="C10" s="15">
        <v>9.2821782178217802</v>
      </c>
      <c r="D10" s="15">
        <v>23.037482319660501</v>
      </c>
      <c r="E10" s="15">
        <v>23.037482319660501</v>
      </c>
      <c r="F10" s="15">
        <v>23.037482319660501</v>
      </c>
      <c r="G10" s="15">
        <v>18.4700612918435</v>
      </c>
      <c r="H10" s="24">
        <v>17.727487034417699</v>
      </c>
    </row>
    <row r="11" spans="1:8">
      <c r="A11" s="9" t="s">
        <v>384</v>
      </c>
      <c r="B11" s="15">
        <v>25.542197076850499</v>
      </c>
      <c r="C11" s="15">
        <v>0.56577086280056599</v>
      </c>
      <c r="D11" s="15">
        <v>14.6923620933522</v>
      </c>
      <c r="E11" s="15">
        <v>15.6824611032532</v>
      </c>
      <c r="F11" s="15">
        <v>17.8276756247053</v>
      </c>
      <c r="G11" s="15">
        <v>22.006129184346999</v>
      </c>
      <c r="H11" s="24">
        <v>21.511079679396499</v>
      </c>
    </row>
    <row r="12" spans="1:8">
      <c r="A12" s="9" t="s">
        <v>385</v>
      </c>
      <c r="B12" s="15">
        <v>29.646393210749601</v>
      </c>
      <c r="C12" s="15">
        <v>9.8361621876473393</v>
      </c>
      <c r="D12" s="15">
        <v>27.542432814710001</v>
      </c>
      <c r="E12" s="15">
        <v>25.3972182932579</v>
      </c>
      <c r="F12" s="15">
        <v>24.2090994813767</v>
      </c>
      <c r="G12" s="15">
        <v>19.1100895803866</v>
      </c>
      <c r="H12" s="24">
        <v>17.872465818010401</v>
      </c>
    </row>
    <row r="13" spans="1:8">
      <c r="A13" s="9" t="s">
        <v>386</v>
      </c>
      <c r="B13" s="15">
        <v>74.040546911833999</v>
      </c>
      <c r="C13" s="15">
        <v>17.562470532767598</v>
      </c>
      <c r="D13" s="15">
        <v>29.184347006129201</v>
      </c>
      <c r="E13" s="15">
        <v>33.639792550683602</v>
      </c>
      <c r="F13" s="15">
        <v>47.934936350777903</v>
      </c>
      <c r="G13" s="15">
        <v>71.936586515794403</v>
      </c>
      <c r="H13" s="24">
        <v>71.070249882131094</v>
      </c>
    </row>
    <row r="14" spans="1:8">
      <c r="A14" s="9" t="s">
        <v>387</v>
      </c>
      <c r="B14" s="15">
        <v>51.247053276756198</v>
      </c>
      <c r="C14" s="15">
        <v>3.1353135313531402</v>
      </c>
      <c r="D14" s="15">
        <v>29.649929278642201</v>
      </c>
      <c r="E14" s="15">
        <v>25.607024988213102</v>
      </c>
      <c r="F14" s="15">
        <v>30.351249410655399</v>
      </c>
      <c r="G14" s="15">
        <v>43.420556341348401</v>
      </c>
      <c r="H14" s="24">
        <v>40.499764262140502</v>
      </c>
    </row>
    <row r="15" spans="1:8">
      <c r="A15" s="40" t="s">
        <v>388</v>
      </c>
      <c r="B15" s="15"/>
      <c r="C15" s="15"/>
      <c r="D15" s="15"/>
      <c r="E15" s="15"/>
      <c r="F15" s="15"/>
      <c r="G15" s="15"/>
      <c r="H15" s="24"/>
    </row>
    <row r="16" spans="1:8">
      <c r="A16" s="9" t="s">
        <v>208</v>
      </c>
      <c r="B16" s="15">
        <v>97.450495049504994</v>
      </c>
      <c r="C16" s="15">
        <v>45.4926921263555</v>
      </c>
      <c r="D16" s="15">
        <v>96.955445544554493</v>
      </c>
      <c r="E16" s="15">
        <v>95.965346534653506</v>
      </c>
      <c r="F16" s="15">
        <v>93.242574257425701</v>
      </c>
      <c r="G16" s="15">
        <v>76.298915605846304</v>
      </c>
      <c r="H16" s="24">
        <v>60.632956152758098</v>
      </c>
    </row>
    <row r="17" spans="1:8">
      <c r="A17" s="9" t="s">
        <v>209</v>
      </c>
      <c r="B17" s="15">
        <v>90.7378595002357</v>
      </c>
      <c r="C17" s="15">
        <v>47.439886845827402</v>
      </c>
      <c r="D17" s="15">
        <v>67.408062234794897</v>
      </c>
      <c r="E17" s="15">
        <v>69.586280056577095</v>
      </c>
      <c r="F17" s="15">
        <v>82.115747289014607</v>
      </c>
      <c r="G17" s="15">
        <v>89.128948609146605</v>
      </c>
      <c r="H17" s="24">
        <v>87.396275341819901</v>
      </c>
    </row>
    <row r="18" spans="1:8">
      <c r="A18" s="9" t="s">
        <v>389</v>
      </c>
      <c r="B18" s="15">
        <v>96.4191419141914</v>
      </c>
      <c r="C18" s="15">
        <v>67.210042432814703</v>
      </c>
      <c r="D18" s="15">
        <v>93.820132013201302</v>
      </c>
      <c r="E18" s="15">
        <v>94.315181518151803</v>
      </c>
      <c r="F18" s="15">
        <v>95.305280528052805</v>
      </c>
      <c r="G18" s="15">
        <v>93.118811881188094</v>
      </c>
      <c r="H18" s="24">
        <v>85.188590287600206</v>
      </c>
    </row>
    <row r="19" spans="1:8">
      <c r="A19" s="9" t="s">
        <v>210</v>
      </c>
      <c r="B19" s="15">
        <v>94.034653465346494</v>
      </c>
      <c r="C19" s="15">
        <v>40.8309759547383</v>
      </c>
      <c r="D19" s="15">
        <v>81.010136727958496</v>
      </c>
      <c r="E19" s="15">
        <v>84.970532767562503</v>
      </c>
      <c r="F19" s="15">
        <v>89.590994813767097</v>
      </c>
      <c r="G19" s="15">
        <v>90.869872701555906</v>
      </c>
      <c r="H19" s="24">
        <v>85.927628477133396</v>
      </c>
    </row>
    <row r="20" spans="1:8">
      <c r="A20" s="9" t="s">
        <v>390</v>
      </c>
      <c r="B20" s="15">
        <v>4.4943422913719902</v>
      </c>
      <c r="C20" s="15">
        <v>0</v>
      </c>
      <c r="D20" s="15">
        <v>2.1923620933521901</v>
      </c>
      <c r="E20" s="15">
        <v>3.0091937765205099</v>
      </c>
      <c r="F20" s="15">
        <v>2.1216407355021198</v>
      </c>
      <c r="G20" s="15">
        <v>0.49504950495049499</v>
      </c>
      <c r="H20" s="24">
        <v>0.99009900990098998</v>
      </c>
    </row>
    <row r="21" spans="1:8">
      <c r="A21" s="9" t="s">
        <v>219</v>
      </c>
      <c r="B21" s="15">
        <v>84.528524280999505</v>
      </c>
      <c r="C21" s="15">
        <v>16.019566242338499</v>
      </c>
      <c r="D21" s="15">
        <v>82.548326261197502</v>
      </c>
      <c r="E21" s="15">
        <v>81.805752003771801</v>
      </c>
      <c r="F21" s="15">
        <v>80.815652993870799</v>
      </c>
      <c r="G21" s="15">
        <v>65.1214049976426</v>
      </c>
      <c r="H21" s="24">
        <v>52.629655822725098</v>
      </c>
    </row>
    <row r="22" spans="1:8">
      <c r="A22" s="9" t="s">
        <v>221</v>
      </c>
      <c r="B22" s="15">
        <v>13.358085808580899</v>
      </c>
      <c r="C22" s="15">
        <v>2.6402640264026398</v>
      </c>
      <c r="D22" s="15">
        <v>7.8712871287128703</v>
      </c>
      <c r="E22" s="15">
        <v>6.7161716171617201</v>
      </c>
      <c r="F22" s="15">
        <v>7.7062706270627102</v>
      </c>
      <c r="G22" s="15">
        <v>10.5528052805281</v>
      </c>
      <c r="H22" s="24">
        <v>8.8201320132013201</v>
      </c>
    </row>
    <row r="23" spans="1:8">
      <c r="A23" s="9" t="s">
        <v>223</v>
      </c>
      <c r="B23" s="15">
        <v>79.416548797736894</v>
      </c>
      <c r="C23" s="15">
        <v>46.184582743988699</v>
      </c>
      <c r="D23" s="15">
        <v>68.710513908533699</v>
      </c>
      <c r="E23" s="15">
        <v>67.225365393682196</v>
      </c>
      <c r="F23" s="15">
        <v>72.959688826025499</v>
      </c>
      <c r="G23" s="15">
        <v>74.507307873644507</v>
      </c>
      <c r="H23" s="24">
        <v>73.322725129655794</v>
      </c>
    </row>
    <row r="24" spans="1:8">
      <c r="A24" s="9" t="s">
        <v>228</v>
      </c>
      <c r="B24" s="15">
        <v>98.069306930693102</v>
      </c>
      <c r="C24" s="15">
        <v>64.148986327204099</v>
      </c>
      <c r="D24" s="15">
        <v>95.965346534653506</v>
      </c>
      <c r="E24" s="15">
        <v>96.460396039603907</v>
      </c>
      <c r="F24" s="15">
        <v>96.460396039603907</v>
      </c>
      <c r="G24" s="15">
        <v>97.079207920792101</v>
      </c>
      <c r="H24" s="24">
        <v>93.501885902875998</v>
      </c>
    </row>
    <row r="25" spans="1:8">
      <c r="A25" s="9" t="s">
        <v>230</v>
      </c>
      <c r="B25" s="15">
        <v>2.4752475247524801</v>
      </c>
      <c r="C25" s="15">
        <v>0</v>
      </c>
      <c r="D25" s="15">
        <v>2.4752475247524801</v>
      </c>
      <c r="E25" s="15">
        <v>1.98019801980198</v>
      </c>
      <c r="F25" s="15">
        <v>2.4752475247524801</v>
      </c>
      <c r="G25" s="15">
        <v>0.99009900990098998</v>
      </c>
      <c r="H25" s="24">
        <v>1.48514851485149</v>
      </c>
    </row>
    <row r="26" spans="1:8">
      <c r="A26" s="9" t="s">
        <v>391</v>
      </c>
      <c r="B26" s="15">
        <v>71.289486091466301</v>
      </c>
      <c r="C26" s="15">
        <v>14.8844884488449</v>
      </c>
      <c r="D26" s="15">
        <v>69.804337576614799</v>
      </c>
      <c r="E26" s="15">
        <v>69.804337576614799</v>
      </c>
      <c r="F26" s="15">
        <v>69.114804337576601</v>
      </c>
      <c r="G26" s="15">
        <v>51.481612446958998</v>
      </c>
      <c r="H26" s="24">
        <v>48.263790664780799</v>
      </c>
    </row>
    <row r="27" spans="1:8">
      <c r="A27" s="9" t="s">
        <v>236</v>
      </c>
      <c r="B27" s="15">
        <v>4.7241867043847199</v>
      </c>
      <c r="C27" s="15">
        <v>0.69306930693069302</v>
      </c>
      <c r="D27" s="15">
        <v>2.6732673267326699</v>
      </c>
      <c r="E27" s="15">
        <v>2.6732673267326699</v>
      </c>
      <c r="F27" s="15">
        <v>2.24893917963225</v>
      </c>
      <c r="G27" s="15">
        <v>2.7439886845827401</v>
      </c>
      <c r="H27" s="24">
        <v>3.2390381895332401</v>
      </c>
    </row>
    <row r="28" spans="1:8">
      <c r="A28" s="9" t="s">
        <v>392</v>
      </c>
      <c r="B28" s="15">
        <v>38.870815652993898</v>
      </c>
      <c r="C28" s="15">
        <v>8.9851485148514794</v>
      </c>
      <c r="D28" s="15">
        <v>37.314945780292298</v>
      </c>
      <c r="E28" s="15">
        <v>29.270391324846798</v>
      </c>
      <c r="F28" s="15">
        <v>26.535832154644002</v>
      </c>
      <c r="G28" s="15">
        <v>17.017916077321999</v>
      </c>
      <c r="H28" s="24">
        <v>16.522866572371498</v>
      </c>
    </row>
    <row r="29" spans="1:8">
      <c r="A29" s="9" t="s">
        <v>240</v>
      </c>
      <c r="B29" s="15">
        <v>93.708156529938705</v>
      </c>
      <c r="C29" s="15">
        <v>9.1053748231966107</v>
      </c>
      <c r="D29" s="15">
        <v>92.594295143800096</v>
      </c>
      <c r="E29" s="15">
        <v>91.604196133899094</v>
      </c>
      <c r="F29" s="15">
        <v>92.099245638849595</v>
      </c>
      <c r="G29" s="15">
        <v>87.520037718057495</v>
      </c>
      <c r="H29" s="24">
        <v>84.178453559641696</v>
      </c>
    </row>
    <row r="30" spans="1:8">
      <c r="A30" s="9" t="s">
        <v>393</v>
      </c>
      <c r="B30" s="15">
        <v>11.696133899104201</v>
      </c>
      <c r="C30" s="15">
        <v>0.49504950495049499</v>
      </c>
      <c r="D30" s="15">
        <v>9.0558698727015496</v>
      </c>
      <c r="E30" s="15">
        <v>9.5509193776520505</v>
      </c>
      <c r="F30" s="15">
        <v>9.5509193776520505</v>
      </c>
      <c r="G30" s="15">
        <v>9.7159358793022204</v>
      </c>
      <c r="H30" s="24">
        <v>8.2307873644507303</v>
      </c>
    </row>
    <row r="31" spans="1:8">
      <c r="A31" s="9" t="s">
        <v>394</v>
      </c>
      <c r="B31" s="15">
        <v>93.881423856671404</v>
      </c>
      <c r="C31" s="15">
        <v>42.4611032531825</v>
      </c>
      <c r="D31" s="15">
        <v>92.231258840169701</v>
      </c>
      <c r="E31" s="15">
        <v>92.396275341819901</v>
      </c>
      <c r="F31" s="15">
        <v>91.4061763319189</v>
      </c>
      <c r="G31" s="15">
        <v>83.909712399811397</v>
      </c>
      <c r="H31" s="24">
        <v>80.621169259783102</v>
      </c>
    </row>
    <row r="32" spans="1:8">
      <c r="A32" s="9" t="s">
        <v>252</v>
      </c>
      <c r="B32" s="15">
        <v>5.3630363036303601</v>
      </c>
      <c r="C32" s="15">
        <v>0.49504950495049499</v>
      </c>
      <c r="D32" s="15">
        <v>1.73267326732673</v>
      </c>
      <c r="E32" s="15">
        <v>2.2277227722772301</v>
      </c>
      <c r="F32" s="15">
        <v>1.73267326732673</v>
      </c>
      <c r="G32" s="15">
        <v>4.7442244224422403</v>
      </c>
      <c r="H32" s="24">
        <v>4.2491749174917501</v>
      </c>
    </row>
    <row r="33" spans="1:8">
      <c r="A33" s="9" t="s">
        <v>395</v>
      </c>
      <c r="B33" s="15">
        <v>47.946723243752899</v>
      </c>
      <c r="C33" s="15">
        <v>7.3762376237623801</v>
      </c>
      <c r="D33" s="15">
        <v>19.121876473361599</v>
      </c>
      <c r="E33" s="15">
        <v>18.131777463460601</v>
      </c>
      <c r="F33" s="15">
        <v>27.537718057519999</v>
      </c>
      <c r="G33" s="15">
        <v>43.903818953323899</v>
      </c>
      <c r="H33" s="24">
        <v>43.656294200848698</v>
      </c>
    </row>
    <row r="34" spans="1:8">
      <c r="A34" s="9" t="s">
        <v>396</v>
      </c>
      <c r="B34" s="15">
        <v>68.480669495520999</v>
      </c>
      <c r="C34" s="15">
        <v>33.8495992456388</v>
      </c>
      <c r="D34" s="15">
        <v>61.013672795851001</v>
      </c>
      <c r="E34" s="15">
        <v>62.045025931164503</v>
      </c>
      <c r="F34" s="15">
        <v>62.870108439415397</v>
      </c>
      <c r="G34" s="15">
        <v>58.809523809523803</v>
      </c>
      <c r="H34" s="24">
        <v>56.086751532296098</v>
      </c>
    </row>
    <row r="35" spans="1:8">
      <c r="A35" s="9" t="s">
        <v>259</v>
      </c>
      <c r="B35" s="15">
        <v>3.71287128712871</v>
      </c>
      <c r="C35" s="15">
        <v>0</v>
      </c>
      <c r="D35" s="15">
        <v>3.2178217821782198</v>
      </c>
      <c r="E35" s="15">
        <v>1.2376237623762401</v>
      </c>
      <c r="F35" s="15">
        <v>0.99009900990098998</v>
      </c>
      <c r="G35" s="15">
        <v>0.49504950495049499</v>
      </c>
      <c r="H35" s="24">
        <v>0.99009900990098998</v>
      </c>
    </row>
    <row r="36" spans="1:8">
      <c r="A36" s="9" t="s">
        <v>260</v>
      </c>
      <c r="B36" s="15">
        <v>53.629184347006102</v>
      </c>
      <c r="C36" s="15">
        <v>6.5181518151815201</v>
      </c>
      <c r="D36" s="15">
        <v>18.945073078736399</v>
      </c>
      <c r="E36" s="15">
        <v>20.760254596888299</v>
      </c>
      <c r="F36" s="15">
        <v>31.6395568128241</v>
      </c>
      <c r="G36" s="15">
        <v>47.708628005657701</v>
      </c>
      <c r="H36" s="24">
        <v>45.480905233380497</v>
      </c>
    </row>
    <row r="37" spans="1:8">
      <c r="A37" s="9" t="s">
        <v>397</v>
      </c>
      <c r="B37" s="15">
        <v>10.3677510608204</v>
      </c>
      <c r="C37" s="15">
        <v>1.11386138613861</v>
      </c>
      <c r="D37" s="15">
        <v>7.8512494106553499</v>
      </c>
      <c r="E37" s="15">
        <v>7.3231966053748199</v>
      </c>
      <c r="F37" s="15">
        <v>9.6746817538896792</v>
      </c>
      <c r="G37" s="15">
        <v>4.2079207920792099</v>
      </c>
      <c r="H37" s="24">
        <v>4.7029702970297</v>
      </c>
    </row>
    <row r="38" spans="1:8">
      <c r="A38" s="40" t="s">
        <v>398</v>
      </c>
      <c r="B38" s="15"/>
      <c r="C38" s="15"/>
      <c r="D38" s="15"/>
      <c r="E38" s="15"/>
      <c r="F38" s="15"/>
      <c r="G38" s="15"/>
      <c r="H38" s="24"/>
    </row>
    <row r="39" spans="1:8">
      <c r="A39" s="9" t="s">
        <v>222</v>
      </c>
      <c r="B39" s="15">
        <v>70.952380952380906</v>
      </c>
      <c r="C39" s="15">
        <v>3.66336633663366</v>
      </c>
      <c r="D39" s="15">
        <v>65.259311645450296</v>
      </c>
      <c r="E39" s="15">
        <v>62.495285242809999</v>
      </c>
      <c r="F39" s="15">
        <v>61.805752003771801</v>
      </c>
      <c r="G39" s="15">
        <v>48.681046676096202</v>
      </c>
      <c r="H39" s="24">
        <v>41.923620933521903</v>
      </c>
    </row>
    <row r="40" spans="1:8">
      <c r="A40" s="9" t="s">
        <v>231</v>
      </c>
      <c r="B40" s="15">
        <v>86.146864686468604</v>
      </c>
      <c r="C40" s="15">
        <v>12.1086751532296</v>
      </c>
      <c r="D40" s="15">
        <v>83.972182932579003</v>
      </c>
      <c r="E40" s="15">
        <v>82.227722772277204</v>
      </c>
      <c r="F40" s="15">
        <v>69.268033946251805</v>
      </c>
      <c r="G40" s="15">
        <v>28.0622347949081</v>
      </c>
      <c r="H40" s="24">
        <v>26.082036775106101</v>
      </c>
    </row>
    <row r="41" spans="1:8">
      <c r="A41" s="9" t="s">
        <v>399</v>
      </c>
      <c r="B41" s="15">
        <v>5.3960396039603999</v>
      </c>
      <c r="C41" s="15">
        <v>0</v>
      </c>
      <c r="D41" s="15">
        <v>3.1683168316831698</v>
      </c>
      <c r="E41" s="15">
        <v>2.4752475247524801</v>
      </c>
      <c r="F41" s="15">
        <v>3.2178217821782198</v>
      </c>
      <c r="G41" s="15">
        <v>1.48514851485149</v>
      </c>
      <c r="H41" s="24">
        <v>0.99009900990098998</v>
      </c>
    </row>
    <row r="42" spans="1:8">
      <c r="A42" s="40" t="s">
        <v>400</v>
      </c>
      <c r="B42" s="15"/>
      <c r="C42" s="15"/>
      <c r="D42" s="15"/>
      <c r="E42" s="15"/>
      <c r="F42" s="15"/>
      <c r="G42" s="15"/>
      <c r="H42" s="24"/>
    </row>
    <row r="43" spans="1:8">
      <c r="A43" s="9" t="s">
        <v>401</v>
      </c>
      <c r="B43" s="15">
        <v>2.1039603960396001</v>
      </c>
      <c r="C43" s="15">
        <v>0</v>
      </c>
      <c r="D43" s="15">
        <v>2.1039603960396001</v>
      </c>
      <c r="E43" s="15">
        <v>0</v>
      </c>
      <c r="F43" s="15">
        <v>0</v>
      </c>
      <c r="G43" s="15">
        <v>0</v>
      </c>
      <c r="H43" s="24">
        <v>0</v>
      </c>
    </row>
    <row r="44" spans="1:8">
      <c r="A44" s="9" t="s">
        <v>402</v>
      </c>
      <c r="B44" s="15">
        <v>2.5990099009901</v>
      </c>
      <c r="C44" s="15">
        <v>0</v>
      </c>
      <c r="D44" s="15">
        <v>1.11386138613861</v>
      </c>
      <c r="E44" s="15">
        <v>0</v>
      </c>
      <c r="F44" s="15">
        <v>1.48514851485149</v>
      </c>
      <c r="G44" s="15">
        <v>0.49504950495049499</v>
      </c>
      <c r="H44" s="24">
        <v>0</v>
      </c>
    </row>
    <row r="45" spans="1:8">
      <c r="A45" s="9" t="s">
        <v>218</v>
      </c>
      <c r="B45" s="15">
        <v>8.6633663366336595</v>
      </c>
      <c r="C45" s="15">
        <v>0</v>
      </c>
      <c r="D45" s="15">
        <v>5.0330033003300301</v>
      </c>
      <c r="E45" s="15">
        <v>5.0330033003300301</v>
      </c>
      <c r="F45" s="15">
        <v>2.6815181518151801</v>
      </c>
      <c r="G45" s="15">
        <v>3.7541254125412502</v>
      </c>
      <c r="H45" s="24">
        <v>3.0115511551155101</v>
      </c>
    </row>
    <row r="46" spans="1:8">
      <c r="A46" s="9" t="s">
        <v>239</v>
      </c>
      <c r="B46" s="15">
        <v>9.4884488448844895</v>
      </c>
      <c r="C46" s="15">
        <v>2.1452145214521501</v>
      </c>
      <c r="D46" s="15">
        <v>6.0231023102310202</v>
      </c>
      <c r="E46" s="15">
        <v>6.7656765676567696</v>
      </c>
      <c r="F46" s="15">
        <v>6.0231023102310202</v>
      </c>
      <c r="G46" s="15">
        <v>5.52805280528053</v>
      </c>
      <c r="H46" s="24">
        <v>6.0231023102310202</v>
      </c>
    </row>
    <row r="47" spans="1:8">
      <c r="A47" s="9" t="s">
        <v>403</v>
      </c>
      <c r="B47" s="15">
        <v>50.810938236680798</v>
      </c>
      <c r="C47" s="15">
        <v>6.0938236680810904</v>
      </c>
      <c r="D47" s="15">
        <v>47.675624705327699</v>
      </c>
      <c r="E47" s="15">
        <v>45.583451202263099</v>
      </c>
      <c r="F47" s="15">
        <v>36.466289486091497</v>
      </c>
      <c r="G47" s="15">
        <v>19.4931636020745</v>
      </c>
      <c r="H47" s="24">
        <v>15.3677510608204</v>
      </c>
    </row>
    <row r="48" spans="1:8">
      <c r="A48" s="9" t="s">
        <v>404</v>
      </c>
      <c r="B48" s="15">
        <v>0.49504950495049499</v>
      </c>
      <c r="C48" s="15">
        <v>0</v>
      </c>
      <c r="D48" s="15">
        <v>0</v>
      </c>
      <c r="E48" s="15">
        <v>0</v>
      </c>
      <c r="F48" s="15">
        <v>0.49504950495049499</v>
      </c>
      <c r="G48" s="15">
        <v>0</v>
      </c>
      <c r="H48" s="24">
        <v>0</v>
      </c>
    </row>
    <row r="49" spans="1:8">
      <c r="A49" s="9" t="s">
        <v>237</v>
      </c>
      <c r="B49" s="15">
        <v>23.2355021216407</v>
      </c>
      <c r="C49" s="15">
        <v>0.99009900990098998</v>
      </c>
      <c r="D49" s="15">
        <v>12.600188590287599</v>
      </c>
      <c r="E49" s="15">
        <v>11.6925978312117</v>
      </c>
      <c r="F49" s="15">
        <v>15.438472418670401</v>
      </c>
      <c r="G49" s="15">
        <v>7.2194719471947204</v>
      </c>
      <c r="H49" s="24">
        <v>6.4768976897689798</v>
      </c>
    </row>
    <row r="50" spans="1:8">
      <c r="A50" s="9" t="s">
        <v>241</v>
      </c>
      <c r="B50" s="15">
        <v>1.6089108910891099</v>
      </c>
      <c r="C50" s="15">
        <v>0</v>
      </c>
      <c r="D50" s="15">
        <v>1.11386138613861</v>
      </c>
      <c r="E50" s="15">
        <v>0.49504950495049499</v>
      </c>
      <c r="F50" s="15">
        <v>0</v>
      </c>
      <c r="G50" s="15">
        <v>0</v>
      </c>
      <c r="H50" s="24">
        <v>0</v>
      </c>
    </row>
    <row r="51" spans="1:8">
      <c r="A51" s="9" t="s">
        <v>242</v>
      </c>
      <c r="B51" s="15">
        <v>8.1683168316831694</v>
      </c>
      <c r="C51" s="15">
        <v>0.61881188118811903</v>
      </c>
      <c r="D51" s="15">
        <v>4.8267326732673297</v>
      </c>
      <c r="E51" s="15">
        <v>6.0643564356435604</v>
      </c>
      <c r="F51" s="15">
        <v>6.9306930693069297</v>
      </c>
      <c r="G51" s="15">
        <v>1.11386138613861</v>
      </c>
      <c r="H51" s="24">
        <v>1.11386138613861</v>
      </c>
    </row>
    <row r="52" spans="1:8">
      <c r="A52" s="9" t="s">
        <v>244</v>
      </c>
      <c r="B52" s="15">
        <v>1.98019801980198</v>
      </c>
      <c r="C52" s="15">
        <v>0</v>
      </c>
      <c r="D52" s="15">
        <v>0</v>
      </c>
      <c r="E52" s="15">
        <v>0.49504950495049499</v>
      </c>
      <c r="F52" s="15">
        <v>0.49504950495049499</v>
      </c>
      <c r="G52" s="15">
        <v>1.48514851485149</v>
      </c>
      <c r="H52" s="24">
        <v>1.48514851485149</v>
      </c>
    </row>
    <row r="53" spans="1:8">
      <c r="A53" s="9" t="s">
        <v>249</v>
      </c>
      <c r="B53" s="15">
        <v>1.11386138613861</v>
      </c>
      <c r="C53" s="15">
        <v>0</v>
      </c>
      <c r="D53" s="15">
        <v>0.61881188118811903</v>
      </c>
      <c r="E53" s="15">
        <v>0.61881188118811903</v>
      </c>
      <c r="F53" s="15">
        <v>1.11386138613861</v>
      </c>
      <c r="G53" s="15">
        <v>0.61881188118811903</v>
      </c>
      <c r="H53" s="24">
        <v>0</v>
      </c>
    </row>
    <row r="54" spans="1:8">
      <c r="A54" s="9" t="s">
        <v>250</v>
      </c>
      <c r="B54" s="15">
        <v>3.53606789250354</v>
      </c>
      <c r="C54" s="15">
        <v>0</v>
      </c>
      <c r="D54" s="15">
        <v>1.98019801980198</v>
      </c>
      <c r="E54" s="15">
        <v>1.98019801980198</v>
      </c>
      <c r="F54" s="15">
        <v>1.98019801980198</v>
      </c>
      <c r="G54" s="15">
        <v>1.0608203677510599</v>
      </c>
      <c r="H54" s="24">
        <v>0</v>
      </c>
    </row>
    <row r="55" spans="1:8">
      <c r="A55" s="9" t="s">
        <v>405</v>
      </c>
      <c r="B55" s="15">
        <v>2.4752475247524801</v>
      </c>
      <c r="C55" s="15">
        <v>1.48514851485149</v>
      </c>
      <c r="D55" s="15">
        <v>1.48514851485149</v>
      </c>
      <c r="E55" s="15">
        <v>1.98019801980198</v>
      </c>
      <c r="F55" s="15">
        <v>1.98019801980198</v>
      </c>
      <c r="G55" s="15">
        <v>1.98019801980198</v>
      </c>
      <c r="H55" s="24">
        <v>2.4752475247524801</v>
      </c>
    </row>
    <row r="56" spans="1:8">
      <c r="A56" s="11" t="s">
        <v>253</v>
      </c>
      <c r="B56" s="16">
        <v>2.4752475247524801</v>
      </c>
      <c r="C56" s="16">
        <v>0</v>
      </c>
      <c r="D56" s="16">
        <v>0.99009900990098998</v>
      </c>
      <c r="E56" s="16">
        <v>0.99009900990098998</v>
      </c>
      <c r="F56" s="16">
        <v>1.98019801980198</v>
      </c>
      <c r="G56" s="16">
        <v>0.99009900990098998</v>
      </c>
      <c r="H56" s="25">
        <v>0.99009900990098998</v>
      </c>
    </row>
    <row r="57" spans="1:8" ht="30" customHeight="1">
      <c r="A57" t="s">
        <v>144</v>
      </c>
    </row>
    <row r="58" spans="1:8">
      <c r="A58" t="s">
        <v>534</v>
      </c>
    </row>
    <row r="59" spans="1:8">
      <c r="A59" t="s">
        <v>535</v>
      </c>
    </row>
    <row r="60" spans="1:8">
      <c r="A60" t="s">
        <v>536</v>
      </c>
    </row>
    <row r="61" spans="1:8">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545</v>
      </c>
      <c r="B1" s="12"/>
      <c r="C1" s="12"/>
      <c r="D1" s="12"/>
      <c r="E1" s="12"/>
    </row>
    <row r="2" spans="1:5" ht="60">
      <c r="A2" s="7" t="s">
        <v>52</v>
      </c>
      <c r="B2" s="6" t="s">
        <v>538</v>
      </c>
      <c r="C2" s="6" t="s">
        <v>407</v>
      </c>
      <c r="D2" s="6" t="s">
        <v>408</v>
      </c>
      <c r="E2" s="8" t="s">
        <v>409</v>
      </c>
    </row>
    <row r="3" spans="1:5">
      <c r="A3" s="40" t="s">
        <v>377</v>
      </c>
      <c r="B3" s="15"/>
      <c r="C3" s="15"/>
      <c r="D3" s="15"/>
      <c r="E3" s="24"/>
    </row>
    <row r="4" spans="1:5">
      <c r="A4" s="9" t="s">
        <v>378</v>
      </c>
      <c r="B4" s="15">
        <v>6.2623762376237604</v>
      </c>
      <c r="C4" s="15">
        <v>1.6089108910891099</v>
      </c>
      <c r="D4" s="15">
        <v>0.49504950495049499</v>
      </c>
      <c r="E4" s="24">
        <v>4.6534653465346496</v>
      </c>
    </row>
    <row r="5" spans="1:5">
      <c r="A5" s="9" t="s">
        <v>379</v>
      </c>
      <c r="B5" s="15">
        <v>30.162659123055199</v>
      </c>
      <c r="C5" s="15">
        <v>25.854549740688402</v>
      </c>
      <c r="D5" s="15">
        <v>4.4024045261669</v>
      </c>
      <c r="E5" s="24">
        <v>7.4552098066949499</v>
      </c>
    </row>
    <row r="6" spans="1:5">
      <c r="A6" s="9" t="s">
        <v>380</v>
      </c>
      <c r="B6" s="15">
        <v>30.8887317303159</v>
      </c>
      <c r="C6" s="15">
        <v>28.767090994813799</v>
      </c>
      <c r="D6" s="15">
        <v>4.1018387553041</v>
      </c>
      <c r="E6" s="24">
        <v>4.1018387553041</v>
      </c>
    </row>
    <row r="7" spans="1:5">
      <c r="A7" s="9" t="s">
        <v>221</v>
      </c>
      <c r="B7" s="15">
        <v>4.5379537953795399</v>
      </c>
      <c r="C7" s="15">
        <v>4.5379537953795399</v>
      </c>
      <c r="D7" s="15">
        <v>0</v>
      </c>
      <c r="E7" s="24">
        <v>0</v>
      </c>
    </row>
    <row r="8" spans="1:5">
      <c r="A8" s="9" t="s">
        <v>381</v>
      </c>
      <c r="B8" s="15">
        <v>4.1018387553041</v>
      </c>
      <c r="C8" s="15">
        <v>3.53606789250354</v>
      </c>
      <c r="D8" s="15">
        <v>0</v>
      </c>
      <c r="E8" s="24">
        <v>0.56577086280056599</v>
      </c>
    </row>
    <row r="9" spans="1:5">
      <c r="A9" s="9" t="s">
        <v>382</v>
      </c>
      <c r="B9" s="15">
        <v>5.2392739273927402</v>
      </c>
      <c r="C9" s="15">
        <v>3.7541254125412502</v>
      </c>
      <c r="D9" s="15">
        <v>0.99009900990098998</v>
      </c>
      <c r="E9" s="24">
        <v>1.48514851485149</v>
      </c>
    </row>
    <row r="10" spans="1:5">
      <c r="A10" s="9" t="s">
        <v>383</v>
      </c>
      <c r="B10" s="15">
        <v>1.73267326732673</v>
      </c>
      <c r="C10" s="15">
        <v>1.73267326732673</v>
      </c>
      <c r="D10" s="15">
        <v>0</v>
      </c>
      <c r="E10" s="24">
        <v>0</v>
      </c>
    </row>
    <row r="11" spans="1:5">
      <c r="A11" s="9" t="s">
        <v>384</v>
      </c>
      <c r="B11" s="15">
        <v>2.6402640264026398</v>
      </c>
      <c r="C11" s="15">
        <v>0</v>
      </c>
      <c r="D11" s="15">
        <v>0</v>
      </c>
      <c r="E11" s="24">
        <v>2.6402640264026398</v>
      </c>
    </row>
    <row r="12" spans="1:5">
      <c r="A12" s="9" t="s">
        <v>385</v>
      </c>
      <c r="B12" s="15">
        <v>7.3762376237623801</v>
      </c>
      <c r="C12" s="15">
        <v>7.3762376237623801</v>
      </c>
      <c r="D12" s="15">
        <v>0</v>
      </c>
      <c r="E12" s="24">
        <v>0</v>
      </c>
    </row>
    <row r="13" spans="1:5">
      <c r="A13" s="9" t="s">
        <v>386</v>
      </c>
      <c r="B13" s="15">
        <v>43.190711928335702</v>
      </c>
      <c r="C13" s="15">
        <v>32.735737859500198</v>
      </c>
      <c r="D13" s="15">
        <v>15.1991984912777</v>
      </c>
      <c r="E13" s="24">
        <v>12.1169259783121</v>
      </c>
    </row>
    <row r="14" spans="1:5">
      <c r="A14" s="9" t="s">
        <v>387</v>
      </c>
      <c r="B14" s="15">
        <v>8.0363036303630402</v>
      </c>
      <c r="C14" s="15">
        <v>6.2293729372937303</v>
      </c>
      <c r="D14" s="15">
        <v>0.49504950495049499</v>
      </c>
      <c r="E14" s="24">
        <v>2.7970297029703</v>
      </c>
    </row>
    <row r="15" spans="1:5">
      <c r="A15" s="40" t="s">
        <v>388</v>
      </c>
      <c r="B15" s="15"/>
      <c r="C15" s="15"/>
      <c r="D15" s="15"/>
      <c r="E15" s="24"/>
    </row>
    <row r="16" spans="1:5">
      <c r="A16" s="9" t="s">
        <v>208</v>
      </c>
      <c r="B16" s="15">
        <v>80.453795379537993</v>
      </c>
      <c r="C16" s="15">
        <v>75.962989156058498</v>
      </c>
      <c r="D16" s="15">
        <v>5.7814710042432802</v>
      </c>
      <c r="E16" s="24">
        <v>7.1841112682696799</v>
      </c>
    </row>
    <row r="17" spans="1:5">
      <c r="A17" s="9" t="s">
        <v>209</v>
      </c>
      <c r="B17" s="15">
        <v>56.841112682696803</v>
      </c>
      <c r="C17" s="15">
        <v>53.664545025931197</v>
      </c>
      <c r="D17" s="15">
        <v>3.5478547854785498</v>
      </c>
      <c r="E17" s="24">
        <v>3.79537953795379</v>
      </c>
    </row>
    <row r="18" spans="1:5">
      <c r="A18" s="9" t="s">
        <v>389</v>
      </c>
      <c r="B18" s="15">
        <v>65.663602074493198</v>
      </c>
      <c r="C18" s="15">
        <v>46.606553512494102</v>
      </c>
      <c r="D18" s="15">
        <v>9.2998585572843009</v>
      </c>
      <c r="E18" s="24">
        <v>22.027345591702002</v>
      </c>
    </row>
    <row r="19" spans="1:5">
      <c r="A19" s="9" t="s">
        <v>210</v>
      </c>
      <c r="B19" s="15">
        <v>73.922677982083897</v>
      </c>
      <c r="C19" s="15">
        <v>56.036067892503503</v>
      </c>
      <c r="D19" s="15">
        <v>23.7859500235738</v>
      </c>
      <c r="E19" s="24">
        <v>8.0445544554455406</v>
      </c>
    </row>
    <row r="20" spans="1:5">
      <c r="A20" s="9" t="s">
        <v>390</v>
      </c>
      <c r="B20" s="15">
        <v>0.49504950495049499</v>
      </c>
      <c r="C20" s="15">
        <v>0.49504950495049499</v>
      </c>
      <c r="D20" s="15">
        <v>0</v>
      </c>
      <c r="E20" s="24">
        <v>0</v>
      </c>
    </row>
    <row r="21" spans="1:5">
      <c r="A21" s="9" t="s">
        <v>219</v>
      </c>
      <c r="B21" s="15">
        <v>59.923385195662398</v>
      </c>
      <c r="C21" s="15">
        <v>37.351485148514897</v>
      </c>
      <c r="D21" s="15">
        <v>22.996228194248001</v>
      </c>
      <c r="E21" s="24">
        <v>14.1383781235266</v>
      </c>
    </row>
    <row r="22" spans="1:5">
      <c r="A22" s="9" t="s">
        <v>221</v>
      </c>
      <c r="B22" s="15">
        <v>4.5379537953795399</v>
      </c>
      <c r="C22" s="15">
        <v>4.5379537953795399</v>
      </c>
      <c r="D22" s="15">
        <v>0</v>
      </c>
      <c r="E22" s="24">
        <v>0</v>
      </c>
    </row>
    <row r="23" spans="1:5">
      <c r="A23" s="9" t="s">
        <v>223</v>
      </c>
      <c r="B23" s="15">
        <v>28.7010843941537</v>
      </c>
      <c r="C23" s="15">
        <v>25.907590759075902</v>
      </c>
      <c r="D23" s="15">
        <v>2.1039603960396001</v>
      </c>
      <c r="E23" s="24">
        <v>4.2786421499292802</v>
      </c>
    </row>
    <row r="24" spans="1:5">
      <c r="A24" s="9" t="s">
        <v>228</v>
      </c>
      <c r="B24" s="15">
        <v>95.346534653465298</v>
      </c>
      <c r="C24" s="15">
        <v>44.341112682696803</v>
      </c>
      <c r="D24" s="15">
        <v>64.499057048561994</v>
      </c>
      <c r="E24" s="24">
        <v>62.395096652522398</v>
      </c>
    </row>
    <row r="25" spans="1:5">
      <c r="A25" s="9" t="s">
        <v>230</v>
      </c>
      <c r="B25" s="15">
        <v>3.4653465346534702</v>
      </c>
      <c r="C25" s="15">
        <v>3.4653465346534702</v>
      </c>
      <c r="D25" s="15">
        <v>0</v>
      </c>
      <c r="E25" s="24">
        <v>0</v>
      </c>
    </row>
    <row r="26" spans="1:5">
      <c r="A26" s="9" t="s">
        <v>391</v>
      </c>
      <c r="B26" s="15">
        <v>50.768505421970801</v>
      </c>
      <c r="C26" s="15">
        <v>35.598774163130599</v>
      </c>
      <c r="D26" s="15">
        <v>4.7442244224422403</v>
      </c>
      <c r="E26" s="24">
        <v>21.4321074964639</v>
      </c>
    </row>
    <row r="27" spans="1:5">
      <c r="A27" s="9" t="s">
        <v>236</v>
      </c>
      <c r="B27" s="15">
        <v>0.99009900990098998</v>
      </c>
      <c r="C27" s="15">
        <v>0.99009900990098998</v>
      </c>
      <c r="D27" s="15">
        <v>0</v>
      </c>
      <c r="E27" s="24">
        <v>0</v>
      </c>
    </row>
    <row r="28" spans="1:5">
      <c r="A28" s="9" t="s">
        <v>392</v>
      </c>
      <c r="B28" s="15">
        <v>6.5594059405940603</v>
      </c>
      <c r="C28" s="15">
        <v>3.9603960396039599</v>
      </c>
      <c r="D28" s="15">
        <v>0</v>
      </c>
      <c r="E28" s="24">
        <v>2.5990099009901</v>
      </c>
    </row>
    <row r="29" spans="1:5">
      <c r="A29" s="9" t="s">
        <v>240</v>
      </c>
      <c r="B29" s="15">
        <v>84.590994813767097</v>
      </c>
      <c r="C29" s="15">
        <v>19.1136256482791</v>
      </c>
      <c r="D29" s="15">
        <v>1.2376237623762401</v>
      </c>
      <c r="E29" s="24">
        <v>65.848656294200893</v>
      </c>
    </row>
    <row r="30" spans="1:5">
      <c r="A30" s="9" t="s">
        <v>393</v>
      </c>
      <c r="B30" s="15">
        <v>6.0148514851485197</v>
      </c>
      <c r="C30" s="15">
        <v>2.1782178217821802</v>
      </c>
      <c r="D30" s="15">
        <v>3.3415841584158401</v>
      </c>
      <c r="E30" s="24">
        <v>1.8564356435643601</v>
      </c>
    </row>
    <row r="31" spans="1:5">
      <c r="A31" s="9" t="s">
        <v>394</v>
      </c>
      <c r="B31" s="15">
        <v>86.579443658651599</v>
      </c>
      <c r="C31" s="15">
        <v>33.177746346063202</v>
      </c>
      <c r="D31" s="15">
        <v>63.962753418199</v>
      </c>
      <c r="E31" s="24">
        <v>40.359500235737897</v>
      </c>
    </row>
    <row r="32" spans="1:5">
      <c r="A32" s="9" t="s">
        <v>252</v>
      </c>
      <c r="B32" s="15">
        <v>0.49504950495049499</v>
      </c>
      <c r="C32" s="15">
        <v>0.49504950495049499</v>
      </c>
      <c r="D32" s="15">
        <v>0</v>
      </c>
      <c r="E32" s="24">
        <v>0</v>
      </c>
    </row>
    <row r="33" spans="1:5">
      <c r="A33" s="9" t="s">
        <v>395</v>
      </c>
      <c r="B33" s="15">
        <v>16.254125412541299</v>
      </c>
      <c r="C33" s="15">
        <v>15.5115511551155</v>
      </c>
      <c r="D33" s="15">
        <v>0.74257425742574301</v>
      </c>
      <c r="E33" s="24">
        <v>0</v>
      </c>
    </row>
    <row r="34" spans="1:5">
      <c r="A34" s="9" t="s">
        <v>396</v>
      </c>
      <c r="B34" s="15">
        <v>34.642857142857103</v>
      </c>
      <c r="C34" s="15">
        <v>30.800330033003299</v>
      </c>
      <c r="D34" s="15">
        <v>6.07024988213107</v>
      </c>
      <c r="E34" s="24">
        <v>5.5044790193304998</v>
      </c>
    </row>
    <row r="35" spans="1:5">
      <c r="A35" s="9" t="s">
        <v>259</v>
      </c>
      <c r="B35" s="15">
        <v>0.49504950495049499</v>
      </c>
      <c r="C35" s="15">
        <v>0.49504950495049499</v>
      </c>
      <c r="D35" s="15">
        <v>0</v>
      </c>
      <c r="E35" s="24">
        <v>0</v>
      </c>
    </row>
    <row r="36" spans="1:5">
      <c r="A36" s="9" t="s">
        <v>260</v>
      </c>
      <c r="B36" s="15">
        <v>6.8399339933993399</v>
      </c>
      <c r="C36" s="15">
        <v>5.52805280528053</v>
      </c>
      <c r="D36" s="15">
        <v>0</v>
      </c>
      <c r="E36" s="24">
        <v>1.3118811881188099</v>
      </c>
    </row>
    <row r="37" spans="1:5">
      <c r="A37" s="9" t="s">
        <v>397</v>
      </c>
      <c r="B37" s="15">
        <v>0.66006600660065995</v>
      </c>
      <c r="C37" s="15">
        <v>0.66006600660065995</v>
      </c>
      <c r="D37" s="15">
        <v>0</v>
      </c>
      <c r="E37" s="24">
        <v>0</v>
      </c>
    </row>
    <row r="38" spans="1:5">
      <c r="A38" s="40" t="s">
        <v>398</v>
      </c>
      <c r="B38" s="15"/>
      <c r="C38" s="15"/>
      <c r="D38" s="15"/>
      <c r="E38" s="24"/>
    </row>
    <row r="39" spans="1:5">
      <c r="A39" s="9" t="s">
        <v>222</v>
      </c>
      <c r="B39" s="15">
        <v>38.570249882131101</v>
      </c>
      <c r="C39" s="15">
        <v>21.968411126827</v>
      </c>
      <c r="D39" s="15">
        <v>0.66006600660065995</v>
      </c>
      <c r="E39" s="24">
        <v>18.3757661480434</v>
      </c>
    </row>
    <row r="40" spans="1:5">
      <c r="A40" s="9" t="s">
        <v>231</v>
      </c>
      <c r="B40" s="15">
        <v>43.748231966053702</v>
      </c>
      <c r="C40" s="15">
        <v>32.138142385667102</v>
      </c>
      <c r="D40" s="15">
        <v>6.0938236680810904</v>
      </c>
      <c r="E40" s="24">
        <v>12.8477133427628</v>
      </c>
    </row>
    <row r="41" spans="1:5">
      <c r="A41" s="9" t="s">
        <v>399</v>
      </c>
      <c r="B41" s="15">
        <v>0</v>
      </c>
      <c r="C41" s="15">
        <v>0</v>
      </c>
      <c r="D41" s="15">
        <v>0</v>
      </c>
      <c r="E41" s="24">
        <v>0</v>
      </c>
    </row>
    <row r="42" spans="1:5">
      <c r="A42" s="40" t="s">
        <v>400</v>
      </c>
      <c r="B42" s="15"/>
      <c r="C42" s="15"/>
      <c r="D42" s="15"/>
      <c r="E42" s="24"/>
    </row>
    <row r="43" spans="1:5">
      <c r="A43" s="9" t="s">
        <v>401</v>
      </c>
      <c r="B43" s="15">
        <v>0.74257425742574301</v>
      </c>
      <c r="C43" s="15">
        <v>0.74257425742574301</v>
      </c>
      <c r="D43" s="15">
        <v>0</v>
      </c>
      <c r="E43" s="24">
        <v>0</v>
      </c>
    </row>
    <row r="44" spans="1:5">
      <c r="A44" s="9" t="s">
        <v>402</v>
      </c>
      <c r="B44" s="15">
        <v>0.49504950495049499</v>
      </c>
      <c r="C44" s="15">
        <v>0.49504950495049499</v>
      </c>
      <c r="D44" s="15">
        <v>0</v>
      </c>
      <c r="E44" s="24">
        <v>0</v>
      </c>
    </row>
    <row r="45" spans="1:5">
      <c r="A45" s="9" t="s">
        <v>218</v>
      </c>
      <c r="B45" s="15">
        <v>3.83663366336634</v>
      </c>
      <c r="C45" s="15">
        <v>3.83663366336634</v>
      </c>
      <c r="D45" s="15">
        <v>0.61881188118811903</v>
      </c>
      <c r="E45" s="24">
        <v>0.61881188118811903</v>
      </c>
    </row>
    <row r="46" spans="1:5">
      <c r="A46" s="9" t="s">
        <v>239</v>
      </c>
      <c r="B46" s="15">
        <v>4.6204620462046204</v>
      </c>
      <c r="C46" s="15">
        <v>3.9603960396039599</v>
      </c>
      <c r="D46" s="15">
        <v>0.66006600660065995</v>
      </c>
      <c r="E46" s="24">
        <v>0</v>
      </c>
    </row>
    <row r="47" spans="1:5">
      <c r="A47" s="9" t="s">
        <v>403</v>
      </c>
      <c r="B47" s="15">
        <v>2.1452145214521501</v>
      </c>
      <c r="C47" s="15">
        <v>1.48514851485149</v>
      </c>
      <c r="D47" s="15">
        <v>0.66006600660065995</v>
      </c>
      <c r="E47" s="24">
        <v>0.66006600660065995</v>
      </c>
    </row>
    <row r="48" spans="1:5">
      <c r="A48" s="9" t="s">
        <v>404</v>
      </c>
      <c r="B48" s="15">
        <v>0</v>
      </c>
      <c r="C48" s="15">
        <v>0</v>
      </c>
      <c r="D48" s="15">
        <v>0</v>
      </c>
      <c r="E48" s="24">
        <v>0</v>
      </c>
    </row>
    <row r="49" spans="1:5">
      <c r="A49" s="9" t="s">
        <v>237</v>
      </c>
      <c r="B49" s="15">
        <v>1.15511551155115</v>
      </c>
      <c r="C49" s="15">
        <v>0.49504950495049499</v>
      </c>
      <c r="D49" s="15">
        <v>0.66006600660065995</v>
      </c>
      <c r="E49" s="24">
        <v>0.66006600660065995</v>
      </c>
    </row>
    <row r="50" spans="1:5">
      <c r="A50" s="9" t="s">
        <v>241</v>
      </c>
      <c r="B50" s="15">
        <v>1.73267326732673</v>
      </c>
      <c r="C50" s="15">
        <v>1.73267326732673</v>
      </c>
      <c r="D50" s="15">
        <v>0</v>
      </c>
      <c r="E50" s="24">
        <v>0</v>
      </c>
    </row>
    <row r="51" spans="1:5">
      <c r="A51" s="9" t="s">
        <v>242</v>
      </c>
      <c r="B51" s="15">
        <v>5.2805280528052796</v>
      </c>
      <c r="C51" s="15">
        <v>4.2904290429042904</v>
      </c>
      <c r="D51" s="15">
        <v>0.99009900990098998</v>
      </c>
      <c r="E51" s="24">
        <v>0</v>
      </c>
    </row>
    <row r="52" spans="1:5">
      <c r="A52" s="9" t="s">
        <v>244</v>
      </c>
      <c r="B52" s="15">
        <v>0.74257425742574301</v>
      </c>
      <c r="C52" s="15">
        <v>0.74257425742574301</v>
      </c>
      <c r="D52" s="15">
        <v>0</v>
      </c>
      <c r="E52" s="24">
        <v>0</v>
      </c>
    </row>
    <row r="53" spans="1:5">
      <c r="A53" s="9" t="s">
        <v>249</v>
      </c>
      <c r="B53" s="15">
        <v>0.61881188118811903</v>
      </c>
      <c r="C53" s="15">
        <v>0.61881188118811903</v>
      </c>
      <c r="D53" s="15">
        <v>0</v>
      </c>
      <c r="E53" s="24">
        <v>0</v>
      </c>
    </row>
    <row r="54" spans="1:5">
      <c r="A54" s="9" t="s">
        <v>250</v>
      </c>
      <c r="B54" s="15">
        <v>2.84653465346535</v>
      </c>
      <c r="C54" s="15">
        <v>2.84653465346535</v>
      </c>
      <c r="D54" s="15">
        <v>0</v>
      </c>
      <c r="E54" s="24">
        <v>0</v>
      </c>
    </row>
    <row r="55" spans="1:5">
      <c r="A55" s="9" t="s">
        <v>405</v>
      </c>
      <c r="B55" s="15">
        <v>1.98019801980198</v>
      </c>
      <c r="C55" s="15">
        <v>1.98019801980198</v>
      </c>
      <c r="D55" s="15">
        <v>0</v>
      </c>
      <c r="E55" s="24">
        <v>0</v>
      </c>
    </row>
    <row r="56" spans="1:5">
      <c r="A56" s="11" t="s">
        <v>253</v>
      </c>
      <c r="B56" s="16">
        <v>2.4752475247524801</v>
      </c>
      <c r="C56" s="16">
        <v>2.4752475247524801</v>
      </c>
      <c r="D56" s="16">
        <v>0</v>
      </c>
      <c r="E56" s="25">
        <v>0</v>
      </c>
    </row>
    <row r="57" spans="1:5" ht="30" customHeight="1">
      <c r="A57" t="s">
        <v>144</v>
      </c>
    </row>
    <row r="58" spans="1:5">
      <c r="A58" t="s">
        <v>534</v>
      </c>
    </row>
    <row r="59" spans="1:5">
      <c r="A59" t="s">
        <v>535</v>
      </c>
    </row>
    <row r="60" spans="1:5">
      <c r="A60" t="s">
        <v>536</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546</v>
      </c>
      <c r="B1" s="12"/>
      <c r="C1" s="12"/>
      <c r="D1" s="12"/>
    </row>
    <row r="2" spans="1:4" ht="45">
      <c r="A2" s="7" t="s">
        <v>52</v>
      </c>
      <c r="B2" s="6" t="s">
        <v>68</v>
      </c>
      <c r="C2" s="6" t="s">
        <v>69</v>
      </c>
      <c r="D2" s="8" t="s">
        <v>70</v>
      </c>
    </row>
    <row r="3" spans="1:4" ht="30">
      <c r="A3" s="40" t="s">
        <v>411</v>
      </c>
      <c r="B3" s="15"/>
      <c r="C3" s="15"/>
      <c r="D3" s="24"/>
    </row>
    <row r="4" spans="1:4">
      <c r="A4" s="9" t="s">
        <v>412</v>
      </c>
      <c r="B4" s="15">
        <v>96.984109221127994</v>
      </c>
      <c r="C4" s="15">
        <v>97.560975609756099</v>
      </c>
      <c r="D4" s="24">
        <v>87.5</v>
      </c>
    </row>
    <row r="5" spans="1:4">
      <c r="A5" s="9" t="s">
        <v>413</v>
      </c>
      <c r="B5" s="15">
        <v>81.219891716758298</v>
      </c>
      <c r="C5" s="15">
        <v>80.487804878048806</v>
      </c>
      <c r="D5" s="24">
        <v>75</v>
      </c>
    </row>
    <row r="6" spans="1:4">
      <c r="A6" s="9" t="s">
        <v>414</v>
      </c>
      <c r="B6" s="15">
        <v>68.1392015176706</v>
      </c>
      <c r="C6" s="15">
        <v>68.292682926829301</v>
      </c>
      <c r="D6" s="24">
        <v>75</v>
      </c>
    </row>
    <row r="7" spans="1:4">
      <c r="A7" s="9" t="s">
        <v>415</v>
      </c>
      <c r="B7" s="15">
        <v>25.6504987850109</v>
      </c>
      <c r="C7" s="15">
        <v>26.016260162601601</v>
      </c>
      <c r="D7" s="24">
        <v>25</v>
      </c>
    </row>
    <row r="8" spans="1:4">
      <c r="A8" s="9" t="s">
        <v>416</v>
      </c>
      <c r="B8" s="15">
        <v>30.849320032399699</v>
      </c>
      <c r="C8" s="15">
        <v>34.5528455284553</v>
      </c>
      <c r="D8" s="24">
        <v>62.5</v>
      </c>
    </row>
    <row r="9" spans="1:4">
      <c r="A9" s="9" t="s">
        <v>417</v>
      </c>
      <c r="B9" s="15">
        <v>78.732521209020803</v>
      </c>
      <c r="C9" s="15">
        <v>69.512195121951194</v>
      </c>
      <c r="D9" s="24">
        <v>75</v>
      </c>
    </row>
    <row r="10" spans="1:4">
      <c r="A10" s="9" t="s">
        <v>418</v>
      </c>
      <c r="B10" s="15">
        <v>22.443939975273899</v>
      </c>
      <c r="C10" s="15">
        <v>23.5772357723577</v>
      </c>
      <c r="D10" s="24">
        <v>12.5</v>
      </c>
    </row>
    <row r="11" spans="1:4">
      <c r="A11" s="9" t="s">
        <v>419</v>
      </c>
      <c r="B11" s="15">
        <v>47.822398431171898</v>
      </c>
      <c r="C11" s="15">
        <v>45.528455284552798</v>
      </c>
      <c r="D11" s="24">
        <v>12.5</v>
      </c>
    </row>
    <row r="12" spans="1:4">
      <c r="A12" s="9" t="s">
        <v>420</v>
      </c>
      <c r="B12" s="15">
        <v>57.515773543078801</v>
      </c>
      <c r="C12" s="15">
        <v>43.495934959349597</v>
      </c>
      <c r="D12" s="24">
        <v>37.5</v>
      </c>
    </row>
    <row r="13" spans="1:4">
      <c r="A13" s="9" t="s">
        <v>421</v>
      </c>
      <c r="B13" s="15">
        <v>19.102453425416702</v>
      </c>
      <c r="C13" s="15">
        <v>15.4471544715447</v>
      </c>
      <c r="D13" s="24">
        <v>12.5</v>
      </c>
    </row>
    <row r="14" spans="1:4">
      <c r="A14" s="11" t="s">
        <v>293</v>
      </c>
      <c r="B14" s="16">
        <v>4.8231871083258699</v>
      </c>
      <c r="C14" s="16">
        <v>0</v>
      </c>
      <c r="D14" s="25">
        <v>0</v>
      </c>
    </row>
    <row r="15" spans="1:4" ht="30" customHeight="1">
      <c r="A15" t="s">
        <v>144</v>
      </c>
    </row>
    <row r="16" spans="1:4">
      <c r="A16" t="s">
        <v>534</v>
      </c>
    </row>
    <row r="17" spans="1:1">
      <c r="A17" t="s">
        <v>535</v>
      </c>
    </row>
    <row r="18" spans="1:1">
      <c r="A18" t="s">
        <v>536</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88671875" defaultRowHeight="15"/>
  <cols>
    <col min="1" max="1" width="77.6640625" customWidth="1"/>
    <col min="2" max="4" width="15.88671875" customWidth="1"/>
  </cols>
  <sheetData>
    <row r="1" spans="1:4" ht="39.950000000000003" customHeight="1">
      <c r="A1" s="10" t="s">
        <v>547</v>
      </c>
      <c r="B1" s="12"/>
      <c r="C1" s="12"/>
      <c r="D1" s="12"/>
    </row>
    <row r="2" spans="1:4" ht="45">
      <c r="A2" s="7" t="s">
        <v>52</v>
      </c>
      <c r="B2" s="6" t="s">
        <v>68</v>
      </c>
      <c r="C2" s="6" t="s">
        <v>69</v>
      </c>
      <c r="D2" s="8" t="s">
        <v>70</v>
      </c>
    </row>
    <row r="3" spans="1:4" ht="30">
      <c r="A3" s="40" t="s">
        <v>423</v>
      </c>
      <c r="B3" s="15"/>
      <c r="C3" s="15"/>
      <c r="D3" s="24"/>
    </row>
    <row r="4" spans="1:4">
      <c r="A4" s="9" t="s">
        <v>424</v>
      </c>
      <c r="B4" s="15">
        <v>87.857835614102399</v>
      </c>
      <c r="C4" s="15">
        <v>86.991869918699194</v>
      </c>
      <c r="D4" s="24">
        <v>87.5</v>
      </c>
    </row>
    <row r="5" spans="1:4">
      <c r="A5" s="9" t="s">
        <v>425</v>
      </c>
      <c r="B5" s="15">
        <v>9.5906872149038698</v>
      </c>
      <c r="C5" s="15">
        <v>5.6910569105691096</v>
      </c>
      <c r="D5" s="24">
        <v>0</v>
      </c>
    </row>
    <row r="6" spans="1:4">
      <c r="A6" s="9" t="s">
        <v>426</v>
      </c>
      <c r="B6" s="15">
        <v>0.42524619516562201</v>
      </c>
      <c r="C6" s="15">
        <v>2.4390243902439002</v>
      </c>
      <c r="D6" s="24">
        <v>0</v>
      </c>
    </row>
    <row r="7" spans="1:4">
      <c r="A7" s="9" t="s">
        <v>427</v>
      </c>
      <c r="B7" s="15">
        <v>1.2757385854968699</v>
      </c>
      <c r="C7" s="15">
        <v>2.4390243902439002</v>
      </c>
      <c r="D7" s="24">
        <v>12.5</v>
      </c>
    </row>
    <row r="8" spans="1:4">
      <c r="A8" s="9" t="s">
        <v>293</v>
      </c>
      <c r="B8" s="15">
        <v>0.85049239033124402</v>
      </c>
      <c r="C8" s="15">
        <v>2.4390243902439002</v>
      </c>
      <c r="D8" s="24">
        <v>0</v>
      </c>
    </row>
    <row r="9" spans="1:4" ht="30">
      <c r="A9" s="40" t="s">
        <v>428</v>
      </c>
      <c r="B9" s="15"/>
      <c r="C9" s="15"/>
      <c r="D9" s="24"/>
    </row>
    <row r="10" spans="1:4">
      <c r="A10" s="9" t="s">
        <v>429</v>
      </c>
      <c r="B10" s="15">
        <v>77.860446774949907</v>
      </c>
      <c r="C10" s="15">
        <v>83.3333333333333</v>
      </c>
      <c r="D10" s="24">
        <v>62.5</v>
      </c>
    </row>
    <row r="11" spans="1:4">
      <c r="A11" s="9" t="s">
        <v>430</v>
      </c>
      <c r="B11" s="15">
        <v>22.139553225050101</v>
      </c>
      <c r="C11" s="15">
        <v>16.6666666666667</v>
      </c>
      <c r="D11" s="24">
        <v>37.5</v>
      </c>
    </row>
    <row r="12" spans="1:4" ht="30">
      <c r="A12" s="40" t="s">
        <v>431</v>
      </c>
      <c r="B12" s="15"/>
      <c r="C12" s="15"/>
      <c r="D12" s="24"/>
    </row>
    <row r="13" spans="1:4">
      <c r="A13" s="9" t="s">
        <v>429</v>
      </c>
      <c r="B13" s="15">
        <v>90.512959884043099</v>
      </c>
      <c r="C13" s="15">
        <v>89.430894308943095</v>
      </c>
      <c r="D13" s="24">
        <v>87.5</v>
      </c>
    </row>
    <row r="14" spans="1:4">
      <c r="A14" s="9" t="s">
        <v>430</v>
      </c>
      <c r="B14" s="15">
        <v>9.4870401159568605</v>
      </c>
      <c r="C14" s="15">
        <v>10.569105691056899</v>
      </c>
      <c r="D14" s="24">
        <v>12.5</v>
      </c>
    </row>
    <row r="15" spans="1:4" ht="30">
      <c r="A15" s="40" t="s">
        <v>432</v>
      </c>
      <c r="B15" s="15"/>
      <c r="C15" s="15"/>
      <c r="D15" s="24"/>
    </row>
    <row r="16" spans="1:4">
      <c r="A16" s="9" t="s">
        <v>429</v>
      </c>
      <c r="B16" s="15">
        <v>73.343138508760703</v>
      </c>
      <c r="C16" s="15">
        <v>77.235772357723604</v>
      </c>
      <c r="D16" s="24">
        <v>75</v>
      </c>
    </row>
    <row r="17" spans="1:4">
      <c r="A17" s="9" t="s">
        <v>430</v>
      </c>
      <c r="B17" s="15">
        <v>26.656861491239301</v>
      </c>
      <c r="C17" s="15">
        <v>22.764227642276399</v>
      </c>
      <c r="D17" s="24">
        <v>25</v>
      </c>
    </row>
    <row r="18" spans="1:4" ht="30">
      <c r="A18" s="40" t="s">
        <v>433</v>
      </c>
      <c r="B18" s="15"/>
      <c r="C18" s="15"/>
      <c r="D18" s="24"/>
    </row>
    <row r="19" spans="1:4">
      <c r="A19" s="9" t="s">
        <v>429</v>
      </c>
      <c r="B19" s="15">
        <v>86.922613718719305</v>
      </c>
      <c r="C19" s="15">
        <v>92.682926829268297</v>
      </c>
      <c r="D19" s="24">
        <v>62.5</v>
      </c>
    </row>
    <row r="20" spans="1:4">
      <c r="A20" s="11" t="s">
        <v>430</v>
      </c>
      <c r="B20" s="16">
        <v>13.077386281280599</v>
      </c>
      <c r="C20" s="16">
        <v>7.3170731707317103</v>
      </c>
      <c r="D20" s="25">
        <v>37.5</v>
      </c>
    </row>
    <row r="21" spans="1:4" ht="30" customHeight="1">
      <c r="A21" t="s">
        <v>144</v>
      </c>
    </row>
    <row r="22" spans="1:4">
      <c r="A22" t="s">
        <v>534</v>
      </c>
    </row>
    <row r="23" spans="1:4">
      <c r="A23" t="s">
        <v>535</v>
      </c>
    </row>
    <row r="24" spans="1:4">
      <c r="A24" t="s">
        <v>536</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548</v>
      </c>
      <c r="B1" s="12"/>
      <c r="C1" s="12"/>
      <c r="D1" s="12"/>
      <c r="E1" s="12"/>
      <c r="F1" s="12"/>
      <c r="G1" s="12"/>
    </row>
    <row r="2" spans="1:7" ht="30">
      <c r="A2" s="7" t="s">
        <v>52</v>
      </c>
      <c r="B2" s="6" t="s">
        <v>435</v>
      </c>
      <c r="C2" s="6" t="s">
        <v>436</v>
      </c>
      <c r="D2" s="6" t="s">
        <v>437</v>
      </c>
      <c r="E2" s="6" t="s">
        <v>438</v>
      </c>
      <c r="F2" s="6" t="s">
        <v>439</v>
      </c>
      <c r="G2" s="8" t="s">
        <v>440</v>
      </c>
    </row>
    <row r="3" spans="1:7">
      <c r="A3" s="40" t="s">
        <v>441</v>
      </c>
      <c r="B3" s="15"/>
      <c r="C3" s="15"/>
      <c r="D3" s="15"/>
      <c r="E3" s="15"/>
      <c r="F3" s="15"/>
      <c r="G3" s="24"/>
    </row>
    <row r="4" spans="1:7">
      <c r="A4" s="9" t="s">
        <v>442</v>
      </c>
      <c r="B4" s="15">
        <v>46.087930221593602</v>
      </c>
      <c r="C4" s="15">
        <v>40.182696841112701</v>
      </c>
      <c r="D4" s="15">
        <v>6.7986798679867997</v>
      </c>
      <c r="E4" s="15">
        <v>2.7227722772277199</v>
      </c>
      <c r="F4" s="15">
        <v>4.2079207920792099</v>
      </c>
      <c r="G4" s="24">
        <v>0</v>
      </c>
    </row>
    <row r="5" spans="1:7">
      <c r="A5" s="9" t="s">
        <v>443</v>
      </c>
      <c r="B5" s="15">
        <v>18.2932578972183</v>
      </c>
      <c r="C5" s="15">
        <v>28.288543140028299</v>
      </c>
      <c r="D5" s="15">
        <v>19.529702970296999</v>
      </c>
      <c r="E5" s="15">
        <v>18.446487505893401</v>
      </c>
      <c r="F5" s="15">
        <v>15.4420084865629</v>
      </c>
      <c r="G5" s="24">
        <v>0</v>
      </c>
    </row>
    <row r="6" spans="1:7">
      <c r="A6" s="9" t="s">
        <v>444</v>
      </c>
      <c r="B6" s="15">
        <v>22.9502593116454</v>
      </c>
      <c r="C6" s="15">
        <v>56.371994342291401</v>
      </c>
      <c r="D6" s="15">
        <v>12.1499292786421</v>
      </c>
      <c r="E6" s="15">
        <v>7.5377180575200402</v>
      </c>
      <c r="F6" s="15">
        <v>0.99009900990098998</v>
      </c>
      <c r="G6" s="24">
        <v>0</v>
      </c>
    </row>
    <row r="7" spans="1:7">
      <c r="A7" s="9" t="s">
        <v>445</v>
      </c>
      <c r="B7" s="15">
        <v>22.492927864215002</v>
      </c>
      <c r="C7" s="15">
        <v>50.806223479490797</v>
      </c>
      <c r="D7" s="15">
        <v>14.933993399339901</v>
      </c>
      <c r="E7" s="15">
        <v>8.6020744931636006</v>
      </c>
      <c r="F7" s="15">
        <v>3.16478076379066</v>
      </c>
      <c r="G7" s="24">
        <v>0</v>
      </c>
    </row>
    <row r="8" spans="1:7">
      <c r="A8" s="9" t="s">
        <v>444</v>
      </c>
      <c r="B8" s="15">
        <v>22.9502593116454</v>
      </c>
      <c r="C8" s="15">
        <v>56.371994342291401</v>
      </c>
      <c r="D8" s="15">
        <v>12.1499292786421</v>
      </c>
      <c r="E8" s="15">
        <v>7.5377180575200402</v>
      </c>
      <c r="F8" s="15">
        <v>0.99009900990098998</v>
      </c>
      <c r="G8" s="24">
        <v>0</v>
      </c>
    </row>
    <row r="9" spans="1:7">
      <c r="A9" s="40" t="s">
        <v>446</v>
      </c>
      <c r="B9" s="15"/>
      <c r="C9" s="15"/>
      <c r="D9" s="15"/>
      <c r="E9" s="15"/>
      <c r="F9" s="15"/>
      <c r="G9" s="24"/>
    </row>
    <row r="10" spans="1:7">
      <c r="A10" s="9" t="s">
        <v>447</v>
      </c>
      <c r="B10" s="15">
        <v>63.592644978783603</v>
      </c>
      <c r="C10" s="15">
        <v>21.225836869401199</v>
      </c>
      <c r="D10" s="15">
        <v>10.932343234323399</v>
      </c>
      <c r="E10" s="15">
        <v>1.73267326732673</v>
      </c>
      <c r="F10" s="15">
        <v>2.5165016501650199</v>
      </c>
      <c r="G10" s="24">
        <v>0</v>
      </c>
    </row>
    <row r="11" spans="1:7">
      <c r="A11" s="9" t="s">
        <v>448</v>
      </c>
      <c r="B11" s="15">
        <v>44.467232437529503</v>
      </c>
      <c r="C11" s="15">
        <v>28.148279113625598</v>
      </c>
      <c r="D11" s="15">
        <v>18.8531353135314</v>
      </c>
      <c r="E11" s="15">
        <v>4.7772277227722801</v>
      </c>
      <c r="F11" s="15">
        <v>3.7541254125412502</v>
      </c>
      <c r="G11" s="24">
        <v>0</v>
      </c>
    </row>
    <row r="12" spans="1:7">
      <c r="A12" s="9" t="s">
        <v>449</v>
      </c>
      <c r="B12" s="15">
        <v>32.042668552569502</v>
      </c>
      <c r="C12" s="15">
        <v>27.278406412069799</v>
      </c>
      <c r="D12" s="15">
        <v>7.4964639321075</v>
      </c>
      <c r="E12" s="15">
        <v>18.2355021216407</v>
      </c>
      <c r="F12" s="15">
        <v>14.946958981612401</v>
      </c>
      <c r="G12" s="24">
        <v>0</v>
      </c>
    </row>
    <row r="13" spans="1:7">
      <c r="A13" s="9" t="s">
        <v>450</v>
      </c>
      <c r="B13" s="15">
        <v>15.924092409240901</v>
      </c>
      <c r="C13" s="15">
        <v>21.923620933521899</v>
      </c>
      <c r="D13" s="15">
        <v>5.72607260726073</v>
      </c>
      <c r="E13" s="15">
        <v>29.97171145686</v>
      </c>
      <c r="F13" s="15">
        <v>26.454502593116501</v>
      </c>
      <c r="G13" s="24">
        <v>0</v>
      </c>
    </row>
    <row r="14" spans="1:7">
      <c r="A14" s="9" t="s">
        <v>451</v>
      </c>
      <c r="B14" s="15">
        <v>18.151815181518099</v>
      </c>
      <c r="C14" s="15">
        <v>30.678925035360699</v>
      </c>
      <c r="D14" s="15">
        <v>14.7194719471947</v>
      </c>
      <c r="E14" s="15">
        <v>15.297029702970301</v>
      </c>
      <c r="F14" s="15">
        <v>19.543847241866999</v>
      </c>
      <c r="G14" s="24">
        <v>1.6089108910891099</v>
      </c>
    </row>
    <row r="15" spans="1:7">
      <c r="A15" s="40" t="s">
        <v>452</v>
      </c>
      <c r="B15" s="15"/>
      <c r="C15" s="15"/>
      <c r="D15" s="15"/>
      <c r="E15" s="15"/>
      <c r="F15" s="15"/>
      <c r="G15" s="24"/>
    </row>
    <row r="16" spans="1:7">
      <c r="A16" s="9" t="s">
        <v>453</v>
      </c>
      <c r="B16" s="15">
        <v>20.772041489863302</v>
      </c>
      <c r="C16" s="15">
        <v>25.0707213578501</v>
      </c>
      <c r="D16" s="15">
        <v>18.420556341348401</v>
      </c>
      <c r="E16" s="15">
        <v>23.624469589816101</v>
      </c>
      <c r="F16" s="15">
        <v>12.1122112211221</v>
      </c>
      <c r="G16" s="24">
        <v>0</v>
      </c>
    </row>
    <row r="17" spans="1:7">
      <c r="A17" s="9" t="s">
        <v>454</v>
      </c>
      <c r="B17" s="15">
        <v>25.212164073550198</v>
      </c>
      <c r="C17" s="15">
        <v>32.6084394153701</v>
      </c>
      <c r="D17" s="15">
        <v>20.7225365393682</v>
      </c>
      <c r="E17" s="15">
        <v>9.8102310231023093</v>
      </c>
      <c r="F17" s="15">
        <v>11.6466289486091</v>
      </c>
      <c r="G17" s="24">
        <v>0</v>
      </c>
    </row>
    <row r="18" spans="1:7">
      <c r="A18" s="9" t="s">
        <v>455</v>
      </c>
      <c r="B18" s="15">
        <v>77.701555869872706</v>
      </c>
      <c r="C18" s="15">
        <v>19.006364922206501</v>
      </c>
      <c r="D18" s="15">
        <v>1.8069306930693101</v>
      </c>
      <c r="E18" s="15">
        <v>0.99009900990098998</v>
      </c>
      <c r="F18" s="15">
        <v>0.49504950495049499</v>
      </c>
      <c r="G18" s="24">
        <v>0</v>
      </c>
    </row>
    <row r="19" spans="1:7">
      <c r="A19" s="9" t="s">
        <v>456</v>
      </c>
      <c r="B19" s="15">
        <v>39.941065535124899</v>
      </c>
      <c r="C19" s="15">
        <v>39.006364922206501</v>
      </c>
      <c r="D19" s="15">
        <v>12.100424328147099</v>
      </c>
      <c r="E19" s="15">
        <v>6.5594059405940603</v>
      </c>
      <c r="F19" s="15">
        <v>2.3927392739273898</v>
      </c>
      <c r="G19" s="24">
        <v>0</v>
      </c>
    </row>
    <row r="20" spans="1:7">
      <c r="A20" s="9" t="s">
        <v>457</v>
      </c>
      <c r="B20" s="15">
        <v>16.0242809995285</v>
      </c>
      <c r="C20" s="15">
        <v>35.648279113625598</v>
      </c>
      <c r="D20" s="15">
        <v>19.852663837812401</v>
      </c>
      <c r="E20" s="15">
        <v>19.852663837812401</v>
      </c>
      <c r="F20" s="15">
        <v>8.6221122112211201</v>
      </c>
      <c r="G20" s="24">
        <v>0</v>
      </c>
    </row>
    <row r="21" spans="1:7">
      <c r="A21" s="9" t="s">
        <v>458</v>
      </c>
      <c r="B21" s="15">
        <v>70.531588873173007</v>
      </c>
      <c r="C21" s="15">
        <v>25.3842527109854</v>
      </c>
      <c r="D21" s="15">
        <v>3.5891089108910901</v>
      </c>
      <c r="E21" s="15">
        <v>0</v>
      </c>
      <c r="F21" s="15">
        <v>0.49504950495049499</v>
      </c>
      <c r="G21" s="24">
        <v>0</v>
      </c>
    </row>
    <row r="22" spans="1:7">
      <c r="A22" s="40" t="s">
        <v>459</v>
      </c>
      <c r="B22" s="15"/>
      <c r="C22" s="15"/>
      <c r="D22" s="15"/>
      <c r="E22" s="15"/>
      <c r="F22" s="15"/>
      <c r="G22" s="24"/>
    </row>
    <row r="23" spans="1:7">
      <c r="A23" s="9" t="s">
        <v>460</v>
      </c>
      <c r="B23" s="15">
        <v>16.316595945308801</v>
      </c>
      <c r="C23" s="15">
        <v>34.501414427157002</v>
      </c>
      <c r="D23" s="15">
        <v>5.2687411598302702</v>
      </c>
      <c r="E23" s="15">
        <v>20.500942951437999</v>
      </c>
      <c r="F23" s="15">
        <v>23.412305516265899</v>
      </c>
      <c r="G23" s="24">
        <v>0</v>
      </c>
    </row>
    <row r="24" spans="1:7">
      <c r="A24" s="9" t="s">
        <v>461</v>
      </c>
      <c r="B24" s="15">
        <v>30.364214992927899</v>
      </c>
      <c r="C24" s="15">
        <v>29.011079679396499</v>
      </c>
      <c r="D24" s="15">
        <v>8.2095709570957105</v>
      </c>
      <c r="E24" s="15">
        <v>20.1214049976426</v>
      </c>
      <c r="F24" s="15">
        <v>12.2937293729373</v>
      </c>
      <c r="G24" s="24">
        <v>0</v>
      </c>
    </row>
    <row r="25" spans="1:7">
      <c r="A25" s="9" t="s">
        <v>462</v>
      </c>
      <c r="B25" s="15">
        <v>29.97171145686</v>
      </c>
      <c r="C25" s="15">
        <v>32.9101838755304</v>
      </c>
      <c r="D25" s="15">
        <v>8.7340876944837298</v>
      </c>
      <c r="E25" s="15">
        <v>17.265440829797299</v>
      </c>
      <c r="F25" s="15">
        <v>11.1185761433286</v>
      </c>
      <c r="G25" s="24">
        <v>0</v>
      </c>
    </row>
    <row r="26" spans="1:7">
      <c r="A26" s="9" t="s">
        <v>463</v>
      </c>
      <c r="B26" s="15">
        <v>32.237152286657199</v>
      </c>
      <c r="C26" s="15">
        <v>38.834276284771299</v>
      </c>
      <c r="D26" s="15">
        <v>13.717586044318701</v>
      </c>
      <c r="E26" s="15">
        <v>9.6004243281470991</v>
      </c>
      <c r="F26" s="15">
        <v>5.6105610561056096</v>
      </c>
      <c r="G26" s="24">
        <v>0</v>
      </c>
    </row>
    <row r="27" spans="1:7">
      <c r="A27" s="11" t="s">
        <v>464</v>
      </c>
      <c r="B27" s="16">
        <v>58.992220650636497</v>
      </c>
      <c r="C27" s="16">
        <v>30.950023573785899</v>
      </c>
      <c r="D27" s="16">
        <v>5.7673267326732702</v>
      </c>
      <c r="E27" s="16">
        <v>3.1353135313531402</v>
      </c>
      <c r="F27" s="16">
        <v>1.15511551155115</v>
      </c>
      <c r="G27" s="25">
        <v>0</v>
      </c>
    </row>
    <row r="28" spans="1:7" ht="30" customHeight="1">
      <c r="A28" t="s">
        <v>144</v>
      </c>
    </row>
    <row r="29" spans="1:7">
      <c r="A29" t="s">
        <v>534</v>
      </c>
    </row>
    <row r="30" spans="1:7">
      <c r="A30" t="s">
        <v>535</v>
      </c>
    </row>
    <row r="31" spans="1:7">
      <c r="A31" t="s">
        <v>536</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88671875" defaultRowHeight="15"/>
  <cols>
    <col min="1" max="1" width="77.6640625" customWidth="1"/>
    <col min="2" max="5" width="15.88671875" customWidth="1"/>
  </cols>
  <sheetData>
    <row r="1" spans="1:5" ht="39.950000000000003" customHeight="1">
      <c r="A1" s="10" t="s">
        <v>549</v>
      </c>
      <c r="B1" s="12"/>
      <c r="C1" s="12"/>
      <c r="D1" s="12"/>
      <c r="E1" s="12"/>
    </row>
    <row r="2" spans="1:5" ht="60">
      <c r="A2" s="7" t="s">
        <v>52</v>
      </c>
      <c r="B2" s="6" t="s">
        <v>466</v>
      </c>
      <c r="C2" s="6" t="s">
        <v>467</v>
      </c>
      <c r="D2" s="6" t="s">
        <v>468</v>
      </c>
      <c r="E2" s="8" t="s">
        <v>469</v>
      </c>
    </row>
    <row r="3" spans="1:5">
      <c r="A3" s="40" t="s">
        <v>470</v>
      </c>
      <c r="B3" s="15"/>
      <c r="C3" s="15"/>
      <c r="D3" s="15"/>
      <c r="E3" s="24"/>
    </row>
    <row r="4" spans="1:5">
      <c r="A4" s="9" t="s">
        <v>471</v>
      </c>
      <c r="B4" s="15">
        <v>86.909476661951899</v>
      </c>
      <c r="C4" s="15">
        <v>60.983026874116</v>
      </c>
      <c r="D4" s="15">
        <v>60.240452616690199</v>
      </c>
      <c r="E4" s="24">
        <v>11.1386138613861</v>
      </c>
    </row>
    <row r="5" spans="1:5">
      <c r="A5" s="9" t="s">
        <v>472</v>
      </c>
      <c r="B5" s="15">
        <v>56.2022630834512</v>
      </c>
      <c r="C5" s="15">
        <v>59.048797736916498</v>
      </c>
      <c r="D5" s="15">
        <v>50.426685525695397</v>
      </c>
      <c r="E5" s="24">
        <v>25.763790664780799</v>
      </c>
    </row>
    <row r="6" spans="1:5">
      <c r="A6" s="9" t="s">
        <v>473</v>
      </c>
      <c r="B6" s="15">
        <v>27.629655822725098</v>
      </c>
      <c r="C6" s="15">
        <v>24.1136256482791</v>
      </c>
      <c r="D6" s="15">
        <v>15.6565299387082</v>
      </c>
      <c r="E6" s="24">
        <v>7.1251768033946297</v>
      </c>
    </row>
    <row r="7" spans="1:5">
      <c r="A7" s="9" t="s">
        <v>474</v>
      </c>
      <c r="B7" s="15">
        <v>65.852192362093305</v>
      </c>
      <c r="C7" s="15">
        <v>50.755539839698301</v>
      </c>
      <c r="D7" s="15">
        <v>44.823196605374797</v>
      </c>
      <c r="E7" s="24">
        <v>33.923856671381401</v>
      </c>
    </row>
    <row r="8" spans="1:5">
      <c r="A8" s="9" t="s">
        <v>475</v>
      </c>
      <c r="B8" s="15">
        <v>1.8481848184818499</v>
      </c>
      <c r="C8" s="15">
        <v>0</v>
      </c>
      <c r="D8" s="15">
        <v>0</v>
      </c>
      <c r="E8" s="24">
        <v>0</v>
      </c>
    </row>
    <row r="9" spans="1:5">
      <c r="A9" s="9" t="s">
        <v>476</v>
      </c>
      <c r="B9" s="15">
        <v>7.1287128712871297</v>
      </c>
      <c r="C9" s="15">
        <v>1.98019801980198</v>
      </c>
      <c r="D9" s="15">
        <v>1.48514851485149</v>
      </c>
      <c r="E9" s="24">
        <v>0</v>
      </c>
    </row>
    <row r="10" spans="1:5">
      <c r="A10" s="9" t="s">
        <v>477</v>
      </c>
      <c r="B10" s="15">
        <v>28.2520037718058</v>
      </c>
      <c r="C10" s="15">
        <v>9.0346534653465405</v>
      </c>
      <c r="D10" s="15">
        <v>9.0346534653465405</v>
      </c>
      <c r="E10" s="24">
        <v>0.49504950495049499</v>
      </c>
    </row>
    <row r="11" spans="1:5">
      <c r="A11" s="9" t="s">
        <v>478</v>
      </c>
      <c r="B11" s="15">
        <v>4.2373880245167399</v>
      </c>
      <c r="C11" s="15">
        <v>1.77392739273927</v>
      </c>
      <c r="D11" s="15">
        <v>1.77392739273927</v>
      </c>
      <c r="E11" s="24">
        <v>0</v>
      </c>
    </row>
    <row r="12" spans="1:5">
      <c r="A12" s="9" t="s">
        <v>479</v>
      </c>
      <c r="B12" s="15">
        <v>84.549740688354504</v>
      </c>
      <c r="C12" s="15">
        <v>68.384016973125895</v>
      </c>
      <c r="D12" s="15">
        <v>65.413719943422905</v>
      </c>
      <c r="E12" s="24">
        <v>30.829797265440799</v>
      </c>
    </row>
    <row r="13" spans="1:5">
      <c r="A13" s="9" t="s">
        <v>293</v>
      </c>
      <c r="B13" s="15">
        <v>4.4554455445544603</v>
      </c>
      <c r="C13" s="15">
        <v>4.7029702970297</v>
      </c>
      <c r="D13" s="15">
        <v>3.71287128712871</v>
      </c>
      <c r="E13" s="24">
        <v>2.2277227722772301</v>
      </c>
    </row>
    <row r="14" spans="1:5">
      <c r="A14" s="40" t="s">
        <v>480</v>
      </c>
      <c r="B14" s="15"/>
      <c r="C14" s="15"/>
      <c r="D14" s="15"/>
      <c r="E14" s="24"/>
    </row>
    <row r="15" spans="1:5">
      <c r="A15" s="9" t="s">
        <v>481</v>
      </c>
      <c r="B15" s="15">
        <v>43.3203677510608</v>
      </c>
      <c r="C15" s="15">
        <v>24.255068363979301</v>
      </c>
      <c r="D15" s="15">
        <v>14.356435643564399</v>
      </c>
      <c r="E15" s="24">
        <v>0.99009900990098998</v>
      </c>
    </row>
    <row r="16" spans="1:5">
      <c r="A16" s="9" t="s">
        <v>482</v>
      </c>
      <c r="B16" s="15">
        <v>6.1350777934936396</v>
      </c>
      <c r="C16" s="15">
        <v>5.1980198019802</v>
      </c>
      <c r="D16" s="15">
        <v>4.8679867986798699</v>
      </c>
      <c r="E16" s="24">
        <v>2.4339933993399301</v>
      </c>
    </row>
    <row r="17" spans="1:5">
      <c r="A17" s="9" t="s">
        <v>483</v>
      </c>
      <c r="B17" s="15">
        <v>25.1367279585101</v>
      </c>
      <c r="C17" s="15">
        <v>14.356435643564399</v>
      </c>
      <c r="D17" s="15">
        <v>7.0132013201320103</v>
      </c>
      <c r="E17" s="24">
        <v>0.49504950495049499</v>
      </c>
    </row>
    <row r="18" spans="1:5">
      <c r="A18" s="9" t="s">
        <v>484</v>
      </c>
      <c r="B18" s="15">
        <v>3.1353135313531402</v>
      </c>
      <c r="C18" s="15">
        <v>4.8679867986798699</v>
      </c>
      <c r="D18" s="15">
        <v>21.856435643564399</v>
      </c>
      <c r="E18" s="24">
        <v>1.48514851485149</v>
      </c>
    </row>
    <row r="19" spans="1:5">
      <c r="A19" s="9" t="s">
        <v>485</v>
      </c>
      <c r="B19" s="15">
        <v>11.4898632720415</v>
      </c>
      <c r="C19" s="15">
        <v>7.5082508250825102</v>
      </c>
      <c r="D19" s="15">
        <v>54.695898161244699</v>
      </c>
      <c r="E19" s="24">
        <v>1.8151815181518201</v>
      </c>
    </row>
    <row r="20" spans="1:5">
      <c r="A20" s="9" t="s">
        <v>486</v>
      </c>
      <c r="B20" s="15">
        <v>30.066006600660099</v>
      </c>
      <c r="C20" s="15">
        <v>22.422206506364901</v>
      </c>
      <c r="D20" s="15">
        <v>61.565299387081602</v>
      </c>
      <c r="E20" s="24">
        <v>10.912305516265899</v>
      </c>
    </row>
    <row r="21" spans="1:5">
      <c r="A21" s="9" t="s">
        <v>487</v>
      </c>
      <c r="B21" s="15">
        <v>61.915370108439397</v>
      </c>
      <c r="C21" s="15">
        <v>56.346063177746302</v>
      </c>
      <c r="D21" s="15">
        <v>25.619990570485601</v>
      </c>
      <c r="E21" s="24">
        <v>17.8547854785479</v>
      </c>
    </row>
    <row r="22" spans="1:5">
      <c r="A22" s="9" t="s">
        <v>488</v>
      </c>
      <c r="B22" s="15">
        <v>69.214992927864202</v>
      </c>
      <c r="C22" s="15">
        <v>63.174210278170698</v>
      </c>
      <c r="D22" s="15">
        <v>6.3118811881188099</v>
      </c>
      <c r="E22" s="24">
        <v>24.814945780292302</v>
      </c>
    </row>
    <row r="23" spans="1:5">
      <c r="A23" s="9" t="s">
        <v>489</v>
      </c>
      <c r="B23" s="15">
        <v>47.197076850542203</v>
      </c>
      <c r="C23" s="15">
        <v>30.364214992927899</v>
      </c>
      <c r="D23" s="15">
        <v>3.50660066006601</v>
      </c>
      <c r="E23" s="24">
        <v>10.5528052805281</v>
      </c>
    </row>
    <row r="24" spans="1:5">
      <c r="A24" s="9" t="s">
        <v>490</v>
      </c>
      <c r="B24" s="15">
        <v>17.805280528052801</v>
      </c>
      <c r="C24" s="15">
        <v>7.5</v>
      </c>
      <c r="D24" s="15">
        <v>13.4075907590759</v>
      </c>
      <c r="E24" s="24">
        <v>3.9108910891089099</v>
      </c>
    </row>
    <row r="25" spans="1:5">
      <c r="A25" s="9" t="s">
        <v>491</v>
      </c>
      <c r="B25" s="15">
        <v>12.079207920792101</v>
      </c>
      <c r="C25" s="15">
        <v>7.4587458745874597</v>
      </c>
      <c r="D25" s="15">
        <v>4.5792079207920802</v>
      </c>
      <c r="E25" s="24">
        <v>2.7970297029703</v>
      </c>
    </row>
    <row r="26" spans="1:5">
      <c r="A26" s="9" t="s">
        <v>492</v>
      </c>
      <c r="B26" s="15">
        <v>20.285242809995299</v>
      </c>
      <c r="C26" s="15">
        <v>14.3976897689769</v>
      </c>
      <c r="D26" s="15">
        <v>9.5297029702970306</v>
      </c>
      <c r="E26" s="24">
        <v>6.0231023102310202</v>
      </c>
    </row>
    <row r="27" spans="1:5">
      <c r="A27" s="11" t="s">
        <v>293</v>
      </c>
      <c r="B27" s="16">
        <v>2.7640264026402601</v>
      </c>
      <c r="C27" s="16">
        <v>5.2392739273927402</v>
      </c>
      <c r="D27" s="16">
        <v>21.267090994813799</v>
      </c>
      <c r="E27" s="25">
        <v>2.5990099009901</v>
      </c>
    </row>
    <row r="28" spans="1:5" ht="30" customHeight="1">
      <c r="A28" t="s">
        <v>144</v>
      </c>
    </row>
    <row r="29" spans="1:5">
      <c r="A29" t="s">
        <v>534</v>
      </c>
    </row>
    <row r="30" spans="1:5">
      <c r="A30" t="s">
        <v>535</v>
      </c>
    </row>
    <row r="31" spans="1:5">
      <c r="A31" t="s">
        <v>536</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88671875" defaultRowHeight="15"/>
  <cols>
    <col min="1" max="1" width="77.6640625" customWidth="1"/>
    <col min="2" max="2" width="15.88671875" customWidth="1"/>
  </cols>
  <sheetData>
    <row r="1" spans="1:2" ht="39.950000000000003" customHeight="1">
      <c r="A1" s="10" t="s">
        <v>550</v>
      </c>
      <c r="B1" s="12"/>
    </row>
    <row r="2" spans="1:2">
      <c r="A2" s="7" t="s">
        <v>52</v>
      </c>
      <c r="B2" s="8" t="s">
        <v>551</v>
      </c>
    </row>
    <row r="3" spans="1:2">
      <c r="A3" s="40" t="s">
        <v>495</v>
      </c>
      <c r="B3" s="24"/>
    </row>
    <row r="4" spans="1:2">
      <c r="A4" s="9" t="s">
        <v>496</v>
      </c>
      <c r="B4" s="24">
        <v>62.5</v>
      </c>
    </row>
    <row r="5" spans="1:2">
      <c r="A5" s="9" t="s">
        <v>497</v>
      </c>
      <c r="B5" s="24">
        <v>25</v>
      </c>
    </row>
    <row r="6" spans="1:2">
      <c r="A6" s="9" t="s">
        <v>498</v>
      </c>
      <c r="B6" s="24">
        <v>25</v>
      </c>
    </row>
    <row r="7" spans="1:2">
      <c r="A7" s="9" t="s">
        <v>499</v>
      </c>
      <c r="B7" s="24">
        <v>0</v>
      </c>
    </row>
    <row r="8" spans="1:2">
      <c r="A8" s="9" t="s">
        <v>500</v>
      </c>
      <c r="B8" s="24">
        <v>12.5</v>
      </c>
    </row>
    <row r="9" spans="1:2">
      <c r="A9" s="9" t="s">
        <v>293</v>
      </c>
      <c r="B9" s="24">
        <v>0</v>
      </c>
    </row>
    <row r="10" spans="1:2">
      <c r="A10" s="9" t="s">
        <v>501</v>
      </c>
      <c r="B10" s="24">
        <v>37.5</v>
      </c>
    </row>
    <row r="11" spans="1:2" ht="30">
      <c r="A11" s="40" t="s">
        <v>502</v>
      </c>
      <c r="B11" s="24"/>
    </row>
    <row r="12" spans="1:2">
      <c r="A12" s="9" t="s">
        <v>503</v>
      </c>
      <c r="B12" s="24">
        <v>0</v>
      </c>
    </row>
    <row r="13" spans="1:2">
      <c r="A13" s="9" t="s">
        <v>504</v>
      </c>
      <c r="B13" s="24">
        <v>40</v>
      </c>
    </row>
    <row r="14" spans="1:2">
      <c r="A14" s="9" t="s">
        <v>505</v>
      </c>
      <c r="B14" s="24">
        <v>60</v>
      </c>
    </row>
    <row r="15" spans="1:2">
      <c r="A15" s="9" t="s">
        <v>506</v>
      </c>
      <c r="B15" s="24">
        <v>0</v>
      </c>
    </row>
    <row r="16" spans="1:2">
      <c r="A16" s="9" t="s">
        <v>507</v>
      </c>
      <c r="B16" s="24">
        <v>0</v>
      </c>
    </row>
    <row r="17" spans="1:2">
      <c r="A17" s="9" t="s">
        <v>508</v>
      </c>
      <c r="B17" s="24">
        <v>0</v>
      </c>
    </row>
    <row r="18" spans="1:2">
      <c r="A18" s="40" t="s">
        <v>509</v>
      </c>
      <c r="B18" s="24"/>
    </row>
    <row r="19" spans="1:2">
      <c r="A19" s="9" t="s">
        <v>510</v>
      </c>
      <c r="B19" s="24">
        <v>40</v>
      </c>
    </row>
    <row r="20" spans="1:2">
      <c r="A20" s="9" t="s">
        <v>511</v>
      </c>
      <c r="B20" s="24">
        <v>60</v>
      </c>
    </row>
    <row r="21" spans="1:2">
      <c r="A21" s="9" t="s">
        <v>512</v>
      </c>
      <c r="B21" s="24">
        <v>0</v>
      </c>
    </row>
    <row r="22" spans="1:2">
      <c r="A22" s="9" t="s">
        <v>513</v>
      </c>
      <c r="B22" s="24">
        <v>0</v>
      </c>
    </row>
    <row r="23" spans="1:2">
      <c r="A23" s="11" t="s">
        <v>293</v>
      </c>
      <c r="B23" s="25">
        <v>0</v>
      </c>
    </row>
    <row r="24" spans="1:2" ht="30" customHeight="1">
      <c r="A24" t="s">
        <v>144</v>
      </c>
    </row>
    <row r="25" spans="1:2">
      <c r="A25" t="s">
        <v>534</v>
      </c>
    </row>
    <row r="26" spans="1:2">
      <c r="A26" t="s">
        <v>535</v>
      </c>
    </row>
    <row r="27" spans="1:2">
      <c r="A27" t="s">
        <v>536</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88671875" defaultRowHeight="15"/>
  <cols>
    <col min="1" max="1" width="77.6640625" customWidth="1"/>
    <col min="2" max="7" width="15.88671875" customWidth="1"/>
  </cols>
  <sheetData>
    <row r="1" spans="1:7" ht="39.950000000000003" customHeight="1">
      <c r="A1" s="10" t="s">
        <v>552</v>
      </c>
      <c r="B1" s="12"/>
      <c r="C1" s="12"/>
      <c r="D1" s="12"/>
      <c r="E1" s="12"/>
      <c r="F1" s="12"/>
      <c r="G1" s="12"/>
    </row>
    <row r="2" spans="1:7">
      <c r="A2" s="7" t="s">
        <v>52</v>
      </c>
      <c r="B2" s="6" t="s">
        <v>551</v>
      </c>
      <c r="C2" s="6" t="s">
        <v>553</v>
      </c>
      <c r="D2" s="6" t="s">
        <v>554</v>
      </c>
      <c r="E2" s="6" t="s">
        <v>555</v>
      </c>
      <c r="F2" s="6" t="s">
        <v>556</v>
      </c>
      <c r="G2" s="8" t="s">
        <v>557</v>
      </c>
    </row>
    <row r="3" spans="1:7">
      <c r="A3" s="40" t="s">
        <v>519</v>
      </c>
      <c r="B3" s="15"/>
      <c r="C3" s="15"/>
      <c r="D3" s="15"/>
      <c r="E3" s="15"/>
      <c r="F3" s="15"/>
      <c r="G3" s="24"/>
    </row>
    <row r="4" spans="1:7">
      <c r="A4" s="9" t="s">
        <v>520</v>
      </c>
      <c r="B4" s="15">
        <v>12.5</v>
      </c>
      <c r="C4" s="15">
        <v>12.5</v>
      </c>
      <c r="D4" s="15">
        <v>12.5</v>
      </c>
      <c r="E4" s="15">
        <v>12.5</v>
      </c>
      <c r="F4" s="15">
        <v>12.5</v>
      </c>
      <c r="G4" s="24">
        <v>12.5</v>
      </c>
    </row>
    <row r="5" spans="1:7">
      <c r="A5" s="9" t="s">
        <v>521</v>
      </c>
      <c r="B5" s="15">
        <v>12.5</v>
      </c>
      <c r="C5" s="15">
        <v>12.5</v>
      </c>
      <c r="D5" s="15">
        <v>12.5</v>
      </c>
      <c r="E5" s="15">
        <v>12.5</v>
      </c>
      <c r="F5" s="15">
        <v>12.5</v>
      </c>
      <c r="G5" s="24">
        <v>12.5</v>
      </c>
    </row>
    <row r="6" spans="1:7">
      <c r="A6" s="9" t="s">
        <v>522</v>
      </c>
      <c r="B6" s="15">
        <v>0</v>
      </c>
      <c r="C6" s="15">
        <v>0</v>
      </c>
      <c r="D6" s="15">
        <v>0</v>
      </c>
      <c r="E6" s="15">
        <v>0</v>
      </c>
      <c r="F6" s="15">
        <v>0</v>
      </c>
      <c r="G6" s="24">
        <v>0</v>
      </c>
    </row>
    <row r="7" spans="1:7" ht="30">
      <c r="A7" s="40" t="s">
        <v>523</v>
      </c>
      <c r="B7" s="15"/>
      <c r="C7" s="20" t="s">
        <v>524</v>
      </c>
      <c r="D7" s="20" t="s">
        <v>524</v>
      </c>
      <c r="E7" s="20" t="s">
        <v>524</v>
      </c>
      <c r="F7" s="20" t="s">
        <v>524</v>
      </c>
      <c r="G7" s="26" t="s">
        <v>524</v>
      </c>
    </row>
    <row r="8" spans="1:7">
      <c r="A8" s="9" t="s">
        <v>429</v>
      </c>
      <c r="B8" s="15">
        <v>33.3333333333333</v>
      </c>
      <c r="C8" s="20" t="s">
        <v>524</v>
      </c>
      <c r="D8" s="20" t="s">
        <v>524</v>
      </c>
      <c r="E8" s="20" t="s">
        <v>524</v>
      </c>
      <c r="F8" s="20" t="s">
        <v>524</v>
      </c>
      <c r="G8" s="26" t="s">
        <v>524</v>
      </c>
    </row>
    <row r="9" spans="1:7">
      <c r="A9" s="9" t="s">
        <v>430</v>
      </c>
      <c r="B9" s="15">
        <v>33.3333333333333</v>
      </c>
      <c r="C9" s="20" t="s">
        <v>524</v>
      </c>
      <c r="D9" s="20" t="s">
        <v>524</v>
      </c>
      <c r="E9" s="20" t="s">
        <v>524</v>
      </c>
      <c r="F9" s="20" t="s">
        <v>524</v>
      </c>
      <c r="G9" s="26" t="s">
        <v>524</v>
      </c>
    </row>
    <row r="10" spans="1:7">
      <c r="A10" s="9" t="s">
        <v>440</v>
      </c>
      <c r="B10" s="15">
        <v>33.3333333333333</v>
      </c>
      <c r="C10" s="20" t="s">
        <v>524</v>
      </c>
      <c r="D10" s="20" t="s">
        <v>524</v>
      </c>
      <c r="E10" s="20" t="s">
        <v>524</v>
      </c>
      <c r="F10" s="20" t="s">
        <v>524</v>
      </c>
      <c r="G10" s="26" t="s">
        <v>524</v>
      </c>
    </row>
    <row r="11" spans="1:7">
      <c r="A11" s="40" t="s">
        <v>525</v>
      </c>
      <c r="B11" s="15"/>
      <c r="C11" s="20" t="s">
        <v>524</v>
      </c>
      <c r="D11" s="20" t="s">
        <v>524</v>
      </c>
      <c r="E11" s="20" t="s">
        <v>524</v>
      </c>
      <c r="F11" s="20" t="s">
        <v>524</v>
      </c>
      <c r="G11" s="26" t="s">
        <v>524</v>
      </c>
    </row>
    <row r="12" spans="1:7">
      <c r="A12" s="9" t="s">
        <v>429</v>
      </c>
      <c r="B12" s="15">
        <v>0</v>
      </c>
      <c r="C12" s="20" t="s">
        <v>524</v>
      </c>
      <c r="D12" s="20" t="s">
        <v>524</v>
      </c>
      <c r="E12" s="20" t="s">
        <v>524</v>
      </c>
      <c r="F12" s="20" t="s">
        <v>524</v>
      </c>
      <c r="G12" s="26" t="s">
        <v>524</v>
      </c>
    </row>
    <row r="13" spans="1:7">
      <c r="A13" s="9" t="s">
        <v>430</v>
      </c>
      <c r="B13" s="15">
        <v>66.6666666666667</v>
      </c>
      <c r="C13" s="20" t="s">
        <v>524</v>
      </c>
      <c r="D13" s="20" t="s">
        <v>524</v>
      </c>
      <c r="E13" s="20" t="s">
        <v>524</v>
      </c>
      <c r="F13" s="20" t="s">
        <v>524</v>
      </c>
      <c r="G13" s="26" t="s">
        <v>524</v>
      </c>
    </row>
    <row r="14" spans="1:7">
      <c r="A14" s="9" t="s">
        <v>440</v>
      </c>
      <c r="B14" s="15">
        <v>33.3333333333333</v>
      </c>
      <c r="C14" s="20" t="s">
        <v>524</v>
      </c>
      <c r="D14" s="20" t="s">
        <v>524</v>
      </c>
      <c r="E14" s="20" t="s">
        <v>524</v>
      </c>
      <c r="F14" s="20" t="s">
        <v>524</v>
      </c>
      <c r="G14" s="26" t="s">
        <v>524</v>
      </c>
    </row>
    <row r="15" spans="1:7" ht="30">
      <c r="A15" s="40" t="s">
        <v>526</v>
      </c>
      <c r="B15" s="15"/>
      <c r="C15" s="20" t="s">
        <v>524</v>
      </c>
      <c r="D15" s="20" t="s">
        <v>524</v>
      </c>
      <c r="E15" s="20" t="s">
        <v>524</v>
      </c>
      <c r="F15" s="20" t="s">
        <v>524</v>
      </c>
      <c r="G15" s="26" t="s">
        <v>524</v>
      </c>
    </row>
    <row r="16" spans="1:7">
      <c r="A16" s="9" t="s">
        <v>527</v>
      </c>
      <c r="B16" s="15">
        <v>33.3333333333333</v>
      </c>
      <c r="C16" s="20" t="s">
        <v>524</v>
      </c>
      <c r="D16" s="20" t="s">
        <v>524</v>
      </c>
      <c r="E16" s="20" t="s">
        <v>524</v>
      </c>
      <c r="F16" s="20" t="s">
        <v>524</v>
      </c>
      <c r="G16" s="26" t="s">
        <v>524</v>
      </c>
    </row>
    <row r="17" spans="1:7">
      <c r="A17" s="9" t="s">
        <v>528</v>
      </c>
      <c r="B17" s="15">
        <v>66.6666666666667</v>
      </c>
      <c r="C17" s="20" t="s">
        <v>524</v>
      </c>
      <c r="D17" s="20" t="s">
        <v>524</v>
      </c>
      <c r="E17" s="20" t="s">
        <v>524</v>
      </c>
      <c r="F17" s="20" t="s">
        <v>524</v>
      </c>
      <c r="G17" s="26" t="s">
        <v>524</v>
      </c>
    </row>
    <row r="18" spans="1:7">
      <c r="A18" s="9" t="s">
        <v>529</v>
      </c>
      <c r="B18" s="15">
        <v>0</v>
      </c>
      <c r="C18" s="20" t="s">
        <v>524</v>
      </c>
      <c r="D18" s="20" t="s">
        <v>524</v>
      </c>
      <c r="E18" s="20" t="s">
        <v>524</v>
      </c>
      <c r="F18" s="20" t="s">
        <v>524</v>
      </c>
      <c r="G18" s="26" t="s">
        <v>524</v>
      </c>
    </row>
    <row r="19" spans="1:7">
      <c r="A19" s="9" t="s">
        <v>530</v>
      </c>
      <c r="B19" s="15">
        <v>33.3333333333333</v>
      </c>
      <c r="C19" s="20" t="s">
        <v>524</v>
      </c>
      <c r="D19" s="20" t="s">
        <v>524</v>
      </c>
      <c r="E19" s="20" t="s">
        <v>524</v>
      </c>
      <c r="F19" s="20" t="s">
        <v>524</v>
      </c>
      <c r="G19" s="26" t="s">
        <v>524</v>
      </c>
    </row>
    <row r="20" spans="1:7">
      <c r="A20" s="9" t="s">
        <v>531</v>
      </c>
      <c r="B20" s="15">
        <v>0</v>
      </c>
      <c r="C20" s="20" t="s">
        <v>524</v>
      </c>
      <c r="D20" s="20" t="s">
        <v>524</v>
      </c>
      <c r="E20" s="20" t="s">
        <v>524</v>
      </c>
      <c r="F20" s="20" t="s">
        <v>524</v>
      </c>
      <c r="G20" s="26" t="s">
        <v>524</v>
      </c>
    </row>
    <row r="21" spans="1:7">
      <c r="A21" s="11" t="s">
        <v>293</v>
      </c>
      <c r="B21" s="16">
        <v>0</v>
      </c>
      <c r="C21" s="28" t="s">
        <v>524</v>
      </c>
      <c r="D21" s="28" t="s">
        <v>524</v>
      </c>
      <c r="E21" s="28" t="s">
        <v>524</v>
      </c>
      <c r="F21" s="28" t="s">
        <v>524</v>
      </c>
      <c r="G21" s="29" t="s">
        <v>524</v>
      </c>
    </row>
    <row r="22" spans="1:7" ht="30" customHeight="1">
      <c r="A22" t="s">
        <v>532</v>
      </c>
    </row>
    <row r="23" spans="1:7">
      <c r="A23" t="s">
        <v>144</v>
      </c>
    </row>
    <row r="24" spans="1:7">
      <c r="A24" t="s">
        <v>534</v>
      </c>
    </row>
    <row r="25" spans="1:7">
      <c r="A25" t="s">
        <v>535</v>
      </c>
    </row>
    <row r="26" spans="1:7">
      <c r="A26" t="s">
        <v>536</v>
      </c>
    </row>
    <row r="27" spans="1:7">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SharedContentType xmlns="Microsoft.SharePoint.Taxonomy.ContentTypeSync" SourceId="b6a5190f-ebbd-42e3-bc8b-869af9a80cc9" ContentTypeId="0x0101" PreviousValue="false"/>
</file>

<file path=customXml/itemProps1.xml><?xml version="1.0" encoding="utf-8"?>
<ds:datastoreItem xmlns:ds="http://schemas.openxmlformats.org/officeDocument/2006/customXml" ds:itemID="{D48F5B4C-68FD-459F-9C66-02B8D4068432}"/>
</file>

<file path=customXml/itemProps2.xml><?xml version="1.0" encoding="utf-8"?>
<ds:datastoreItem xmlns:ds="http://schemas.openxmlformats.org/officeDocument/2006/customXml" ds:itemID="{13132AAC-A76D-45A9-A49D-76B00A756F12}"/>
</file>

<file path=customXml/itemProps3.xml><?xml version="1.0" encoding="utf-8"?>
<ds:datastoreItem xmlns:ds="http://schemas.openxmlformats.org/officeDocument/2006/customXml" ds:itemID="{30ACFB12-31F6-4CCF-824E-740D01FC4D1D}"/>
</file>

<file path=customXml/itemProps4.xml><?xml version="1.0" encoding="utf-8"?>
<ds:datastoreItem xmlns:ds="http://schemas.openxmlformats.org/officeDocument/2006/customXml" ds:itemID="{1B941140-7F15-4866-B938-3DBAE5600B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HRandall</dc:creator>
  <cp:keywords/>
  <dc:description/>
  <cp:lastModifiedBy>Robert Davies</cp:lastModifiedBy>
  <cp:revision/>
  <dcterms:created xsi:type="dcterms:W3CDTF">2022-11-18T14:47:58Z</dcterms:created>
  <dcterms:modified xsi:type="dcterms:W3CDTF">2024-02-13T10:28:23Z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